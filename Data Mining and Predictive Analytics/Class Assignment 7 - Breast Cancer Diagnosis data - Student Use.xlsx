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c1f50dbc0191e4/Desktop/FAU/Sem 4/Datasets/"/>
    </mc:Choice>
  </mc:AlternateContent>
  <xr:revisionPtr revIDLastSave="34935" documentId="13_ncr:1_{C1F6B5AD-E6AB-4588-8014-7227DAED5BFC}" xr6:coauthVersionLast="47" xr6:coauthVersionMax="47" xr10:uidLastSave="{19FDE0A6-91FE-4557-9D14-E6D8526CFAD3}"/>
  <bookViews>
    <workbookView xWindow="-108" yWindow="-108" windowWidth="23256" windowHeight="12456" firstSheet="2" activeTab="3" xr2:uid="{00000000-000D-0000-FFFF-FFFF00000000}"/>
  </bookViews>
  <sheets>
    <sheet name="Description" sheetId="1" r:id="rId1"/>
    <sheet name="Data" sheetId="2" r:id="rId2"/>
    <sheet name="Imputation" sheetId="6" r:id="rId3"/>
    <sheet name="STDPartition2" sheetId="44" r:id="rId4"/>
    <sheet name="NNC_Output4" sheetId="49" r:id="rId5"/>
    <sheet name="NNC_TrainLog4" sheetId="48" r:id="rId6"/>
    <sheet name="NNC_TrainingScore4" sheetId="47" r:id="rId7"/>
    <sheet name="NNC_ValidationScore4" sheetId="46" r:id="rId8"/>
    <sheet name="NNC_Stored4" sheetId="45" r:id="rId9"/>
    <sheet name="STDPartition1" sheetId="17" r:id="rId10"/>
    <sheet name="NNC_Output3" sheetId="34" r:id="rId11"/>
    <sheet name="NNC_TrainLog3" sheetId="33" r:id="rId12"/>
    <sheet name="NNC_TrainingScore3" sheetId="32" r:id="rId13"/>
    <sheet name="NNC_ValidationScore3" sheetId="31" r:id="rId14"/>
    <sheet name="NNC_Stored3" sheetId="30" r:id="rId15"/>
    <sheet name="STDPartition" sheetId="7" r:id="rId16"/>
    <sheet name="NNC_Output2" sheetId="29" r:id="rId17"/>
    <sheet name="NNC_TrainLog2" sheetId="28" r:id="rId18"/>
    <sheet name="NNC_TrainingScore2" sheetId="27" r:id="rId19"/>
    <sheet name="NNC_ValidationScore2" sheetId="26" r:id="rId20"/>
    <sheet name="NNC_Stored2" sheetId="25" r:id="rId21"/>
    <sheet name="NNC_Output1" sheetId="23" r:id="rId22"/>
    <sheet name="NNC_TrainLog1" sheetId="22" r:id="rId23"/>
    <sheet name="NNC_TrainingScore1" sheetId="21" r:id="rId24"/>
    <sheet name="NNC_ValidationScore1" sheetId="20" r:id="rId25"/>
    <sheet name="NNC_Stored1" sheetId="19" r:id="rId26"/>
    <sheet name="NNC_Output" sheetId="12" r:id="rId27"/>
    <sheet name="NNC_TrainLog" sheetId="11" r:id="rId28"/>
    <sheet name="NNC_TrainingScore" sheetId="10" r:id="rId29"/>
    <sheet name="NNC_ValidationScore" sheetId="9" r:id="rId30"/>
    <sheet name="NNC_Stored" sheetId="8" r:id="rId31"/>
    <sheet name="New Data" sheetId="3" r:id="rId32"/>
    <sheet name="Imputation1" sheetId="40" r:id="rId33"/>
    <sheet name="Scoring_NeuralNetwork2" sheetId="50" r:id="rId34"/>
    <sheet name="Scoring_NeuralNetwork1" sheetId="43" r:id="rId35"/>
    <sheet name="Scoring_NeuralNetwork" sheetId="41" r:id="rId36"/>
  </sheets>
  <definedNames>
    <definedName name="solver_eng" localSheetId="1" hidden="1">0</definedName>
    <definedName name="wdbc.data" localSheetId="1">Data!$B$2:$AG$570</definedName>
    <definedName name="xlm_10_1" localSheetId="1" hidden="1">"'{""wksheet"":""Data"",""wkbk"":""Class Assignment 7 - Breast Cancer Diagnosis data - Student Use.xlsx"",""data_range"":""A1:AG570"",""firstRow"":""1"",""rows"":569,""overwriteExistingWorksheet"":false,""has_header"":true,"""</definedName>
    <definedName name="xlm_10_1" localSheetId="31" hidden="1">"'{""wksheet"":""New Data"",""wkbk"":""Class Assignment 7 - Breast Cancer Diagnosis data - Student Use.xlsx"",""data_range"":""A1:AG19"",""firstRow"":""1"",""rows"":18,""overwriteExistingWorksheet"":false,""has_header"":true"</definedName>
    <definedName name="xlm_10_2" localSheetId="1" hidden="1">"'input_cols"":[{""varName"":""No. of instances"",""treatmentCode"":0},{""varName"":""ID"",""treatmentCode"":0},{""varName"":""Diagnosis "",""treatmentCode"":1},{""varName"":""Feature 1"",""treatmentCode"":3},{""varName"":""Featur"</definedName>
    <definedName name="xlm_10_2" localSheetId="31" hidden="1">"',""input_cols"":[{""varName"":""No. of instances"",""treatmentCode"":0},{""varName"":""ID"",""treatmentCode"":0},{""varName"":""Diagnosis "",""treatmentCode"":0},{""varName"":""Feature 1"",""treatmentCode"":3},{""varName"":""Feat"</definedName>
    <definedName name="xlm_10_3" localSheetId="1" hidden="1">"'e 2"",""treatmentCode"":3},{""varName"":""Feature 3"",""treatmentCode"":3},{""varName"":""Feature 4"",""treatmentCode"":3},{""varName"":""Feature 5"",""treatmentCode"":3},{""varName"":""Feature 6"",""treatmentCode"":3},{""varNam"</definedName>
    <definedName name="xlm_10_3" localSheetId="31" hidden="1">"'ure 2"",""treatmentCode"":3},{""varName"":""Feature 3"",""treatmentCode"":3},{""varName"":""Feature 4"",""treatmentCode"":3},{""varName"":""Feature 5"",""treatmentCode"":3},{""varName"":""Feature 6"",""treatmentCode"":3},{""varN"</definedName>
    <definedName name="xlm_10_4" localSheetId="1" hidden="1">"'e"":""Feature 7"",""treatmentCode"":3},{""varName"":""Feature 8"",""treatmentCode"":3},{""varName"":""Feature 9"",""treatmentCode"":3},{""varName"":""Feature 10"",""treatmentCode"":3},{""varName"":""Feature 11"",""treatmentCode"""</definedName>
    <definedName name="xlm_10_4" localSheetId="31" hidden="1">"'ame"":""Feature 7"",""treatmentCode"":3},{""varName"":""Feature 8"",""treatmentCode"":3},{""varName"":""Feature 9"",""treatmentCode"":3},{""varName"":""Feature 10"",""treatmentCode"":3},{""varName"":""Feature 11"",""treatmentCod"</definedName>
    <definedName name="xlm_10_5" localSheetId="1" hidden="1">"':3},{""varName"":""Feature 12"",""treatmentCode"":3},{""varName"":""Feature 13"",""treatmentCode"":3},{""varName"":""Feature 14"",""treatmentCode"":3},{""varName"":""Feature 15"",""treatmentCode"":3},{""varName"":""Feature 16"","</definedName>
    <definedName name="xlm_10_5" localSheetId="31" hidden="1">"'e"":3},{""varName"":""Feature 12"",""treatmentCode"":3},{""varName"":""Feature 13"",""treatmentCode"":3},{""varName"":""Feature 14"",""treatmentCode"":3},{""varName"":""Feature 15"",""treatmentCode"":3},{""varName"":""Feature 16"</definedName>
    <definedName name="xlm_10_6" localSheetId="1" hidden="1">"'""treatmentCode"":3},{""varName"":""Feature 17"",""treatmentCode"":3},{""varName"":""Feature 18"",""treatmentCode"":3},{""varName"":""Feature 19"",""treatmentCode"":3},{""varName"":""Feature 20"",""treatmentCode"":3},{""varName"</definedName>
    <definedName name="xlm_10_6" localSheetId="31" hidden="1">"'"",""treatmentCode"":3},{""varName"":""Feature 17"",""treatmentCode"":3},{""varName"":""Feature 18"",""treatmentCode"":3},{""varName"":""Feature 19"",""treatmentCode"":3},{""varName"":""Feature 20"",""treatmentCode"":3},{""varNa"</definedName>
    <definedName name="xlm_10_7" localSheetId="1" hidden="1">"'"":""Feature 21"",""treatmentCode"":3},{""varName"":""Feature 22"",""treatmentCode"":3},{""varName"":""Feature 23"",""treatmentCode"":3},{""varName"":""Feature 24"",""treatmentCode"":3},{""varName"":""Feature 25"",""treatmentCod"</definedName>
    <definedName name="xlm_10_7" localSheetId="31" hidden="1">"'me"":""Feature 21"",""treatmentCode"":3},{""varName"":""Feature 22"",""treatmentCode"":3},{""varName"":""Feature 23"",""treatmentCode"":3},{""varName"":""Feature 24"",""treatmentCode"":3},{""varName"":""Feature 25"",""treatmentC"</definedName>
    <definedName name="xlm_10_8" localSheetId="1" hidden="1">"'e"":3},{""varName"":""Feature 26"",""treatmentCode"":3},{""varName"":""Feature 27"",""treatmentCode"":3},{""varName"":""Feature 28"",""treatmentCode"":3},{""varName"":""Feature 29"",""treatmentCode"":3},{""varName"":""Feature 30"</definedName>
    <definedName name="xlm_10_8" localSheetId="31" hidden="1">"'ode"":3},{""varName"":""Feature 26"",""treatmentCode"":3},{""varName"":""Feature 27"",""treatmentCode"":3},{""varName"":""Feature 28"",""treatmentCode"":3},{""varName"":""Feature 29"",""treatmentCode"":3},{""varName"":""Feature "</definedName>
    <definedName name="xlm_10_9" localSheetId="1" hidden="1">"'"",""treatmentCode"":3}]}"</definedName>
    <definedName name="xlm_10_9" localSheetId="31" hidden="1">"'30"",""treatmentCode"":3}]}"</definedName>
    <definedName name="xlm_605_1" localSheetId="15" hidden="1">"'{""wkbk"":""Class Assignment 7 - Breast Cancer Diagnosis data - Student Use.xlsx"",""wksheet"":""STDPartition"",""data_range"":"""",""header"":[""Record ID"",""Diagnosis"",""Treated_Feature 1"",""Treated_Feature 2"",""Treat"</definedName>
    <definedName name="xlm_605_1" localSheetId="9" hidden="1">"'{""wkbk"":""Class Assignment 7 - Breast Cancer Diagnosis data - Student Use.xlsx"",""wksheet"":""STDPartition1"",""data_range"":"""",""header"":[""Record ID"",""Diagnosis"",""Treated_Feature 1"",""Treated_Feature 2"",""Trea"</definedName>
    <definedName name="xlm_605_1" localSheetId="3" hidden="1">"'{""wkbk"":""Class Assignment 7 - Breast Cancer Diagnosis data - Student Use.xlsx"",""wksheet"":""STDPartition2"",""data_range"":"""",""header"":[""Record ID"",""Diagnosis"",""Treated_Feature 1"",""Treated_Feature 2"",""Trea"</definedName>
    <definedName name="xlm_605_10" localSheetId="15" hidden="1">"'""responseCorrection"":0.01,""stoppingRules"":{""dataForErrorComputation"":1,""maxNumEpochsWithNoImprovement"":5,""maxTime"":3600,""minRelativeErrorChange"":0.0001,""minRelativeErrorChangeNullModel"":0.001}},""model"</definedName>
    <definedName name="xlm_605_10" localSheetId="9" hidden="1">"',""responseCorrection"":0.01,""stoppingRules"":{""dataForErrorComputation"":1,""maxNumEpochsWithNoImprovement"":5,""maxTime"":3600,""minRelativeErrorChange"":0.0001,""minRelativeErrorChangeNullModel"":0.001}},""mode"</definedName>
    <definedName name="xlm_605_10" localSheetId="3" hidden="1">"',""responseCorrection"":0.01,""stoppingRules"":{""dataForErrorComputation"":1,""maxNumEpochsWithNoImprovement"":5,""maxTime"":3600,""minRelativeErrorChange"":0.0001,""minRelativeErrorChangeNullModel"":0.001}},""mode"</definedName>
    <definedName name="xlm_605_11" localSheetId="15" hidden="1">"'Params"":null,""displayParams"":{""showWeights"":false},""networkArchCode"":2,""simulation"":false}"</definedName>
    <definedName name="xlm_605_11" localSheetId="9" hidden="1">"'lParams"":null,""displayParams"":{""showWeights"":false},""networkArchCode"":2,""simulation"":false}"</definedName>
    <definedName name="xlm_605_11" localSheetId="3" hidden="1">"'lParams"":null,""displayParams"":{""showWeights"":false},""networkArchCode"":2,""simulation"":false}"</definedName>
    <definedName name="xlm_605_2" localSheetId="15" hidden="1">"'ed_Feature 3"",""Treated_Feature 4"",""Treated_Feature 5"",""Treated_Feature 6"",""Treated_Feature 7"",""Treated_Feature 8"",""Treated_Feature 9"",""Treated_Feature 10"",""Treated_Feature 11"",""Treated_Feature 12"",""Tr"</definedName>
    <definedName name="xlm_605_2" localSheetId="9" hidden="1">"'ted_Feature 3"",""Treated_Feature 4"",""Treated_Feature 5"",""Treated_Feature 6"",""Treated_Feature 7"",""Treated_Feature 8"",""Treated_Feature 9"",""Treated_Feature 10"",""Treated_Feature 11"",""Treated_Feature 12"",""T"</definedName>
    <definedName name="xlm_605_2" localSheetId="3" hidden="1">"'ted_Feature 3"",""Treated_Feature 4"",""Treated_Feature 5"",""Treated_Feature 6"",""Treated_Feature 7"",""Treated_Feature 8"",""Treated_Feature 9"",""Treated_Feature 10"",""Treated_Feature 11"",""Treated_Feature 12"",""T"</definedName>
    <definedName name="xlm_605_3" localSheetId="15" hidden="1">"'eated_Feature 13"",""Treated_Feature 14"",""Treated_Feature 15"",""Treated_Feature 16"",""Treated_Feature 17"",""Treated_Feature 18"",""Treated_Feature 19"",""Treated_Feature 20"",""Treated_Feature 21"",""Treated_Featu"</definedName>
    <definedName name="xlm_605_3" localSheetId="9" hidden="1">"'reated_Feature 13"",""Treated_Feature 14"",""Treated_Feature 15"",""Treated_Feature 16"",""Treated_Feature 17"",""Treated_Feature 18"",""Treated_Feature 19"",""Treated_Feature 20"",""Treated_Feature 21"",""Treated_Feat"</definedName>
    <definedName name="xlm_605_3" localSheetId="3" hidden="1">"'reated_Feature 13"",""Treated_Feature 14"",""Treated_Feature 15"",""Treated_Feature 16"",""Treated_Feature 17"",""Treated_Feature 18"",""Treated_Feature 19"",""Treated_Feature 20"",""Treated_Feature 21"",""Treated_Feat"</definedName>
    <definedName name="xlm_605_4" localSheetId="15" hidden="1">"'re 22"",""Treated_Feature 23"",""Treated_Feature 24"",""Treated_Feature 25"",""Treated_Feature 26"",""Treated_Feature 27"",""Treated_Feature 28"",""Treated_Feature 29"",""Treated_Feature 30""],""has_header"":true,""first"</definedName>
    <definedName name="xlm_605_4" localSheetId="9" hidden="1">"'ure 22"",""Treated_Feature 23"",""Treated_Feature 24"",""Treated_Feature 25"",""Treated_Feature 26"",""Treated_Feature 27"",""Treated_Feature 28"",""Treated_Feature 29"",""Treated_Feature 30""],""has_header"":true,""firs"</definedName>
    <definedName name="xlm_605_4" localSheetId="3" hidden="1">"'ure 22"",""Treated_Feature 23"",""Treated_Feature 24"",""Treated_Feature 25"",""Treated_Feature 26"",""Treated_Feature 27"",""Treated_Feature 28"",""Treated_Feature 29"",""Treated_Feature 30""],""has_header"":true,""firs"</definedName>
    <definedName name="xlm_605_5" localSheetId="15" hidden="1">"'Row"":1,""rows"":569,""train_rows"":341,""validation_rows"":228,""test_rows"":0,""trainingDataRange"":""$C$37:$AH$377"",""validationDataRange"":""$C$378:$AH$605"",""allDataRange"":""$C$36:$AH$605"",""isPartitionSheet"":true"</definedName>
    <definedName name="xlm_605_5" localSheetId="9" hidden="1">"'tRow"":1,""rows"":569,""train_rows"":455,""validation_rows"":114,""test_rows"":0,""trainingDataRange"":""$C$37:$AH$491"",""validationDataRange"":""$C$492:$AH$605"",""allDataRange"":""$C$36:$AH$605"",""isPartitionSheet"":tru"</definedName>
    <definedName name="xlm_605_5" localSheetId="3" hidden="1">"'tRow"":1,""rows"":569,""train_rows"":512,""validation_rows"":57,""test_rows"":0,""trainingDataRange"":""$C$37:$AH$548"",""validationDataRange"":""$C$549:$AH$605"",""allDataRange"":""$C$36:$AH$605"",""isPartitionSheet"":true"</definedName>
    <definedName name="xlm_605_6" localSheetId="15" hidden="1">"',""partitionData"":false,""trainDetailRpt"":false,""trainSummaryRpt"":true,""trainLiftChart"":false,""trainROCCurve"":false,""trainFreqChart"":false,""validationDetailRpt"":false,""validationSummaryRpt"":true,""valida"</definedName>
    <definedName name="xlm_605_6" localSheetId="9" hidden="1">"'e,""partitionData"":false,""trainDetailRpt"":false,""trainSummaryRpt"":true,""trainLiftChart"":false,""trainROCCurve"":false,""trainFreqChart"":false,""validationDetailRpt"":false,""validationSummaryRpt"":true,""valid"</definedName>
    <definedName name="xlm_605_6" localSheetId="3" hidden="1">"',""partitionData"":false,""trainDetailRpt"":false,""trainSummaryRpt"":true,""trainLiftChart"":false,""trainROCCurve"":false,""trainFreqChart"":false,""validationDetailRpt"":false,""validationSummaryRpt"":true,""valida"</definedName>
    <definedName name="xlm_605_7" localSheetId="15" hidden="1">"'tionLiftChart"":false,""validROCCurve"":false,""validFreqChart"":false,""newDataWorksheet"":false,""newDataDatabase"":false,""priorClassProbabilityCode"":1,""numOutputClasses"":2,""successClass"":""M"",""successCutoffP"</definedName>
    <definedName name="xlm_605_7" localSheetId="9" hidden="1">"'ationLiftChart"":false,""validROCCurve"":false,""validFreqChart"":false,""newDataWorksheet"":false,""newDataDatabase"":false,""priorClassProbabilityCode"":1,""numOutputClasses"":2,""successClass"":""M"",""successCutoff"</definedName>
    <definedName name="xlm_605_7" localSheetId="3" hidden="1">"'tionLiftChart"":false,""validROCCurve"":false,""validFreqChart"":false,""newDataWorksheet"":false,""newDataDatabase"":false,""priorClassProbabilityCode"":1,""numOutputClasses"":2,""successClass"":""M"",""successCutoffP"</definedName>
    <definedName name="xlm_605_8" localSheetId="15" hidden="1">"'rob"":0.5,""rescalerParams"":{""technique"":1,""correction"":null,""normType"":null,""rescale"":true},""estimatorParams"":{""neuronWeightSeed"":12345,""numHiddenLayers"":1,""layerNodes"":[25],""numEpochs"":75,""errorTolera"</definedName>
    <definedName name="xlm_605_8" localSheetId="9" hidden="1">"'Prob"":0.5,""rescalerParams"":{""technique"":1,""correction"":null,""normType"":null,""rescale"":true},""estimatorParams"":{""neuronWeightSeed"":12345,""numHiddenLayers"":1,""layerNodes"":[11],""numEpochs"":25,""errorToler"</definedName>
    <definedName name="xlm_605_8" localSheetId="3" hidden="1">"'rob"":0.5,""rescalerParams"":{""technique"":1,""correction"":null,""normType"":null,""rescale"":true},""estimatorParams"":{""neuronWeightSeed"":12345,""numHiddenLayers"":2,""layerNodes"":[7,3],""numEpochs"":30,""errorToler"</definedName>
    <definedName name="xlm_605_9" localSheetId="15" hidden="1">"'nce"":0.01,""weightDecayTraining"":0,""gradientDescentStepSize"":0.1,""weightChangeMomentum"":0.6,""hiddenLayerActivationCode"":2,""outputLayerActivationCode"":2,""learningOrder"":1,""learningOrderRandomSeed"":null,"</definedName>
    <definedName name="xlm_605_9" localSheetId="9" hidden="1">"'ance"":0.01,""weightDecayTraining"":0,""gradientDescentStepSize"":0.1,""weightChangeMomentum"":0.6,""hiddenLayerActivationCode"":2,""outputLayerActivationCode"":2,""learningOrder"":1,""learningOrderRandomSeed"":null"</definedName>
    <definedName name="xlm_605_9" localSheetId="3" hidden="1">"'ance"":0.01,""weightDecayTraining"":0,""gradientDescentStepSize"":0.1,""weightChangeMomentum"":0.6,""hiddenLayerActivationCode"":2,""outputLayerActivationCode"":2,""learningOrder"":1,""learningOrderRandomSeed"":null"</definedName>
    <definedName name="xlm_611_1" localSheetId="9" hidden="1">"'{""wkbk"":""Class Assignment 7 - Breast Cancer Diagnosis data - Student Use.xlsx"",""wksheet"":""STDPartition1"",""data_range"":"""",""header"":[""Record ID"",""Diagnosis"",""Treated_Feature 1"",""Treated_Feature 2"",""Trea"</definedName>
    <definedName name="xlm_611_10" localSheetId="9" hidden="1">"',""responseCorrection"":0.01,""stoppingRules"":{""dataForErrorComputation"":1,""maxNumEpochsWithNoImprovement"":5,""maxTime"":3600,""minRelativeErrorChange"":0.0001,""minRelativeErrorChangeNullModel"":0.001}},""netw"</definedName>
    <definedName name="xlm_611_11" localSheetId="9" hidden="1">"'orkArchCode"":1}"</definedName>
    <definedName name="xlm_611_2" localSheetId="9" hidden="1">"'ted_Feature 3"",""Treated_Feature 4"",""Treated_Feature 5"",""Treated_Feature 6"",""Treated_Feature 7"",""Treated_Feature 8"",""Treated_Feature 9"",""Treated_Feature 10"",""Treated_Feature 11"",""Treated_Feature 12"",""T"</definedName>
    <definedName name="xlm_611_3" localSheetId="9" hidden="1">"'reated_Feature 13"",""Treated_Feature 14"",""Treated_Feature 15"",""Treated_Feature 16"",""Treated_Feature 17"",""Treated_Feature 18"",""Treated_Feature 19"",""Treated_Feature 20"",""Treated_Feature 21"",""Treated_Feat"</definedName>
    <definedName name="xlm_611_4" localSheetId="9" hidden="1">"'ure 22"",""Treated_Feature 23"",""Treated_Feature 24"",""Treated_Feature 25"",""Treated_Feature 26"",""Treated_Feature 27"",""Treated_Feature 28"",""Treated_Feature 29"",""Treated_Feature 30""],""has_header"":true,""firs"</definedName>
    <definedName name="xlm_611_5" localSheetId="9" hidden="1">"'tRow"":1,""rows"":569,""train_rows"":455,""validation_rows"":114,""test_rows"":0,""trainingDataRange"":""$C$37:$AH$491"",""validationDataRange"":""$C$492:$AH$605"",""allDataRange"":""$C$36:$AH$605"",""isPartitionSheet"":tru"</definedName>
    <definedName name="xlm_611_6" localSheetId="9" hidden="1">"'e,""partitionData"":false,""trainDetailRpt"":false,""trainSummaryRpt"":true,""trainLiftChart"":false,""trainROCCurve"":false,""trainFreqChart"":false,""validationDetailRpt"":false,""validationSummaryRpt"":true,""valid"</definedName>
    <definedName name="xlm_611_7" localSheetId="9" hidden="1">"'ationLiftChart"":false,""validROCCurve"":false,""validFreqChart"":false,""newDataWorksheet"":false,""newDataDatabase"":false,""priorClassProbabilityCode"":1,""numOutputClasses"":2,""successClass"":""M"",""successCutoff"</definedName>
    <definedName name="xlm_611_8" localSheetId="9" hidden="1">"'Prob"":0.5,""rescalerParams"":{""technique"":1,""correction"":null,""normType"":null,""rescale"":true},""estimatorParams"":{""neuronWeightSeed"":12345,""numHiddenLayers"":0,""layerNodes"":null,""numEpochs"":30,""errorToler"</definedName>
    <definedName name="xlm_611_9" localSheetId="9" hidden="1">"'ance"":0.01,""weightDecayTraining"":0,""gradientDescentStepSize"":0.1,""weightChangeMomentum"":0.6,""hiddenLayerActivationCode"":2,""outputLayerActivationCode"":2,""learningOrder"":1,""learningOrderRandomSeed"":null"</definedName>
    <definedName name="xlm_90_1" localSheetId="2" hidden="1">"'{""wkbk"":""Class Assignment 7 - Breast Cancer Diagnosis data - Student Use.xlsx"",""wksheet"":""Imputation"",""data_range"":""$C$33:$AJ$602"",""header"":[""Record ID"",""No. of instances"",""ID"",""Diagnosis"",""Treated_Fe"</definedName>
    <definedName name="xlm_90_10" localSheetId="2" hidden="1">"'d_Feature 29""},{""varName"":""Treated_Feature 30""}],""cat_cols"":[],""firstRow"":""33"",""rows"":569,""isPartitionSheet"":false,""type"":1,""usePartitionVar"":false,""partitionVar"":null,""useRandomRows"":true,""partitionC"</definedName>
    <definedName name="xlm_90_11" localSheetId="2" hidden="1">"'ode"":1,""setSeed"":true,""seedValue"":12345,""trainPct"":90,""validationPct"":10,""testPct"":0}"</definedName>
    <definedName name="xlm_90_2" localSheetId="2" hidden="1">"'ature 1"",""Treated_Feature 2"",""Treated_Feature 3"",""Treated_Feature 4"",""Treated_Feature 5"",""Treated_Feature 6"",""Treated_Feature 7"",""Treated_Feature 8"",""Treated_Feature 9"",""Treated_Feature 10"",""Treated_F"</definedName>
    <definedName name="xlm_90_3" localSheetId="2" hidden="1">"'eature 11"",""Treated_Feature 12"",""Treated_Feature 13"",""Treated_Feature 14"",""Treated_Feature 15"",""Treated_Feature 16"",""Treated_Feature 17"",""Treated_Feature 18"",""Treated_Feature 19"",""Treated_Feature 20"","</definedName>
    <definedName name="xlm_90_4" localSheetId="2" hidden="1">"'""Treated_Feature 21"",""Treated_Feature 22"",""Treated_Feature 23"",""Treated_Feature 24"",""Treated_Feature 25"",""Treated_Feature 26"",""Treated_Feature 27"",""Treated_Feature 28"",""Treated_Feature 29"",""Treated_Fe"</definedName>
    <definedName name="xlm_90_5" localSheetId="2" hidden="1">"'ature 30""],""has_header"":true,""input_cols"":[{""varName"":""Diagnosis""},{""varName"":""Treated_Feature 1""},{""varName"":""Treated_Feature 2""},{""varName"":""Treated_Feature 3""},{""varName"":""Treated_Feature 4""},{""var"</definedName>
    <definedName name="xlm_90_6" localSheetId="2" hidden="1">"'Name"":""Treated_Feature 5""},{""varName"":""Treated_Feature 6""},{""varName"":""Treated_Feature 7""},{""varName"":""Treated_Feature 8""},{""varName"":""Treated_Feature 9""},{""varName"":""Treated_Feature 10""},{""varName"":"""</definedName>
    <definedName name="xlm_90_7" localSheetId="2" hidden="1">"'Treated_Feature 11""},{""varName"":""Treated_Feature 12""},{""varName"":""Treated_Feature 13""},{""varName"":""Treated_Feature 14""},{""varName"":""Treated_Feature 15""},{""varName"":""Treated_Feature 16""},{""varName"":""Tr"</definedName>
    <definedName name="xlm_90_8" localSheetId="2" hidden="1">"'eated_Feature 17""},{""varName"":""Treated_Feature 18""},{""varName"":""Treated_Feature 19""},{""varName"":""Treated_Feature 20""},{""varName"":""Treated_Feature 21""},{""varName"":""Treated_Feature 22""},{""varName"":""Trea"</definedName>
    <definedName name="xlm_90_9" localSheetId="2" hidden="1">"'ted_Feature 23""},{""varName"":""Treated_Feature 24""},{""varName"":""Treated_Feature 25""},{""varName"":""Treated_Feature 26""},{""varName"":""Treated_Feature 27""},{""varName"":""Treated_Feature 28""},{""varName"":""Treate"</definedName>
    <definedName name="xlm_clnc_1" localSheetId="15" hidden="1">"'{""input_cols"":[{""varName"":""Treated_Feature 1""},{""varName"":""Treated_Feature 2""},{""varName"":""Treated_Feature 3""},{""varName"":""Treated_Feature 4""},{""varName"":""Treated_Feature 5""},{""varName"":""Treated_Featu"</definedName>
    <definedName name="xlm_clnc_1" localSheetId="9" hidden="1">"'{""input_cols"":[{""varName"":""Treated_Feature 1""},{""varName"":""Treated_Feature 2""},{""varName"":""Treated_Feature 3""},{""varName"":""Treated_Feature 4""},{""varName"":""Treated_Feature 5""},{""varName"":""Treated_Featu"</definedName>
    <definedName name="xlm_clnc_1" localSheetId="3" hidden="1">"'{""input_cols"":[{""varName"":""Treated_Feature 1""},{""varName"":""Treated_Feature 2""},{""varName"":""Treated_Feature 3""},{""varName"":""Treated_Feature 4""},{""varName"":""Treated_Feature 5""},{""varName"":""Treated_Featu"</definedName>
    <definedName name="xlm_clnc_2" localSheetId="15" hidden="1">"'re 6""},{""varName"":""Treated_Feature 7""},{""varName"":""Treated_Feature 8""},{""varName"":""Treated_Feature 9""},{""varName"":""Treated_Feature 10""},{""varName"":""Treated_Feature 11""},{""varName"":""Treated_Feature 12"""</definedName>
    <definedName name="xlm_clnc_2" localSheetId="9" hidden="1">"'re 6""},{""varName"":""Treated_Feature 7""},{""varName"":""Treated_Feature 8""},{""varName"":""Treated_Feature 9""},{""varName"":""Treated_Feature 10""},{""varName"":""Treated_Feature 11""},{""varName"":""Treated_Feature 12"""</definedName>
    <definedName name="xlm_clnc_2" localSheetId="3" hidden="1">"'re 6""},{""varName"":""Treated_Feature 7""},{""varName"":""Treated_Feature 8""},{""varName"":""Treated_Feature 9""},{""varName"":""Treated_Feature 10""},{""varName"":""Treated_Feature 11""},{""varName"":""Treated_Feature 12"""</definedName>
    <definedName name="xlm_clnc_3" localSheetId="15" hidden="1">"'},{""varName"":""Treated_Feature 13""},{""varName"":""Treated_Feature 14""},{""varName"":""Treated_Feature 15""},{""varName"":""Treated_Feature 16""},{""varName"":""Treated_Feature 17""},{""varName"":""Treated_Feature 18""},"</definedName>
    <definedName name="xlm_clnc_3" localSheetId="9" hidden="1">"'},{""varName"":""Treated_Feature 13""},{""varName"":""Treated_Feature 14""},{""varName"":""Treated_Feature 15""},{""varName"":""Treated_Feature 16""},{""varName"":""Treated_Feature 17""},{""varName"":""Treated_Feature 18""},"</definedName>
    <definedName name="xlm_clnc_3" localSheetId="3" hidden="1">"'},{""varName"":""Treated_Feature 13""},{""varName"":""Treated_Feature 14""},{""varName"":""Treated_Feature 15""},{""varName"":""Treated_Feature 16""},{""varName"":""Treated_Feature 17""},{""varName"":""Treated_Feature 18""},"</definedName>
    <definedName name="xlm_clnc_4" localSheetId="15" hidden="1">"'{""varName"":""Treated_Feature 19""},{""varName"":""Treated_Feature 20""},{""varName"":""Treated_Feature 21""},{""varName"":""Treated_Feature 22""},{""varName"":""Treated_Feature 23""},{""varName"":""Treated_Feature 24""},{"""</definedName>
    <definedName name="xlm_clnc_4" localSheetId="9" hidden="1">"'{""varName"":""Treated_Feature 19""},{""varName"":""Treated_Feature 20""},{""varName"":""Treated_Feature 21""},{""varName"":""Treated_Feature 22""},{""varName"":""Treated_Feature 23""},{""varName"":""Treated_Feature 24""},{"""</definedName>
    <definedName name="xlm_clnc_4" localSheetId="3" hidden="1">"'{""varName"":""Treated_Feature 19""},{""varName"":""Treated_Feature 20""},{""varName"":""Treated_Feature 21""},{""varName"":""Treated_Feature 22""},{""varName"":""Treated_Feature 23""},{""varName"":""Treated_Feature 24""},{"""</definedName>
    <definedName name="xlm_clnc_5" localSheetId="15" hidden="1">"'varName"":""Treated_Feature 25""},{""varName"":""Treated_Feature 26""},{""varName"":""Treated_Feature 27""},{""varName"":""Treated_Feature 28""},{""varName"":""Treated_Feature 29""},{""varName"":""Treated_Feature 30""}],""ca"</definedName>
    <definedName name="xlm_clnc_5" localSheetId="9" hidden="1">"'varName"":""Treated_Feature 25""},{""varName"":""Treated_Feature 26""},{""varName"":""Treated_Feature 27""},{""varName"":""Treated_Feature 28""},{""varName"":""Treated_Feature 29""},{""varName"":""Treated_Feature 30""}],""ca"</definedName>
    <definedName name="xlm_clnc_5" localSheetId="3" hidden="1">"'varName"":""Treated_Feature 25""},{""varName"":""Treated_Feature 26""},{""varName"":""Treated_Feature 27""},{""varName"":""Treated_Feature 28""},{""varName"":""Treated_Feature 29""},{""varName"":""Treated_Feature 30""}],""ca"</definedName>
    <definedName name="xlm_clnc_6" localSheetId="15" hidden="1">"'t_cols"":[],""output_var"":{""varName"":""Diagnosis""}}"</definedName>
    <definedName name="xlm_clnc_6" localSheetId="9" hidden="1">"'t_cols"":[],""output_var"":{""varName"":""Diagnosis""}}"</definedName>
    <definedName name="xlm_clnc_6" localSheetId="3" hidden="1">"'t_cols"":[],""output_var"":{""varName"":""Diagnosis""}}"</definedName>
    <definedName name="XLMPartitionAllData" localSheetId="15" hidden="1">"$C$36:$AH$605"</definedName>
    <definedName name="XLMPartitionAllData" localSheetId="9" hidden="1">"$C$36:$AH$605"</definedName>
    <definedName name="XLMPartitionAllData" localSheetId="3" hidden="1">"$C$36:$AH$605"</definedName>
    <definedName name="XLMPartitionTrainingData" localSheetId="15" hidden="1">"$C$37:$AH$377"</definedName>
    <definedName name="XLMPartitionTrainingData" localSheetId="9" hidden="1">"$C$37:$AH$491"</definedName>
    <definedName name="XLMPartitionTrainingData" localSheetId="3" hidden="1">"$C$37:$AH$548"</definedName>
    <definedName name="XLMPartitionType" localSheetId="15" hidden="1">0</definedName>
    <definedName name="XLMPartitionType" localSheetId="9" hidden="1">0</definedName>
    <definedName name="XLMPartitionType" localSheetId="3" hidden="1">0</definedName>
    <definedName name="XLMPartitionValidationData" localSheetId="15" hidden="1">"$C$378:$AH$605"</definedName>
    <definedName name="XLMPartitionValidationData" localSheetId="9" hidden="1">"$C$492:$AH$605"</definedName>
    <definedName name="XLMPartitionValidationData" localSheetId="3" hidden="1">"$C$549:$AH$605"</definedName>
    <definedName name="XLMPartitionVariableNames" localSheetId="15" hidden="1">"$C$36:$AH$36"</definedName>
    <definedName name="XLMPartitionVariableNames" localSheetId="9" hidden="1">"$C$36:$AH$36"</definedName>
    <definedName name="XLMPartitionVariableNames" localSheetId="3" hidden="1">"$C$36:$AH$36"</definedName>
    <definedName name="XLMPMMLModelRange" localSheetId="30" hidden="1">"$B$12:$B$555"</definedName>
    <definedName name="XLMPMMLModelRange" localSheetId="25" hidden="1">"$B$12:$B$691"</definedName>
    <definedName name="XLMPMMLModelRange" localSheetId="20" hidden="1">"$B$12:$B$963"</definedName>
    <definedName name="XLMPMMLModelRange" localSheetId="14" hidden="1">"$B$12:$B$827"</definedName>
    <definedName name="XLMPMMLModelRange" localSheetId="8" hidden="1">"$B$12:$B$712"</definedName>
    <definedName name="XLMRasonModelRange" localSheetId="2" hidden="1">"CV1:CV1"</definedName>
    <definedName name="XLMRasonModelRange" localSheetId="32" hidden="1">"CV1:CV1"</definedName>
    <definedName name="XLMRasonModelRange" localSheetId="26" hidden="1">"CV1:CV1"</definedName>
    <definedName name="XLMRasonModelRange" localSheetId="21" hidden="1">"CV1:CV1"</definedName>
    <definedName name="XLMRasonModelRange" localSheetId="16" hidden="1">"CV1:CV1"</definedName>
    <definedName name="XLMRasonModelRange" localSheetId="10" hidden="1">"CV1:CV1"</definedName>
    <definedName name="XLMRasonModelRange" localSheetId="4" hidden="1">"CV1:CV1"</definedName>
    <definedName name="XLMRasonModelRange" localSheetId="15" hidden="1">"CV1:CV1"</definedName>
    <definedName name="XLMRasonModelRange" localSheetId="9" hidden="1">"CV1:CV1"</definedName>
    <definedName name="XLMRasonModelRange" localSheetId="3" hidden="1">"CV1:CV1"</definedName>
    <definedName name="XLMReportData" localSheetId="2" hidden="1">"$C$33:$AJ$602"</definedName>
    <definedName name="XLMReportData" localSheetId="32" hidden="1">"$C$33:$AJ$51"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47" l="1"/>
  <c r="D20" i="47"/>
  <c r="F20" i="47" s="1"/>
  <c r="E19" i="47"/>
  <c r="E21" i="47" s="1"/>
  <c r="D19" i="47"/>
  <c r="F19" i="47" s="1"/>
  <c r="E20" i="46"/>
  <c r="D20" i="46"/>
  <c r="D21" i="46" s="1"/>
  <c r="F21" i="46" s="1"/>
  <c r="F19" i="46"/>
  <c r="E19" i="46"/>
  <c r="E21" i="46" s="1"/>
  <c r="D19" i="46"/>
  <c r="E20" i="32"/>
  <c r="D20" i="32"/>
  <c r="F20" i="32" s="1"/>
  <c r="E19" i="32"/>
  <c r="E21" i="32" s="1"/>
  <c r="D19" i="32"/>
  <c r="F19" i="32" s="1"/>
  <c r="E20" i="31"/>
  <c r="D20" i="31"/>
  <c r="F20" i="31" s="1"/>
  <c r="F19" i="31"/>
  <c r="E19" i="31"/>
  <c r="E21" i="31" s="1"/>
  <c r="D19" i="31"/>
  <c r="D21" i="31" s="1"/>
  <c r="F21" i="31" s="1"/>
  <c r="E20" i="27"/>
  <c r="D20" i="27"/>
  <c r="F20" i="27" s="1"/>
  <c r="E19" i="27"/>
  <c r="E21" i="27" s="1"/>
  <c r="D19" i="27"/>
  <c r="F19" i="27" s="1"/>
  <c r="E20" i="26"/>
  <c r="D20" i="26"/>
  <c r="F20" i="26" s="1"/>
  <c r="E19" i="26"/>
  <c r="E21" i="26" s="1"/>
  <c r="D19" i="26"/>
  <c r="D21" i="26" s="1"/>
  <c r="F21" i="26" s="1"/>
  <c r="E20" i="21"/>
  <c r="D20" i="21"/>
  <c r="F20" i="21" s="1"/>
  <c r="E19" i="21"/>
  <c r="E21" i="21" s="1"/>
  <c r="D19" i="21"/>
  <c r="D21" i="21" s="1"/>
  <c r="F21" i="21" s="1"/>
  <c r="D21" i="20"/>
  <c r="E20" i="20"/>
  <c r="D20" i="20"/>
  <c r="F20" i="20" s="1"/>
  <c r="E19" i="20"/>
  <c r="E21" i="20" s="1"/>
  <c r="D19" i="20"/>
  <c r="F19" i="20" s="1"/>
  <c r="E20" i="10"/>
  <c r="D20" i="10"/>
  <c r="F20" i="10" s="1"/>
  <c r="E19" i="10"/>
  <c r="E21" i="10" s="1"/>
  <c r="D19" i="10"/>
  <c r="D21" i="10" s="1"/>
  <c r="F21" i="10" s="1"/>
  <c r="F20" i="9"/>
  <c r="E20" i="9"/>
  <c r="D20" i="9"/>
  <c r="F19" i="9"/>
  <c r="E19" i="9"/>
  <c r="E21" i="9" s="1"/>
  <c r="D19" i="9"/>
  <c r="D21" i="9" s="1"/>
  <c r="F21" i="9" s="1"/>
  <c r="D21" i="47" l="1"/>
  <c r="F21" i="47" s="1"/>
  <c r="F20" i="46"/>
  <c r="D21" i="32"/>
  <c r="F21" i="32" s="1"/>
  <c r="D21" i="27"/>
  <c r="F21" i="27" s="1"/>
  <c r="F19" i="26"/>
  <c r="F19" i="21"/>
  <c r="F21" i="20"/>
  <c r="F1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A461C-6A3C-4092-8363-A516A8E284E5}" name="wdbc.data" type="6" refreshedVersion="6" background="1" saveData="1">
    <textPr codePage="437" sourceFile="C:\Users\Ria's\Downloads\wdbc.data.txt" comma="1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<sst xmlns="http://schemas.openxmlformats.org/spreadsheetml/2006/main" count="11217" uniqueCount="2767">
  <si>
    <t>M</t>
  </si>
  <si>
    <t>B</t>
  </si>
  <si>
    <t xml:space="preserve">Diagnosis </t>
  </si>
  <si>
    <t>1. Title: Wisconsin Diagnostic Breast Cancer (WDBC)</t>
  </si>
  <si>
    <t>2. Source Information</t>
  </si>
  <si>
    <t xml:space="preserve">a) Creators: </t>
  </si>
  <si>
    <t xml:space="preserve">        Dr. William H. Wolberg, General Surgery Dept., University of</t>
  </si>
  <si>
    <t xml:space="preserve">        Wisconsin,  Clinical Sciences Center, Madison, WI 53792</t>
  </si>
  <si>
    <t xml:space="preserve">        wolberg@eagle.surgery.wisc.edu</t>
  </si>
  <si>
    <t xml:space="preserve">        W. Nick Street, Computer Sciences Dept., University of</t>
  </si>
  <si>
    <t xml:space="preserve">        Wisconsin, 1210 West Dayton St., Madison, WI 53706</t>
  </si>
  <si>
    <t xml:space="preserve">        street@cs.wisc.edu  608-262-6619</t>
  </si>
  <si>
    <t xml:space="preserve">        Olvi L. Mangasarian, Computer Sciences Dept., University of</t>
  </si>
  <si>
    <t xml:space="preserve">        olvi@cs.wisc.edu </t>
  </si>
  <si>
    <t>b) Donor: Nick Street</t>
  </si>
  <si>
    <t>c) Date: November 1995</t>
  </si>
  <si>
    <t>4. Relevant information</t>
  </si>
  <si>
    <t xml:space="preserve">        Features are computed from a digitized image of a fine needle</t>
  </si>
  <si>
    <t xml:space="preserve">        aspirate (FNA) of a breast mass.  They describe</t>
  </si>
  <si>
    <t xml:space="preserve">        characteristics of the cell nuclei present in the image.</t>
  </si>
  <si>
    <t xml:space="preserve">        A few of the images can be found at</t>
  </si>
  <si>
    <t xml:space="preserve">        http://www.cs.wisc.edu/~street/images/</t>
  </si>
  <si>
    <t xml:space="preserve">5. Number of instances: 569 </t>
  </si>
  <si>
    <t>6. Number of attributes: 32 (ID, diagnosis, 30 real-valued input features)</t>
  </si>
  <si>
    <t>7. Attribute information</t>
  </si>
  <si>
    <t>1) ID number</t>
  </si>
  <si>
    <t>2) Diagnosis (M = malignant, B = benign)</t>
  </si>
  <si>
    <t>3-32)</t>
  </si>
  <si>
    <t>Ten real-valued features are computed for each cell nucleus:</t>
  </si>
  <si>
    <t xml:space="preserve">        a) radius (mean of distances from center to points on the perimeter)</t>
  </si>
  <si>
    <t xml:space="preserve">        b) texture (standard deviation of gray-scale values)</t>
  </si>
  <si>
    <t xml:space="preserve">        c) perimeter</t>
  </si>
  <si>
    <t xml:space="preserve">        d) area</t>
  </si>
  <si>
    <t xml:space="preserve">        e) smoothness (local variation in radius lengths)</t>
  </si>
  <si>
    <t xml:space="preserve">        f) compactness (perimeter^2 / area - 1.0)</t>
  </si>
  <si>
    <t xml:space="preserve">        g) concavity (severity of concave portions of the contour)</t>
  </si>
  <si>
    <t xml:space="preserve">        h) concave points (number of concave portions of the contour)</t>
  </si>
  <si>
    <t xml:space="preserve">        i) symmetry </t>
  </si>
  <si>
    <t xml:space="preserve">        j) fractal dimension ("coastline approximation" - 1)</t>
  </si>
  <si>
    <t>The mean, standard error, and "worst" or largest (mean of the three</t>
  </si>
  <si>
    <t>largest values) of these features were computed for each image,</t>
  </si>
  <si>
    <t>resulting in 30 features.  For instance, field 3 is Mean Radius, field</t>
  </si>
  <si>
    <t>13 is Radius SE, field 23 is Worst Radius.</t>
  </si>
  <si>
    <t>All feature values are recoded with four significant digits.</t>
  </si>
  <si>
    <t>9. Class distribution: 357 benign, 212 malignant</t>
  </si>
  <si>
    <t>?</t>
  </si>
  <si>
    <t>Feature 1</t>
  </si>
  <si>
    <t>Feature 2</t>
  </si>
  <si>
    <t>Feature 3</t>
  </si>
  <si>
    <t>Feature 4</t>
  </si>
  <si>
    <t>Feature 5</t>
  </si>
  <si>
    <t>Feature 6</t>
  </si>
  <si>
    <t>Feature 7</t>
  </si>
  <si>
    <t>Feature 8</t>
  </si>
  <si>
    <t>Feature 9</t>
  </si>
  <si>
    <t>Feature 10</t>
  </si>
  <si>
    <t>Feature 11</t>
  </si>
  <si>
    <t>Feature 12</t>
  </si>
  <si>
    <t>Feature 13</t>
  </si>
  <si>
    <t>Feature 14</t>
  </si>
  <si>
    <t>Feature 15</t>
  </si>
  <si>
    <t>Feature 16</t>
  </si>
  <si>
    <t>Feature 17</t>
  </si>
  <si>
    <t>Feature 18</t>
  </si>
  <si>
    <t>Feature 19</t>
  </si>
  <si>
    <t>Feature 20</t>
  </si>
  <si>
    <t>Feature 21</t>
  </si>
  <si>
    <t>Feature 22</t>
  </si>
  <si>
    <t>Feature 23</t>
  </si>
  <si>
    <t>Feature 24</t>
  </si>
  <si>
    <t>Feature 25</t>
  </si>
  <si>
    <t>Feature 26</t>
  </si>
  <si>
    <t>Feature 27</t>
  </si>
  <si>
    <t>Feature 28</t>
  </si>
  <si>
    <t>Feature 29</t>
  </si>
  <si>
    <t>Feature 30</t>
  </si>
  <si>
    <t>ID</t>
  </si>
  <si>
    <t>No. of instances</t>
  </si>
  <si>
    <t xml:space="preserve"> </t>
  </si>
  <si>
    <t>Data Science: Missing Data Handling</t>
  </si>
  <si>
    <t>Output Navigator</t>
  </si>
  <si>
    <t>Inputs</t>
  </si>
  <si>
    <t>Transformed Data</t>
  </si>
  <si>
    <t>Data</t>
  </si>
  <si>
    <t>Workbook</t>
  </si>
  <si>
    <t>Worksheet</t>
  </si>
  <si>
    <t>Range</t>
  </si>
  <si>
    <t># Records in the input data</t>
  </si>
  <si>
    <t>Variables</t>
  </si>
  <si>
    <t># Selected Variables</t>
  </si>
  <si>
    <t>Selected Variables</t>
  </si>
  <si>
    <t>Imputer Parameters</t>
  </si>
  <si>
    <t>Variable</t>
  </si>
  <si>
    <t>Reduction Type</t>
  </si>
  <si>
    <t># Records Treated</t>
  </si>
  <si>
    <t>Missing Value Code</t>
  </si>
  <si>
    <t># Output Records</t>
  </si>
  <si>
    <t>#Records Deleted</t>
  </si>
  <si>
    <t>Class Assignment 7 - Breast Cancer Diagnosis data - Student Use.xlsx</t>
  </si>
  <si>
    <t>A1:AG570</t>
  </si>
  <si>
    <t>NONE</t>
  </si>
  <si>
    <t>DELETE RECORD</t>
  </si>
  <si>
    <t>MEAN</t>
  </si>
  <si>
    <t>Elapsed Times in Milliseconds</t>
  </si>
  <si>
    <t>Data Reading Time</t>
  </si>
  <si>
    <t>Algorithm Time</t>
  </si>
  <si>
    <t>Report Time</t>
  </si>
  <si>
    <t>Total</t>
  </si>
  <si>
    <t>{"comment":"this RASON template was auto-generated by Analytic Solver Data Science","datasources":{},"datasets":{},"estimator":{"imputationEstimator":{"type":"transformation","algorithm":"imputation","parameters":{"imputationStrategy":[["Diagnosis ","DELETE_RECORD"],["Feature 7","MEAN"],["Feature 1","MEAN"],["Feature 2","MEAN"],["Feature 30","MEAN"],["Feature 3","MEAN"],["Feature 4","MEAN"],["Feature 5","MEAN"],["Feature 6","MEAN"],["Feature 8","MEAN"],["Feature 9","MEAN"],["Feature 10","MEAN"],["Feature 11","MEAN"],["Feature 12","MEAN"],["Feature 29","MEAN"],["Feature 13","MEAN"],["Feature 28","MEAN"],["Feature 14","MEAN"],["Feature 15","MEAN"],["Feature 16","MEAN"],["Feature 17","MEAN"],["Feature 18","MEAN"],["Feature 23","MEAN"],["Feature 19","MEAN"],["Feature 22","MEAN"],["Feature 20","MEAN"],["Feature 21","MEAN"],["Feature 24","MEAN"],["Feature 25","MEAN"],["Feature 26","MEAN"],["Feature 27","MEAN"]],"placeholder":[]}}},"actions":{}}</t>
  </si>
  <si>
    <t>Record ID</t>
  </si>
  <si>
    <t>Treated_Feature 1</t>
  </si>
  <si>
    <t>Treated_Feature 2</t>
  </si>
  <si>
    <t>Treated_Feature 3</t>
  </si>
  <si>
    <t>Treated_Feature 4</t>
  </si>
  <si>
    <t>Treated_Feature 5</t>
  </si>
  <si>
    <t>Treated_Feature 6</t>
  </si>
  <si>
    <t>Treated_Feature 7</t>
  </si>
  <si>
    <t>Treated_Feature 8</t>
  </si>
  <si>
    <t>Treated_Feature 9</t>
  </si>
  <si>
    <t>Treated_Feature 10</t>
  </si>
  <si>
    <t>Treated_Feature 11</t>
  </si>
  <si>
    <t>Treated_Feature 12</t>
  </si>
  <si>
    <t>Treated_Feature 13</t>
  </si>
  <si>
    <t>Treated_Feature 14</t>
  </si>
  <si>
    <t>Treated_Feature 15</t>
  </si>
  <si>
    <t>Treated_Feature 16</t>
  </si>
  <si>
    <t>Treated_Feature 17</t>
  </si>
  <si>
    <t>Treated_Feature 18</t>
  </si>
  <si>
    <t>Treated_Feature 19</t>
  </si>
  <si>
    <t>Treated_Feature 20</t>
  </si>
  <si>
    <t>Treated_Feature 21</t>
  </si>
  <si>
    <t>Treated_Feature 22</t>
  </si>
  <si>
    <t>Treated_Feature 23</t>
  </si>
  <si>
    <t>Treated_Feature 24</t>
  </si>
  <si>
    <t>Treated_Feature 25</t>
  </si>
  <si>
    <t>Treated_Feature 26</t>
  </si>
  <si>
    <t>Treated_Feature 27</t>
  </si>
  <si>
    <t>Treated_Feature 28</t>
  </si>
  <si>
    <t>Treated_Feature 29</t>
  </si>
  <si>
    <t>Treated_Feature 30</t>
  </si>
  <si>
    <t>Record 1</t>
  </si>
  <si>
    <t>Record 2</t>
  </si>
  <si>
    <t>Record 3</t>
  </si>
  <si>
    <t>Record 4</t>
  </si>
  <si>
    <t>Record 5</t>
  </si>
  <si>
    <t>Record 6</t>
  </si>
  <si>
    <t>Record 7</t>
  </si>
  <si>
    <t>Record 8</t>
  </si>
  <si>
    <t>Record 9</t>
  </si>
  <si>
    <t>Record 10</t>
  </si>
  <si>
    <t>Record 11</t>
  </si>
  <si>
    <t>Record 12</t>
  </si>
  <si>
    <t>Record 13</t>
  </si>
  <si>
    <t>Record 14</t>
  </si>
  <si>
    <t>Record 15</t>
  </si>
  <si>
    <t>Record 16</t>
  </si>
  <si>
    <t>Record 17</t>
  </si>
  <si>
    <t>Record 18</t>
  </si>
  <si>
    <t>Record 19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</si>
  <si>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</si>
  <si>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</si>
  <si>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</si>
  <si>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</si>
  <si>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</si>
  <si>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</si>
  <si>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</si>
  <si>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27</t>
  </si>
  <si>
    <t>Record 28</t>
  </si>
  <si>
    <t>Record 29</t>
  </si>
  <si>
    <t>Record 30</t>
  </si>
  <si>
    <t>Record 31</t>
  </si>
  <si>
    <t>Record 32</t>
  </si>
  <si>
    <t>Record 33</t>
  </si>
  <si>
    <t>Record 34</t>
  </si>
  <si>
    <t>Record 35</t>
  </si>
  <si>
    <t>Record 36</t>
  </si>
  <si>
    <t>Record 37</t>
  </si>
  <si>
    <t>Record 38</t>
  </si>
  <si>
    <t>Record 39</t>
  </si>
  <si>
    <t>Record 40</t>
  </si>
  <si>
    <t>Record 41</t>
  </si>
  <si>
    <t>Record 42</t>
  </si>
  <si>
    <t>Record 43</t>
  </si>
  <si>
    <t>Record 44</t>
  </si>
  <si>
    <t>Record 45</t>
  </si>
  <si>
    <t>Record 46</t>
  </si>
  <si>
    <t>Record 47</t>
  </si>
  <si>
    <t>Record 48</t>
  </si>
  <si>
    <t>Record 49</t>
  </si>
  <si>
    <t>Record 50</t>
  </si>
  <si>
    <t>Record 51</t>
  </si>
  <si>
    <t>Record 52</t>
  </si>
  <si>
    <t>Record 53</t>
  </si>
  <si>
    <t>Record 54</t>
  </si>
  <si>
    <t>Record 55</t>
  </si>
  <si>
    <t>Record 56</t>
  </si>
  <si>
    <t>Record 57</t>
  </si>
  <si>
    <t>Record 58</t>
  </si>
  <si>
    <t>Record 59</t>
  </si>
  <si>
    <t>Record 60</t>
  </si>
  <si>
    <t>Record 61</t>
  </si>
  <si>
    <t>Record 62</t>
  </si>
  <si>
    <t>Record 63</t>
  </si>
  <si>
    <t>Record 64</t>
  </si>
  <si>
    <t>Record 65</t>
  </si>
  <si>
    <t>Record 66</t>
  </si>
  <si>
    <t>Record 67</t>
  </si>
  <si>
    <t>Record 68</t>
  </si>
  <si>
    <t>Record 69</t>
  </si>
  <si>
    <t>Record 70</t>
  </si>
  <si>
    <t>Record 71</t>
  </si>
  <si>
    <t>Record 72</t>
  </si>
  <si>
    <t>Record 73</t>
  </si>
  <si>
    <t>Record 74</t>
  </si>
  <si>
    <t>Record 75</t>
  </si>
  <si>
    <t>Record 76</t>
  </si>
  <si>
    <t>Record 77</t>
  </si>
  <si>
    <t>Record 78</t>
  </si>
  <si>
    <t>Record 79</t>
  </si>
  <si>
    <t>Record 80</t>
  </si>
  <si>
    <t>Record 81</t>
  </si>
  <si>
    <t>Record 82</t>
  </si>
  <si>
    <t>Record 83</t>
  </si>
  <si>
    <t>Record 84</t>
  </si>
  <si>
    <t>Record 85</t>
  </si>
  <si>
    <t>Record 86</t>
  </si>
  <si>
    <t>Record 87</t>
  </si>
  <si>
    <t>Record 88</t>
  </si>
  <si>
    <t>Record 89</t>
  </si>
  <si>
    <t>Record 90</t>
  </si>
  <si>
    <t>Record 91</t>
  </si>
  <si>
    <t>Record 92</t>
  </si>
  <si>
    <t>Record 93</t>
  </si>
  <si>
    <t>Record 94</t>
  </si>
  <si>
    <t>Record 95</t>
  </si>
  <si>
    <t>Record 96</t>
  </si>
  <si>
    <t>Record 97</t>
  </si>
  <si>
    <t>Record 98</t>
  </si>
  <si>
    <t>Record 99</t>
  </si>
  <si>
    <t>Record 100</t>
  </si>
  <si>
    <t>Record 101</t>
  </si>
  <si>
    <t>Record 102</t>
  </si>
  <si>
    <t>Record 103</t>
  </si>
  <si>
    <t>Record 104</t>
  </si>
  <si>
    <t>Record 105</t>
  </si>
  <si>
    <t>Record 106</t>
  </si>
  <si>
    <t>Record 107</t>
  </si>
  <si>
    <t>Record 108</t>
  </si>
  <si>
    <t>Record 109</t>
  </si>
  <si>
    <t>Record 110</t>
  </si>
  <si>
    <t>Record 111</t>
  </si>
  <si>
    <t>Record 112</t>
  </si>
  <si>
    <t>Record 113</t>
  </si>
  <si>
    <t>Record 114</t>
  </si>
  <si>
    <t>Record 115</t>
  </si>
  <si>
    <t>Record 116</t>
  </si>
  <si>
    <t>Record 117</t>
  </si>
  <si>
    <t>Record 118</t>
  </si>
  <si>
    <t>Record 119</t>
  </si>
  <si>
    <t>Record 120</t>
  </si>
  <si>
    <t>Record 121</t>
  </si>
  <si>
    <t>Record 122</t>
  </si>
  <si>
    <t>Record 123</t>
  </si>
  <si>
    <t>Record 124</t>
  </si>
  <si>
    <t>Record 125</t>
  </si>
  <si>
    <t>Record 126</t>
  </si>
  <si>
    <t>Record 127</t>
  </si>
  <si>
    <t>Record 128</t>
  </si>
  <si>
    <t>Record 129</t>
  </si>
  <si>
    <t>Record 130</t>
  </si>
  <si>
    <t>Record 131</t>
  </si>
  <si>
    <t>Record 132</t>
  </si>
  <si>
    <t>Record 133</t>
  </si>
  <si>
    <t>Record 134</t>
  </si>
  <si>
    <t>Record 135</t>
  </si>
  <si>
    <t>Record 136</t>
  </si>
  <si>
    <t>Record 137</t>
  </si>
  <si>
    <t>Record 138</t>
  </si>
  <si>
    <t>Record 139</t>
  </si>
  <si>
    <t>Record 140</t>
  </si>
  <si>
    <t>Record 141</t>
  </si>
  <si>
    <t>Record 142</t>
  </si>
  <si>
    <t>Record 143</t>
  </si>
  <si>
    <t>Record 144</t>
  </si>
  <si>
    <t>Record 145</t>
  </si>
  <si>
    <t>Record 146</t>
  </si>
  <si>
    <t>Record 147</t>
  </si>
  <si>
    <t>Record 148</t>
  </si>
  <si>
    <t>Record 149</t>
  </si>
  <si>
    <t>Record 150</t>
  </si>
  <si>
    <t>Record 151</t>
  </si>
  <si>
    <t>Record 152</t>
  </si>
  <si>
    <t>Record 153</t>
  </si>
  <si>
    <t>Record 154</t>
  </si>
  <si>
    <t>Record 155</t>
  </si>
  <si>
    <t>Record 156</t>
  </si>
  <si>
    <t>Record 157</t>
  </si>
  <si>
    <t>Record 158</t>
  </si>
  <si>
    <t>Record 159</t>
  </si>
  <si>
    <t>Record 160</t>
  </si>
  <si>
    <t>Record 161</t>
  </si>
  <si>
    <t>Record 162</t>
  </si>
  <si>
    <t>Record 163</t>
  </si>
  <si>
    <t>Record 164</t>
  </si>
  <si>
    <t>Record 165</t>
  </si>
  <si>
    <t>Record 166</t>
  </si>
  <si>
    <t>Record 167</t>
  </si>
  <si>
    <t>Record 168</t>
  </si>
  <si>
    <t>Record 169</t>
  </si>
  <si>
    <t>Record 170</t>
  </si>
  <si>
    <t>Record 171</t>
  </si>
  <si>
    <t>Record 172</t>
  </si>
  <si>
    <t>Record 173</t>
  </si>
  <si>
    <t>Record 174</t>
  </si>
  <si>
    <t>Record 175</t>
  </si>
  <si>
    <t>Record 176</t>
  </si>
  <si>
    <t>Record 177</t>
  </si>
  <si>
    <t>Record 178</t>
  </si>
  <si>
    <t>Record 179</t>
  </si>
  <si>
    <t>Record 180</t>
  </si>
  <si>
    <t>Record 181</t>
  </si>
  <si>
    <t>Record 182</t>
  </si>
  <si>
    <t>Record 183</t>
  </si>
  <si>
    <t>Record 184</t>
  </si>
  <si>
    <t>Record 185</t>
  </si>
  <si>
    <t>Record 186</t>
  </si>
  <si>
    <t>Record 187</t>
  </si>
  <si>
    <t>Record 188</t>
  </si>
  <si>
    <t>Record 189</t>
  </si>
  <si>
    <t>Record 190</t>
  </si>
  <si>
    <t>Record 191</t>
  </si>
  <si>
    <t>Record 192</t>
  </si>
  <si>
    <t>Record 193</t>
  </si>
  <si>
    <t>Record 194</t>
  </si>
  <si>
    <t>Record 195</t>
  </si>
  <si>
    <t>Record 196</t>
  </si>
  <si>
    <t>Record 197</t>
  </si>
  <si>
    <t>Record 198</t>
  </si>
  <si>
    <t>Record 199</t>
  </si>
  <si>
    <t>Record 200</t>
  </si>
  <si>
    <t>Record 201</t>
  </si>
  <si>
    <t>Record 202</t>
  </si>
  <si>
    <t>Record 203</t>
  </si>
  <si>
    <t>Record 204</t>
  </si>
  <si>
    <t>Record 205</t>
  </si>
  <si>
    <t>Record 206</t>
  </si>
  <si>
    <t>Record 207</t>
  </si>
  <si>
    <t>Record 208</t>
  </si>
  <si>
    <t>Record 209</t>
  </si>
  <si>
    <t>Record 210</t>
  </si>
  <si>
    <t>Record 211</t>
  </si>
  <si>
    <t>Record 212</t>
  </si>
  <si>
    <t>Record 213</t>
  </si>
  <si>
    <t>Record 214</t>
  </si>
  <si>
    <t>Record 215</t>
  </si>
  <si>
    <t>Record 216</t>
  </si>
  <si>
    <t>Record 217</t>
  </si>
  <si>
    <t>Record 218</t>
  </si>
  <si>
    <t>Record 219</t>
  </si>
  <si>
    <t>Record 220</t>
  </si>
  <si>
    <t>Record 221</t>
  </si>
  <si>
    <t>Record 222</t>
  </si>
  <si>
    <t>Record 223</t>
  </si>
  <si>
    <t>Record 224</t>
  </si>
  <si>
    <t>Record 225</t>
  </si>
  <si>
    <t>Record 226</t>
  </si>
  <si>
    <t>Record 227</t>
  </si>
  <si>
    <t>Record 228</t>
  </si>
  <si>
    <t>Record 229</t>
  </si>
  <si>
    <t>Record 230</t>
  </si>
  <si>
    <t>Record 231</t>
  </si>
  <si>
    <t>Record 232</t>
  </si>
  <si>
    <t>Record 233</t>
  </si>
  <si>
    <t>Record 234</t>
  </si>
  <si>
    <t>Record 235</t>
  </si>
  <si>
    <t>Record 236</t>
  </si>
  <si>
    <t>Record 237</t>
  </si>
  <si>
    <t>Record 238</t>
  </si>
  <si>
    <t>Record 239</t>
  </si>
  <si>
    <t>Record 240</t>
  </si>
  <si>
    <t>Record 241</t>
  </si>
  <si>
    <t>Record 242</t>
  </si>
  <si>
    <t>Record 243</t>
  </si>
  <si>
    <t>Record 244</t>
  </si>
  <si>
    <t>Record 245</t>
  </si>
  <si>
    <t>Record 246</t>
  </si>
  <si>
    <t>Record 247</t>
  </si>
  <si>
    <t>Record 248</t>
  </si>
  <si>
    <t>Record 249</t>
  </si>
  <si>
    <t>Record 250</t>
  </si>
  <si>
    <t>Record 251</t>
  </si>
  <si>
    <t>Record 252</t>
  </si>
  <si>
    <t>Record 253</t>
  </si>
  <si>
    <t>Record 254</t>
  </si>
  <si>
    <t>Record 255</t>
  </si>
  <si>
    <t>Record 256</t>
  </si>
  <si>
    <t>Record 257</t>
  </si>
  <si>
    <t>Record 258</t>
  </si>
  <si>
    <t>Record 259</t>
  </si>
  <si>
    <t>Record 260</t>
  </si>
  <si>
    <t>Record 261</t>
  </si>
  <si>
    <t>Record 262</t>
  </si>
  <si>
    <t>Record 263</t>
  </si>
  <si>
    <t>Record 264</t>
  </si>
  <si>
    <t>Record 265</t>
  </si>
  <si>
    <t>Record 266</t>
  </si>
  <si>
    <t>Record 267</t>
  </si>
  <si>
    <t>Record 268</t>
  </si>
  <si>
    <t>Record 269</t>
  </si>
  <si>
    <t>Record 270</t>
  </si>
  <si>
    <t>Record 271</t>
  </si>
  <si>
    <t>Record 272</t>
  </si>
  <si>
    <t>Record 273</t>
  </si>
  <si>
    <t>Record 274</t>
  </si>
  <si>
    <t>Record 275</t>
  </si>
  <si>
    <t>Record 276</t>
  </si>
  <si>
    <t>Record 277</t>
  </si>
  <si>
    <t>Record 278</t>
  </si>
  <si>
    <t>Record 279</t>
  </si>
  <si>
    <t>Record 280</t>
  </si>
  <si>
    <t>Record 281</t>
  </si>
  <si>
    <t>Record 282</t>
  </si>
  <si>
    <t>Record 283</t>
  </si>
  <si>
    <t>Record 284</t>
  </si>
  <si>
    <t>Record 285</t>
  </si>
  <si>
    <t>Record 286</t>
  </si>
  <si>
    <t>Record 287</t>
  </si>
  <si>
    <t>Record 288</t>
  </si>
  <si>
    <t>Record 289</t>
  </si>
  <si>
    <t>Record 290</t>
  </si>
  <si>
    <t>Record 291</t>
  </si>
  <si>
    <t>Record 292</t>
  </si>
  <si>
    <t>Record 293</t>
  </si>
  <si>
    <t>Record 294</t>
  </si>
  <si>
    <t>Record 295</t>
  </si>
  <si>
    <t>Record 296</t>
  </si>
  <si>
    <t>Record 297</t>
  </si>
  <si>
    <t>Record 298</t>
  </si>
  <si>
    <t>Record 299</t>
  </si>
  <si>
    <t>Record 300</t>
  </si>
  <si>
    <t>Record 301</t>
  </si>
  <si>
    <t>Record 302</t>
  </si>
  <si>
    <t>Record 303</t>
  </si>
  <si>
    <t>Record 304</t>
  </si>
  <si>
    <t>Record 305</t>
  </si>
  <si>
    <t>Record 306</t>
  </si>
  <si>
    <t>Record 307</t>
  </si>
  <si>
    <t>Record 308</t>
  </si>
  <si>
    <t>Record 309</t>
  </si>
  <si>
    <t>Record 310</t>
  </si>
  <si>
    <t>Record 311</t>
  </si>
  <si>
    <t>Record 312</t>
  </si>
  <si>
    <t>Record 313</t>
  </si>
  <si>
    <t>Record 314</t>
  </si>
  <si>
    <t>Record 315</t>
  </si>
  <si>
    <t>Record 316</t>
  </si>
  <si>
    <t>Record 317</t>
  </si>
  <si>
    <t>Record 318</t>
  </si>
  <si>
    <t>Record 319</t>
  </si>
  <si>
    <t>Record 320</t>
  </si>
  <si>
    <t>Record 321</t>
  </si>
  <si>
    <t>Record 322</t>
  </si>
  <si>
    <t>Record 323</t>
  </si>
  <si>
    <t>Record 324</t>
  </si>
  <si>
    <t>Record 325</t>
  </si>
  <si>
    <t>Record 326</t>
  </si>
  <si>
    <t>Record 327</t>
  </si>
  <si>
    <t>Record 328</t>
  </si>
  <si>
    <t>Record 329</t>
  </si>
  <si>
    <t>Record 330</t>
  </si>
  <si>
    <t>Record 331</t>
  </si>
  <si>
    <t>Record 332</t>
  </si>
  <si>
    <t>Record 333</t>
  </si>
  <si>
    <t>Record 334</t>
  </si>
  <si>
    <t>Record 335</t>
  </si>
  <si>
    <t>Record 336</t>
  </si>
  <si>
    <t>Record 337</t>
  </si>
  <si>
    <t>Record 338</t>
  </si>
  <si>
    <t>Record 339</t>
  </si>
  <si>
    <t>Record 340</t>
  </si>
  <si>
    <t>Record 341</t>
  </si>
  <si>
    <t>Record 342</t>
  </si>
  <si>
    <t>Record 343</t>
  </si>
  <si>
    <t>Record 344</t>
  </si>
  <si>
    <t>Record 345</t>
  </si>
  <si>
    <t>Record 346</t>
  </si>
  <si>
    <t>Record 347</t>
  </si>
  <si>
    <t>Record 348</t>
  </si>
  <si>
    <t>Record 349</t>
  </si>
  <si>
    <t>Record 350</t>
  </si>
  <si>
    <t>Record 351</t>
  </si>
  <si>
    <t>Record 352</t>
  </si>
  <si>
    <t>Record 353</t>
  </si>
  <si>
    <t>Record 354</t>
  </si>
  <si>
    <t>Record 355</t>
  </si>
  <si>
    <t>Record 356</t>
  </si>
  <si>
    <t>Record 357</t>
  </si>
  <si>
    <t>Record 358</t>
  </si>
  <si>
    <t>Record 359</t>
  </si>
  <si>
    <t>Record 360</t>
  </si>
  <si>
    <t>Record 361</t>
  </si>
  <si>
    <t>Record 362</t>
  </si>
  <si>
    <t>Record 363</t>
  </si>
  <si>
    <t>Record 364</t>
  </si>
  <si>
    <t>Record 365</t>
  </si>
  <si>
    <t>Record 366</t>
  </si>
  <si>
    <t>Record 367</t>
  </si>
  <si>
    <t>Record 368</t>
  </si>
  <si>
    <t>Record 369</t>
  </si>
  <si>
    <t>Record 370</t>
  </si>
  <si>
    <t>Record 371</t>
  </si>
  <si>
    <t>Record 372</t>
  </si>
  <si>
    <t>Record 373</t>
  </si>
  <si>
    <t>Record 374</t>
  </si>
  <si>
    <t>Record 375</t>
  </si>
  <si>
    <t>Record 376</t>
  </si>
  <si>
    <t>Record 377</t>
  </si>
  <si>
    <t>Record 378</t>
  </si>
  <si>
    <t>Record 379</t>
  </si>
  <si>
    <t>Record 380</t>
  </si>
  <si>
    <t>Record 381</t>
  </si>
  <si>
    <t>Record 382</t>
  </si>
  <si>
    <t>Record 383</t>
  </si>
  <si>
    <t>Record 384</t>
  </si>
  <si>
    <t>Record 385</t>
  </si>
  <si>
    <t>Record 386</t>
  </si>
  <si>
    <t>Record 387</t>
  </si>
  <si>
    <t>Record 388</t>
  </si>
  <si>
    <t>Record 389</t>
  </si>
  <si>
    <t>Record 390</t>
  </si>
  <si>
    <t>Record 391</t>
  </si>
  <si>
    <t>Record 392</t>
  </si>
  <si>
    <t>Record 393</t>
  </si>
  <si>
    <t>Record 394</t>
  </si>
  <si>
    <t>Record 395</t>
  </si>
  <si>
    <t>Record 396</t>
  </si>
  <si>
    <t>Record 397</t>
  </si>
  <si>
    <t>Record 398</t>
  </si>
  <si>
    <t>Record 399</t>
  </si>
  <si>
    <t>Record 400</t>
  </si>
  <si>
    <t>Record 401</t>
  </si>
  <si>
    <t>Record 402</t>
  </si>
  <si>
    <t>Record 403</t>
  </si>
  <si>
    <t>Record 404</t>
  </si>
  <si>
    <t>Record 405</t>
  </si>
  <si>
    <t>Record 406</t>
  </si>
  <si>
    <t>Record 407</t>
  </si>
  <si>
    <t>Record 408</t>
  </si>
  <si>
    <t>Record 409</t>
  </si>
  <si>
    <t>Record 410</t>
  </si>
  <si>
    <t>Record 411</t>
  </si>
  <si>
    <t>Record 412</t>
  </si>
  <si>
    <t>Record 413</t>
  </si>
  <si>
    <t>Record 414</t>
  </si>
  <si>
    <t>Record 415</t>
  </si>
  <si>
    <t>Record 416</t>
  </si>
  <si>
    <t>Record 417</t>
  </si>
  <si>
    <t>Record 418</t>
  </si>
  <si>
    <t>Record 419</t>
  </si>
  <si>
    <t>Record 420</t>
  </si>
  <si>
    <t>Record 421</t>
  </si>
  <si>
    <t>Record 422</t>
  </si>
  <si>
    <t>Record 423</t>
  </si>
  <si>
    <t>Record 424</t>
  </si>
  <si>
    <t>Record 425</t>
  </si>
  <si>
    <t>Record 426</t>
  </si>
  <si>
    <t>Record 427</t>
  </si>
  <si>
    <t>Record 428</t>
  </si>
  <si>
    <t>Record 429</t>
  </si>
  <si>
    <t>Record 430</t>
  </si>
  <si>
    <t>Record 431</t>
  </si>
  <si>
    <t>Record 432</t>
  </si>
  <si>
    <t>Record 433</t>
  </si>
  <si>
    <t>Record 434</t>
  </si>
  <si>
    <t>Record 435</t>
  </si>
  <si>
    <t>Record 436</t>
  </si>
  <si>
    <t>Record 437</t>
  </si>
  <si>
    <t>Record 438</t>
  </si>
  <si>
    <t>Record 439</t>
  </si>
  <si>
    <t>Record 440</t>
  </si>
  <si>
    <t>Record 441</t>
  </si>
  <si>
    <t>Record 442</t>
  </si>
  <si>
    <t>Record 443</t>
  </si>
  <si>
    <t>Record 444</t>
  </si>
  <si>
    <t>Record 445</t>
  </si>
  <si>
    <t>Record 446</t>
  </si>
  <si>
    <t>Record 447</t>
  </si>
  <si>
    <t>Record 448</t>
  </si>
  <si>
    <t>Record 449</t>
  </si>
  <si>
    <t>Record 450</t>
  </si>
  <si>
    <t>Record 451</t>
  </si>
  <si>
    <t>Record 452</t>
  </si>
  <si>
    <t>Record 453</t>
  </si>
  <si>
    <t>Record 454</t>
  </si>
  <si>
    <t>Record 455</t>
  </si>
  <si>
    <t>Record 456</t>
  </si>
  <si>
    <t>Record 457</t>
  </si>
  <si>
    <t>Record 458</t>
  </si>
  <si>
    <t>Record 459</t>
  </si>
  <si>
    <t>Record 460</t>
  </si>
  <si>
    <t>Record 461</t>
  </si>
  <si>
    <t>Record 462</t>
  </si>
  <si>
    <t>Record 463</t>
  </si>
  <si>
    <t>Record 464</t>
  </si>
  <si>
    <t>Record 465</t>
  </si>
  <si>
    <t>Record 466</t>
  </si>
  <si>
    <t>Record 467</t>
  </si>
  <si>
    <t>Record 468</t>
  </si>
  <si>
    <t>Record 469</t>
  </si>
  <si>
    <t>Record 470</t>
  </si>
  <si>
    <t>Record 471</t>
  </si>
  <si>
    <t>Record 472</t>
  </si>
  <si>
    <t>Record 473</t>
  </si>
  <si>
    <t>Record 474</t>
  </si>
  <si>
    <t>Record 475</t>
  </si>
  <si>
    <t>Record 476</t>
  </si>
  <si>
    <t>Record 477</t>
  </si>
  <si>
    <t>Record 478</t>
  </si>
  <si>
    <t>Record 479</t>
  </si>
  <si>
    <t>Record 480</t>
  </si>
  <si>
    <t>Record 481</t>
  </si>
  <si>
    <t>Record 482</t>
  </si>
  <si>
    <t>Record 483</t>
  </si>
  <si>
    <t>Record 484</t>
  </si>
  <si>
    <t>Record 485</t>
  </si>
  <si>
    <t>Record 486</t>
  </si>
  <si>
    <t>Record 487</t>
  </si>
  <si>
    <t>Record 488</t>
  </si>
  <si>
    <t>Record 489</t>
  </si>
  <si>
    <t>Record 490</t>
  </si>
  <si>
    <t>Record 491</t>
  </si>
  <si>
    <t>Record 492</t>
  </si>
  <si>
    <t>Record 493</t>
  </si>
  <si>
    <t>Record 494</t>
  </si>
  <si>
    <t>Record 495</t>
  </si>
  <si>
    <t>Record 496</t>
  </si>
  <si>
    <t>Record 497</t>
  </si>
  <si>
    <t>Record 498</t>
  </si>
  <si>
    <t>Record 499</t>
  </si>
  <si>
    <t>Record 500</t>
  </si>
  <si>
    <t>Record 501</t>
  </si>
  <si>
    <t>Record 502</t>
  </si>
  <si>
    <t>Record 503</t>
  </si>
  <si>
    <t>Record 504</t>
  </si>
  <si>
    <t>Record 505</t>
  </si>
  <si>
    <t>Record 506</t>
  </si>
  <si>
    <t>Record 507</t>
  </si>
  <si>
    <t>Record 508</t>
  </si>
  <si>
    <t>Record 509</t>
  </si>
  <si>
    <t>Record 510</t>
  </si>
  <si>
    <t>Record 511</t>
  </si>
  <si>
    <t>Record 512</t>
  </si>
  <si>
    <t>Record 513</t>
  </si>
  <si>
    <t>Record 514</t>
  </si>
  <si>
    <t>Record 515</t>
  </si>
  <si>
    <t>Record 516</t>
  </si>
  <si>
    <t>Record 517</t>
  </si>
  <si>
    <t>Record 518</t>
  </si>
  <si>
    <t>Record 519</t>
  </si>
  <si>
    <t>Record 520</t>
  </si>
  <si>
    <t>Record 521</t>
  </si>
  <si>
    <t>Record 522</t>
  </si>
  <si>
    <t>Record 523</t>
  </si>
  <si>
    <t>Record 524</t>
  </si>
  <si>
    <t>Record 525</t>
  </si>
  <si>
    <t>Record 526</t>
  </si>
  <si>
    <t>Record 527</t>
  </si>
  <si>
    <t>Record 528</t>
  </si>
  <si>
    <t>Record 529</t>
  </si>
  <si>
    <t>Record 530</t>
  </si>
  <si>
    <t>Record 531</t>
  </si>
  <si>
    <t>Record 532</t>
  </si>
  <si>
    <t>Record 533</t>
  </si>
  <si>
    <t>Record 534</t>
  </si>
  <si>
    <t>Record 535</t>
  </si>
  <si>
    <t>Record 536</t>
  </si>
  <si>
    <t>Record 537</t>
  </si>
  <si>
    <t>Record 538</t>
  </si>
  <si>
    <t>Record 539</t>
  </si>
  <si>
    <t>Record 540</t>
  </si>
  <si>
    <t>Record 541</t>
  </si>
  <si>
    <t>Record 542</t>
  </si>
  <si>
    <t>Record 543</t>
  </si>
  <si>
    <t>Record 544</t>
  </si>
  <si>
    <t>Record 545</t>
  </si>
  <si>
    <t>Record 546</t>
  </si>
  <si>
    <t>Record 547</t>
  </si>
  <si>
    <t>Record 548</t>
  </si>
  <si>
    <t>Record 549</t>
  </si>
  <si>
    <t>Record 550</t>
  </si>
  <si>
    <t>Record 551</t>
  </si>
  <si>
    <t>Record 552</t>
  </si>
  <si>
    <t>Record 553</t>
  </si>
  <si>
    <t>Record 554</t>
  </si>
  <si>
    <t>Record 555</t>
  </si>
  <si>
    <t>Record 556</t>
  </si>
  <si>
    <t>Record 557</t>
  </si>
  <si>
    <t>Record 558</t>
  </si>
  <si>
    <t>Record 559</t>
  </si>
  <si>
    <t>Record 560</t>
  </si>
  <si>
    <t>Record 561</t>
  </si>
  <si>
    <t>Record 562</t>
  </si>
  <si>
    <t>Record 563</t>
  </si>
  <si>
    <t>Record 564</t>
  </si>
  <si>
    <t>Record 565</t>
  </si>
  <si>
    <t>Record 566</t>
  </si>
  <si>
    <t>Record 567</t>
  </si>
  <si>
    <t>Record 568</t>
  </si>
  <si>
    <t>Record 569</t>
  </si>
  <si>
    <t>Data Science: Standard Partitioner</t>
  </si>
  <si>
    <t>Partition Summary</t>
  </si>
  <si>
    <t>Partitioning Parameters</t>
  </si>
  <si>
    <t>Partitioning type</t>
  </si>
  <si>
    <t>Random seed</t>
  </si>
  <si>
    <t>Ratio - Training</t>
  </si>
  <si>
    <t>Ratio - Validation</t>
  </si>
  <si>
    <t>Imputation</t>
  </si>
  <si>
    <t>$C$33:$AJ$602</t>
  </si>
  <si>
    <t>Diagnosis</t>
  </si>
  <si>
    <t>RANDOM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</si>
  <si>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</si>
  <si>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Partitioned Data</t>
  </si>
  <si>
    <t>Partition</t>
  </si>
  <si>
    <t># Records</t>
  </si>
  <si>
    <t>Training</t>
  </si>
  <si>
    <t>Validation</t>
  </si>
  <si>
    <t>Date: 18-Mar-2025 18:58:35</t>
  </si>
  <si>
    <t>Date: 18-Mar-2025 19:00:04</t>
  </si>
  <si>
    <t>Data Science: Neural Network Classification - Stored Model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</si>
  <si>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</si>
  <si>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</si>
  <si>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</si>
  <si>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2025 Frontline Systems Inc." description="NeuralNetwork"&gt;</t>
  </si>
  <si>
    <t>&lt;Application name="XLMinerSDK" version="25.0.2.0"/&gt;</t>
  </si>
  <si>
    <t>&lt;Timestamp&gt;2025-3-18 19:3:10&lt;/Timestamp&gt;</t>
  </si>
  <si>
    <t>&lt;ModelName/&gt;</t>
  </si>
  <si>
    <t>&lt;/Header&gt;</t>
  </si>
  <si>
    <t>&lt;DataDictionary numberOfFields="31"&gt;</t>
  </si>
  <si>
    <t>&lt;DataField optype="continuous" dataType="double" name="Treated_Feature 1"/&gt;</t>
  </si>
  <si>
    <t>&lt;DataField optype="continuous" dataType="double" name="Treated_Feature 2"/&gt;</t>
  </si>
  <si>
    <t>&lt;DataField optype="continuous" dataType="double" name="Treated_Feature 3"/&gt;</t>
  </si>
  <si>
    <t>&lt;DataField optype="continuous" dataType="double" name="Treated_Feature 4"/&gt;</t>
  </si>
  <si>
    <t>&lt;DataField optype="continuous" dataType="double" name="Treated_Feature 5"/&gt;</t>
  </si>
  <si>
    <t>&lt;DataField optype="continuous" dataType="double" name="Treated_Feature 6"/&gt;</t>
  </si>
  <si>
    <t>&lt;DataField optype="continuous" dataType="double" name="Treated_Feature 7"/&gt;</t>
  </si>
  <si>
    <t>&lt;DataField optype="continuous" dataType="double" name="Treated_Feature 8"/&gt;</t>
  </si>
  <si>
    <t>&lt;DataField optype="continuous" dataType="double" name="Treated_Feature 9"/&gt;</t>
  </si>
  <si>
    <t>&lt;DataField optype="continuous" dataType="double" name="Treated_Feature 10"/&gt;</t>
  </si>
  <si>
    <t>&lt;DataField optype="continuous" dataType="double" name="Treated_Feature 11"/&gt;</t>
  </si>
  <si>
    <t>&lt;DataField optype="continuous" dataType="double" name="Treated_Feature 12"/&gt;</t>
  </si>
  <si>
    <t>&lt;DataField optype="continuous" dataType="double" name="Treated_Feature 13"/&gt;</t>
  </si>
  <si>
    <t>Date: 18-Mar-2025 19:03:10</t>
  </si>
  <si>
    <t>&lt;DataField optype="continuous" dataType="double" name="Treated_Feature 14"/&gt;</t>
  </si>
  <si>
    <t>&lt;DataField optype="continuous" dataType="double" name="Treated_Feature 15"/&gt;</t>
  </si>
  <si>
    <t>&lt;DataField optype="continuous" dataType="double" name="Treated_Feature 16"/&gt;</t>
  </si>
  <si>
    <t>&lt;DataField optype="continuous" dataType="double" name="Treated_Feature 17"/&gt;</t>
  </si>
  <si>
    <t>&lt;DataField optype="continuous" dataType="double" name="Treated_Feature 18"/&gt;</t>
  </si>
  <si>
    <t>&lt;DataField optype="continuous" dataType="double" name="Treated_Feature 19"/&gt;</t>
  </si>
  <si>
    <t>&lt;DataField optype="continuous" dataType="double" name="Treated_Feature 20"/&gt;</t>
  </si>
  <si>
    <t>&lt;DataField optype="continuous" dataType="double" name="Treated_Feature 21"/&gt;</t>
  </si>
  <si>
    <t>&lt;DataField optype="continuous" dataType="double" name="Treated_Feature 22"/&gt;</t>
  </si>
  <si>
    <t>&lt;DataField optype="continuous" dataType="double" name="Treated_Feature 23"/&gt;</t>
  </si>
  <si>
    <t>&lt;DataField optype="continuous" dataType="double" name="Treated_Feature 24"/&gt;</t>
  </si>
  <si>
    <t>&lt;DataField optype="continuous" dataType="double" name="Treated_Feature 25"/&gt;</t>
  </si>
  <si>
    <t>&lt;DataField optype="continuous" dataType="double" name="Treated_Feature 26"/&gt;</t>
  </si>
  <si>
    <t>&lt;DataField optype="continuous" dataType="double" name="Treated_Feature 27"/&gt;</t>
  </si>
  <si>
    <t>&lt;DataField optype="continuous" dataType="double" name="Treated_Feature 28"/&gt;</t>
  </si>
  <si>
    <t>&lt;DataField optype="continuous" dataType="double" name="Treated_Feature 29"/&gt;</t>
  </si>
  <si>
    <t>&lt;DataField optype="continuous" dataType="double" name="Treated_Feature 30"/&gt;</t>
  </si>
  <si>
    <t>&lt;DataField optype="categorical" dataType="string" name="Diagnosis"&gt;</t>
  </si>
  <si>
    <t>&lt;Value value="B"/&gt;</t>
  </si>
  <si>
    <t>&lt;Value value="M"/&gt;</t>
  </si>
  <si>
    <t>&lt;/DataField&gt;</t>
  </si>
  <si>
    <t>&lt;/DataDictionary&gt;</t>
  </si>
  <si>
    <t>&lt;NeuralNetwork modelName="NeuralNetwork" functionName="classification" algorithmName="NeuralNetwork" normalizationMethod="none" activationFunction="tanh" numberOfLayers="1"&gt;</t>
  </si>
  <si>
    <t>&lt;MiningSchema&gt;</t>
  </si>
  <si>
    <t>&lt;MiningField name="Diagnosis" usageType="predicted"/&gt;</t>
  </si>
  <si>
    <t>&lt;MiningField name="Treated_Feature 1" usageType="active"/&gt;</t>
  </si>
  <si>
    <t>&lt;MiningField name="Treated_Feature 2" usageType="active"/&gt;</t>
  </si>
  <si>
    <t>&lt;MiningField name="Treated_Feature 3" usageType="active"/&gt;</t>
  </si>
  <si>
    <t>&lt;MiningField name="Treated_Feature 4" usageType="active"/&gt;</t>
  </si>
  <si>
    <t>&lt;MiningField name="Treated_Feature 5" usageType="active"/&gt;</t>
  </si>
  <si>
    <t>&lt;MiningField name="Treated_Feature 6" usageType="active"/&gt;</t>
  </si>
  <si>
    <t>&lt;MiningField name="Treated_Feature 7" usageType="active"/&gt;</t>
  </si>
  <si>
    <t>&lt;MiningField name="Treated_Feature 8" usageType="active"/&gt;</t>
  </si>
  <si>
    <t>&lt;MiningField name="Treated_Feature 9" usageType="active"/&gt;</t>
  </si>
  <si>
    <t>&lt;MiningField name="Treated_Feature 10" usageType="active"/&gt;</t>
  </si>
  <si>
    <t>&lt;MiningField name="Treated_Feature 11" usageType="active"/&gt;</t>
  </si>
  <si>
    <t>&lt;MiningField name="Treated_Feature 12" usageType="active"/&gt;</t>
  </si>
  <si>
    <t>&lt;MiningField name="Treated_Feature 13" usageType="active"/&gt;</t>
  </si>
  <si>
    <t>&lt;MiningField name="Treated_Feature 14" usageType="active"/&gt;</t>
  </si>
  <si>
    <t>&lt;MiningField name="Treated_Feature 15" usageType="active"/&gt;</t>
  </si>
  <si>
    <t>&lt;MiningField name="Treated_Feature 16" usageType="active"/&gt;</t>
  </si>
  <si>
    <t>&lt;MiningField name="Treated_Feature 17" usageType="active"/&gt;</t>
  </si>
  <si>
    <t>&lt;MiningField name="Treated_Feature 18" usageType="active"/&gt;</t>
  </si>
  <si>
    <t>&lt;MiningField name="Treated_Feature 19" usageType="active"/&gt;</t>
  </si>
  <si>
    <t>&lt;MiningField name="Treated_Feature 20" usageType="active"/&gt;</t>
  </si>
  <si>
    <t>&lt;MiningField name="Treated_Feature 21" usageType="active"/&gt;</t>
  </si>
  <si>
    <t>&lt;MiningField name="Treated_Feature 22" usageType="active"/&gt;</t>
  </si>
  <si>
    <t>&lt;MiningField name="Treated_Feature 23" usageType="active"/&gt;</t>
  </si>
  <si>
    <t>&lt;MiningField name="Treated_Feature 24" usageType="active"/&gt;</t>
  </si>
  <si>
    <t>&lt;MiningField name="Treated_Feature 25" usageType="active"/&gt;</t>
  </si>
  <si>
    <t>&lt;MiningField name="Treated_Feature 26" usageType="active"/&gt;</t>
  </si>
  <si>
    <t>&lt;MiningField name="Treated_Feature 27" usageType="active"/&gt;</t>
  </si>
  <si>
    <t>&lt;MiningField name="Treated_Feature 28" usageType="active"/&gt;</t>
  </si>
  <si>
    <t>&lt;MiningField name="Treated_Feature 29" usageType="active"/&gt;</t>
  </si>
  <si>
    <t>&lt;MiningField name="Treated_Feature 30" usageType="active"/&gt;</t>
  </si>
  <si>
    <t>&lt;/MiningSchema&gt;</t>
  </si>
  <si>
    <t>&lt;Output&gt;</t>
  </si>
  <si>
    <t>&lt;OutputField optype="categorical" dataType="string" name="Predicted_Diagnosis" feature="predictedValue"/&gt;</t>
  </si>
  <si>
    <t>&lt;/Output&gt;</t>
  </si>
  <si>
    <t>&lt;Targets&gt;</t>
  </si>
  <si>
    <t>&lt;Target field="Diagnosis" optype="categorical"&gt;</t>
  </si>
  <si>
    <t>&lt;TargetValue value="M" priorProbability="0.3724340175953079"/&gt;</t>
  </si>
  <si>
    <t>&lt;TargetValue value="B" priorProbability="0.6275659824046921"/&gt;</t>
  </si>
  <si>
    <t>&lt;/Target&gt;</t>
  </si>
  <si>
    <t>&lt;/Targets&gt;</t>
  </si>
  <si>
    <t>&lt;LocalTransformations&gt;</t>
  </si>
  <si>
    <t>&lt;DerivedField optype="continuous" dataType="double" name="Treated_Feature 1*" displayName="Treated_Feature 1"&gt;</t>
  </si>
  <si>
    <t>&lt;NormContinuous field="Treated_Feature 1"&gt;</t>
  </si>
  <si>
    <t>&lt;LinearNorm orig="13.762" norm="0"/&gt;</t>
  </si>
  <si>
    <t>&lt;LinearNorm orig="14.762" norm="1.7763"/&gt;</t>
  </si>
  <si>
    <t>&lt;/NormContinuous&gt;</t>
  </si>
  <si>
    <t>&lt;/DerivedField&gt;</t>
  </si>
  <si>
    <t>&lt;DerivedField optype="continuous" dataType="double" name="Treated_Feature 2*" displayName="Treated_Feature 2"&gt;</t>
  </si>
  <si>
    <t>&lt;NormContinuous field="Treated_Feature 2"&gt;</t>
  </si>
  <si>
    <t>&lt;LinearNorm orig="19.339" norm="0"/&gt;</t>
  </si>
  <si>
    <t>&lt;LinearNorm orig="20.339" norm="0.23322"/&gt;</t>
  </si>
  <si>
    <t>&lt;DerivedField optype="continuous" dataType="double" name="Treated_Feature 3*" displayName="Treated_Feature 3"&gt;</t>
  </si>
  <si>
    <t>&lt;NormContinuous field="Treated_Feature 3"&gt;</t>
  </si>
  <si>
    <t>&lt;LinearNorm orig="91.991" norm="0"/&gt;</t>
  </si>
  <si>
    <t>&lt;LinearNorm orig="92.991" norm="0.041481"/&gt;</t>
  </si>
  <si>
    <t>&lt;DerivedField optype="continuous" dataType="double" name="Treated_Feature 4*" displayName="Treated_Feature 4"&gt;</t>
  </si>
  <si>
    <t>&lt;NormContinuous field="Treated_Feature 4"&gt;</t>
  </si>
  <si>
    <t>&lt;LinearNorm orig="654.69" norm="0"/&gt;</t>
  </si>
  <si>
    <t>&lt;LinearNorm orig="655.69" norm="0.0028517"/&gt;</t>
  </si>
  <si>
    <t>&lt;DerivedField optype="continuous" dataType="double" name="Treated_Feature 5*" displayName="Treated_Feature 5"&gt;</t>
  </si>
  <si>
    <t>&lt;NormContinuous field="Treated_Feature 5"&gt;</t>
  </si>
  <si>
    <t>&lt;LinearNorm orig="0.096398" norm="0"/&gt;</t>
  </si>
  <si>
    <t>&lt;LinearNorm orig="1.0964" norm="75.358"/&gt;</t>
  </si>
  <si>
    <t>&lt;DerivedField optype="continuous" dataType="double" name="Treated_Feature 6*" displayName="Treated_Feature 6"&gt;</t>
  </si>
  <si>
    <t>&lt;NormContinuous field="Treated_Feature 6"&gt;</t>
  </si>
  <si>
    <t>&lt;LinearNorm orig="0.1034" norm="0"/&gt;</t>
  </si>
  <si>
    <t>&lt;LinearNorm orig="1.1034" norm="19.84"/&gt;</t>
  </si>
  <si>
    <t>&lt;DerivedField optype="continuous" dataType="double" name="Treated_Feature 7*" displayName="Treated_Feature 7"&gt;</t>
  </si>
  <si>
    <t>&lt;NormContinuous field="Treated_Feature 7"&gt;</t>
  </si>
  <si>
    <t>&lt;LinearNorm orig="0.087491" norm="0"/&gt;</t>
  </si>
  <si>
    <t>&lt;LinearNorm orig="1.0875" norm="12.756"/&gt;</t>
  </si>
  <si>
    <t>&lt;DerivedField optype="continuous" dataType="double" name="Treated_Feature 8*" displayName="Treated_Feature 8"&gt;</t>
  </si>
  <si>
    <t>&lt;NormContinuous field="Treated_Feature 8"&gt;</t>
  </si>
  <si>
    <t>&lt;LinearNorm orig="0.048799" norm="0"/&gt;</t>
  </si>
  <si>
    <t>&lt;LinearNorm orig="1.0488" norm="25.769"/&gt;</t>
  </si>
  <si>
    <t>&lt;DerivedField optype="continuous" dataType="double" name="Treated_Feature 9*" displayName="Treated_Feature 9"&gt;</t>
  </si>
  <si>
    <t>&lt;NormContinuous field="Treated_Feature 9"&gt;</t>
  </si>
  <si>
    <t>&lt;LinearNorm orig="0.18081" norm="0"/&gt;</t>
  </si>
  <si>
    <t>&lt;LinearNorm orig="1.1808" norm="37.385"/&gt;</t>
  </si>
  <si>
    <t>&lt;DerivedField optype="continuous" dataType="double" name="Treated_Feature 10*" displayName="Treated_Feature 10"&gt;</t>
  </si>
  <si>
    <t>&lt;NormContinuous field="Treated_Feature 10"&gt;</t>
  </si>
  <si>
    <t>&lt;LinearNorm orig="0.06274" norm="0"/&gt;</t>
  </si>
  <si>
    <t>&lt;LinearNorm orig="1.0627" norm="154.22"/&gt;</t>
  </si>
  <si>
    <t>&lt;DerivedField optype="continuous" dataType="double" name="Treated_Feature 11*" displayName="Treated_Feature 11"&gt;</t>
  </si>
  <si>
    <t>&lt;NormContinuous field="Treated_Feature 11"&gt;</t>
  </si>
  <si>
    <t>&lt;LinearNorm orig="0.40054" norm="0"/&gt;</t>
  </si>
  <si>
    <t>&lt;LinearNorm orig="1.4005" norm="3.7042"/&gt;</t>
  </si>
  <si>
    <t>&lt;DerivedField optype="continuous" dataType="double" name="Treated_Feature 12*" displayName="Treated_Feature 12"&gt;</t>
  </si>
  <si>
    <t>&lt;NormContinuous field="Treated_Feature 12"&gt;</t>
  </si>
  <si>
    <t>&lt;LinearNorm orig="1.2065" norm="0"/&gt;</t>
  </si>
  <si>
    <t>&lt;LinearNorm orig="2.2065" norm="1.8708"/&gt;</t>
  </si>
  <si>
    <t>&lt;DerivedField optype="continuous" dataType="double" name="Treated_Feature 13*" displayName="Treated_Feature 13"&gt;</t>
  </si>
  <si>
    <t>&lt;NormContinuous field="Treated_Feature 13"&gt;</t>
  </si>
  <si>
    <t>&lt;LinearNorm orig="2.831" norm="0"/&gt;</t>
  </si>
  <si>
    <t>&lt;LinearNorm orig="3.831" norm="0.5203"/&gt;</t>
  </si>
  <si>
    <t>&lt;DerivedField optype="continuous" dataType="double" name="Treated_Feature 14*" displayName="Treated_Feature 14"&gt;</t>
  </si>
  <si>
    <t>&lt;NormContinuous field="Treated_Feature 14"&gt;</t>
  </si>
  <si>
    <t>&lt;LinearNorm orig="40.255" norm="0"/&gt;</t>
  </si>
  <si>
    <t>&lt;LinearNorm orig="41.255" norm="0.022018"/&gt;</t>
  </si>
  <si>
    <t>&lt;DerivedField optype="continuous" dataType="double" name="Treated_Feature 15*" displayName="Treated_Feature 15"&gt;</t>
  </si>
  <si>
    <t>&lt;NormContinuous field="Treated_Feature 15"&gt;</t>
  </si>
  <si>
    <t>&lt;LinearNorm orig="0.0070516" norm="0"/&gt;</t>
  </si>
  <si>
    <t>&lt;LinearNorm orig="1.0071" norm="315.15"/&gt;</t>
  </si>
  <si>
    <t>&lt;DerivedField optype="continuous" dataType="double" name="Treated_Feature 16*" displayName="Treated_Feature 16"&gt;</t>
  </si>
  <si>
    <t>&lt;NormContinuous field="Treated_Feature 16"&gt;</t>
  </si>
  <si>
    <t>&lt;LinearNorm orig="0.024986" norm="0"/&gt;</t>
  </si>
  <si>
    <t>&lt;LinearNorm orig="1.025" norm="61.65"/&gt;</t>
  </si>
  <si>
    <t>&lt;DerivedField optype="continuous" dataType="double" name="Treated_Feature 17*" displayName="Treated_Feature 17"&gt;</t>
  </si>
  <si>
    <t>&lt;NormContinuous field="Treated_Feature 17"&gt;</t>
  </si>
  <si>
    <t>&lt;LinearNorm orig="0.031393" norm="0"/&gt;</t>
  </si>
  <si>
    <t>&lt;LinearNorm orig="1.0314" norm="33.538"/&gt;</t>
  </si>
  <si>
    <t>&lt;DerivedField optype="continuous" dataType="double" name="Treated_Feature 18*" displayName="Treated_Feature 18"&gt;</t>
  </si>
  <si>
    <t>&lt;NormContinuous field="Treated_Feature 18"&gt;</t>
  </si>
  <si>
    <t>&lt;LinearNorm orig="0.011724" norm="0"/&gt;</t>
  </si>
  <si>
    <t>&lt;LinearNorm orig="1.0117" norm="165.9"/&gt;</t>
  </si>
  <si>
    <t>&lt;DerivedField optype="continuous" dataType="double" name="Treated_Feature 19*" displayName="Treated_Feature 19"&gt;</t>
  </si>
  <si>
    <t>&lt;NormContinuous field="Treated_Feature 19"&gt;</t>
  </si>
  <si>
    <t>&lt;LinearNorm orig="0.020172" norm="0"/&gt;</t>
  </si>
  <si>
    <t>&lt;LinearNorm orig="1.0202" norm="142.55"/&gt;</t>
  </si>
  <si>
    <t>&lt;DerivedField optype="continuous" dataType="double" name="Treated_Feature 20*" displayName="Treated_Feature 20"&gt;</t>
  </si>
  <si>
    <t>&lt;NormContinuous field="Treated_Feature 20"&gt;</t>
  </si>
  <si>
    <t>&lt;LinearNorm orig="0.0037641" norm="0"/&gt;</t>
  </si>
  <si>
    <t>&lt;LinearNorm orig="1.0038" norm="412.83"/&gt;</t>
  </si>
  <si>
    <t>&lt;DerivedField optype="continuous" dataType="double" name="Treated_Feature 21*" displayName="Treated_Feature 21"&gt;</t>
  </si>
  <si>
    <t>&lt;NormContinuous field="Treated_Feature 21"&gt;</t>
  </si>
  <si>
    <t>&lt;LinearNorm orig="16.279" norm="0"/&gt;</t>
  </si>
  <si>
    <t>&lt;LinearNorm orig="17.279" norm="0.20424"/&gt;</t>
  </si>
  <si>
    <t>&lt;DerivedField optype="continuous" dataType="double" name="Treated_Feature 22*" displayName="Treated_Feature 22"&gt;</t>
  </si>
  <si>
    <t>&lt;NormContinuous field="Treated_Feature 22"&gt;</t>
  </si>
  <si>
    <t>&lt;LinearNorm orig="25.694" norm="0"/&gt;</t>
  </si>
  <si>
    <t>&lt;LinearNorm orig="26.694" norm="0.1647"/&gt;</t>
  </si>
  <si>
    <t>&lt;DerivedField optype="continuous" dataType="double" name="Treated_Feature 23*" displayName="Treated_Feature 23"&gt;</t>
  </si>
  <si>
    <t>&lt;NormContinuous field="Treated_Feature 23"&gt;</t>
  </si>
  <si>
    <t>&lt;LinearNorm orig="107.36" norm="0"/&gt;</t>
  </si>
  <si>
    <t>&lt;LinearNorm orig="108.36" norm="0.029367"/&gt;</t>
  </si>
  <si>
    <t>&lt;DerivedField optype="continuous" dataType="double" name="Treated_Feature 24*" displayName="Treated_Feature 24"&gt;</t>
  </si>
  <si>
    <t>&lt;NormContinuous field="Treated_Feature 24"&gt;</t>
  </si>
  <si>
    <t>&lt;LinearNorm orig="883.75" norm="0"/&gt;</t>
  </si>
  <si>
    <t>&lt;LinearNorm orig="884.75" norm="0.0017022"/&gt;</t>
  </si>
  <si>
    <t>&lt;DerivedField optype="continuous" dataType="double" name="Treated_Feature 25*" displayName="Treated_Feature 25"&gt;</t>
  </si>
  <si>
    <t>&lt;NormContinuous field="Treated_Feature 25"&gt;</t>
  </si>
  <si>
    <t>&lt;LinearNorm orig="0.13211" norm="0"/&gt;</t>
  </si>
  <si>
    <t>&lt;LinearNorm orig="1.1321" norm="44.581"/&gt;</t>
  </si>
  <si>
    <t>&lt;DerivedField optype="continuous" dataType="double" name="Treated_Feature 26*" displayName="Treated_Feature 26"&gt;</t>
  </si>
  <si>
    <t>&lt;NormContinuous field="Treated_Feature 26"&gt;</t>
  </si>
  <si>
    <t>&lt;LinearNorm orig="0.25002" norm="0"/&gt;</t>
  </si>
  <si>
    <t>&lt;LinearNorm orig="1.25" norm="6.6325"/&gt;</t>
  </si>
  <si>
    <t>&lt;DerivedField optype="continuous" dataType="double" name="Treated_Feature 27*" displayName="Treated_Feature 27"&gt;</t>
  </si>
  <si>
    <t>&lt;NormContinuous field="Treated_Feature 27"&gt;</t>
  </si>
  <si>
    <t>&lt;LinearNorm orig="0.26505" norm="0"/&gt;</t>
  </si>
  <si>
    <t>&lt;LinearNorm orig="1.2651" norm="5.0843"/&gt;</t>
  </si>
  <si>
    <t>&lt;DerivedField optype="continuous" dataType="double" name="Treated_Feature 28*" displayName="Treated_Feature 28"&gt;</t>
  </si>
  <si>
    <t>&lt;NormContinuous field="Treated_Feature 28"&gt;</t>
  </si>
  <si>
    <t>&lt;LinearNorm orig="0.11331" norm="0"/&gt;</t>
  </si>
  <si>
    <t>&lt;LinearNorm orig="1.1133" norm="15.456"/&gt;</t>
  </si>
  <si>
    <t>&lt;DerivedField optype="continuous" dataType="double" name="Treated_Feature 29*" displayName="Treated_Feature 29"&gt;</t>
  </si>
  <si>
    <t>&lt;NormContinuous field="Treated_Feature 29"&gt;</t>
  </si>
  <si>
    <t>&lt;LinearNorm orig="0.2872" norm="0"/&gt;</t>
  </si>
  <si>
    <t>&lt;LinearNorm orig="1.2872" norm="17.649"/&gt;</t>
  </si>
  <si>
    <t>&lt;DerivedField optype="continuous" dataType="double" name="Treated_Feature 30*" displayName="Treated_Feature 30"&gt;</t>
  </si>
  <si>
    <t>&lt;NormContinuous field="Treated_Feature 30"&gt;</t>
  </si>
  <si>
    <t>&lt;LinearNorm orig="0.083517" norm="0"/&gt;</t>
  </si>
  <si>
    <t>&lt;LinearNorm orig="1.0835" norm="60.282"/&gt;</t>
  </si>
  <si>
    <t>&lt;/LocalTransformations&gt;</t>
  </si>
  <si>
    <t>&lt;NeuralInputs numberOfInputs="30"&gt;</t>
  </si>
  <si>
    <t>&lt;NeuralInput id="0"&gt;</t>
  </si>
  <si>
    <t>&lt;DerivedField optype="continuous" dataType="double"&gt;</t>
  </si>
  <si>
    <t>&lt;FieldRef field="Treated_Feature 1*"/&gt;</t>
  </si>
  <si>
    <t>&lt;/NeuralInput&gt;</t>
  </si>
  <si>
    <t>&lt;NeuralInput id="1"&gt;</t>
  </si>
  <si>
    <t>&lt;FieldRef field="Treated_Feature 2*"/&gt;</t>
  </si>
  <si>
    <t>&lt;NeuralInput id="2"&gt;</t>
  </si>
  <si>
    <t>&lt;FieldRef field="Treated_Feature 3*"/&gt;</t>
  </si>
  <si>
    <t>&lt;NeuralInput id="3"&gt;</t>
  </si>
  <si>
    <t>&lt;FieldRef field="Treated_Feature 4*"/&gt;</t>
  </si>
  <si>
    <t>&lt;NeuralInput id="4"&gt;</t>
  </si>
  <si>
    <t>&lt;FieldRef field="Treated_Feature 5*"/&gt;</t>
  </si>
  <si>
    <t>&lt;NeuralInput id="5"&gt;</t>
  </si>
  <si>
    <t>&lt;FieldRef field="Treated_Feature 6*"/&gt;</t>
  </si>
  <si>
    <t>&lt;NeuralInput id="6"&gt;</t>
  </si>
  <si>
    <t>&lt;FieldRef field="Treated_Feature 7*"/&gt;</t>
  </si>
  <si>
    <t>&lt;NeuralInput id="7"&gt;</t>
  </si>
  <si>
    <t>&lt;FieldRef field="Treated_Feature 8*"/&gt;</t>
  </si>
  <si>
    <t>&lt;NeuralInput id="8"&gt;</t>
  </si>
  <si>
    <t>&lt;FieldRef field="Treated_Feature 9*"/&gt;</t>
  </si>
  <si>
    <t>&lt;NeuralInput id="9"&gt;</t>
  </si>
  <si>
    <t>&lt;FieldRef field="Treated_Feature 10*"/&gt;</t>
  </si>
  <si>
    <t>&lt;NeuralInput id="10"&gt;</t>
  </si>
  <si>
    <t>&lt;FieldRef field="Treated_Feature 11*"/&gt;</t>
  </si>
  <si>
    <t>&lt;NeuralInput id="11"&gt;</t>
  </si>
  <si>
    <t>&lt;FieldRef field="Treated_Feature 12*"/&gt;</t>
  </si>
  <si>
    <t>&lt;NeuralInput id="12"&gt;</t>
  </si>
  <si>
    <t>&lt;FieldRef field="Treated_Feature 13*"/&gt;</t>
  </si>
  <si>
    <t>&lt;NeuralInput id="13"&gt;</t>
  </si>
  <si>
    <t>&lt;FieldRef field="Treated_Feature 14*"/&gt;</t>
  </si>
  <si>
    <t>&lt;NeuralInput id="14"&gt;</t>
  </si>
  <si>
    <t>&lt;FieldRef field="Treated_Feature 15*"/&gt;</t>
  </si>
  <si>
    <t>&lt;NeuralInput id="15"&gt;</t>
  </si>
  <si>
    <t>&lt;FieldRef field="Treated_Feature 16*"/&gt;</t>
  </si>
  <si>
    <t>&lt;NeuralInput id="16"&gt;</t>
  </si>
  <si>
    <t>&lt;FieldRef field="Treated_Feature 17*"/&gt;</t>
  </si>
  <si>
    <t>&lt;NeuralInput id="17"&gt;</t>
  </si>
  <si>
    <t>&lt;FieldRef field="Treated_Feature 18*"/&gt;</t>
  </si>
  <si>
    <t>&lt;NeuralInput id="18"&gt;</t>
  </si>
  <si>
    <t>&lt;FieldRef field="Treated_Feature 19*"/&gt;</t>
  </si>
  <si>
    <t>&lt;NeuralInput id="19"&gt;</t>
  </si>
  <si>
    <t>&lt;FieldRef field="Treated_Feature 20*"/&gt;</t>
  </si>
  <si>
    <t>&lt;NeuralInput id="20"&gt;</t>
  </si>
  <si>
    <t>&lt;FieldRef field="Treated_Feature 21*"/&gt;</t>
  </si>
  <si>
    <t>&lt;NeuralInput id="21"&gt;</t>
  </si>
  <si>
    <t>&lt;FieldRef field="Treated_Feature 22*"/&gt;</t>
  </si>
  <si>
    <t>&lt;NeuralInput id="22"&gt;</t>
  </si>
  <si>
    <t>&lt;FieldRef field="Treated_Feature 23*"/&gt;</t>
  </si>
  <si>
    <t>&lt;NeuralInput id="23"&gt;</t>
  </si>
  <si>
    <t>&lt;FieldRef field="Treated_Feature 24*"/&gt;</t>
  </si>
  <si>
    <t>&lt;NeuralInput id="24"&gt;</t>
  </si>
  <si>
    <t>&lt;FieldRef field="Treated_Feature 25*"/&gt;</t>
  </si>
  <si>
    <t>&lt;NeuralInput id="25"&gt;</t>
  </si>
  <si>
    <t>&lt;FieldRef field="Treated_Feature 26*"/&gt;</t>
  </si>
  <si>
    <t>&lt;NeuralInput id="26"&gt;</t>
  </si>
  <si>
    <t>&lt;FieldRef field="Treated_Feature 27*"/&gt;</t>
  </si>
  <si>
    <t>&lt;NeuralInput id="27"&gt;</t>
  </si>
  <si>
    <t>&lt;FieldRef field="Treated_Feature 28*"/&gt;</t>
  </si>
  <si>
    <t>&lt;NeuralInput id="28"&gt;</t>
  </si>
  <si>
    <t>&lt;FieldRef field="Treated_Feature 29*"/&gt;</t>
  </si>
  <si>
    <t>&lt;NeuralInput id="29"&gt;</t>
  </si>
  <si>
    <t>&lt;FieldRef field="Treated_Feature 30*"/&gt;</t>
  </si>
  <si>
    <t>&lt;/NeuralInputs&gt;</t>
  </si>
  <si>
    <t>&lt;NeuralLayer numberOfNeurons="3" activationFunction="tanh"&gt;</t>
  </si>
  <si>
    <t>&lt;Neuron id="30" bias="0.09320491146854577"&gt;</t>
  </si>
  <si>
    <t>&lt;Con from="0" weight="-0.007281182706912654"/&gt;</t>
  </si>
  <si>
    <t>&lt;Con from="1" weight="0.1440345063946405"/&gt;</t>
  </si>
  <si>
    <t>&lt;Con from="2" weight="-0.4094087075068281"/&gt;</t>
  </si>
  <si>
    <t>&lt;Con from="3" weight="0.182009540469643"/&gt;</t>
  </si>
  <si>
    <t>&lt;Con from="4" weight="0.1760089522446338"/&gt;</t>
  </si>
  <si>
    <t>&lt;Con from="5" weight="0.1841762165271989"/&gt;</t>
  </si>
  <si>
    <t>&lt;Con from="6" weight="-0.03599376677595865"/&gt;</t>
  </si>
  <si>
    <t>&lt;Con from="7" weight="0.2292723316506832"/&gt;</t>
  </si>
  <si>
    <t>&lt;Con from="8" weight="-0.0630008805602056"/&gt;</t>
  </si>
  <si>
    <t>&lt;Con from="9" weight="0.2938185031488028"/&gt;</t>
  </si>
  <si>
    <t>&lt;Con from="10" weight="-0.123825972444084"/&gt;</t>
  </si>
  <si>
    <t>&lt;Con from="11" weight="-0.04638663675727166"/&gt;</t>
  </si>
  <si>
    <t>&lt;Con from="12" weight="0.06884829022421318"/&gt;</t>
  </si>
  <si>
    <t>&lt;Con from="13" weight="-0.005991319554350757"/&gt;</t>
  </si>
  <si>
    <t>&lt;Con from="14" weight="-0.1206583001817471"/&gt;</t>
  </si>
  <si>
    <t>&lt;Con from="15" weight="0.01497457111599725"/&gt;</t>
  </si>
  <si>
    <t>&lt;Con from="16" weight="-0.1370043169307494"/&gt;</t>
  </si>
  <si>
    <t>&lt;Con from="17" weight="0.2650476048680812"/&gt;</t>
  </si>
  <si>
    <t>&lt;Con from="18" weight="-0.003470148805870654"/&gt;</t>
  </si>
  <si>
    <t>&lt;Con from="19" weight="-0.05246852125017203"/&gt;</t>
  </si>
  <si>
    <t>&lt;Con from="20" weight="0.03422150860612806"/&gt;</t>
  </si>
  <si>
    <t>&lt;Con from="21" weight="0.07997695011249012"/&gt;</t>
  </si>
  <si>
    <t>&lt;Con from="22" weight="-0.1612614172655336"/&gt;</t>
  </si>
  <si>
    <t>&lt;Con from="23" weight="0.05968163411452439"/&gt;</t>
  </si>
  <si>
    <t>&lt;Con from="24" weight="0.0168272894430184"/&gt;</t>
  </si>
  <si>
    <t>&lt;Con from="25" weight="-0.1393681821811613"/&gt;</t>
  </si>
  <si>
    <t>&lt;Con from="26" weight="-0.0146332016049606"/&gt;</t>
  </si>
  <si>
    <t>&lt;Con from="27" weight="0.1366104164341698"/&gt;</t>
  </si>
  <si>
    <t>&lt;Con from="28" weight="0.2648258023979947"/&gt;</t>
  </si>
  <si>
    <t>&lt;Con from="29" weight="0.1327702581453822"/&gt;</t>
  </si>
  <si>
    <t>&lt;/Neuron&gt;</t>
  </si>
  <si>
    <t>&lt;Neuron id="31" bias="0.1702157386767826"&gt;</t>
  </si>
  <si>
    <t>&lt;Con from="0" weight="-0.2172213427292033"/&gt;</t>
  </si>
  <si>
    <t>&lt;Con from="1" weight="0.05584272208568328"/&gt;</t>
  </si>
  <si>
    <t>&lt;Con from="2" weight="0.3892458505931942"/&gt;</t>
  </si>
  <si>
    <t>&lt;Con from="3" weight="0.1310330466761987"/&gt;</t>
  </si>
  <si>
    <t>&lt;Con from="4" weight="-0.0332859999095888"/&gt;</t>
  </si>
  <si>
    <t>&lt;Con from="5" weight="0.05492195651024141"/&gt;</t>
  </si>
  <si>
    <t>&lt;Con from="6" weight="0.03611946544794625"/&gt;</t>
  </si>
  <si>
    <t>&lt;Con from="7" weight="-0.1410658926673425"/&gt;</t>
  </si>
  <si>
    <t>&lt;Con from="8" weight="-0.1723274989004964"/&gt;</t>
  </si>
  <si>
    <t>&lt;Con from="9" weight="-0.1557440549445815"/&gt;</t>
  </si>
  <si>
    <t>&lt;Con from="10" weight="0.1508183729054166"/&gt;</t>
  </si>
  <si>
    <t>&lt;Con from="11" weight="-0.1962423605083573"/&gt;</t>
  </si>
  <si>
    <t>&lt;Con from="12" weight="-0.1184420567466952"/&gt;</t>
  </si>
  <si>
    <t>&lt;Con from="13" weight="0.2039030340015348"/&gt;</t>
  </si>
  <si>
    <t>&lt;Con from="14" weight="-0.04532331387574371"/&gt;</t>
  </si>
  <si>
    <t>&lt;Con from="15" weight="-0.05719051639761184"/&gt;</t>
  </si>
  <si>
    <t>&lt;Con from="16" weight="-0.3442156700749545"/&gt;</t>
  </si>
  <si>
    <t>&lt;Con from="17" weight="0.02050230521157758"/&gt;</t>
  </si>
  <si>
    <t>&lt;Con from="18" weight="-0.05605904587126639"/&gt;</t>
  </si>
  <si>
    <t>&lt;Con from="19" weight="-0.3292869203987484"/&gt;</t>
  </si>
  <si>
    <t>&lt;Con from="20" weight="0.3551628962174033"/&gt;</t>
  </si>
  <si>
    <t>&lt;Con from="21" weight="0.04532099200572677"/&gt;</t>
  </si>
  <si>
    <t>&lt;Con from="22" weight="0.388326228747692"/&gt;</t>
  </si>
  <si>
    <t>&lt;Con from="23" weight="0.1046587727604663"/&gt;</t>
  </si>
  <si>
    <t>&lt;Con from="24" weight="0.1294842877380652"/&gt;</t>
  </si>
  <si>
    <t>&lt;Con from="25" weight="-0.02324069843677833"/&gt;</t>
  </si>
  <si>
    <t>&lt;Con from="26" weight="-0.4662216528995843"/&gt;</t>
  </si>
  <si>
    <t>&lt;Con from="27" weight="-0.425791920034797"/&gt;</t>
  </si>
  <si>
    <t>&lt;Con from="28" weight="0.2659362125965123"/&gt;</t>
  </si>
  <si>
    <t>&lt;Con from="29" weight="0.08615092454011503"/&gt;</t>
  </si>
  <si>
    <t>&lt;Neuron id="32" bias="-0.2349718721808169"&gt;</t>
  </si>
  <si>
    <t>&lt;Con from="0" weight="0.2285979786623566"/&gt;</t>
  </si>
  <si>
    <t>&lt;Con from="1" weight="-0.1477399465660435"/&gt;</t>
  </si>
  <si>
    <t>&lt;Con from="2" weight="0.2246044635930202"/&gt;</t>
  </si>
  <si>
    <t>&lt;Con from="3" weight="0.1247226079579371"/&gt;</t>
  </si>
  <si>
    <t>&lt;Con from="4" weight="-0.1156145341894713"/&gt;</t>
  </si>
  <si>
    <t>&lt;Con from="5" weight="-0.0168702333402535"/&gt;</t>
  </si>
  <si>
    <t>&lt;Con from="6" weight="-0.101041868918919"/&gt;</t>
  </si>
  <si>
    <t>&lt;Con from="7" weight="0.1744022658404559"/&gt;</t>
  </si>
  <si>
    <t>&lt;Con from="8" weight="-0.07285614594378484"/&gt;</t>
  </si>
  <si>
    <t>&lt;Con from="9" weight="-0.2016181338058058"/&gt;</t>
  </si>
  <si>
    <t>&lt;Con from="10" weight="0.2630075220282529"/&gt;</t>
  </si>
  <si>
    <t>&lt;Con from="11" weight="-0.005599047815631852"/&gt;</t>
  </si>
  <si>
    <t>&lt;Con from="12" weight="0.08605537370473562"/&gt;</t>
  </si>
  <si>
    <t>&lt;Con from="13" weight="-0.1011691971188552"/&gt;</t>
  </si>
  <si>
    <t>&lt;Con from="14" weight="0.05480912901153594"/&gt;</t>
  </si>
  <si>
    <t>&lt;Con from="15" weight="-0.04859538651655087"/&gt;</t>
  </si>
  <si>
    <t>&lt;Con from="16" weight="-0.09538638995215426"/&gt;</t>
  </si>
  <si>
    <t>&lt;Con from="17" weight="0.2812430412311008"/&gt;</t>
  </si>
  <si>
    <t>&lt;Con from="18" weight="-0.08447189263035543"/&gt;</t>
  </si>
  <si>
    <t>&lt;Con from="19" weight="0.01751872604902906"/&gt;</t>
  </si>
  <si>
    <t>&lt;Con from="20" weight="0.1962527264387107"/&gt;</t>
  </si>
  <si>
    <t>&lt;Con from="21" weight="0.29185812615053"/&gt;</t>
  </si>
  <si>
    <t>&lt;Con from="22" weight="0.2737689142994227"/&gt;</t>
  </si>
  <si>
    <t>&lt;Con from="23" weight="0.0153359864391023"/&gt;</t>
  </si>
  <si>
    <t>&lt;Con from="24" weight="0.2350469981079512"/&gt;</t>
  </si>
  <si>
    <t>&lt;Con from="25" weight="-0.1944544419129428"/&gt;</t>
  </si>
  <si>
    <t>&lt;Con from="26" weight="0.03863548562644617"/&gt;</t>
  </si>
  <si>
    <t>&lt;Con from="27" weight="-0.1011736997602257"/&gt;</t>
  </si>
  <si>
    <t>&lt;Con from="28" weight="0.2289421562895247"/&gt;</t>
  </si>
  <si>
    <t>&lt;Con from="29" weight="0.09960843698461114"/&gt;</t>
  </si>
  <si>
    <t>&lt;/NeuralLayer&gt;</t>
  </si>
  <si>
    <t>&lt;NeuralLayer numberOfNeurons="2" activationFunction="tanh"&gt;</t>
  </si>
  <si>
    <t>&lt;Neuron id="33" bias="0.4678671241136662"&gt;</t>
  </si>
  <si>
    <t>&lt;Con from="30" weight="-0.08831685819320775"/&gt;</t>
  </si>
  <si>
    <t>&lt;Con from="31" weight="0.3911214218996955"/&gt;</t>
  </si>
  <si>
    <t>&lt;Con from="32" weight="-1.196169847461228"/&gt;</t>
  </si>
  <si>
    <t>&lt;Neuron id="34" bias="0.4419778179268451"&gt;</t>
  </si>
  <si>
    <t>&lt;Con from="30" weight="0.4907897339386046"/&gt;</t>
  </si>
  <si>
    <t>&lt;Con from="31" weight="0.3309973489293083"/&gt;</t>
  </si>
  <si>
    <t>&lt;Con from="32" weight="0.4484891194449821"/&gt;</t>
  </si>
  <si>
    <t>&lt;NeuralOutputs numberOfOutputs="2"&gt;</t>
  </si>
  <si>
    <t>&lt;NeuralOutput outputNeuron="33"&gt;</t>
  </si>
  <si>
    <t>&lt;DerivedField optype="categorical" dataType="string"&gt;</t>
  </si>
  <si>
    <t>&lt;NormDiscrete field="Diagnosis" value="B"/&gt;</t>
  </si>
  <si>
    <t>&lt;/NeuralOutput&gt;</t>
  </si>
  <si>
    <t>&lt;NeuralOutput outputNeuron="34"&gt;</t>
  </si>
  <si>
    <t>&lt;NormDiscrete field="Diagnosis" value="M"/&gt;</t>
  </si>
  <si>
    <t>&lt;/NeuralOutputs&gt;</t>
  </si>
  <si>
    <t>&lt;/NeuralNetwork&gt;</t>
  </si>
  <si>
    <t>&lt;/PMML&gt;</t>
  </si>
  <si>
    <t>Training Log</t>
  </si>
  <si>
    <t>Training: Classification Summary</t>
  </si>
  <si>
    <t>Validation: Classification Summary</t>
  </si>
  <si>
    <t>Data Science: Neural Network Classification - Prediction of Validation Data</t>
  </si>
  <si>
    <t>Confusion Matrix</t>
  </si>
  <si>
    <t>Error Report</t>
  </si>
  <si>
    <t>Class</t>
  </si>
  <si>
    <t>Overall</t>
  </si>
  <si>
    <t>Metrics</t>
  </si>
  <si>
    <t>Metric</t>
  </si>
  <si>
    <t>Accuracy (#correct)</t>
  </si>
  <si>
    <t>Accuracy (%correct)</t>
  </si>
  <si>
    <t>Specificity</t>
  </si>
  <si>
    <t>Sensitivity (Recall)</t>
  </si>
  <si>
    <t>Precision</t>
  </si>
  <si>
    <t>F1 score</t>
  </si>
  <si>
    <t>Success Class</t>
  </si>
  <si>
    <t>Success Probability</t>
  </si>
  <si>
    <t># Cases</t>
  </si>
  <si>
    <t>Value</t>
  </si>
  <si>
    <t># Errors</t>
  </si>
  <si>
    <t>% Error</t>
  </si>
  <si>
    <t>Actual\Predicted</t>
  </si>
  <si>
    <t>Data Science: Neural Network Classification - Prediction of Training Data</t>
  </si>
  <si>
    <t>Data Science: Neural Network Classification - Training Log</t>
  </si>
  <si>
    <t>Epoch</t>
  </si>
  <si>
    <t>Training: Network Error (Sum of Squares)</t>
  </si>
  <si>
    <t>Training: Data Error (Misclassification)</t>
  </si>
  <si>
    <t>Epoch 1</t>
  </si>
  <si>
    <t>Epoch 2</t>
  </si>
  <si>
    <t>Epoch 3</t>
  </si>
  <si>
    <t>Epoch 4</t>
  </si>
  <si>
    <t>Epoch 5</t>
  </si>
  <si>
    <t>Epoch 6</t>
  </si>
  <si>
    <t>Epoch 7</t>
  </si>
  <si>
    <t>Epoch 8</t>
  </si>
  <si>
    <t>Epoch 9</t>
  </si>
  <si>
    <t>Epoch 10</t>
  </si>
  <si>
    <t>Epoch 11</t>
  </si>
  <si>
    <t>Epoch 12</t>
  </si>
  <si>
    <t>Epoch 13</t>
  </si>
  <si>
    <t>Epoch 14</t>
  </si>
  <si>
    <t>Epoch 15</t>
  </si>
  <si>
    <t>Epoch 16</t>
  </si>
  <si>
    <t>Epoch 17</t>
  </si>
  <si>
    <t>Epoch 18</t>
  </si>
  <si>
    <t>Epoch 19</t>
  </si>
  <si>
    <t>Epoch 20</t>
  </si>
  <si>
    <t>Epoch 21</t>
  </si>
  <si>
    <t>Epoch 22</t>
  </si>
  <si>
    <t>Epoch 23</t>
  </si>
  <si>
    <t>Epoch 24</t>
  </si>
  <si>
    <t>Epoch 25</t>
  </si>
  <si>
    <t>Epoch 26</t>
  </si>
  <si>
    <t>Epoch 27</t>
  </si>
  <si>
    <t>Epoch 28</t>
  </si>
  <si>
    <t>Epoch 29</t>
  </si>
  <si>
    <t>Epoch 30</t>
  </si>
  <si>
    <t>Data Science: Neural Network Classification</t>
  </si>
  <si>
    <t>Training data used for building the model</t>
  </si>
  <si>
    <t># Records in the training data</t>
  </si>
  <si>
    <t>Validation data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</si>
  <si>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</si>
  <si>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</si>
  <si>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</si>
  <si>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</si>
  <si>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</si>
  <si>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</si>
  <si>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</si>
  <si>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</si>
  <si>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Neural Network: Fitting Parameters</t>
  </si>
  <si>
    <t>Random seed for initial weights</t>
  </si>
  <si>
    <t># Hidden Layers</t>
  </si>
  <si>
    <t>STANDARDIZATION</t>
  </si>
  <si>
    <t>STDPartition</t>
  </si>
  <si>
    <t>$C$37:$AH$377</t>
  </si>
  <si>
    <t>$C$378:$AH$605</t>
  </si>
  <si>
    <t>{"comment":"this RASON template was auto-generated by Analytic Solver Data Science","datasources":{},"datasets":{},"estimator":{"neuralNetClassificationEstimator":{"type":"classification","algorithm":"neuralNetwork","parameters":{"categoricalFeaturesNames":[],"dataForErrorComputation":"ONLY_TRAIN","errorTolerance":0.01,"hiddenLayerActivation":"TANH","learningOrder":"ORIGINAL","learningOrderSeed":12345,"learningRate":0.10000000000000001,"maxNumEpochsWithNoImprovement":5,"maxTrainingTimeSeconds":3600,"minRelativeErrorChange":0.0001,"minRelativeErrorChangeComparedToNullModel":0.001,"numEpochs":30,"numNeurons":[3],"outputLayerActivation":"TANH","priorProbMethod":"EMPIRICAL","weightDecay":0,"weightInitSeed":12345,"weightMomentum":0.59999999999999998}}},"actions":{}}</t>
  </si>
  <si>
    <t># Nodes in Hidden Layer 1</t>
  </si>
  <si>
    <t>Learning rate</t>
  </si>
  <si>
    <t>Weight change momentum</t>
  </si>
  <si>
    <t>Error tolerance</t>
  </si>
  <si>
    <t>Weight decay</t>
  </si>
  <si>
    <t>Cost function</t>
  </si>
  <si>
    <t>Hidden layer activation function</t>
  </si>
  <si>
    <t>Output layer activation function</t>
  </si>
  <si>
    <t>Learning order</t>
  </si>
  <si>
    <t>Response correction</t>
  </si>
  <si>
    <t>Data for error computation</t>
  </si>
  <si>
    <t>Maximum number of epochs</t>
  </si>
  <si>
    <t>Maximum number of epochs without improvement</t>
  </si>
  <si>
    <t>Maximum training time</t>
  </si>
  <si>
    <t>Minimum relative change in error</t>
  </si>
  <si>
    <t>Minimum relative change in error compared to null model</t>
  </si>
  <si>
    <t>Neural Network Classification: Fitting Parameters</t>
  </si>
  <si>
    <t>Prior Probability Calculation</t>
  </si>
  <si>
    <t>Neural Network Classification: Model Parameters</t>
  </si>
  <si>
    <t># Classes</t>
  </si>
  <si>
    <t>Neural Network: Reporting Parameters</t>
  </si>
  <si>
    <t>Search for best architecture</t>
  </si>
  <si>
    <t>Show neural network weights?</t>
  </si>
  <si>
    <t>Output Options</t>
  </si>
  <si>
    <t>Summary report of scoring on training data</t>
  </si>
  <si>
    <t>Summary report of scoring on validation data</t>
  </si>
  <si>
    <t>Sum of Squares</t>
  </si>
  <si>
    <t>HYPERBOLIC TANGENT</t>
  </si>
  <si>
    <t>Original</t>
  </si>
  <si>
    <t>TRAINING ONLY</t>
  </si>
  <si>
    <t>EMPIRICAL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</si>
  <si>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Science","datasources":{},"datasets":{},"transformer":{"partitioner":{"type":"transformation","algorithm":"partitioning","parameters":{"partitionMethod":"RANDOM","ratios":[["Training",0.80000000000000004],["Validation",0.20000000000000001]],"seed":12345}}},"actions":{}}</t>
  </si>
  <si>
    <t>STDPartition1</t>
  </si>
  <si>
    <t>$C$37:$AH$491</t>
  </si>
  <si>
    <t>$C$492:$AH$605</t>
  </si>
  <si>
    <t>Date: 18-Mar-2025 19:30:04</t>
  </si>
  <si>
    <t>&lt;Timestamp&gt;2025-3-18 19:35:7&lt;/Timestamp&gt;</t>
  </si>
  <si>
    <t>Date: 18-Mar-2025 19:35:07</t>
  </si>
  <si>
    <t>&lt;NeuralLayer numberOfNeurons="7" activationFunction="tanh"&gt;</t>
  </si>
  <si>
    <t>&lt;Neuron id="30" bias="0.08370354178780139"&gt;</t>
  </si>
  <si>
    <t>&lt;Con from="0" weight="-0.0464820064925666"/&gt;</t>
  </si>
  <si>
    <t>&lt;Con from="1" weight="0.1057719291856932"/&gt;</t>
  </si>
  <si>
    <t>&lt;Con from="2" weight="-0.3867864669013368"/&gt;</t>
  </si>
  <si>
    <t>&lt;Con from="3" weight="0.2046802848825568"/&gt;</t>
  </si>
  <si>
    <t>&lt;Con from="4" weight="0.1661719725226707"/&gt;</t>
  </si>
  <si>
    <t>&lt;Con from="5" weight="0.1705499341625444"/&gt;</t>
  </si>
  <si>
    <t>&lt;Con from="6" weight="-0.06598053165262206"/&gt;</t>
  </si>
  <si>
    <t>&lt;Con from="7" weight="0.2192742391914883"/&gt;</t>
  </si>
  <si>
    <t>&lt;Con from="8" weight="-0.06363319954450201"/&gt;</t>
  </si>
  <si>
    <t>&lt;Con from="9" weight="0.261963001721596"/&gt;</t>
  </si>
  <si>
    <t>&lt;Con from="10" weight="-0.1213358160339985"/&gt;</t>
  </si>
  <si>
    <t>&lt;Con from="11" weight="-0.1249971110392655"/&gt;</t>
  </si>
  <si>
    <t>&lt;Con from="12" weight="0.06523526524678948"/&gt;</t>
  </si>
  <si>
    <t>&lt;Con from="13" weight="0.003736629373690567"/&gt;</t>
  </si>
  <si>
    <t>&lt;Con from="14" weight="-0.203385289083872"/&gt;</t>
  </si>
  <si>
    <t>&lt;Con from="15" weight="-0.04063627023381459"/&gt;</t>
  </si>
  <si>
    <t>&lt;Con from="16" weight="-0.1944419706263762"/&gt;</t>
  </si>
  <si>
    <t>&lt;Con from="17" weight="0.2078105167102646"/&gt;</t>
  </si>
  <si>
    <t>&lt;Con from="18" weight="-0.02360571459853826"/&gt;</t>
  </si>
  <si>
    <t>&lt;Con from="19" weight="-0.1072633332951213"/&gt;</t>
  </si>
  <si>
    <t>&lt;Con from="20" weight="0.06272739300356375"/&gt;</t>
  </si>
  <si>
    <t>&lt;Con from="21" weight="0.03842980802979758"/&gt;</t>
  </si>
  <si>
    <t>&lt;Con from="22" weight="-0.1373379568685737"/&gt;</t>
  </si>
  <si>
    <t>&lt;Con from="23" weight="0.08562764528638868"/&gt;</t>
  </si>
  <si>
    <t>&lt;Con from="24" weight="-0.009384718770347623"/&gt;</t>
  </si>
  <si>
    <t>&lt;Con from="25" weight="-0.1529720757047905"/&gt;</t>
  </si>
  <si>
    <t>&lt;Con from="26" weight="-0.04800570472735225"/&gt;</t>
  </si>
  <si>
    <t>&lt;Con from="27" weight="0.12223313143189"/&gt;</t>
  </si>
  <si>
    <t>&lt;Con from="28" weight="0.2953621129902322"/&gt;</t>
  </si>
  <si>
    <t>&lt;Con from="29" weight="0.1086733753257566"/&gt;</t>
  </si>
  <si>
    <t>&lt;Neuron id="31" bias="0.04161320795778098"&gt;</t>
  </si>
  <si>
    <t>&lt;Con from="0" weight="-0.2425371095467843"/&gt;</t>
  </si>
  <si>
    <t>&lt;Con from="1" weight="0.02217066952411007"/&gt;</t>
  </si>
  <si>
    <t>&lt;Con from="2" weight="0.3631260043945322"/&gt;</t>
  </si>
  <si>
    <t>&lt;Con from="3" weight="0.1076698498337416"/&gt;</t>
  </si>
  <si>
    <t>&lt;Con from="4" weight="-0.04652778979491693"/&gt;</t>
  </si>
  <si>
    <t>&lt;Con from="5" weight="0.03122915865147164"/&gt;</t>
  </si>
  <si>
    <t>&lt;Con from="6" weight="-0.007881951264068571"/&gt;</t>
  </si>
  <si>
    <t>&lt;Con from="7" weight="-0.183943993215154"/&gt;</t>
  </si>
  <si>
    <t>&lt;Con from="8" weight="-0.1960191247823222"/&gt;</t>
  </si>
  <si>
    <t>&lt;Con from="9" weight="-0.1560449246615873"/&gt;</t>
  </si>
  <si>
    <t>&lt;Con from="10" weight="0.09682398400315947"/&gt;</t>
  </si>
  <si>
    <t>&lt;Con from="11" weight="-0.245428396645044"/&gt;</t>
  </si>
  <si>
    <t>&lt;Con from="12" weight="-0.1682606040626145"/&gt;</t>
  </si>
  <si>
    <t>&lt;Con from="13" weight="0.1710373626799352"/&gt;</t>
  </si>
  <si>
    <t>&lt;Con from="14" weight="-0.06640552193347121"/&gt;</t>
  </si>
  <si>
    <t>&lt;Con from="15" weight="-0.09230052380961314"/&gt;</t>
  </si>
  <si>
    <t>&lt;Con from="16" weight="-0.3694575176161453"/&gt;</t>
  </si>
  <si>
    <t>&lt;Con from="17" weight="-0.01701419284199286"/&gt;</t>
  </si>
  <si>
    <t>&lt;Con from="18" weight="-0.0812033171420793"/&gt;</t>
  </si>
  <si>
    <t>&lt;Con from="19" weight="-0.358050820741164"/&gt;</t>
  </si>
  <si>
    <t>&lt;Con from="20" weight="0.3293844274090525"/&gt;</t>
  </si>
  <si>
    <t>&lt;Con from="21" weight="0.01977443589043066"/&gt;</t>
  </si>
  <si>
    <t>&lt;Con from="22" weight="0.3628587412449077"/&gt;</t>
  </si>
  <si>
    <t>&lt;Con from="23" weight="0.08274683341206156"/&gt;</t>
  </si>
  <si>
    <t>&lt;Con from="24" weight="0.1267516996151899"/&gt;</t>
  </si>
  <si>
    <t>&lt;Con from="25" weight="-0.04670961912740262"/&gt;</t>
  </si>
  <si>
    <t>&lt;Con from="26" weight="-0.5013068233175679"/&gt;</t>
  </si>
  <si>
    <t>&lt;Con from="27" weight="-0.4530407897771366"/&gt;</t>
  </si>
  <si>
    <t>&lt;Con from="28" weight="0.2808812206056747"/&gt;</t>
  </si>
  <si>
    <t>&lt;Con from="29" weight="0.0699600176662425"/&gt;</t>
  </si>
  <si>
    <t>&lt;Neuron id="32" bias="-0.1541771927228378"&gt;</t>
  </si>
  <si>
    <t>&lt;Con from="0" weight="0.2195689149953161"/&gt;</t>
  </si>
  <si>
    <t>&lt;Con from="1" weight="-0.2203059629631343"/&gt;</t>
  </si>
  <si>
    <t>&lt;Con from="2" weight="0.2031553501786221"/&gt;</t>
  </si>
  <si>
    <t>&lt;Con from="3" weight="0.1055443678178643"/&gt;</t>
  </si>
  <si>
    <t>&lt;Con from="4" weight="-0.1399901778781959"/&gt;</t>
  </si>
  <si>
    <t>&lt;Con from="5" weight="-0.05472972507497954"/&gt;</t>
  </si>
  <si>
    <t>&lt;Con from="6" weight="-0.1614616228816337"/&gt;</t>
  </si>
  <si>
    <t>&lt;Con from="7" weight="0.1316366752112288"/&gt;</t>
  </si>
  <si>
    <t>&lt;Con from="8" weight="-0.004905525877209896"/&gt;</t>
  </si>
  <si>
    <t>&lt;Con from="9" weight="-0.2077940140577609"/&gt;</t>
  </si>
  <si>
    <t>&lt;Con from="10" weight="0.2941227978252295"/&gt;</t>
  </si>
  <si>
    <t>&lt;Con from="11" weight="-0.001732458995954216"/&gt;</t>
  </si>
  <si>
    <t>&lt;Con from="12" weight="0.1012955234024774"/&gt;</t>
  </si>
  <si>
    <t>&lt;Con from="13" weight="-0.09686643972651307"/&gt;</t>
  </si>
  <si>
    <t>&lt;Con from="14" weight="0.04869813149147587"/&gt;</t>
  </si>
  <si>
    <t>&lt;Con from="15" weight="-0.03820489731935205"/&gt;</t>
  </si>
  <si>
    <t>&lt;Con from="16" weight="-0.1030292640811536"/&gt;</t>
  </si>
  <si>
    <t>&lt;Con from="17" weight="0.2917375455939068"/&gt;</t>
  </si>
  <si>
    <t>&lt;Con from="18" weight="0.04177047247202904"/&gt;</t>
  </si>
  <si>
    <t>&lt;Con from="19" weight="0.05514892480390873"/&gt;</t>
  </si>
  <si>
    <t>&lt;Con from="20" weight="0.1730762386008259"/&gt;</t>
  </si>
  <si>
    <t>&lt;Con from="21" weight="0.1740716538643409"/&gt;</t>
  </si>
  <si>
    <t>&lt;Con from="22" weight="0.2422407356673723"/&gt;</t>
  </si>
  <si>
    <t>&lt;Con from="23" weight="-0.00822398393135248"/&gt;</t>
  </si>
  <si>
    <t>&lt;Con from="24" weight="0.1190619204485085"/&gt;</t>
  </si>
  <si>
    <t>&lt;Con from="25" weight="-0.2712741078960814"/&gt;</t>
  </si>
  <si>
    <t>&lt;Con from="26" weight="-0.06797858468731384"/&gt;</t>
  </si>
  <si>
    <t>&lt;Con from="27" weight="-0.1884786117058047"/&gt;</t>
  </si>
  <si>
    <t>&lt;Con from="28" weight="0.235105592209867"/&gt;</t>
  </si>
  <si>
    <t>&lt;Con from="29" weight="0.03426177982880006"/&gt;</t>
  </si>
  <si>
    <t>&lt;Neuron id="33" bias="0.04054488223632541"&gt;</t>
  </si>
  <si>
    <t>&lt;Con from="0" weight="-0.1412503304417072"/&gt;</t>
  </si>
  <si>
    <t>&lt;Con from="1" weight="0.139089452136723"/&gt;</t>
  </si>
  <si>
    <t>&lt;Con from="2" weight="0.1444778139402049"/&gt;</t>
  </si>
  <si>
    <t>&lt;Con from="3" weight="0.1168549079399956"/&gt;</t>
  </si>
  <si>
    <t>&lt;Con from="4" weight="0.02631993931674627"/&gt;</t>
  </si>
  <si>
    <t>&lt;Con from="5" weight="0.06948897041245147"/&gt;</t>
  </si>
  <si>
    <t>&lt;Con from="6" weight="-0.1788124431786104"/&gt;</t>
  </si>
  <si>
    <t>&lt;Con from="7" weight="-0.1248879288412921"/&gt;</t>
  </si>
  <si>
    <t>&lt;Con from="8" weight="0.03154827448343688"/&gt;</t>
  </si>
  <si>
    <t>&lt;Con from="9" weight="-0.03694912188963721"/&gt;</t>
  </si>
  <si>
    <t>&lt;Con from="10" weight="-0.003601751687415698"/&gt;</t>
  </si>
  <si>
    <t>&lt;Con from="11" weight="0.2905777271321814"/&gt;</t>
  </si>
  <si>
    <t>&lt;Con from="12" weight="0.3062978796219289"/&gt;</t>
  </si>
  <si>
    <t>&lt;Con from="13" weight="-0.2154799610907412"/&gt;</t>
  </si>
  <si>
    <t>&lt;Con from="14" weight="-0.2888712567297239"/&gt;</t>
  </si>
  <si>
    <t>&lt;Con from="15" weight="0.366266700549006"/&gt;</t>
  </si>
  <si>
    <t>&lt;Con from="16" weight="-0.1881833653688483"/&gt;</t>
  </si>
  <si>
    <t>&lt;Con from="17" weight="-0.07926856572114888"/&gt;</t>
  </si>
  <si>
    <t>&lt;Con from="18" weight="0.3832727071721715"/&gt;</t>
  </si>
  <si>
    <t>&lt;Con from="19" weight="0.1974850949366738"/&gt;</t>
  </si>
  <si>
    <t>&lt;Con from="20" weight="0.16658462956115"/&gt;</t>
  </si>
  <si>
    <t>&lt;Con from="21" weight="-0.3898360774832809"/&gt;</t>
  </si>
  <si>
    <t>&lt;Con from="22" weight="-0.1985521601691828"/&gt;</t>
  </si>
  <si>
    <t>&lt;Con from="23" weight="0.322635828239846"/&gt;</t>
  </si>
  <si>
    <t>&lt;Con from="24" weight="-0.1108743242131923"/&gt;</t>
  </si>
  <si>
    <t>&lt;Con from="25" weight="-0.08317965400110405"/&gt;</t>
  </si>
  <si>
    <t>&lt;Con from="26" weight="0.001688835619102249"/&gt;</t>
  </si>
  <si>
    <t>&lt;Con from="27" weight="-0.06831702099098763"/&gt;</t>
  </si>
  <si>
    <t>&lt;Con from="28" weight="-0.1845775093459349"/&gt;</t>
  </si>
  <si>
    <t>&lt;Con from="29" weight="-0.06222265818606014"/&gt;</t>
  </si>
  <si>
    <t>&lt;Neuron id="34" bias="0.03976690704166422"&gt;</t>
  </si>
  <si>
    <t>&lt;Con from="0" weight="-0.08375393117493088"/&gt;</t>
  </si>
  <si>
    <t>&lt;Con from="1" weight="-0.3976616148087497"/&gt;</t>
  </si>
  <si>
    <t>&lt;Con from="2" weight="-0.3332110228289186"/&gt;</t>
  </si>
  <si>
    <t>&lt;Con from="3" weight="-0.3142348368084685"/&gt;</t>
  </si>
  <si>
    <t>&lt;Con from="4" weight="0.08377067378563051"/&gt;</t>
  </si>
  <si>
    <t>&lt;Con from="5" weight="-0.04261321434533103"/&gt;</t>
  </si>
  <si>
    <t>&lt;Con from="6" weight="-0.2915338291437315"/&gt;</t>
  </si>
  <si>
    <t>&lt;Con from="7" weight="-0.08239676057795937"/&gt;</t>
  </si>
  <si>
    <t>&lt;Con from="8" weight="0.4400302911308634"/&gt;</t>
  </si>
  <si>
    <t>&lt;Con from="9" weight="0.1537034061283014"/&gt;</t>
  </si>
  <si>
    <t>&lt;Con from="10" weight="0.2188497176667273"/&gt;</t>
  </si>
  <si>
    <t>&lt;Con from="11" weight="-0.1383755306875414"/&gt;</t>
  </si>
  <si>
    <t>&lt;Con from="12" weight="0.11402391188813"/&gt;</t>
  </si>
  <si>
    <t>&lt;Con from="13" weight="-0.4450463027074234"/&gt;</t>
  </si>
  <si>
    <t>&lt;Con from="14" weight="0.1548831690164916"/&gt;</t>
  </si>
  <si>
    <t>&lt;Con from="15" weight="0.09982595083338212"/&gt;</t>
  </si>
  <si>
    <t>&lt;Con from="16" weight="-0.07389686596689514"/&gt;</t>
  </si>
  <si>
    <t>&lt;Con from="17" weight="-0.140265330508044"/&gt;</t>
  </si>
  <si>
    <t>&lt;Con from="18" weight="0.06575158455639094"/&gt;</t>
  </si>
  <si>
    <t>&lt;Con from="19" weight="0.003301948913919024"/&gt;</t>
  </si>
  <si>
    <t>&lt;Con from="20" weight="0.09636777360943645"/&gt;</t>
  </si>
  <si>
    <t>&lt;Con from="21" weight="-0.1905451269486728"/&gt;</t>
  </si>
  <si>
    <t>&lt;Con from="22" weight="-0.04075489123138625"/&gt;</t>
  </si>
  <si>
    <t>&lt;Con from="23" weight="0.02465985457960829"/&gt;</t>
  </si>
  <si>
    <t>&lt;Con from="24" weight="-0.2731758528451171"/&gt;</t>
  </si>
  <si>
    <t>&lt;Con from="25" weight="-0.4136884850659631"/&gt;</t>
  </si>
  <si>
    <t>&lt;Con from="26" weight="0.0315703316458958"/&gt;</t>
  </si>
  <si>
    <t>&lt;Con from="27" weight="-0.01709848555720319"/&gt;</t>
  </si>
  <si>
    <t>&lt;Con from="28" weight="-0.1021827338028308"/&gt;</t>
  </si>
  <si>
    <t>&lt;Con from="29" weight="0.1268322765940407"/&gt;</t>
  </si>
  <si>
    <t>&lt;Neuron id="35" bias="0.1214198084752244"&gt;</t>
  </si>
  <si>
    <t>&lt;Con from="0" weight="0.05359928043805696"/&gt;</t>
  </si>
  <si>
    <t>&lt;Con from="1" weight="0.3377364428507447"/&gt;</t>
  </si>
  <si>
    <t>&lt;Con from="2" weight="-0.04634241805674324"/&gt;</t>
  </si>
  <si>
    <t>&lt;Con from="3" weight="0.2486017830447535"/&gt;</t>
  </si>
  <si>
    <t>&lt;Con from="4" weight="0.2799544713884597"/&gt;</t>
  </si>
  <si>
    <t>&lt;Con from="5" weight="0.01006706540549041"/&gt;</t>
  </si>
  <si>
    <t>&lt;Con from="6" weight="-0.1654943488050281"/&gt;</t>
  </si>
  <si>
    <t>&lt;Con from="7" weight="-0.07577239946898712"/&gt;</t>
  </si>
  <si>
    <t>&lt;Con from="8" weight="0.1157753784275165"/&gt;</t>
  </si>
  <si>
    <t>&lt;Con from="9" weight="0.06536082727641965"/&gt;</t>
  </si>
  <si>
    <t>&lt;Con from="10" weight="0.07935074564029673"/&gt;</t>
  </si>
  <si>
    <t>&lt;Con from="11" weight="-0.1814819025018288"/&gt;</t>
  </si>
  <si>
    <t>&lt;Con from="12" weight="0.01288190975264693"/&gt;</t>
  </si>
  <si>
    <t>&lt;Con from="13" weight="-0.2055559972900163"/&gt;</t>
  </si>
  <si>
    <t>&lt;Con from="14" weight="-0.2357135214103072"/&gt;</t>
  </si>
  <si>
    <t>&lt;Con from="15" weight="0.005727597211789646"/&gt;</t>
  </si>
  <si>
    <t>&lt;Con from="16" weight="-0.1748686604744366"/&gt;</t>
  </si>
  <si>
    <t>&lt;Con from="17" weight="0.2396788932529786"/&gt;</t>
  </si>
  <si>
    <t>&lt;Con from="18" weight="0.3255482512765125"/&gt;</t>
  </si>
  <si>
    <t>&lt;Con from="19" weight="-0.06930558396690273"/&gt;</t>
  </si>
  <si>
    <t>&lt;Con from="20" weight="-0.1491033345168478"/&gt;</t>
  </si>
  <si>
    <t>&lt;Con from="21" weight="-0.1391592342156881"/&gt;</t>
  </si>
  <si>
    <t>&lt;Con from="22" weight="-0.1937097910259679"/&gt;</t>
  </si>
  <si>
    <t>&lt;Con from="23" weight="-0.1961138014004317"/&gt;</t>
  </si>
  <si>
    <t>&lt;Con from="24" weight="-0.109296137385363"/&gt;</t>
  </si>
  <si>
    <t>&lt;Con from="25" weight="-0.201749317988112"/&gt;</t>
  </si>
  <si>
    <t>&lt;Con from="26" weight="0.00417478735800768"/&gt;</t>
  </si>
  <si>
    <t>&lt;Con from="27" weight="-0.2520497710004381"/&gt;</t>
  </si>
  <si>
    <t>&lt;Con from="28" weight="-0.01631100729331811"/&gt;</t>
  </si>
  <si>
    <t>&lt;Con from="29" weight="0.08185926604166147"/&gt;</t>
  </si>
  <si>
    <t>&lt;Neuron id="36" bias="-0.08965217708555857"&gt;</t>
  </si>
  <si>
    <t>&lt;Con from="0" weight="-0.4871212440090705"/&gt;</t>
  </si>
  <si>
    <t>&lt;Con from="1" weight="-0.1983238951689038"/&gt;</t>
  </si>
  <si>
    <t>&lt;Con from="2" weight="-0.5001821334949514"/&gt;</t>
  </si>
  <si>
    <t>&lt;Con from="3" weight="0.07348213725115219"/&gt;</t>
  </si>
  <si>
    <t>&lt;Con from="4" weight="0.008319341126752554"/&gt;</t>
  </si>
  <si>
    <t>&lt;Con from="5" weight="0.2214996411324773"/&gt;</t>
  </si>
  <si>
    <t>&lt;Con from="6" weight="-0.1638906218470217"/&gt;</t>
  </si>
  <si>
    <t>&lt;Con from="7" weight="0.1769136506783758"/&gt;</t>
  </si>
  <si>
    <t>&lt;Con from="8" weight="0.05499715903458241"/&gt;</t>
  </si>
  <si>
    <t>&lt;Con from="9" weight="0.2857106465313946"/&gt;</t>
  </si>
  <si>
    <t>&lt;Con from="10" weight="0.1507497685867401"/&gt;</t>
  </si>
  <si>
    <t>&lt;Con from="11" weight="0.1710475060250039"/&gt;</t>
  </si>
  <si>
    <t>&lt;Con from="12" weight="-0.2408453112545891"/&gt;</t>
  </si>
  <si>
    <t>&lt;Con from="13" weight="-0.1144879004213541"/&gt;</t>
  </si>
  <si>
    <t>&lt;Con from="14" weight="-0.006573774814045448"/&gt;</t>
  </si>
  <si>
    <t>&lt;Con from="15" weight="0.115658924461145"/&gt;</t>
  </si>
  <si>
    <t>&lt;Con from="16" weight="-0.04485926385746044"/&gt;</t>
  </si>
  <si>
    <t>&lt;Con from="17" weight="-0.2843877300917213"/&gt;</t>
  </si>
  <si>
    <t>&lt;Con from="18" weight="0.1559009240168414"/&gt;</t>
  </si>
  <si>
    <t>&lt;Con from="19" weight="0.1245202384613433"/&gt;</t>
  </si>
  <si>
    <t>&lt;Con from="20" weight="0.3088933176079159"/&gt;</t>
  </si>
  <si>
    <t>&lt;Con from="21" weight="-0.0286769525541554"/&gt;</t>
  </si>
  <si>
    <t>&lt;Con from="22" weight="-0.03871336249620385"/&gt;</t>
  </si>
  <si>
    <t>&lt;Con from="23" weight="-0.164160954009325"/&gt;</t>
  </si>
  <si>
    <t>&lt;Con from="24" weight="-0.1241915183900421"/&gt;</t>
  </si>
  <si>
    <t>&lt;Con from="25" weight="0.2566134373571695"/&gt;</t>
  </si>
  <si>
    <t>&lt;Con from="26" weight="0.2152742297021168"/&gt;</t>
  </si>
  <si>
    <t>&lt;Con from="27" weight="-0.1648467337089379"/&gt;</t>
  </si>
  <si>
    <t>&lt;Con from="28" weight="-0.3366654729509474"/&gt;</t>
  </si>
  <si>
    <t>&lt;Con from="29" weight="-0.05081395839485234"/&gt;</t>
  </si>
  <si>
    <t>&lt;Neuron id="37" bias="0.5140188529983216"&gt;</t>
  </si>
  <si>
    <t>&lt;Con from="30" weight="-0.1064370138068622"/&gt;</t>
  </si>
  <si>
    <t>&lt;Con from="31" weight="0.2275361636045068"/&gt;</t>
  </si>
  <si>
    <t>&lt;Con from="32" weight="-0.8219350464758052"/&gt;</t>
  </si>
  <si>
    <t>&lt;Con from="33" weight="0.3321478357086297"/&gt;</t>
  </si>
  <si>
    <t>&lt;Con from="34" weight="0.3024153955329707"/&gt;</t>
  </si>
  <si>
    <t>&lt;Con from="35" weight="0.2616948406402181"/&gt;</t>
  </si>
  <si>
    <t>&lt;Con from="36" weight="-0.2188962014082384"/&gt;</t>
  </si>
  <si>
    <t>&lt;Neuron id="38" bias="0.462068462290579"&gt;</t>
  </si>
  <si>
    <t>&lt;Con from="30" weight="0.3232391752466151"/&gt;</t>
  </si>
  <si>
    <t>&lt;Con from="31" weight="-0.09861692981335062"/&gt;</t>
  </si>
  <si>
    <t>&lt;Con from="32" weight="0.5192958741757738"/&gt;</t>
  </si>
  <si>
    <t>&lt;Con from="33" weight="-0.2171501759083041"/&gt;</t>
  </si>
  <si>
    <t>&lt;Con from="34" weight="-0.2671412775600174"/&gt;</t>
  </si>
  <si>
    <t>&lt;Con from="35" weight="0.01610793675727623"/&gt;</t>
  </si>
  <si>
    <t>&lt;Con from="36" weight="-0.03547781283651951"/&gt;</t>
  </si>
  <si>
    <t>&lt;NeuralOutput outputNeuron="37"&gt;</t>
  </si>
  <si>
    <t>&lt;NeuralOutput outputNeuron="38"&gt;</t>
  </si>
  <si>
    <t>{"comment":"this RASON template was auto-generated by Analytic Solver Data Science","datasources":{},"datasets":{},"estimator":{"neuralNetClassificationEstimator":{"type":"classification","algorithm":"neuralNetwork","parameters":{"categoricalFeaturesNames":[],"dataForErrorComputation":"ONLY_TRAIN","errorTolerance":0.01,"hiddenLayerActivation":"TANH","learningOrder":"ORIGINAL","learningOrderSeed":12345,"learningRate":0.10000000000000001,"maxNumEpochsWithNoImprovement":5,"maxTrainingTimeSeconds":3600,"minRelativeErrorChange":0.0001,"minRelativeErrorChangeComparedToNullModel":0.001,"numEpochs":30,"numNeurons":[7],"outputLayerActivation":"TANH","priorProbMethod":"EMPIRICAL","weightDecay":0,"weightInitSeed":12345,"weightMomentum":0.59999999999999998}}},"actions":{}}</t>
  </si>
  <si>
    <t>&lt;Timestamp&gt;2025-3-18 19:48:24&lt;/Timestamp&gt;</t>
  </si>
  <si>
    <t>Date: 18-Mar-2025 19:48:24</t>
  </si>
  <si>
    <t>&lt;NeuralLayer numberOfNeurons="15" activationFunction="tanh"&gt;</t>
  </si>
  <si>
    <t>&lt;Neuron id="30" bias="-0.0599347565156689"&gt;</t>
  </si>
  <si>
    <t>&lt;Con from="0" weight="-0.04055367447920171"/&gt;</t>
  </si>
  <si>
    <t>&lt;Con from="1" weight="0.1124796595674936"/&gt;</t>
  </si>
  <si>
    <t>&lt;Con from="2" weight="-0.4304111085873817"/&gt;</t>
  </si>
  <si>
    <t>&lt;Con from="3" weight="0.1599144726420718"/&gt;</t>
  </si>
  <si>
    <t>&lt;Con from="4" weight="0.1644266308138368"/&gt;</t>
  </si>
  <si>
    <t>&lt;Con from="5" weight="0.1487285546130808"/&gt;</t>
  </si>
  <si>
    <t>&lt;Con from="6" weight="-0.1021694501792229"/&gt;</t>
  </si>
  <si>
    <t>&lt;Con from="7" weight="0.1847939616181986"/&gt;</t>
  </si>
  <si>
    <t>&lt;Con from="8" weight="-0.05731342477246629"/&gt;</t>
  </si>
  <si>
    <t>&lt;Con from="9" weight="0.2690449136183997"/&gt;</t>
  </si>
  <si>
    <t>&lt;Con from="10" weight="-0.1643689092160181"/&gt;</t>
  </si>
  <si>
    <t>&lt;Con from="11" weight="-0.1120594544762265"/&gt;</t>
  </si>
  <si>
    <t>&lt;Con from="12" weight="0.02307196779048876"/&gt;</t>
  </si>
  <si>
    <t>&lt;Con from="13" weight="-0.0357950525248661"/&gt;</t>
  </si>
  <si>
    <t>&lt;Con from="14" weight="-0.1817734851268877"/&gt;</t>
  </si>
  <si>
    <t>&lt;Con from="15" weight="-0.0619485047969772"/&gt;</t>
  </si>
  <si>
    <t>&lt;Con from="16" weight="-0.2104609403617401"/&gt;</t>
  </si>
  <si>
    <t>&lt;Con from="17" weight="0.2053215342892457"/&gt;</t>
  </si>
  <si>
    <t>&lt;Con from="18" weight="-0.02524269113140213"/&gt;</t>
  </si>
  <si>
    <t>&lt;Con from="19" weight="-0.1177689547131809"/&gt;</t>
  </si>
  <si>
    <t>&lt;Con from="20" weight="0.01915661840159527"/&gt;</t>
  </si>
  <si>
    <t>&lt;Con from="21" weight="0.05610553508967088"/&gt;</t>
  </si>
  <si>
    <t>&lt;Con from="22" weight="-0.1805986594261095"/&gt;</t>
  </si>
  <si>
    <t>&lt;Con from="23" weight="0.04149462712904506"/&gt;</t>
  </si>
  <si>
    <t>&lt;Con from="24" weight="0.0170340958762962"/&gt;</t>
  </si>
  <si>
    <t>&lt;Con from="25" weight="-0.1671871105357836"/&gt;</t>
  </si>
  <si>
    <t>&lt;Con from="26" weight="-0.0709275997928544"/&gt;</t>
  </si>
  <si>
    <t>&lt;Con from="27" weight="0.109276480145991"/&gt;</t>
  </si>
  <si>
    <t>&lt;Con from="28" weight="0.3190826541716163"/&gt;</t>
  </si>
  <si>
    <t>&lt;Con from="29" weight="0.1110721215028383"/&gt;</t>
  </si>
  <si>
    <t>&lt;Neuron id="31" bias="-0.004902706490553922"&gt;</t>
  </si>
  <si>
    <t>&lt;Con from="0" weight="-0.2417065384587075"/&gt;</t>
  </si>
  <si>
    <t>&lt;Con from="1" weight="0.02601915911342192"/&gt;</t>
  </si>
  <si>
    <t>&lt;Con from="2" weight="0.3556147756778274"/&gt;</t>
  </si>
  <si>
    <t>&lt;Con from="3" weight="0.09963292925354811"/&gt;</t>
  </si>
  <si>
    <t>&lt;Con from="4" weight="-0.06821743482956871"/&gt;</t>
  </si>
  <si>
    <t>&lt;Con from="5" weight="0.02550985816733392"/&gt;</t>
  </si>
  <si>
    <t>&lt;Con from="6" weight="-0.01869369254484636"/&gt;</t>
  </si>
  <si>
    <t>&lt;Con from="7" weight="-0.2023273006994168"/&gt;</t>
  </si>
  <si>
    <t>&lt;Con from="8" weight="-0.1928867066699815"/&gt;</t>
  </si>
  <si>
    <t>&lt;Con from="9" weight="-0.1654559597053959"/&gt;</t>
  </si>
  <si>
    <t>&lt;Con from="10" weight="0.09381525378565608"/&gt;</t>
  </si>
  <si>
    <t>&lt;Con from="11" weight="-0.2497137445988514"/&gt;</t>
  </si>
  <si>
    <t>&lt;Con from="12" weight="-0.1670145258810254"/&gt;</t>
  </si>
  <si>
    <t>&lt;Con from="13" weight="0.1675682459696719"/&gt;</t>
  </si>
  <si>
    <t>&lt;Con from="14" weight="-0.07141697807668619"/&gt;</t>
  </si>
  <si>
    <t>&lt;Con from="15" weight="-0.07479663068778342"/&gt;</t>
  </si>
  <si>
    <t>&lt;Con from="16" weight="-0.3586399073635185"/&gt;</t>
  </si>
  <si>
    <t>&lt;Con from="17" weight="-0.008507592924678281"/&gt;</t>
  </si>
  <si>
    <t>&lt;Con from="18" weight="-0.06197850822821033"/&gt;</t>
  </si>
  <si>
    <t>&lt;Con from="19" weight="-0.3446548242624942"/&gt;</t>
  </si>
  <si>
    <t>&lt;Con from="20" weight="0.3198900768841444"/&gt;</t>
  </si>
  <si>
    <t>&lt;Con from="21" weight="0.01186421660473029"/&gt;</t>
  </si>
  <si>
    <t>&lt;Con from="22" weight="0.3550560649484372"/&gt;</t>
  </si>
  <si>
    <t>&lt;Con from="23" weight="0.07402703491227841"/&gt;</t>
  </si>
  <si>
    <t>&lt;Con from="24" weight="0.09815857822106623"/&gt;</t>
  </si>
  <si>
    <t>&lt;Con from="25" weight="-0.04765299119918891"/&gt;</t>
  </si>
  <si>
    <t>&lt;Con from="26" weight="-0.5050011885407512"/&gt;</t>
  </si>
  <si>
    <t>&lt;Con from="27" weight="-0.4657162073808178"/&gt;</t>
  </si>
  <si>
    <t>&lt;Con from="28" weight="0.2800795006035767"/&gt;</t>
  </si>
  <si>
    <t>&lt;Con from="29" weight="0.0627571051549331"/&gt;</t>
  </si>
  <si>
    <t>&lt;Neuron id="32" bias="-0.1573951948409574"&gt;</t>
  </si>
  <si>
    <t>&lt;Con from="0" weight="0.2197959022221222"/&gt;</t>
  </si>
  <si>
    <t>&lt;Con from="1" weight="-0.187377379918616"/&gt;</t>
  </si>
  <si>
    <t>&lt;Con from="2" weight="0.190508050984649"/&gt;</t>
  </si>
  <si>
    <t>&lt;Con from="3" weight="0.0926806133733922"/&gt;</t>
  </si>
  <si>
    <t>&lt;Con from="4" weight="-0.1037822493357354"/&gt;</t>
  </si>
  <si>
    <t>&lt;Con from="5" weight="-0.06041938366811354"/&gt;</t>
  </si>
  <si>
    <t>&lt;Con from="6" weight="-0.1655457492411832"/&gt;</t>
  </si>
  <si>
    <t>&lt;Con from="7" weight="0.1430499333540209"/&gt;</t>
  </si>
  <si>
    <t>&lt;Con from="8" weight="-0.01220647709012625"/&gt;</t>
  </si>
  <si>
    <t>&lt;Con from="9" weight="-0.1915268978425439"/&gt;</t>
  </si>
  <si>
    <t>&lt;Con from="10" weight="0.2534730866849489"/&gt;</t>
  </si>
  <si>
    <t>&lt;Con from="11" weight="0.04840395903013238"/&gt;</t>
  </si>
  <si>
    <t>&lt;Con from="12" weight="0.06393510026710197"/&gt;</t>
  </si>
  <si>
    <t>&lt;Con from="13" weight="-0.1264496222172155"/&gt;</t>
  </si>
  <si>
    <t>&lt;Con from="14" weight="0.08567455145704289"/&gt;</t>
  </si>
  <si>
    <t>&lt;Con from="15" weight="-0.08332201947281477"/&gt;</t>
  </si>
  <si>
    <t>&lt;Con from="16" weight="-0.1325106258479489"/&gt;</t>
  </si>
  <si>
    <t>&lt;Con from="17" weight="0.2887325429296597"/&gt;</t>
  </si>
  <si>
    <t>&lt;Con from="18" weight="-0.02170994027175711"/&gt;</t>
  </si>
  <si>
    <t>&lt;Con from="19" weight="0.03006050371620535"/&gt;</t>
  </si>
  <si>
    <t>&lt;Con from="20" weight="0.1618775752520032"/&gt;</t>
  </si>
  <si>
    <t>&lt;Con from="21" weight="0.2539266374964982"/&gt;</t>
  </si>
  <si>
    <t>&lt;Con from="22" weight="0.2302716390922874"/&gt;</t>
  </si>
  <si>
    <t>&lt;Con from="23" weight="-0.02070248979015811"/&gt;</t>
  </si>
  <si>
    <t>&lt;Con from="24" weight="0.2128607481820233"/&gt;</t>
  </si>
  <si>
    <t>&lt;Con from="25" weight="-0.2777535096528752"/&gt;</t>
  </si>
  <si>
    <t>&lt;Con from="26" weight="-0.0637247135945616"/&gt;</t>
  </si>
  <si>
    <t>&lt;Con from="27" weight="-0.1553596730856273"/&gt;</t>
  </si>
  <si>
    <t>&lt;Con from="28" weight="0.2517985663429819"/&gt;</t>
  </si>
  <si>
    <t>&lt;Con from="29" weight="0.05759075593382916"/&gt;</t>
  </si>
  <si>
    <t>&lt;Neuron id="33" bias="0.08618014642167172"&gt;</t>
  </si>
  <si>
    <t>&lt;Con from="0" weight="-0.1361623987856158"/&gt;</t>
  </si>
  <si>
    <t>&lt;Con from="1" weight="0.1253287867358344"/&gt;</t>
  </si>
  <si>
    <t>&lt;Con from="2" weight="0.1587487095804926"/&gt;</t>
  </si>
  <si>
    <t>&lt;Con from="3" weight="0.1300262164485438"/&gt;</t>
  </si>
  <si>
    <t>&lt;Con from="4" weight="0.0180676318480339"/&gt;</t>
  </si>
  <si>
    <t>&lt;Con from="5" weight="0.07745478596358517"/&gt;</t>
  </si>
  <si>
    <t>&lt;Con from="6" weight="-0.1697838742481804"/&gt;</t>
  </si>
  <si>
    <t>&lt;Con from="7" weight="-0.1206501361404315"/&gt;</t>
  </si>
  <si>
    <t>&lt;Con from="8" weight="0.0281812540312485"/&gt;</t>
  </si>
  <si>
    <t>&lt;Con from="9" weight="-0.04674526876898687"/&gt;</t>
  </si>
  <si>
    <t>&lt;Con from="10" weight="0.009920343242688898"/&gt;</t>
  </si>
  <si>
    <t>&lt;Con from="11" weight="0.2573335811172739"/&gt;</t>
  </si>
  <si>
    <t>&lt;Con from="12" weight="0.3190276756977768"/&gt;</t>
  </si>
  <si>
    <t>&lt;Con from="13" weight="-0.2034205512861674"/&gt;</t>
  </si>
  <si>
    <t>&lt;Con from="14" weight="-0.3120928963161508"/&gt;</t>
  </si>
  <si>
    <t>&lt;Con from="15" weight="0.3798189007780735"/&gt;</t>
  </si>
  <si>
    <t>&lt;Con from="16" weight="-0.1782424021671815"/&gt;</t>
  </si>
  <si>
    <t>&lt;Con from="17" weight="-0.08363565841835359"/&gt;</t>
  </si>
  <si>
    <t>&lt;Con from="18" weight="0.3813883566029851"/&gt;</t>
  </si>
  <si>
    <t>&lt;Con from="19" weight="0.2018531032120907"/&gt;</t>
  </si>
  <si>
    <t>&lt;Con from="20" weight="0.183573320636637"/&gt;</t>
  </si>
  <si>
    <t>&lt;Con from="21" weight="-0.4145554430166576"/&gt;</t>
  </si>
  <si>
    <t>&lt;Con from="22" weight="-0.1816506264728656"/&gt;</t>
  </si>
  <si>
    <t>&lt;Con from="23" weight="0.338749737585043"/&gt;</t>
  </si>
  <si>
    <t>&lt;Con from="24" weight="-0.1324279492384758"/&gt;</t>
  </si>
  <si>
    <t>&lt;Con from="25" weight="-0.06795292127364851"/&gt;</t>
  </si>
  <si>
    <t>&lt;Con from="26" weight="0.01446972172423395"/&gt;</t>
  </si>
  <si>
    <t>&lt;Con from="27" weight="-0.06781369809167608"/&gt;</t>
  </si>
  <si>
    <t>&lt;Con from="28" weight="-0.1861808771135014"/&gt;</t>
  </si>
  <si>
    <t>&lt;Con from="29" weight="-0.0589222999778518"/&gt;</t>
  </si>
  <si>
    <t>&lt;Neuron id="34" bias="0.03780127650267007"&gt;</t>
  </si>
  <si>
    <t>&lt;Con from="0" weight="-0.08354128548643919"/&gt;</t>
  </si>
  <si>
    <t>&lt;Con from="1" weight="-0.4023069692686095"/&gt;</t>
  </si>
  <si>
    <t>&lt;Con from="2" weight="-0.3285956529975307"/&gt;</t>
  </si>
  <si>
    <t>&lt;Con from="3" weight="-0.3102013765690273"/&gt;</t>
  </si>
  <si>
    <t>&lt;Con from="4" weight="0.05619834797323755"/&gt;</t>
  </si>
  <si>
    <t>&lt;Con from="5" weight="-0.04602642188334716"/&gt;</t>
  </si>
  <si>
    <t>&lt;Con from="6" weight="-0.2939971917834325"/&gt;</t>
  </si>
  <si>
    <t>&lt;Con from="7" weight="-0.09089796466534372"/&gt;</t>
  </si>
  <si>
    <t>&lt;Con from="8" weight="0.4336917316736794"/&gt;</t>
  </si>
  <si>
    <t>&lt;Con from="9" weight="0.1380557854148101"/&gt;</t>
  </si>
  <si>
    <t>&lt;Con from="10" weight="0.2255570342317529"/&gt;</t>
  </si>
  <si>
    <t>&lt;Con from="11" weight="-0.1500381955198794"/&gt;</t>
  </si>
  <si>
    <t>&lt;Con from="12" weight="0.1224656540676292"/&gt;</t>
  </si>
  <si>
    <t>&lt;Con from="13" weight="-0.4406351803070406"/&gt;</t>
  </si>
  <si>
    <t>&lt;Con from="14" weight="0.1384572963778266"/&gt;</t>
  </si>
  <si>
    <t>&lt;Con from="15" weight="0.1183883473391774"/&gt;</t>
  </si>
  <si>
    <t>&lt;Con from="16" weight="-0.06248580442234119"/&gt;</t>
  </si>
  <si>
    <t>&lt;Con from="17" weight="-0.1382280225767548"/&gt;</t>
  </si>
  <si>
    <t>&lt;Con from="18" weight="0.08278510369903318"/&gt;</t>
  </si>
  <si>
    <t>&lt;Con from="19" weight="0.01529931131398907"/&gt;</t>
  </si>
  <si>
    <t>&lt;Con from="20" weight="0.09810757068786602"/&gt;</t>
  </si>
  <si>
    <t>&lt;Con from="21" weight="-0.210698988451521"/&gt;</t>
  </si>
  <si>
    <t>&lt;Con from="22" weight="-0.03821238845223893"/&gt;</t>
  </si>
  <si>
    <t>&lt;Con from="23" weight="0.02569077225958245"/&gt;</t>
  </si>
  <si>
    <t>&lt;Con from="24" weight="-0.3116601654214864"/&gt;</t>
  </si>
  <si>
    <t>&lt;Con from="25" weight="-0.4127713704434561"/&gt;</t>
  </si>
  <si>
    <t>&lt;Con from="26" weight="0.03057627800945594"/&gt;</t>
  </si>
  <si>
    <t>&lt;Con from="27" weight="-0.02878859554569681"/&gt;</t>
  </si>
  <si>
    <t>&lt;Con from="28" weight="-0.109105641388231"/&gt;</t>
  </si>
  <si>
    <t>&lt;Con from="29" weight="0.1178613225439544"/&gt;</t>
  </si>
  <si>
    <t>&lt;Neuron id="35" bias="0.08871553527602692"&gt;</t>
  </si>
  <si>
    <t>&lt;Con from="0" weight="0.06569464668857235"/&gt;</t>
  </si>
  <si>
    <t>&lt;Con from="1" weight="0.3293168549761264"/&gt;</t>
  </si>
  <si>
    <t>&lt;Con from="2" weight="-0.04713949431362307"/&gt;</t>
  </si>
  <si>
    <t>&lt;Con from="3" weight="0.2483565039811409"/&gt;</t>
  </si>
  <si>
    <t>&lt;Con from="4" weight="0.2822930787184834"/&gt;</t>
  </si>
  <si>
    <t>&lt;Con from="5" weight="0.01083239490811075"/&gt;</t>
  </si>
  <si>
    <t>&lt;Con from="6" weight="-0.1698473292368261"/&gt;</t>
  </si>
  <si>
    <t>&lt;Con from="7" weight="-0.07990616792914838"/&gt;</t>
  </si>
  <si>
    <t>&lt;Con from="8" weight="0.1162756053849747"/&gt;</t>
  </si>
  <si>
    <t>&lt;Con from="9" weight="0.06597070226297397"/&gt;</t>
  </si>
  <si>
    <t>&lt;Con from="10" weight="0.07995107331047997"/&gt;</t>
  </si>
  <si>
    <t>&lt;Con from="11" weight="-0.2061657899907751"/&gt;</t>
  </si>
  <si>
    <t>&lt;Con from="12" weight="0.01325643201660203"/&gt;</t>
  </si>
  <si>
    <t>&lt;Con from="13" weight="-0.2040556121743279"/&gt;</t>
  </si>
  <si>
    <t>&lt;Con from="14" weight="-0.2470109059910748"/&gt;</t>
  </si>
  <si>
    <t>&lt;Con from="15" weight="0.004489129349211429"/&gt;</t>
  </si>
  <si>
    <t>&lt;Con from="16" weight="-0.176043350509041"/&gt;</t>
  </si>
  <si>
    <t>&lt;Con from="17" weight="0.2354533131866202"/&gt;</t>
  </si>
  <si>
    <t>&lt;Con from="18" weight="0.3332753849335403"/&gt;</t>
  </si>
  <si>
    <t>&lt;Con from="19" weight="-0.07230840611418078"/&gt;</t>
  </si>
  <si>
    <t>&lt;Con from="20" weight="-0.1482892017045538"/&gt;</t>
  </si>
  <si>
    <t>&lt;Con from="21" weight="-0.1553930201012386"/&gt;</t>
  </si>
  <si>
    <t>&lt;Con from="22" weight="-0.1926819056504165"/&gt;</t>
  </si>
  <si>
    <t>&lt;Con from="23" weight="-0.1942619887981017"/&gt;</t>
  </si>
  <si>
    <t>&lt;Con from="24" weight="-0.115895615655041"/&gt;</t>
  </si>
  <si>
    <t>&lt;Con from="25" weight="-0.200566149657466"/&gt;</t>
  </si>
  <si>
    <t>&lt;Con from="26" weight="-0.000623847996739738"/&gt;</t>
  </si>
  <si>
    <t>&lt;Con from="27" weight="-0.2565382966332658"/&gt;</t>
  </si>
  <si>
    <t>&lt;Con from="28" weight="-0.008312338609538226"/&gt;</t>
  </si>
  <si>
    <t>&lt;Con from="29" weight="0.07940759077516539"/&gt;</t>
  </si>
  <si>
    <t>&lt;Neuron id="36" bias="-0.032070705835122"&gt;</t>
  </si>
  <si>
    <t>&lt;Con from="0" weight="-0.4924596032399138"/&gt;</t>
  </si>
  <si>
    <t>&lt;Con from="1" weight="-0.1969298075321662"/&gt;</t>
  </si>
  <si>
    <t>&lt;Con from="2" weight="-0.488156343142607"/&gt;</t>
  </si>
  <si>
    <t>&lt;Con from="3" weight="0.08426831361680953"/&gt;</t>
  </si>
  <si>
    <t>&lt;Con from="4" weight="0.01520276747633764"/&gt;</t>
  </si>
  <si>
    <t>&lt;Con from="5" weight="0.2302078703961058"/&gt;</t>
  </si>
  <si>
    <t>&lt;Con from="6" weight="-0.148273877849364"/&gt;</t>
  </si>
  <si>
    <t>&lt;Con from="7" weight="0.193427595348494"/&gt;</t>
  </si>
  <si>
    <t>&lt;Con from="8" weight="0.05601911846405053"/&gt;</t>
  </si>
  <si>
    <t>&lt;Con from="9" weight="0.286260590402774"/&gt;</t>
  </si>
  <si>
    <t>&lt;Con from="10" weight="0.1572143050131942"/&gt;</t>
  </si>
  <si>
    <t>&lt;Con from="11" weight="0.1797594134256864"/&gt;</t>
  </si>
  <si>
    <t>&lt;Con from="12" weight="-0.2355096540377921"/&gt;</t>
  </si>
  <si>
    <t>&lt;Con from="13" weight="-0.1088453756445814"/&gt;</t>
  </si>
  <si>
    <t>&lt;Con from="14" weight="-0.003834436090145924"/&gt;</t>
  </si>
  <si>
    <t>&lt;Con from="15" weight="0.1153511251283709"/&gt;</t>
  </si>
  <si>
    <t>&lt;Con from="16" weight="-0.04437779838001032"/&gt;</t>
  </si>
  <si>
    <t>&lt;Con from="17" weight="-0.2856483958242778"/&gt;</t>
  </si>
  <si>
    <t>&lt;Con from="18" weight="0.1407140894528865"/&gt;</t>
  </si>
  <si>
    <t>&lt;Con from="19" weight="0.1213898061150866"/&gt;</t>
  </si>
  <si>
    <t>&lt;Con from="20" weight="0.3199077874762358"/&gt;</t>
  </si>
  <si>
    <t>&lt;Con from="21" weight="-0.0199745417024922"/&gt;</t>
  </si>
  <si>
    <t>&lt;Con from="22" weight="-0.02800892376894351"/&gt;</t>
  </si>
  <si>
    <t>&lt;Con from="23" weight="-0.1552218873829063"/&gt;</t>
  </si>
  <si>
    <t>&lt;Con from="24" weight="-0.1143400569024509"/&gt;</t>
  </si>
  <si>
    <t>&lt;Con from="25" weight="0.2638293609105893"/&gt;</t>
  </si>
  <si>
    <t>&lt;Con from="26" weight="0.2270376803199747"/&gt;</t>
  </si>
  <si>
    <t>&lt;Con from="27" weight="-0.1537959005868527"/&gt;</t>
  </si>
  <si>
    <t>&lt;Con from="28" weight="-0.3426790862646366"/&gt;</t>
  </si>
  <si>
    <t>&lt;Con from="29" weight="-0.04543347658902933"/&gt;</t>
  </si>
  <si>
    <t>&lt;Neuron id="37" bias="0.03857878355772468"&gt;</t>
  </si>
  <si>
    <t>&lt;Con from="0" weight="-0.08217715834911116"/&gt;</t>
  </si>
  <si>
    <t>&lt;Con from="1" weight="-0.1888071316106515"/&gt;</t>
  </si>
  <si>
    <t>&lt;Con from="2" weight="-0.08277639661548276"/&gt;</t>
  </si>
  <si>
    <t>&lt;Con from="3" weight="-0.2020285345998939"/&gt;</t>
  </si>
  <si>
    <t>&lt;Con from="4" weight="-0.2337545845305906"/&gt;</t>
  </si>
  <si>
    <t>&lt;Con from="5" weight="-0.008519462428613451"/&gt;</t>
  </si>
  <si>
    <t>&lt;Con from="6" weight="0.0322192041911594"/&gt;</t>
  </si>
  <si>
    <t>&lt;Con from="7" weight="0.1158580640409269"/&gt;</t>
  </si>
  <si>
    <t>&lt;Con from="8" weight="-0.0052967717880076"/&gt;</t>
  </si>
  <si>
    <t>&lt;Con from="9" weight="0.1891697685846628"/&gt;</t>
  </si>
  <si>
    <t>&lt;Con from="10" weight="-0.1427240705123995"/&gt;</t>
  </si>
  <si>
    <t>&lt;Con from="11" weight="0.3312316124727052"/&gt;</t>
  </si>
  <si>
    <t>&lt;Con from="12" weight="-0.05546600845611355"/&gt;</t>
  </si>
  <si>
    <t>&lt;Con from="13" weight="-0.01684317547196247"/&gt;</t>
  </si>
  <si>
    <t>&lt;Con from="14" weight="0.09330117952455536"/&gt;</t>
  </si>
  <si>
    <t>&lt;Con from="15" weight="-0.02348313619154976"/&gt;</t>
  </si>
  <si>
    <t>&lt;Con from="16" weight="-0.08157544400814754"/&gt;</t>
  </si>
  <si>
    <t>&lt;Con from="17" weight="-0.1951096002996376"/&gt;</t>
  </si>
  <si>
    <t>&lt;Con from="18" weight="-0.2331637156498326"/&gt;</t>
  </si>
  <si>
    <t>&lt;Con from="19" weight="0.07344426012944437"/&gt;</t>
  </si>
  <si>
    <t>&lt;Con from="20" weight="-0.05660598514114568"/&gt;</t>
  </si>
  <si>
    <t>&lt;Con from="21" weight="0.08818845198320033"/&gt;</t>
  </si>
  <si>
    <t>&lt;Con from="22" weight="-0.1946130695958068"/&gt;</t>
  </si>
  <si>
    <t>&lt;Con from="23" weight="0.02294655813575784"/&gt;</t>
  </si>
  <si>
    <t>&lt;Con from="24" weight="-0.01064433632165226"/&gt;</t>
  </si>
  <si>
    <t>&lt;Con from="25" weight="-0.007677861244940005"/&gt;</t>
  </si>
  <si>
    <t>&lt;Con from="26" weight="-0.203808105721979"/&gt;</t>
  </si>
  <si>
    <t>&lt;Con from="27" weight="0.07616052133926686"/&gt;</t>
  </si>
  <si>
    <t>&lt;Con from="28" weight="-0.2239970976035933"/&gt;</t>
  </si>
  <si>
    <t>&lt;Con from="29" weight="-0.04018375011668124"/&gt;</t>
  </si>
  <si>
    <t>&lt;Neuron id="38" bias="-0.0152738315484492"&gt;</t>
  </si>
  <si>
    <t>&lt;Con from="0" weight="0.2275342870505155"/&gt;</t>
  </si>
  <si>
    <t>&lt;Con from="1" weight="-0.1310394407432108"/&gt;</t>
  </si>
  <si>
    <t>&lt;Con from="2" weight="-0.07224787690089289"/&gt;</t>
  </si>
  <si>
    <t>&lt;Con from="3" weight="0.03905440973337489"/&gt;</t>
  </si>
  <si>
    <t>&lt;Con from="4" weight="-0.08569929292695307"/&gt;</t>
  </si>
  <si>
    <t>&lt;Con from="5" weight="-0.2018109305955077"/&gt;</t>
  </si>
  <si>
    <t>&lt;Con from="6" weight="0.02867440826307912"/&gt;</t>
  </si>
  <si>
    <t>&lt;Con from="7" weight="0.0161557706223986"/&gt;</t>
  </si>
  <si>
    <t>&lt;Con from="8" weight="0.09786716979177205"/&gt;</t>
  </si>
  <si>
    <t>&lt;Con from="9" weight="0.1427566787128891"/&gt;</t>
  </si>
  <si>
    <t>&lt;Con from="10" weight="0.08617277771113785"/&gt;</t>
  </si>
  <si>
    <t>&lt;Con from="11" weight="0.2216703755040901"/&gt;</t>
  </si>
  <si>
    <t>&lt;Con from="12" weight="0.1568220148836319"/&gt;</t>
  </si>
  <si>
    <t>&lt;Con from="13" weight="-0.2794154072273346"/&gt;</t>
  </si>
  <si>
    <t>&lt;Con from="14" weight="-0.1213265656171217"/&gt;</t>
  </si>
  <si>
    <t>&lt;Con from="15" weight="0.134869063077283"/&gt;</t>
  </si>
  <si>
    <t>&lt;Con from="16" weight="-0.03493802377303339"/&gt;</t>
  </si>
  <si>
    <t>&lt;Con from="17" weight="-0.3169635254179262"/&gt;</t>
  </si>
  <si>
    <t>&lt;Con from="18" weight="-0.06970817678969198"/&gt;</t>
  </si>
  <si>
    <t>&lt;Con from="19" weight="0.151682090887237"/&gt;</t>
  </si>
  <si>
    <t>&lt;Con from="20" weight="0.01641792263678949"/&gt;</t>
  </si>
  <si>
    <t>&lt;Con from="21" weight="0.02082135412341501"/&gt;</t>
  </si>
  <si>
    <t>&lt;Con from="22" weight="0.04262745166120456"/&gt;</t>
  </si>
  <si>
    <t>&lt;Con from="23" weight="-0.217995791200395"/&gt;</t>
  </si>
  <si>
    <t>&lt;Con from="24" weight="0.07277207700007583"/&gt;</t>
  </si>
  <si>
    <t>&lt;Con from="25" weight="0.1362136938109669"/&gt;</t>
  </si>
  <si>
    <t>&lt;Con from="26" weight="-0.2610459001394995"/&gt;</t>
  </si>
  <si>
    <t>&lt;Con from="27" weight="-0.1751484485753581"/&gt;</t>
  </si>
  <si>
    <t>&lt;Con from="28" weight="-0.05284980693395024"/&gt;</t>
  </si>
  <si>
    <t>&lt;Con from="29" weight="0.2264787930495594"/&gt;</t>
  </si>
  <si>
    <t>&lt;Neuron id="39" bias="0.1125611620592031"&gt;</t>
  </si>
  <si>
    <t>&lt;Con from="0" weight="0.1338352574460331"/&gt;</t>
  </si>
  <si>
    <t>&lt;Con from="1" weight="0.05482386801978451"/&gt;</t>
  </si>
  <si>
    <t>&lt;Con from="2" weight="-0.3447829048166731"/&gt;</t>
  </si>
  <si>
    <t>&lt;Con from="3" weight="-0.1280667030931499"/&gt;</t>
  </si>
  <si>
    <t>&lt;Con from="4" weight="0.08431730177241892"/&gt;</t>
  </si>
  <si>
    <t>&lt;Con from="5" weight="-0.03889408131790744"/&gt;</t>
  </si>
  <si>
    <t>&lt;Con from="6" weight="0.06615432014324799"/&gt;</t>
  </si>
  <si>
    <t>&lt;Con from="7" weight="-0.08393201353845189"/&gt;</t>
  </si>
  <si>
    <t>&lt;Con from="8" weight="-0.07157626032622499"/&gt;</t>
  </si>
  <si>
    <t>&lt;Con from="9" weight="-0.1065488828886714"/&gt;</t>
  </si>
  <si>
    <t>&lt;Con from="10" weight="-0.0475882068168816"/&gt;</t>
  </si>
  <si>
    <t>&lt;Con from="11" weight="0.05862616485597347"/&gt;</t>
  </si>
  <si>
    <t>&lt;Con from="12" weight="-0.1353841718928514"/&gt;</t>
  </si>
  <si>
    <t>&lt;Con from="13" weight="-0.115949898180809"/&gt;</t>
  </si>
  <si>
    <t>&lt;Con from="14" weight="0.1198607249213301"/&gt;</t>
  </si>
  <si>
    <t>&lt;Con from="15" weight="0.01833838956393878"/&gt;</t>
  </si>
  <si>
    <t>&lt;Con from="16" weight="0.004653101827704625"/&gt;</t>
  </si>
  <si>
    <t>&lt;Con from="17" weight="-0.2726797290830053"/&gt;</t>
  </si>
  <si>
    <t>&lt;Con from="18" weight="-0.1068083682331722"/&gt;</t>
  </si>
  <si>
    <t>&lt;Con from="19" weight="-0.006895735517465642"/&gt;</t>
  </si>
  <si>
    <t>&lt;Con from="20" weight="-0.3679621398562378"/&gt;</t>
  </si>
  <si>
    <t>&lt;Con from="21" weight="-0.1562896778173842"/&gt;</t>
  </si>
  <si>
    <t>&lt;Con from="22" weight="-0.09516035238293209"/&gt;</t>
  </si>
  <si>
    <t>&lt;Con from="23" weight="-0.2272561028626623"/&gt;</t>
  </si>
  <si>
    <t>&lt;Con from="24" weight="0.2152895257694223"/&gt;</t>
  </si>
  <si>
    <t>&lt;Con from="25" weight="-0.5404393916204404"/&gt;</t>
  </si>
  <si>
    <t>&lt;Con from="26" weight="0.05859408756517627"/&gt;</t>
  </si>
  <si>
    <t>&lt;Con from="27" weight="0.321470134884057"/&gt;</t>
  </si>
  <si>
    <t>&lt;Con from="28" weight="0.0246411733963704"/&gt;</t>
  </si>
  <si>
    <t>&lt;Con from="29" weight="0.1326567005167154"/&gt;</t>
  </si>
  <si>
    <t>&lt;Neuron id="40" bias="-0.09181583448892389"&gt;</t>
  </si>
  <si>
    <t>&lt;Con from="0" weight="0.2641698856624437"/&gt;</t>
  </si>
  <si>
    <t>&lt;Con from="1" weight="-0.2444477549783868"/&gt;</t>
  </si>
  <si>
    <t>&lt;Con from="2" weight="-0.3322009861217233"/&gt;</t>
  </si>
  <si>
    <t>&lt;Con from="3" weight="-0.2092141928990345"/&gt;</t>
  </si>
  <si>
    <t>&lt;Con from="4" weight="0.0391305191308528"/&gt;</t>
  </si>
  <si>
    <t>&lt;Con from="5" weight="0.2017498713367502"/&gt;</t>
  </si>
  <si>
    <t>&lt;Con from="6" weight="-0.1644953131888432"/&gt;</t>
  </si>
  <si>
    <t>&lt;Con from="7" weight="0.2014727561963648"/&gt;</t>
  </si>
  <si>
    <t>&lt;Con from="8" weight="-0.03583126598632032"/&gt;</t>
  </si>
  <si>
    <t>&lt;Con from="9" weight="-0.02059064526959309"/&gt;</t>
  </si>
  <si>
    <t>&lt;Con from="10" weight="-0.1512693227063931"/&gt;</t>
  </si>
  <si>
    <t>&lt;Con from="11" weight="-0.112909808565275"/&gt;</t>
  </si>
  <si>
    <t>&lt;Con from="12" weight="-0.05775762727629729"/&gt;</t>
  </si>
  <si>
    <t>&lt;Con from="13" weight="-0.1336523405975132"/&gt;</t>
  </si>
  <si>
    <t>&lt;Con from="14" weight="0.2296183201395473"/&gt;</t>
  </si>
  <si>
    <t>&lt;Con from="15" weight="-0.1023265047133475"/&gt;</t>
  </si>
  <si>
    <t>&lt;Con from="16" weight="0.09682377740644513"/&gt;</t>
  </si>
  <si>
    <t>&lt;Con from="17" weight="-0.0967460300668069"/&gt;</t>
  </si>
  <si>
    <t>&lt;Con from="18" weight="0.1979952716481481"/&gt;</t>
  </si>
  <si>
    <t>&lt;Con from="19" weight="-0.06238846061156682"/&gt;</t>
  </si>
  <si>
    <t>&lt;Con from="20" weight="-0.2505307294165635"/&gt;</t>
  </si>
  <si>
    <t>&lt;Con from="21" weight="0.05756636680030655"/&gt;</t>
  </si>
  <si>
    <t>&lt;Con from="22" weight="-0.08454168182275015"/&gt;</t>
  </si>
  <si>
    <t>&lt;Con from="23" weight="-0.04663623058093991"/&gt;</t>
  </si>
  <si>
    <t>&lt;Con from="24" weight="0.1402926167478731"/&gt;</t>
  </si>
  <si>
    <t>&lt;Con from="25" weight="0.1970354608486396"/&gt;</t>
  </si>
  <si>
    <t>&lt;Con from="26" weight="-0.320138752123771"/&gt;</t>
  </si>
  <si>
    <t>&lt;Con from="27" weight="-0.03588280077826767"/&gt;</t>
  </si>
  <si>
    <t>&lt;Con from="28" weight="-0.1488901870024424"/&gt;</t>
  </si>
  <si>
    <t>&lt;Con from="29" weight="-0.1887036610710154"/&gt;</t>
  </si>
  <si>
    <t>&lt;Neuron id="41" bias="-0.0384912787723767"&gt;</t>
  </si>
  <si>
    <t>&lt;Con from="0" weight="-0.2507241668021214"/&gt;</t>
  </si>
  <si>
    <t>&lt;Con from="1" weight="-0.1942030547051371"/&gt;</t>
  </si>
  <si>
    <t>&lt;Con from="2" weight="0.1666971488653167"/&gt;</t>
  </si>
  <si>
    <t>&lt;Con from="3" weight="-0.09013795490007293"/&gt;</t>
  </si>
  <si>
    <t>&lt;Con from="4" weight="-0.1391176757605447"/&gt;</t>
  </si>
  <si>
    <t>&lt;Con from="5" weight="-0.07725046222274791"/&gt;</t>
  </si>
  <si>
    <t>&lt;Con from="6" weight="-0.03262617130174801"/&gt;</t>
  </si>
  <si>
    <t>&lt;Con from="7" weight="-0.1523734455068572"/&gt;</t>
  </si>
  <si>
    <t>&lt;Con from="8" weight="-0.3906942793605796"/&gt;</t>
  </si>
  <si>
    <t>&lt;Con from="9" weight="-0.1911646835459004"/&gt;</t>
  </si>
  <si>
    <t>&lt;Con from="10" weight="-0.214591627101234"/&gt;</t>
  </si>
  <si>
    <t>&lt;Con from="11" weight="0.3011079452356672"/&gt;</t>
  </si>
  <si>
    <t>&lt;Con from="12" weight="0.01123251426787963"/&gt;</t>
  </si>
  <si>
    <t>&lt;Con from="13" weight="-0.334051443912851"/&gt;</t>
  </si>
  <si>
    <t>&lt;Con from="14" weight="0.1488890386346268"/&gt;</t>
  </si>
  <si>
    <t>&lt;Con from="15" weight="0.5096511072030835"/&gt;</t>
  </si>
  <si>
    <t>&lt;Con from="16" weight="-0.07128161829023687"/&gt;</t>
  </si>
  <si>
    <t>&lt;Con from="17" weight="-0.04736557920110891"/&gt;</t>
  </si>
  <si>
    <t>&lt;Con from="18" weight="-0.07882592708119308"/&gt;</t>
  </si>
  <si>
    <t>&lt;Con from="19" weight="0.2069386947367965"/&gt;</t>
  </si>
  <si>
    <t>&lt;Con from="20" weight="-0.3144688239938475"/&gt;</t>
  </si>
  <si>
    <t>&lt;Con from="21" weight="-0.1294804478046214"/&gt;</t>
  </si>
  <si>
    <t>&lt;Con from="22" weight="-0.2309590620998282"/&gt;</t>
  </si>
  <si>
    <t>&lt;Con from="23" weight="-0.002530716399229409"/&gt;</t>
  </si>
  <si>
    <t>&lt;Con from="24" weight="-0.1924579668477783"/&gt;</t>
  </si>
  <si>
    <t>&lt;Con from="25" weight="0.03960183575489544"/&gt;</t>
  </si>
  <si>
    <t>&lt;Con from="26" weight="-0.1461431807726573"/&gt;</t>
  </si>
  <si>
    <t>&lt;Con from="27" weight="-0.1150514249010161"/&gt;</t>
  </si>
  <si>
    <t>&lt;Con from="28" weight="0.04222076397902044"/&gt;</t>
  </si>
  <si>
    <t>&lt;Con from="29" weight="0.01802641883516583"/&gt;</t>
  </si>
  <si>
    <t>&lt;Neuron id="42" bias="0.06048473096894328"&gt;</t>
  </si>
  <si>
    <t>&lt;Con from="0" weight="-0.06240120507643449"/&gt;</t>
  </si>
  <si>
    <t>&lt;Con from="1" weight="-0.1876064181735408"/&gt;</t>
  </si>
  <si>
    <t>&lt;Con from="2" weight="0.3657415029296613"/&gt;</t>
  </si>
  <si>
    <t>&lt;Con from="3" weight="0.1153365085253291"/&gt;</t>
  </si>
  <si>
    <t>&lt;Con from="4" weight="-0.07920806800241743"/&gt;</t>
  </si>
  <si>
    <t>&lt;Con from="5" weight="-0.3121431469391836"/&gt;</t>
  </si>
  <si>
    <t>&lt;Con from="6" weight="0.2047879585566333"/&gt;</t>
  </si>
  <si>
    <t>&lt;Con from="7" weight="0.2178111027617569"/&gt;</t>
  </si>
  <si>
    <t>&lt;Con from="8" weight="-0.246751493212679"/&gt;</t>
  </si>
  <si>
    <t>&lt;Con from="9" weight="-0.2199124289671217"/&gt;</t>
  </si>
  <si>
    <t>&lt;Con from="10" weight="0.01077747671627065"/&gt;</t>
  </si>
  <si>
    <t>&lt;Con from="11" weight="-0.1554699157691482"/&gt;</t>
  </si>
  <si>
    <t>&lt;Con from="12" weight="0.02017324432614417"/&gt;</t>
  </si>
  <si>
    <t>&lt;Con from="13" weight="0.0002030442401438123"/&gt;</t>
  </si>
  <si>
    <t>&lt;Con from="14" weight="0.07196428821711939"/&gt;</t>
  </si>
  <si>
    <t>&lt;Con from="15" weight="0.3162458664016501"/&gt;</t>
  </si>
  <si>
    <t>&lt;Con from="16" weight="-0.04553035785562172"/&gt;</t>
  </si>
  <si>
    <t>&lt;Con from="17" weight="0.3695910261966471"/&gt;</t>
  </si>
  <si>
    <t>&lt;Con from="18" weight="-0.003596817205891665"/&gt;</t>
  </si>
  <si>
    <t>&lt;Con from="19" weight="-0.3963294309155221"/&gt;</t>
  </si>
  <si>
    <t>&lt;Con from="20" weight="0.1411913178742284"/&gt;</t>
  </si>
  <si>
    <t>&lt;Con from="21" weight="0.01097902178124107"/&gt;</t>
  </si>
  <si>
    <t>&lt;Con from="22" weight="-0.1864503395247307"/&gt;</t>
  </si>
  <si>
    <t>&lt;Con from="23" weight="0.04143220600747002"/&gt;</t>
  </si>
  <si>
    <t>&lt;Con from="24" weight="0.03789853423853464"/&gt;</t>
  </si>
  <si>
    <t>&lt;Con from="25" weight="-0.07223878530454431"/&gt;</t>
  </si>
  <si>
    <t>&lt;Con from="26" weight="0.04943664478703651"/&gt;</t>
  </si>
  <si>
    <t>&lt;Con from="27" weight="0.1374948790686857"/&gt;</t>
  </si>
  <si>
    <t>&lt;Con from="28" weight="0.1411248310900354"/&gt;</t>
  </si>
  <si>
    <t>&lt;Con from="29" weight="0.2520287690210034"/&gt;</t>
  </si>
  <si>
    <t>&lt;Neuron id="43" bias="0.07511850645835773"&gt;</t>
  </si>
  <si>
    <t>&lt;Con from="0" weight="-0.1854947385002456"/&gt;</t>
  </si>
  <si>
    <t>&lt;Con from="1" weight="-0.02560109921793415"/&gt;</t>
  </si>
  <si>
    <t>&lt;Con from="2" weight="-0.03188004690678088"/&gt;</t>
  </si>
  <si>
    <t>&lt;Con from="3" weight="-0.02228958384089508"/&gt;</t>
  </si>
  <si>
    <t>&lt;Con from="4" weight="-0.3079249724674946"/&gt;</t>
  </si>
  <si>
    <t>&lt;Con from="5" weight="-0.03796965005107681"/&gt;</t>
  </si>
  <si>
    <t>&lt;Con from="6" weight="0.09160462638836955"/&gt;</t>
  </si>
  <si>
    <t>&lt;Con from="7" weight="-0.3292866614577863"/&gt;</t>
  </si>
  <si>
    <t>&lt;Con from="8" weight="0.2071529319110166"/&gt;</t>
  </si>
  <si>
    <t>&lt;Con from="9" weight="-0.02064953233389488"/&gt;</t>
  </si>
  <si>
    <t>&lt;Con from="10" weight="-0.06294032313464903"/&gt;</t>
  </si>
  <si>
    <t>&lt;Con from="11" weight="0.07048354488712272"/&gt;</t>
  </si>
  <si>
    <t>&lt;Con from="12" weight="0.1650693579043901"/&gt;</t>
  </si>
  <si>
    <t>&lt;Con from="13" weight="0.02190588157340368"/&gt;</t>
  </si>
  <si>
    <t>&lt;Con from="14" weight="0.07615504084869774"/&gt;</t>
  </si>
  <si>
    <t>&lt;Con from="15" weight="0.02697046940951803"/&gt;</t>
  </si>
  <si>
    <t>&lt;Con from="16" weight="-0.3943913706135033"/&gt;</t>
  </si>
  <si>
    <t>&lt;Con from="17" weight="-0.09319606575419111"/&gt;</t>
  </si>
  <si>
    <t>&lt;Con from="18" weight="-0.04165370645614241"/&gt;</t>
  </si>
  <si>
    <t>&lt;Con from="19" weight="-0.03938861273131147"/&gt;</t>
  </si>
  <si>
    <t>&lt;Con from="20" weight="-0.2947064858158786"/&gt;</t>
  </si>
  <si>
    <t>&lt;Con from="21" weight="-0.0772122800950782"/&gt;</t>
  </si>
  <si>
    <t>&lt;Con from="22" weight="-0.07729232072345602"/&gt;</t>
  </si>
  <si>
    <t>&lt;Con from="23" weight="-0.04076477836960161"/&gt;</t>
  </si>
  <si>
    <t>&lt;Con from="24" weight="0.2048253264638734"/&gt;</t>
  </si>
  <si>
    <t>&lt;Con from="25" weight="-0.07843898872801734"/&gt;</t>
  </si>
  <si>
    <t>&lt;Con from="26" weight="-0.1923000056005657"/&gt;</t>
  </si>
  <si>
    <t>&lt;Con from="27" weight="-0.03459000319362301"/&gt;</t>
  </si>
  <si>
    <t>&lt;Con from="28" weight="0.04069125173801744"/&gt;</t>
  </si>
  <si>
    <t>&lt;Con from="29" weight="0.08522094456356928"/&gt;</t>
  </si>
  <si>
    <t>&lt;Neuron id="44" bias="-0.04916472266253499"&gt;</t>
  </si>
  <si>
    <t>&lt;Con from="0" weight="-0.2846291992539942"/&gt;</t>
  </si>
  <si>
    <t>&lt;Con from="1" weight="0.02334229265666638"/&gt;</t>
  </si>
  <si>
    <t>&lt;Con from="2" weight="-0.2082653690613797"/&gt;</t>
  </si>
  <si>
    <t>&lt;Con from="3" weight="0.009173579210257167"/&gt;</t>
  </si>
  <si>
    <t>&lt;Con from="4" weight="0.3307493613743762"/&gt;</t>
  </si>
  <si>
    <t>&lt;Con from="5" weight="-0.201186207418268"/&gt;</t>
  </si>
  <si>
    <t>&lt;Con from="6" weight="-0.2124455143103891"/&gt;</t>
  </si>
  <si>
    <t>&lt;Con from="7" weight="0.07859179969378986"/&gt;</t>
  </si>
  <si>
    <t>&lt;Con from="8" weight="-0.1581669067463457"/&gt;</t>
  </si>
  <si>
    <t>&lt;Con from="9" weight="-0.3180071883840212"/&gt;</t>
  </si>
  <si>
    <t>&lt;Con from="10" weight="0.2893746136344228"/&gt;</t>
  </si>
  <si>
    <t>&lt;Con from="11" weight="-0.3175050365460517"/&gt;</t>
  </si>
  <si>
    <t>&lt;Con from="12" weight="-0.08992959202397462"/&gt;</t>
  </si>
  <si>
    <t>&lt;Con from="13" weight="0.1858983407064073"/&gt;</t>
  </si>
  <si>
    <t>&lt;Con from="14" weight="-0.1497814666836939"/&gt;</t>
  </si>
  <si>
    <t>&lt;Con from="15" weight="-9.297388961428298e-05"/&gt;</t>
  </si>
  <si>
    <t>&lt;Con from="16" weight="-0.2376507782443813"/&gt;</t>
  </si>
  <si>
    <t>&lt;Con from="17" weight="-0.03505412849085214"/&gt;</t>
  </si>
  <si>
    <t>&lt;Con from="18" weight="-0.0008418056451258151"/&gt;</t>
  </si>
  <si>
    <t>&lt;Con from="19" weight="-0.0181139176444295"/&gt;</t>
  </si>
  <si>
    <t>&lt;Con from="20" weight="-0.2698615361541777"/&gt;</t>
  </si>
  <si>
    <t>&lt;Con from="21" weight="-0.04174132202035608"/&gt;</t>
  </si>
  <si>
    <t>&lt;Con from="22" weight="-0.1265102666361358"/&gt;</t>
  </si>
  <si>
    <t>&lt;Con from="23" weight="0.2511116508811076"/&gt;</t>
  </si>
  <si>
    <t>&lt;Con from="24" weight="-0.1202909572603728"/&gt;</t>
  </si>
  <si>
    <t>&lt;Con from="25" weight="-0.07190301167625415"/&gt;</t>
  </si>
  <si>
    <t>&lt;Con from="26" weight="0.1399200225940029"/&gt;</t>
  </si>
  <si>
    <t>&lt;Con from="27" weight="0.1582147714624931"/&gt;</t>
  </si>
  <si>
    <t>&lt;Con from="28" weight="-0.160157561369997"/&gt;</t>
  </si>
  <si>
    <t>&lt;Con from="29" weight="-0.03430820547500011"/&gt;</t>
  </si>
  <si>
    <t>&lt;Neuron id="45" bias="0.5967967936417494"&gt;</t>
  </si>
  <si>
    <t>&lt;Con from="30" weight="-0.1299830987301095"/&gt;</t>
  </si>
  <si>
    <t>&lt;Con from="31" weight="0.171392935239584"/&gt;</t>
  </si>
  <si>
    <t>&lt;Con from="32" weight="-0.5392874168606689"/&gt;</t>
  </si>
  <si>
    <t>&lt;Con from="33" weight="0.2700493782380403"/&gt;</t>
  </si>
  <si>
    <t>&lt;Con from="34" weight="0.2472262520821144"/&gt;</t>
  </si>
  <si>
    <t>&lt;Con from="35" weight="0.1952542224229395"/&gt;</t>
  </si>
  <si>
    <t>&lt;Con from="36" weight="-0.1446040443862929"/&gt;</t>
  </si>
  <si>
    <t>&lt;Con from="37" weight="0.2633469796241159"/&gt;</t>
  </si>
  <si>
    <t>&lt;Con from="38" weight="-0.08565614780652671"/&gt;</t>
  </si>
  <si>
    <t>&lt;Con from="39" weight="0.3902328234309079"/&gt;</t>
  </si>
  <si>
    <t>&lt;Con from="40" weight="-0.156429532233873"/&gt;</t>
  </si>
  <si>
    <t>&lt;Con from="41" weight="-0.01224443218950731"/&gt;</t>
  </si>
  <si>
    <t>&lt;Con from="42" weight="0.0722972595160684"/&gt;</t>
  </si>
  <si>
    <t>&lt;Con from="43" weight="-0.009445834961248838"/&gt;</t>
  </si>
  <si>
    <t>&lt;Con from="44" weight="-0.2305422489719478"/&gt;</t>
  </si>
  <si>
    <t>&lt;Neuron id="46" bias="0.5006182146302363"&gt;</t>
  </si>
  <si>
    <t>&lt;Con from="30" weight="-0.05238043754846163"/&gt;</t>
  </si>
  <si>
    <t>&lt;Con from="31" weight="-0.2226101237027961"/&gt;</t>
  </si>
  <si>
    <t>&lt;Con from="32" weight="0.2325245794445749"/&gt;</t>
  </si>
  <si>
    <t>&lt;Con from="33" weight="-0.08348414117442272"/&gt;</t>
  </si>
  <si>
    <t>&lt;Con from="34" weight="-0.2197552628301188"/&gt;</t>
  </si>
  <si>
    <t>&lt;Con from="35" weight="-0.01739571334928256"/&gt;</t>
  </si>
  <si>
    <t>&lt;Con from="36" weight="0.09801740879592523"/&gt;</t>
  </si>
  <si>
    <t>&lt;Con from="37" weight="-0.2405198111986568"/&gt;</t>
  </si>
  <si>
    <t>&lt;Con from="38" weight="0.04487416845165343"/&gt;</t>
  </si>
  <si>
    <t>&lt;Con from="39" weight="0.03607279135002994"/&gt;</t>
  </si>
  <si>
    <t>&lt;Con from="40" weight="-0.2723578657322325"/&gt;</t>
  </si>
  <si>
    <t>&lt;Con from="41" weight="-0.2001354315950854"/&gt;</t>
  </si>
  <si>
    <t>&lt;Con from="42" weight="0.2013403041565933"/&gt;</t>
  </si>
  <si>
    <t>&lt;Con from="43" weight="0.3405563963041842"/&gt;</t>
  </si>
  <si>
    <t>&lt;Con from="44" weight="0.1447333174273689"/&gt;</t>
  </si>
  <si>
    <t>&lt;NeuralOutput outputNeuron="45"&gt;</t>
  </si>
  <si>
    <t>&lt;NeuralOutput outputNeuron="46"&gt;</t>
  </si>
  <si>
    <t>Epoch 31</t>
  </si>
  <si>
    <t>Epoch 32</t>
  </si>
  <si>
    <t>Epoch 33</t>
  </si>
  <si>
    <t>Epoch 34</t>
  </si>
  <si>
    <t>Epoch 35</t>
  </si>
  <si>
    <t>Epoch 36</t>
  </si>
  <si>
    <t>Epoch 37</t>
  </si>
  <si>
    <t>Epoch 38</t>
  </si>
  <si>
    <t>Epoch 39</t>
  </si>
  <si>
    <t>Epoch 40</t>
  </si>
  <si>
    <t>Epoch 41</t>
  </si>
  <si>
    <t>Epoch 42</t>
  </si>
  <si>
    <t>Epoch 43</t>
  </si>
  <si>
    <t>Epoch 44</t>
  </si>
  <si>
    <t>Epoch 45</t>
  </si>
  <si>
    <t>Epoch 46</t>
  </si>
  <si>
    <t>Epoch 47</t>
  </si>
  <si>
    <t>Epoch 48</t>
  </si>
  <si>
    <t>Epoch 49</t>
  </si>
  <si>
    <t>Epoch 50</t>
  </si>
  <si>
    <t>{"comment":"this RASON template was auto-generated by Analytic Solver Data Science","datasources":{},"datasets":{},"estimator":{"neuralNetClassificationEstimator":{"type":"classification","algorithm":"neuralNetwork","parameters":{"categoricalFeaturesNames":[],"dataForErrorComputation":"ONLY_TRAIN","errorTolerance":0.01,"hiddenLayerActivation":"TANH","learningOrder":"ORIGINAL","learningOrderSeed":12345,"learningRate":0.10000000000000001,"maxNumEpochsWithNoImprovement":5,"maxTrainingTimeSeconds":3600,"minRelativeErrorChange":0.0001,"minRelativeErrorChangeComparedToNullModel":0.001,"numEpochs":50,"numNeurons":[15],"outputLayerActivation":"TANH","priorProbMethod":"EMPIRICAL","weightDecay":0,"weightInitSeed":12345,"weightMomentum":0.59999999999999998}}},"actions":{}}</t>
  </si>
  <si>
    <t>&lt;Timestamp&gt;2025-3-18 19:51:30&lt;/Timestamp&gt;</t>
  </si>
  <si>
    <t>Date: 18-Mar-2025 19:51:30</t>
  </si>
  <si>
    <t>&lt;TargetValue value="M" priorProbability="0.367032967032967"/&gt;</t>
  </si>
  <si>
    <t>&lt;TargetValue value="B" priorProbability="0.6329670329670329"/&gt;</t>
  </si>
  <si>
    <t>&lt;LinearNorm orig="13.754" norm="0"/&gt;</t>
  </si>
  <si>
    <t>&lt;LinearNorm orig="14.754" norm="1.7376"/&gt;</t>
  </si>
  <si>
    <t>&lt;LinearNorm orig="19.491" norm="0"/&gt;</t>
  </si>
  <si>
    <t>&lt;LinearNorm orig="20.491" norm="0.22737"/&gt;</t>
  </si>
  <si>
    <t>&lt;LinearNorm orig="91.578" norm="0"/&gt;</t>
  </si>
  <si>
    <t>&lt;LinearNorm orig="92.578" norm="0.041703"/&gt;</t>
  </si>
  <si>
    <t>&lt;LinearNorm orig="649.2" norm="0"/&gt;</t>
  </si>
  <si>
    <t>&lt;LinearNorm orig="650.2" norm="0.0028946"/&gt;</t>
  </si>
  <si>
    <t>&lt;LinearNorm orig="0.09595" norm="0"/&gt;</t>
  </si>
  <si>
    <t>&lt;LinearNorm orig="1.0959" norm="73.792"/&gt;</t>
  </si>
  <si>
    <t>&lt;LinearNorm orig="0.10372" norm="0"/&gt;</t>
  </si>
  <si>
    <t>&lt;LinearNorm orig="1.1037" norm="19.103"/&gt;</t>
  </si>
  <si>
    <t>&lt;LinearNorm orig="0.087963" norm="0"/&gt;</t>
  </si>
  <si>
    <t>&lt;LinearNorm orig="1.088" norm="12.695"/&gt;</t>
  </si>
  <si>
    <t>&lt;LinearNorm orig="0.048412" norm="0"/&gt;</t>
  </si>
  <si>
    <t>&lt;LinearNorm orig="1.0484" norm="25.837"/&gt;</t>
  </si>
  <si>
    <t>&lt;LinearNorm orig="0.18097" norm="0"/&gt;</t>
  </si>
  <si>
    <t>&lt;LinearNorm orig="1.181" norm="36.25"/&gt;</t>
  </si>
  <si>
    <t>&lt;LinearNorm orig="0.062752" norm="0"/&gt;</t>
  </si>
  <si>
    <t>&lt;LinearNorm orig="1.0628" norm="142.72"/&gt;</t>
  </si>
  <si>
    <t>&lt;LinearNorm orig="0.40127" norm="0"/&gt;</t>
  </si>
  <si>
    <t>&lt;LinearNorm orig="1.4013" norm="3.777"/&gt;</t>
  </si>
  <si>
    <t>&lt;LinearNorm orig="1.2315" norm="0"/&gt;</t>
  </si>
  <si>
    <t>&lt;LinearNorm orig="2.2315" norm="1.7798"/&gt;</t>
  </si>
  <si>
    <t>&lt;LinearNorm orig="2.8353" norm="0"/&gt;</t>
  </si>
  <si>
    <t>&lt;LinearNorm orig="3.8353" norm="0.52165"/&gt;</t>
  </si>
  <si>
    <t>&lt;LinearNorm orig="39.808" norm="0"/&gt;</t>
  </si>
  <si>
    <t>&lt;LinearNorm orig="40.808" norm="0.023357"/&gt;</t>
  </si>
  <si>
    <t>&lt;LinearNorm orig="0.0070675" norm="0"/&gt;</t>
  </si>
  <si>
    <t>&lt;LinearNorm orig="1.0071" norm="326.8"/&gt;</t>
  </si>
  <si>
    <t>&lt;LinearNorm orig="0.025478" norm="0"/&gt;</t>
  </si>
  <si>
    <t>&lt;LinearNorm orig="1.0255" norm="56.063"/&gt;</t>
  </si>
  <si>
    <t>&lt;LinearNorm orig="0.0321" norm="0"/&gt;</t>
  </si>
  <si>
    <t>&lt;LinearNorm orig="1.0321" norm="31.755"/&gt;</t>
  </si>
  <si>
    <t>&lt;LinearNorm orig="0.011794" norm="0"/&gt;</t>
  </si>
  <si>
    <t>&lt;LinearNorm orig="1.0118" norm="159.3"/&gt;</t>
  </si>
  <si>
    <t>&lt;LinearNorm orig="0.020604" norm="0"/&gt;</t>
  </si>
  <si>
    <t>&lt;LinearNorm orig="1.0206" norm="126.26"/&gt;</t>
  </si>
  <si>
    <t>&lt;LinearNorm orig="0.0037835" norm="0"/&gt;</t>
  </si>
  <si>
    <t>&lt;LinearNorm orig="1.0038" norm="395.36"/&gt;</t>
  </si>
  <si>
    <t>&lt;LinearNorm orig="16.206" norm="0"/&gt;</t>
  </si>
  <si>
    <t>&lt;LinearNorm orig="17.206" norm="0.20649"/&gt;</t>
  </si>
  <si>
    <t>&lt;LinearNorm orig="25.948" norm="0"/&gt;</t>
  </si>
  <si>
    <t>&lt;LinearNorm orig="26.948" norm="0.15889"/&gt;</t>
  </si>
  <si>
    <t>&lt;LinearNorm orig="106.81" norm="0"/&gt;</t>
  </si>
  <si>
    <t>&lt;LinearNorm orig="107.81" norm="0.029725"/&gt;</t>
  </si>
  <si>
    <t>&lt;LinearNorm orig="874.92" norm="0"/&gt;</t>
  </si>
  <si>
    <t>&lt;LinearNorm orig="875.92" norm="0.0017426"/&gt;</t>
  </si>
  <si>
    <t>&lt;LinearNorm orig="0.13192" norm="0"/&gt;</t>
  </si>
  <si>
    <t>&lt;LinearNorm orig="1.1319" norm="43.517"/&gt;</t>
  </si>
  <si>
    <t>&lt;LinearNorm orig="0.25294" norm="0"/&gt;</t>
  </si>
  <si>
    <t>&lt;LinearNorm orig="1.2529" norm="6.2625"/&gt;</t>
  </si>
  <si>
    <t>&lt;LinearNorm orig="0.26987" norm="0"/&gt;</t>
  </si>
  <si>
    <t>&lt;LinearNorm orig="1.2699" norm="4.7921"/&gt;</t>
  </si>
  <si>
    <t>&lt;LinearNorm orig="0.11347" norm="0"/&gt;</t>
  </si>
  <si>
    <t>&lt;LinearNorm orig="1.1135" norm="15.12"/&gt;</t>
  </si>
  <si>
    <t>&lt;LinearNorm orig="0.28983" norm="0"/&gt;</t>
  </si>
  <si>
    <t>&lt;LinearNorm orig="1.2898" norm="15.94"/&gt;</t>
  </si>
  <si>
    <t>&lt;LinearNorm orig="0.083822" norm="0"/&gt;</t>
  </si>
  <si>
    <t>&lt;LinearNorm orig="1.0838" norm="54.609"/&gt;</t>
  </si>
  <si>
    <t>&lt;NeuralLayer numberOfNeurons="11" activationFunction="tanh"&gt;</t>
  </si>
  <si>
    <t>&lt;Neuron id="30" bias="-0.07790502487636865"&gt;</t>
  </si>
  <si>
    <t>&lt;Con from="0" weight="-0.04471168461075339"/&gt;</t>
  </si>
  <si>
    <t>&lt;Con from="1" weight="0.09962738945711351"/&gt;</t>
  </si>
  <si>
    <t>&lt;Con from="2" weight="-0.4379035768202236"/&gt;</t>
  </si>
  <si>
    <t>&lt;Con from="3" weight="0.1527927739732635"/&gt;</t>
  </si>
  <si>
    <t>&lt;Con from="4" weight="0.1673713983775838"/&gt;</t>
  </si>
  <si>
    <t>&lt;Con from="5" weight="0.1526561028574019"/&gt;</t>
  </si>
  <si>
    <t>&lt;Con from="6" weight="-0.1007559908107699"/&gt;</t>
  </si>
  <si>
    <t>&lt;Con from="7" weight="0.1804389911138728"/&gt;</t>
  </si>
  <si>
    <t>&lt;Con from="8" weight="-0.08053733462806473"/&gt;</t>
  </si>
  <si>
    <t>&lt;Con from="9" weight="0.2782895829684255"/&gt;</t>
  </si>
  <si>
    <t>&lt;Con from="10" weight="-0.1805271559068213"/&gt;</t>
  </si>
  <si>
    <t>&lt;Con from="11" weight="-0.1254096661875955"/&gt;</t>
  </si>
  <si>
    <t>&lt;Con from="12" weight="0.007694933464103343"/&gt;</t>
  </si>
  <si>
    <t>&lt;Con from="13" weight="-0.04523357110550327"/&gt;</t>
  </si>
  <si>
    <t>&lt;Con from="14" weight="-0.1778646547801809"/&gt;</t>
  </si>
  <si>
    <t>&lt;Con from="15" weight="-0.05925916545447036"/&gt;</t>
  </si>
  <si>
    <t>&lt;Con from="16" weight="-0.2045683818132961"/&gt;</t>
  </si>
  <si>
    <t>&lt;Con from="17" weight="0.1984072870147939"/&gt;</t>
  </si>
  <si>
    <t>&lt;Con from="18" weight="-0.05967738598013297"/&gt;</t>
  </si>
  <si>
    <t>&lt;Con from="19" weight="-0.1178175424043904"/&gt;</t>
  </si>
  <si>
    <t>&lt;Con from="20" weight="0.01284847495575501"/&gt;</t>
  </si>
  <si>
    <t>&lt;Con from="21" weight="0.0480327972317357"/&gt;</t>
  </si>
  <si>
    <t>&lt;Con from="22" weight="-0.1861991888287594"/&gt;</t>
  </si>
  <si>
    <t>&lt;Con from="23" weight="0.0370482276270632"/&gt;</t>
  </si>
  <si>
    <t>&lt;Con from="24" weight="0.03010001113660597"/&gt;</t>
  </si>
  <si>
    <t>&lt;Con from="25" weight="-0.1586625440877619"/&gt;</t>
  </si>
  <si>
    <t>&lt;Con from="26" weight="-0.063475351969044"/&gt;</t>
  </si>
  <si>
    <t>&lt;Con from="27" weight="0.109079644460523"/&gt;</t>
  </si>
  <si>
    <t>&lt;Con from="28" weight="0.2983406705665488"/&gt;</t>
  </si>
  <si>
    <t>&lt;Con from="29" weight="0.120568138940137"/&gt;</t>
  </si>
  <si>
    <t>&lt;Neuron id="31" bias="0.0566314934825124"&gt;</t>
  </si>
  <si>
    <t>&lt;Con from="0" weight="-0.2435933996611444"/&gt;</t>
  </si>
  <si>
    <t>&lt;Con from="1" weight="0.02082482215889857"/&gt;</t>
  </si>
  <si>
    <t>&lt;Con from="2" weight="0.3645145682773965"/&gt;</t>
  </si>
  <si>
    <t>&lt;Con from="3" weight="0.109124725956841"/&gt;</t>
  </si>
  <si>
    <t>&lt;Con from="4" weight="-0.04316421691251347"/&gt;</t>
  </si>
  <si>
    <t>&lt;Con from="5" weight="0.03133571834126169"/&gt;</t>
  </si>
  <si>
    <t>&lt;Con from="6" weight="-0.006768714972603866"/&gt;</t>
  </si>
  <si>
    <t>&lt;Con from="7" weight="-0.1815004038469462"/&gt;</t>
  </si>
  <si>
    <t>&lt;Con from="8" weight="-0.1882051586402102"/&gt;</t>
  </si>
  <si>
    <t>&lt;Con from="9" weight="-0.1561127527627749"/&gt;</t>
  </si>
  <si>
    <t>&lt;Con from="10" weight="0.1090159821123666"/&gt;</t>
  </si>
  <si>
    <t>&lt;Con from="11" weight="-0.2469328309610659"/&gt;</t>
  </si>
  <si>
    <t>&lt;Con from="12" weight="-0.1582339281860447"/&gt;</t>
  </si>
  <si>
    <t>&lt;Con from="13" weight="0.178064731915316"/&gt;</t>
  </si>
  <si>
    <t>&lt;Con from="14" weight="-0.07066074581176356"/&gt;</t>
  </si>
  <si>
    <t>&lt;Con from="15" weight="-0.09129908504619208"/&gt;</t>
  </si>
  <si>
    <t>&lt;Con from="16" weight="-0.3703902903185687"/&gt;</t>
  </si>
  <si>
    <t>&lt;Con from="17" weight="-0.01774720970955684"/&gt;</t>
  </si>
  <si>
    <t>&lt;Con from="18" weight="-0.06461968702503484"/&gt;</t>
  </si>
  <si>
    <t>&lt;Con from="19" weight="-0.3574453767083606"/&gt;</t>
  </si>
  <si>
    <t>&lt;Con from="20" weight="0.3313850927845505"/&gt;</t>
  </si>
  <si>
    <t>&lt;Con from="21" weight="0.01143771099036413"/&gt;</t>
  </si>
  <si>
    <t>&lt;Con from="22" weight="0.364727241123219"/&gt;</t>
  </si>
  <si>
    <t>&lt;Con from="23" weight="0.0847213389447006"/&gt;</t>
  </si>
  <si>
    <t>&lt;Con from="24" weight="0.117116151844308"/&gt;</t>
  </si>
  <si>
    <t>&lt;Con from="25" weight="-0.04779738124456386"/&gt;</t>
  </si>
  <si>
    <t>&lt;Con from="26" weight="-0.5036569310330672"/&gt;</t>
  </si>
  <si>
    <t>&lt;Con from="27" weight="-0.45762516590708"/&gt;</t>
  </si>
  <si>
    <t>&lt;Con from="28" weight="0.2853078525027921"/&gt;</t>
  </si>
  <si>
    <t>&lt;Con from="29" weight="0.06808520932467287"/&gt;</t>
  </si>
  <si>
    <t>&lt;Neuron id="32" bias="-0.2463106085473383"&gt;</t>
  </si>
  <si>
    <t>&lt;Con from="0" weight="0.2213648668992587"/&gt;</t>
  </si>
  <si>
    <t>&lt;Con from="1" weight="-0.2040570705085446"/&gt;</t>
  </si>
  <si>
    <t>&lt;Con from="2" weight="0.1372002413587797"/&gt;</t>
  </si>
  <si>
    <t>&lt;Con from="3" weight="0.03880113324513144"/&gt;</t>
  </si>
  <si>
    <t>&lt;Con from="4" weight="-0.1383918737160849"/&gt;</t>
  </si>
  <si>
    <t>&lt;Con from="5" weight="-0.0844903297594973"/&gt;</t>
  </si>
  <si>
    <t>&lt;Con from="6" weight="-0.2108951586622603"/&gt;</t>
  </si>
  <si>
    <t>&lt;Con from="7" weight="0.08630428447757657"/&gt;</t>
  </si>
  <si>
    <t>&lt;Con from="8" weight="-0.02745445688162053"/&gt;</t>
  </si>
  <si>
    <t>&lt;Con from="9" weight="-0.19503531469861"/&gt;</t>
  </si>
  <si>
    <t>&lt;Con from="10" weight="0.2140316314791593"/&gt;</t>
  </si>
  <si>
    <t>&lt;Con from="11" weight="0.03180559090326458"/&gt;</t>
  </si>
  <si>
    <t>&lt;Con from="12" weight="0.02789380104389186"/&gt;</t>
  </si>
  <si>
    <t>&lt;Con from="13" weight="-0.1667884773347451"/&gt;</t>
  </si>
  <si>
    <t>&lt;Con from="14" weight="0.08320354862785685"/&gt;</t>
  </si>
  <si>
    <t>&lt;Con from="15" weight="-0.06301440195323704"/&gt;</t>
  </si>
  <si>
    <t>&lt;Con from="16" weight="-0.1281335208704248"/&gt;</t>
  </si>
  <si>
    <t>&lt;Con from="17" weight="0.2944881860075995"/&gt;</t>
  </si>
  <si>
    <t>&lt;Con from="18" weight="-0.009430432073540907"/&gt;</t>
  </si>
  <si>
    <t>&lt;Con from="19" weight="0.04808712341485756"/&gt;</t>
  </si>
  <si>
    <t>&lt;Con from="20" weight="0.1043889489490447"/&gt;</t>
  </si>
  <si>
    <t>&lt;Con from="21" weight="0.2195558036226916"/&gt;</t>
  </si>
  <si>
    <t>&lt;Con from="22" weight="0.1746264634571514"/&gt;</t>
  </si>
  <si>
    <t>&lt;Con from="23" weight="-0.07697768860235152"/&gt;</t>
  </si>
  <si>
    <t>&lt;Con from="24" weight="0.1743797076669385"/&gt;</t>
  </si>
  <si>
    <t>&lt;Con from="25" weight="-0.2920955324133059"/&gt;</t>
  </si>
  <si>
    <t>&lt;Con from="26" weight="-0.1009226764023812"/&gt;</t>
  </si>
  <si>
    <t>&lt;Con from="27" weight="-0.2000818890770977"/&gt;</t>
  </si>
  <si>
    <t>&lt;Con from="28" weight="0.2265307073996875"/&gt;</t>
  </si>
  <si>
    <t>&lt;Con from="29" weight="0.04416486146193568"/&gt;</t>
  </si>
  <si>
    <t>&lt;Neuron id="33" bias="0.02445808793756588"&gt;</t>
  </si>
  <si>
    <t>&lt;Con from="0" weight="-0.1457789440928553"/&gt;</t>
  </si>
  <si>
    <t>&lt;Con from="1" weight="0.1097094958679092"/&gt;</t>
  </si>
  <si>
    <t>&lt;Con from="2" weight="0.1377169886931388"/&gt;</t>
  </si>
  <si>
    <t>&lt;Con from="3" weight="0.1086227310038461"/&gt;</t>
  </si>
  <si>
    <t>&lt;Con from="4" weight="-0.0001484173510024864"/&gt;</t>
  </si>
  <si>
    <t>&lt;Con from="5" weight="0.06734174667066525"/&gt;</t>
  </si>
  <si>
    <t>&lt;Con from="6" weight="-0.1762843273030767"/&gt;</t>
  </si>
  <si>
    <t>&lt;Con from="7" weight="-0.1418217716696579"/&gt;</t>
  </si>
  <si>
    <t>&lt;Con from="8" weight="0.0006700041294479894"/&gt;</t>
  </si>
  <si>
    <t>&lt;Con from="9" weight="-0.04146769588294182"/&gt;</t>
  </si>
  <si>
    <t>&lt;Con from="10" weight="-0.01942391778054542"/&gt;</t>
  </si>
  <si>
    <t>&lt;Con from="11" weight="0.2629550708329002"/&gt;</t>
  </si>
  <si>
    <t>&lt;Con from="12" weight="0.2938439588808859"/&gt;</t>
  </si>
  <si>
    <t>&lt;Con from="13" weight="-0.2269486235224942"/&gt;</t>
  </si>
  <si>
    <t>&lt;Con from="14" weight="-0.3013322373487372"/&gt;</t>
  </si>
  <si>
    <t>&lt;Con from="15" weight="0.3878773519483278"/&gt;</t>
  </si>
  <si>
    <t>&lt;Con from="16" weight="-0.159582198361247"/&gt;</t>
  </si>
  <si>
    <t>&lt;Con from="17" weight="-0.08837889575281586"/&gt;</t>
  </si>
  <si>
    <t>&lt;Con from="18" weight="0.3566088673429985"/&gt;</t>
  </si>
  <si>
    <t>&lt;Con from="19" weight="0.2086717527716829"/&gt;</t>
  </si>
  <si>
    <t>&lt;Con from="20" weight="0.1549383047896207"/&gt;</t>
  </si>
  <si>
    <t>&lt;Con from="21" weight="-0.430172049276329"/&gt;</t>
  </si>
  <si>
    <t>&lt;Con from="22" weight="-0.2082829182100717"/&gt;</t>
  </si>
  <si>
    <t>&lt;Con from="23" weight="0.3111997589163537"/&gt;</t>
  </si>
  <si>
    <t>&lt;Con from="24" weight="-0.1442377516594352"/&gt;</t>
  </si>
  <si>
    <t>&lt;Con from="25" weight="-0.07355961293904358"/&gt;</t>
  </si>
  <si>
    <t>&lt;Con from="26" weight="0.01745743612035145"/&gt;</t>
  </si>
  <si>
    <t>&lt;Con from="27" weight="-0.08847226036365094"/&gt;</t>
  </si>
  <si>
    <t>&lt;Con from="28" weight="-0.22630395675761"/&gt;</t>
  </si>
  <si>
    <t>&lt;Con from="29" weight="-0.06324334530543328"/&gt;</t>
  </si>
  <si>
    <t>&lt;Neuron id="34" bias="0.04136655732634985"&gt;</t>
  </si>
  <si>
    <t>&lt;Con from="0" weight="-0.08378344492707498"/&gt;</t>
  </si>
  <si>
    <t>&lt;Con from="1" weight="-0.4143223585826566"/&gt;</t>
  </si>
  <si>
    <t>&lt;Con from="2" weight="-0.3190201670276132"/&gt;</t>
  </si>
  <si>
    <t>&lt;Con from="3" weight="-0.3008676083844353"/&gt;</t>
  </si>
  <si>
    <t>&lt;Con from="4" weight="0.07223315942036289"/&gt;</t>
  </si>
  <si>
    <t>&lt;Con from="5" weight="-0.03949771253275482"/&gt;</t>
  </si>
  <si>
    <t>&lt;Con from="6" weight="-0.2763741503521598"/&gt;</t>
  </si>
  <si>
    <t>&lt;Con from="7" weight="-0.07714756977758476"/&gt;</t>
  </si>
  <si>
    <t>&lt;Con from="8" weight="0.4353486072091294"/&gt;</t>
  </si>
  <si>
    <t>&lt;Con from="9" weight="0.1438090342058793"/&gt;</t>
  </si>
  <si>
    <t>&lt;Con from="10" weight="0.2307585469594018"/&gt;</t>
  </si>
  <si>
    <t>&lt;Con from="11" weight="-0.1591566385260322"/&gt;</t>
  </si>
  <si>
    <t>&lt;Con from="12" weight="0.1250564745928278"/&gt;</t>
  </si>
  <si>
    <t>&lt;Con from="13" weight="-0.4355676490757287"/&gt;</t>
  </si>
  <si>
    <t>&lt;Con from="14" weight="0.1403196575694616"/&gt;</t>
  </si>
  <si>
    <t>&lt;Con from="15" weight="0.1111488354905547"/&gt;</t>
  </si>
  <si>
    <t>&lt;Con from="16" weight="-0.05081698014589037"/&gt;</t>
  </si>
  <si>
    <t>&lt;Con from="17" weight="-0.1407114588864452"/&gt;</t>
  </si>
  <si>
    <t>&lt;Con from="18" weight="0.07121450925958528"/&gt;</t>
  </si>
  <si>
    <t>&lt;Con from="19" weight="0.009918964901767687"/&gt;</t>
  </si>
  <si>
    <t>&lt;Con from="20" weight="0.1079534978942719"/&gt;</t>
  </si>
  <si>
    <t>&lt;Con from="21" weight="-0.2160612163410285"/&gt;</t>
  </si>
  <si>
    <t>&lt;Con from="22" weight="-0.02919283150771738"/&gt;</t>
  </si>
  <si>
    <t>&lt;Con from="23" weight="0.03500341302473108"/&gt;</t>
  </si>
  <si>
    <t>&lt;Con from="24" weight="-0.2995708427022178"/&gt;</t>
  </si>
  <si>
    <t>&lt;Con from="25" weight="-0.4099461613673629"/&gt;</t>
  </si>
  <si>
    <t>&lt;Con from="26" weight="0.04942005862939399"/&gt;</t>
  </si>
  <si>
    <t>&lt;Con from="27" weight="-0.02039971979637272"/&gt;</t>
  </si>
  <si>
    <t>&lt;Con from="28" weight="-0.1108070902521285"/&gt;</t>
  </si>
  <si>
    <t>&lt;Con from="29" weight="0.1229343268614352"/&gt;</t>
  </si>
  <si>
    <t>&lt;Neuron id="35" bias="0.003859834413713968"&gt;</t>
  </si>
  <si>
    <t>&lt;Con from="0" weight="0.03872746082418035"/&gt;</t>
  </si>
  <si>
    <t>&lt;Con from="1" weight="0.3084953147148767"/&gt;</t>
  </si>
  <si>
    <t>&lt;Con from="2" weight="-0.07905019586614435"/&gt;</t>
  </si>
  <si>
    <t>&lt;Con from="3" weight="0.2189396918574283"/&gt;</t>
  </si>
  <si>
    <t>&lt;Con from="4" weight="0.2591038750134402"/&gt;</t>
  </si>
  <si>
    <t>&lt;Con from="5" weight="-0.005936109757291955"/&gt;</t>
  </si>
  <si>
    <t>&lt;Con from="6" weight="-0.1843351477715518"/&gt;</t>
  </si>
  <si>
    <t>&lt;Con from="7" weight="-0.1134874978347732"/&gt;</t>
  </si>
  <si>
    <t>&lt;Con from="8" weight="0.07990913107926997"/&gt;</t>
  </si>
  <si>
    <t>&lt;Con from="9" weight="0.06998538032314963"/&gt;</t>
  </si>
  <si>
    <t>&lt;Con from="10" weight="0.04493978406492703"/&gt;</t>
  </si>
  <si>
    <t>&lt;Con from="11" weight="-0.2062462507547974"/&gt;</t>
  </si>
  <si>
    <t>&lt;Con from="12" weight="-0.01865224628223612"/&gt;</t>
  </si>
  <si>
    <t>&lt;Con from="13" weight="-0.2297979154395723"/&gt;</t>
  </si>
  <si>
    <t>&lt;Con from="14" weight="-0.2326513220853419"/&gt;</t>
  </si>
  <si>
    <t>&lt;Con from="15" weight="0.005218249300765563"/&gt;</t>
  </si>
  <si>
    <t>&lt;Con from="16" weight="-0.159090448544631"/&gt;</t>
  </si>
  <si>
    <t>&lt;Con from="17" weight="0.2193888893885579"/&gt;</t>
  </si>
  <si>
    <t>&lt;Con from="18" weight="0.308809352864113"/&gt;</t>
  </si>
  <si>
    <t>&lt;Con from="19" weight="-0.07616324828587012"/&gt;</t>
  </si>
  <si>
    <t>&lt;Con from="20" weight="-0.1823447632665938"/&gt;</t>
  </si>
  <si>
    <t>&lt;Con from="21" weight="-0.1718218525499787"/&gt;</t>
  </si>
  <si>
    <t>&lt;Con from="22" weight="-0.2249502008958441"/&gt;</t>
  </si>
  <si>
    <t>&lt;Con from="23" weight="-0.2225446815896979"/&gt;</t>
  </si>
  <si>
    <t>&lt;Con from="24" weight="-0.1270450505272813"/&gt;</t>
  </si>
  <si>
    <t>&lt;Con from="25" weight="-0.2095919168514909"/&gt;</t>
  </si>
  <si>
    <t>&lt;Con from="26" weight="-0.001163465302041484"/&gt;</t>
  </si>
  <si>
    <t>&lt;Con from="27" weight="-0.2853389363364381"/&gt;</t>
  </si>
  <si>
    <t>&lt;Con from="28" weight="-0.04831839557841482"/&gt;</t>
  </si>
  <si>
    <t>&lt;Con from="29" weight="0.06974734849356388"/&gt;</t>
  </si>
  <si>
    <t>&lt;Neuron id="36" bias="0.02772859665342773"&gt;</t>
  </si>
  <si>
    <t>&lt;Con from="0" weight="-0.4974267485185938"/&gt;</t>
  </si>
  <si>
    <t>&lt;Con from="1" weight="-0.1796734224074741"/&gt;</t>
  </si>
  <si>
    <t>&lt;Con from="2" weight="-0.4792712921507404"/&gt;</t>
  </si>
  <si>
    <t>&lt;Con from="3" weight="0.09252942324801881"/&gt;</t>
  </si>
  <si>
    <t>&lt;Con from="4" weight="0.02812397778735461"/&gt;</t>
  </si>
  <si>
    <t>&lt;Con from="5" weight="0.2352686824841209"/&gt;</t>
  </si>
  <si>
    <t>&lt;Con from="6" weight="-0.1454918202089092"/&gt;</t>
  </si>
  <si>
    <t>&lt;Con from="7" weight="0.2066833280741535"/&gt;</t>
  </si>
  <si>
    <t>&lt;Con from="8" weight="0.09294170012067741"/&gt;</t>
  </si>
  <si>
    <t>&lt;Con from="9" weight="0.285189704932615"/&gt;</t>
  </si>
  <si>
    <t>&lt;Con from="10" weight="0.1867283675813547"/&gt;</t>
  </si>
  <si>
    <t>&lt;Con from="11" weight="0.1902503020300494"/&gt;</t>
  </si>
  <si>
    <t>&lt;Con from="12" weight="-0.2077906400739975"/&gt;</t>
  </si>
  <si>
    <t>&lt;Con from="13" weight="-0.09102029394785784"/&gt;</t>
  </si>
  <si>
    <t>&lt;Con from="14" weight="-0.01032082146237663"/&gt;</t>
  </si>
  <si>
    <t>&lt;Con from="15" weight="0.1144882600713199"/&gt;</t>
  </si>
  <si>
    <t>&lt;Con from="16" weight="-0.0530061578431751"/&gt;</t>
  </si>
  <si>
    <t>&lt;Con from="17" weight="-0.2691441082909967"/&gt;</t>
  </si>
  <si>
    <t>&lt;Con from="18" weight="0.1768585202276236"/&gt;</t>
  </si>
  <si>
    <t>&lt;Con from="19" weight="0.1237797245990866"/&gt;</t>
  </si>
  <si>
    <t>&lt;Con from="20" weight="0.3316594957392023"/&gt;</t>
  </si>
  <si>
    <t>&lt;Con from="21" weight="-0.009490964905160481"/&gt;</t>
  </si>
  <si>
    <t>&lt;Con from="22" weight="-0.01674688752452192"/&gt;</t>
  </si>
  <si>
    <t>&lt;Con from="23" weight="-0.1454260829684443"/&gt;</t>
  </si>
  <si>
    <t>&lt;Con from="24" weight="-0.1162954611362335"/&gt;</t>
  </si>
  <si>
    <t>&lt;Con from="25" weight="0.2599936227149321"/&gt;</t>
  </si>
  <si>
    <t>&lt;Con from="26" weight="0.2181166037104595"/&gt;</t>
  </si>
  <si>
    <t>&lt;Con from="27" weight="-0.1453103492932251"/&gt;</t>
  </si>
  <si>
    <t>&lt;Con from="28" weight="-0.313925409284497"/&gt;</t>
  </si>
  <si>
    <t>&lt;Con from="29" weight="-0.04717879472568808"/&gt;</t>
  </si>
  <si>
    <t>&lt;Neuron id="37" bias="0.08022767315018828"&gt;</t>
  </si>
  <si>
    <t>&lt;Con from="0" weight="-0.08358951029128799"/&gt;</t>
  </si>
  <si>
    <t>&lt;Con from="1" weight="-0.1746370010933972"/&gt;</t>
  </si>
  <si>
    <t>&lt;Con from="2" weight="-0.05658029861372599"/&gt;</t>
  </si>
  <si>
    <t>&lt;Con from="3" weight="-0.1784639386996754"/&gt;</t>
  </si>
  <si>
    <t>&lt;Con from="4" weight="-0.1979656311700383"/&gt;</t>
  </si>
  <si>
    <t>&lt;Con from="5" weight="0.02461511031933758"/&gt;</t>
  </si>
  <si>
    <t>&lt;Con from="6" weight="0.07486759569480124"/&gt;</t>
  </si>
  <si>
    <t>&lt;Con from="7" weight="0.1526660404928933"/&gt;</t>
  </si>
  <si>
    <t>&lt;Con from="8" weight="-0.00761636444319309"/&gt;</t>
  </si>
  <si>
    <t>&lt;Con from="9" weight="0.212319630528018"/&gt;</t>
  </si>
  <si>
    <t>&lt;Con from="10" weight="-0.13783264118821"/&gt;</t>
  </si>
  <si>
    <t>&lt;Con from="11" weight="0.3305438094483638"/&gt;</t>
  </si>
  <si>
    <t>&lt;Con from="12" weight="-0.05004990312496129"/&gt;</t>
  </si>
  <si>
    <t>&lt;Con from="13" weight="-0.007481077612185746"/&gt;</t>
  </si>
  <si>
    <t>&lt;Con from="14" weight="0.1020638003661536"/&gt;</t>
  </si>
  <si>
    <t>&lt;Con from="15" weight="-0.02018110130346812"/&gt;</t>
  </si>
  <si>
    <t>&lt;Con from="16" weight="-0.06477732521392032"/&gt;</t>
  </si>
  <si>
    <t>&lt;Con from="17" weight="-0.1946382668688338"/&gt;</t>
  </si>
  <si>
    <t>&lt;Con from="18" weight="-0.2698168388634535"/&gt;</t>
  </si>
  <si>
    <t>&lt;Con from="19" weight="0.07756172988314541"/&gt;</t>
  </si>
  <si>
    <t>&lt;Con from="20" weight="-0.03045533268810258"/&gt;</t>
  </si>
  <si>
    <t>&lt;Con from="21" weight="0.1149343920554751"/&gt;</t>
  </si>
  <si>
    <t>&lt;Con from="22" weight="-0.1678903021869202"/&gt;</t>
  </si>
  <si>
    <t>&lt;Con from="23" weight="0.04651026748004045"/&gt;</t>
  </si>
  <si>
    <t>&lt;Con from="24" weight="0.03504461716321521"/&gt;</t>
  </si>
  <si>
    <t>&lt;Con from="25" weight="0.02727137158470085"/&gt;</t>
  </si>
  <si>
    <t>&lt;Con from="26" weight="-0.1587036723036588"/&gt;</t>
  </si>
  <si>
    <t>&lt;Con from="27" weight="0.1115699596196925"/&gt;</t>
  </si>
  <si>
    <t>&lt;Con from="28" weight="-0.2210758917922325"/&gt;</t>
  </si>
  <si>
    <t>&lt;Con from="29" weight="-0.004369519083253046"/&gt;</t>
  </si>
  <si>
    <t>&lt;Neuron id="38" bias="-0.0765258907021179"&gt;</t>
  </si>
  <si>
    <t>&lt;Con from="0" weight="0.2247788853733258"/&gt;</t>
  </si>
  <si>
    <t>&lt;Con from="1" weight="-0.1466188558704624"/&gt;</t>
  </si>
  <si>
    <t>&lt;Con from="2" weight="-0.08049592917664385"/&gt;</t>
  </si>
  <si>
    <t>&lt;Con from="3" weight="0.03322473236180067"/&gt;</t>
  </si>
  <si>
    <t>&lt;Con from="4" weight="-0.1122023745687817"/&gt;</t>
  </si>
  <si>
    <t>&lt;Con from="5" weight="-0.21207824049374"/&gt;</t>
  </si>
  <si>
    <t>&lt;Con from="6" weight="0.02122178046073032"/&gt;</t>
  </si>
  <si>
    <t>&lt;Con from="7" weight="0.0007551118617918691"/&gt;</t>
  </si>
  <si>
    <t>&lt;Con from="8" weight="0.06671865300666042"/&gt;</t>
  </si>
  <si>
    <t>&lt;Con from="9" weight="0.1319327181992632"/&gt;</t>
  </si>
  <si>
    <t>&lt;Con from="10" weight="0.06966891345788868"/&gt;</t>
  </si>
  <si>
    <t>&lt;Con from="11" weight="0.2102264126185003"/&gt;</t>
  </si>
  <si>
    <t>&lt;Con from="12" weight="0.1410717935458466"/&gt;</t>
  </si>
  <si>
    <t>&lt;Con from="13" weight="-0.2885467579898964"/&gt;</t>
  </si>
  <si>
    <t>&lt;Con from="14" weight="-0.1118448692075701"/&gt;</t>
  </si>
  <si>
    <t>&lt;Con from="15" weight="0.1411411091688652"/&gt;</t>
  </si>
  <si>
    <t>&lt;Con from="16" weight="-0.02143285896520215"/&gt;</t>
  </si>
  <si>
    <t>&lt;Con from="17" weight="-0.3187687629139709"/&gt;</t>
  </si>
  <si>
    <t>&lt;Con from="18" weight="-0.09149468810451258"/&gt;</t>
  </si>
  <si>
    <t>&lt;Con from="19" weight="0.1529400998861912"/&gt;</t>
  </si>
  <si>
    <t>&lt;Con from="20" weight="0.006525516184127039"/&gt;</t>
  </si>
  <si>
    <t>&lt;Con from="21" weight="0.00267864022690892"/&gt;</t>
  </si>
  <si>
    <t>&lt;Con from="22" weight="0.03326424583830898"/&gt;</t>
  </si>
  <si>
    <t>&lt;Con from="23" weight="-0.2243617760998638"/&gt;</t>
  </si>
  <si>
    <t>&lt;Con from="24" weight="0.05744553545848538"/&gt;</t>
  </si>
  <si>
    <t>&lt;Con from="25" weight="0.1283693787779385"/&gt;</t>
  </si>
  <si>
    <t>&lt;Con from="26" weight="-0.264123268140251"/&gt;</t>
  </si>
  <si>
    <t>&lt;Con from="27" weight="-0.1866149604529005"/&gt;</t>
  </si>
  <si>
    <t>&lt;Con from="28" weight="-0.08639987935788414"/&gt;</t>
  </si>
  <si>
    <t>&lt;Con from="29" weight="0.2104422936206404"/&gt;</t>
  </si>
  <si>
    <t>&lt;Neuron id="39" bias="0.1014595243420588"&gt;</t>
  </si>
  <si>
    <t>&lt;Con from="0" weight="0.1022730137161715"/&gt;</t>
  </si>
  <si>
    <t>&lt;Con from="1" weight="0.06498731973949833"/&gt;</t>
  </si>
  <si>
    <t>&lt;Con from="2" weight="-0.3463046683293429"/&gt;</t>
  </si>
  <si>
    <t>&lt;Con from="3" weight="-0.1297413007578359"/&gt;</t>
  </si>
  <si>
    <t>&lt;Con from="4" weight="0.08215108330812175"/&gt;</t>
  </si>
  <si>
    <t>&lt;Con from="5" weight="-0.04186708663977535"/&gt;</t>
  </si>
  <si>
    <t>&lt;Con from="6" weight="0.06844724979685193"/&gt;</t>
  </si>
  <si>
    <t>&lt;Con from="7" weight="-0.08692574643443099"/&gt;</t>
  </si>
  <si>
    <t>&lt;Con from="8" weight="-0.06568131638674851"/&gt;</t>
  </si>
  <si>
    <t>&lt;Con from="9" weight="-0.109369332761164"/&gt;</t>
  </si>
  <si>
    <t>&lt;Con from="10" weight="-0.04750497152199153"/&gt;</t>
  </si>
  <si>
    <t>&lt;Con from="11" weight="0.06597778086261305"/&gt;</t>
  </si>
  <si>
    <t>&lt;Con from="12" weight="-0.1350164643312983"/&gt;</t>
  </si>
  <si>
    <t>&lt;Con from="13" weight="-0.1160521778508573"/&gt;</t>
  </si>
  <si>
    <t>&lt;Con from="14" weight="0.1171906995828076"/&gt;</t>
  </si>
  <si>
    <t>&lt;Con from="15" weight="0.01283552599000721"/&gt;</t>
  </si>
  <si>
    <t>&lt;Con from="16" weight="0.005793771945261247"/&gt;</t>
  </si>
  <si>
    <t>&lt;Con from="17" weight="-0.281205105585463"/&gt;</t>
  </si>
  <si>
    <t>&lt;Con from="18" weight="-0.1102205438031284"/&gt;</t>
  </si>
  <si>
    <t>&lt;Con from="19" weight="-0.01613230157869742"/&gt;</t>
  </si>
  <si>
    <t>&lt;Con from="20" weight="-0.3685210163665042"/&gt;</t>
  </si>
  <si>
    <t>&lt;Con from="21" weight="-0.1417215550266002"/&gt;</t>
  </si>
  <si>
    <t>&lt;Con from="22" weight="-0.09492909646665083"/&gt;</t>
  </si>
  <si>
    <t>&lt;Con from="23" weight="-0.2278247185922174"/&gt;</t>
  </si>
  <si>
    <t>&lt;Con from="24" weight="0.2213054949481045"/&gt;</t>
  </si>
  <si>
    <t>&lt;Con from="25" weight="-0.5344720387332353"/&gt;</t>
  </si>
  <si>
    <t>&lt;Con from="26" weight="0.07071584959402481"/&gt;</t>
  </si>
  <si>
    <t>&lt;Con from="27" weight="0.3228275246974381"/&gt;</t>
  </si>
  <si>
    <t>&lt;Con from="28" weight="0.03593717673817537"/&gt;</t>
  </si>
  <si>
    <t>&lt;Con from="29" weight="0.1373390747927947"/&gt;</t>
  </si>
  <si>
    <t>&lt;Neuron id="40" bias="-0.04368571132316221"&gt;</t>
  </si>
  <si>
    <t>&lt;Con from="0" weight="0.2749792585460613"/&gt;</t>
  </si>
  <si>
    <t>&lt;Con from="1" weight="-0.2557284625389707"/&gt;</t>
  </si>
  <si>
    <t>&lt;Con from="2" weight="-0.3304030321700273"/&gt;</t>
  </si>
  <si>
    <t>&lt;Con from="3" weight="-0.2101898503028131"/&gt;</t>
  </si>
  <si>
    <t>&lt;Con from="4" weight="0.07644785869119092"/&gt;</t>
  </si>
  <si>
    <t>&lt;Con from="5" weight="0.2218230100912386"/&gt;</t>
  </si>
  <si>
    <t>&lt;Con from="6" weight="-0.147494536772673"/&gt;</t>
  </si>
  <si>
    <t>&lt;Con from="7" weight="0.2196533993449846"/&gt;</t>
  </si>
  <si>
    <t>&lt;Con from="8" weight="-0.02765910688918896"/&gt;</t>
  </si>
  <si>
    <t>&lt;Con from="9" weight="0.008403652047310429"/&gt;</t>
  </si>
  <si>
    <t>&lt;Con from="10" weight="-0.1503193328021482"/&gt;</t>
  </si>
  <si>
    <t>&lt;Con from="11" weight="-0.1210385430308804"/&gt;</t>
  </si>
  <si>
    <t>&lt;Con from="12" weight="-0.05833529850476002"/&gt;</t>
  </si>
  <si>
    <t>&lt;Con from="13" weight="-0.1332160929496433"/&gt;</t>
  </si>
  <si>
    <t>&lt;Con from="14" weight="0.2357099308202566"/&gt;</t>
  </si>
  <si>
    <t>&lt;Con from="15" weight="-0.1021995397680257"/&gt;</t>
  </si>
  <si>
    <t>&lt;Con from="16" weight="0.0990804507656998"/&gt;</t>
  </si>
  <si>
    <t>&lt;Con from="17" weight="-0.09335429414428618"/&gt;</t>
  </si>
  <si>
    <t>&lt;Con from="18" weight="0.1900373370957529"/&gt;</t>
  </si>
  <si>
    <t>&lt;Con from="19" weight="-0.05556892014004194"/&gt;</t>
  </si>
  <si>
    <t>&lt;Con from="20" weight="-0.2465875631461924"/&gt;</t>
  </si>
  <si>
    <t>&lt;Con from="21" weight="0.05240232312327213"/&gt;</t>
  </si>
  <si>
    <t>&lt;Con from="22" weight="-0.08043269161945864"/&gt;</t>
  </si>
  <si>
    <t>&lt;Con from="23" weight="-0.04479110629271241"/&gt;</t>
  </si>
  <si>
    <t>&lt;Con from="24" weight="0.1681824525034505"/&gt;</t>
  </si>
  <si>
    <t>&lt;Con from="25" weight="0.211751277976717"/&gt;</t>
  </si>
  <si>
    <t>&lt;Con from="26" weight="-0.3089905420172317"/&gt;</t>
  </si>
  <si>
    <t>&lt;Con from="27" weight="-0.02080327369925174"/&gt;</t>
  </si>
  <si>
    <t>&lt;Con from="28" weight="-0.1400682718268352"/&gt;</t>
  </si>
  <si>
    <t>&lt;Con from="29" weight="-0.1651377173477637"/&gt;</t>
  </si>
  <si>
    <t>&lt;Neuron id="41" bias="0.4416667048206377"&gt;</t>
  </si>
  <si>
    <t>&lt;Con from="30" weight="-0.1272132279990384"/&gt;</t>
  </si>
  <si>
    <t>&lt;Con from="31" weight="0.1958281070131075"/&gt;</t>
  </si>
  <si>
    <t>&lt;Con from="32" weight="-0.6697912694452864"/&gt;</t>
  </si>
  <si>
    <t>&lt;Con from="33" weight="0.2890261776829663"/&gt;</t>
  </si>
  <si>
    <t>&lt;Con from="34" weight="0.2747374256891418"/&gt;</t>
  </si>
  <si>
    <t>&lt;Con from="35" weight="0.2442688646161837"/&gt;</t>
  </si>
  <si>
    <t>&lt;Con from="36" weight="-0.1520069583431455"/&gt;</t>
  </si>
  <si>
    <t>&lt;Con from="37" weight="0.3291813495024295"/&gt;</t>
  </si>
  <si>
    <t>&lt;Con from="38" weight="-0.1021849646280091"/&gt;</t>
  </si>
  <si>
    <t>&lt;Con from="39" weight="0.4620299311100576"/&gt;</t>
  </si>
  <si>
    <t>&lt;Con from="40" weight="-0.2292234566241563"/&gt;</t>
  </si>
  <si>
    <t>&lt;Neuron id="42" bias="0.383039007102201"&gt;</t>
  </si>
  <si>
    <t>&lt;Con from="30" weight="-0.1691300934146056"/&gt;</t>
  </si>
  <si>
    <t>&lt;Con from="31" weight="0.1068266307816493"/&gt;</t>
  </si>
  <si>
    <t>&lt;Con from="32" weight="-0.0032568638507611"/&gt;</t>
  </si>
  <si>
    <t>&lt;Con from="33" weight="-0.2412552632693897"/&gt;</t>
  </si>
  <si>
    <t>&lt;Con from="34" weight="-0.1387734332803095"/&gt;</t>
  </si>
  <si>
    <t>&lt;Con from="35" weight="-0.3151152469839784"/&gt;</t>
  </si>
  <si>
    <t>&lt;Con from="36" weight="0.2853557789851048"/&gt;</t>
  </si>
  <si>
    <t>&lt;Con from="37" weight="-0.1390223723891991"/&gt;</t>
  </si>
  <si>
    <t>&lt;Con from="38" weight="-0.2491059405340568"/&gt;</t>
  </si>
  <si>
    <t>&lt;Con from="39" weight="-0.02039653996608569"/&gt;</t>
  </si>
  <si>
    <t>&lt;Con from="40" weight="0.0181685417827075"/&gt;</t>
  </si>
  <si>
    <t>&lt;NeuralOutput outputNeuron="41"&gt;</t>
  </si>
  <si>
    <t>&lt;NeuralOutput outputNeuron="42"&gt;</t>
  </si>
  <si>
    <t>{"comment":"this RASON template was auto-generated by Analytic Solver Data Science","datasources":{},"datasets":{},"estimator":{"neuralNetClassificationEstimator":{"type":"classification","algorithm":"neuralNetwork","parameters":{"categoricalFeaturesNames":[],"dataForErrorComputation":"ONLY_TRAIN","errorTolerance":0.01,"hiddenLayerActivation":"TANH","learningOrder":"ORIGINAL","learningOrderSeed":12345,"learningRate":0.10000000000000001,"maxNumEpochsWithNoImprovement":5,"maxTrainingTimeSeconds":3600,"minRelativeErrorChange":0.0001,"minRelativeErrorChangeComparedToNullModel":0.001,"numEpochs":25,"numNeurons":[11],"outputLayerActivation":"TANH","priorProbMethod":"EMPIRICAL","weightDecay":0,"weightInitSeed":12345,"weightMomentum":0.59999999999999998}}},"actions":{}}</t>
  </si>
  <si>
    <t>New Data</t>
  </si>
  <si>
    <t>A1:AG19</t>
  </si>
  <si>
    <t>Date: 18-Mar-2025 19:57:24</t>
  </si>
  <si>
    <t>{"comment":"this RASON template was auto-generated by Analytic Solver Data Science","datasources":{},"datasets":{},"estimator":{"imputationEstimator":{"type":"transformation","algorithm":"imputation","parameters":{"imputationStrategy":[["Feature 1","MEAN"],["Feature 2","MEAN"],["Feature 30","MEAN"],["Feature 3","MEAN"],["Feature 4","MEAN"],["Feature 5","MEAN"],["Feature 6","MEAN"],["Feature 7","MEAN"],["Feature 8","MEAN"],["Feature 9","MEAN"],["Feature 10","MEAN"],["Feature 11","MEAN"],["Feature 12","MEAN"],["Feature 29","MEAN"],["Feature 13","MEAN"],["Feature 28","MEAN"],["Feature 14","MEAN"],["Feature 15","MEAN"],["Feature 16","MEAN"],["Feature 17","MEAN"],["Feature 18","MEAN"],["Feature 23","MEAN"],["Feature 19","MEAN"],["Feature 22","MEAN"],["Feature 20","MEAN"],["Feature 21","MEAN"],["Feature 24","MEAN"],["Feature 25","MEAN"],["Feature 26","MEAN"],["Feature 27","MEAN"]],"placeholder":[]}}},"actions":{}}</t>
  </si>
  <si>
    <t>Data Science: Scoring New Data - NeuralNetwork</t>
  </si>
  <si>
    <t>Scoring</t>
  </si>
  <si>
    <t>Model Variables</t>
  </si>
  <si>
    <t>Variables in New Data</t>
  </si>
  <si>
    <t>Imputation1</t>
  </si>
  <si>
    <t>$C$33:$AJ$51</t>
  </si>
  <si>
    <t>Date: 18-Mar-2025 19:58:45</t>
  </si>
  <si>
    <t>Prediction: Diagnosis</t>
  </si>
  <si>
    <t>PostProb: B</t>
  </si>
  <si>
    <t>PostProb: M</t>
  </si>
  <si>
    <t>Date: 18-Mar-2025 20:02:54</t>
  </si>
  <si>
    <t>Date: 18-Mar-2025 20:08:54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</si>
  <si>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Science","datasources":{},"datasets":{},"transformer":{"partitioner":{"type":"transformation","algorithm":"partitioning","parameters":{"partitionMethod":"RANDOM","ratios":[["Training",0.90000000000000002],["Validation",0.10000000000000001]],"seed":12345}}},"actions":{}}</t>
  </si>
  <si>
    <t>&lt;Timestamp&gt;2025-3-18 20:10:34&lt;/Timestamp&gt;</t>
  </si>
  <si>
    <t>Date: 18-Mar-2025 20:10:34</t>
  </si>
  <si>
    <t>&lt;NeuralNetwork modelName="NeuralNetwork" functionName="classification" algorithmName="NeuralNetwork" normalizationMethod="none" activationFunction="tanh" numberOfLayers="2"&gt;</t>
  </si>
  <si>
    <t>&lt;TargetValue value="M" priorProbability="0.369140625"/&gt;</t>
  </si>
  <si>
    <t>&lt;TargetValue value="B" priorProbability="0.630859375"/&gt;</t>
  </si>
  <si>
    <t>&lt;LinearNorm orig="13.758" norm="0"/&gt;</t>
  </si>
  <si>
    <t>&lt;LinearNorm orig="14.758" norm="1.7303"/&gt;</t>
  </si>
  <si>
    <t>&lt;LinearNorm orig="19.29" norm="0"/&gt;</t>
  </si>
  <si>
    <t>&lt;LinearNorm orig="20.29" norm="0.23308"/&gt;</t>
  </si>
  <si>
    <t>&lt;LinearNorm orig="91.655" norm="0"/&gt;</t>
  </si>
  <si>
    <t>&lt;LinearNorm orig="92.655" norm="0.041181"/&gt;</t>
  </si>
  <si>
    <t>&lt;LinearNorm orig="650.96" norm="0"/&gt;</t>
  </si>
  <si>
    <t>&lt;LinearNorm orig="651.96" norm="0.0028391"/&gt;</t>
  </si>
  <si>
    <t>&lt;LinearNorm orig="0.096148" norm="0"/&gt;</t>
  </si>
  <si>
    <t>&lt;LinearNorm orig="1.0961" norm="73.09"/&gt;</t>
  </si>
  <si>
    <t>&lt;LinearNorm orig="0.10408" norm="0"/&gt;</t>
  </si>
  <si>
    <t>&lt;LinearNorm orig="1.1041" norm="19.032"/&gt;</t>
  </si>
  <si>
    <t>&lt;LinearNorm orig="0.088515" norm="0"/&gt;</t>
  </si>
  <si>
    <t>&lt;LinearNorm orig="1.0885" norm="12.513"/&gt;</t>
  </si>
  <si>
    <t>&lt;LinearNorm orig="0.048516" norm="0"/&gt;</t>
  </si>
  <si>
    <t>&lt;LinearNorm orig="1.0485" norm="25.687"/&gt;</t>
  </si>
  <si>
    <t>&lt;LinearNorm orig="0.18079" norm="0"/&gt;</t>
  </si>
  <si>
    <t>&lt;LinearNorm orig="1.1808" norm="36.934"/&gt;</t>
  </si>
  <si>
    <t>&lt;LinearNorm orig="0.062832" norm="0"/&gt;</t>
  </si>
  <si>
    <t>&lt;LinearNorm orig="1.0628" norm="142.03"/&gt;</t>
  </si>
  <si>
    <t>&lt;LinearNorm orig="0.40493" norm="0"/&gt;</t>
  </si>
  <si>
    <t>&lt;LinearNorm orig="1.4049" norm="3.5463"/&gt;</t>
  </si>
  <si>
    <t>&lt;LinearNorm orig="1.2211" norm="0"/&gt;</t>
  </si>
  <si>
    <t>&lt;LinearNorm orig="2.2211" norm="1.8065"/&gt;</t>
  </si>
  <si>
    <t>&lt;LinearNorm orig="2.858" norm="0"/&gt;</t>
  </si>
  <si>
    <t>&lt;LinearNorm orig="3.858" norm="0.48743"/&gt;</t>
  </si>
  <si>
    <t>&lt;LinearNorm orig="40.411" norm="0"/&gt;</t>
  </si>
  <si>
    <t>&lt;LinearNorm orig="41.411" norm="0.021382"/&gt;</t>
  </si>
  <si>
    <t>&lt;LinearNorm orig="0.0070715" norm="0"/&gt;</t>
  </si>
  <si>
    <t>&lt;LinearNorm orig="1.0071" norm="328.96"/&gt;</t>
  </si>
  <si>
    <t>&lt;LinearNorm orig="0.025642" norm="0"/&gt;</t>
  </si>
  <si>
    <t>&lt;LinearNorm orig="1.0256" norm="54.783"/&gt;</t>
  </si>
  <si>
    <t>&lt;LinearNorm orig="0.032074" norm="0"/&gt;</t>
  </si>
  <si>
    <t>&lt;LinearNorm orig="1.0321" norm="32.204"/&gt;</t>
  </si>
  <si>
    <t>&lt;LinearNorm orig="0.011739" norm="0"/&gt;</t>
  </si>
  <si>
    <t>&lt;LinearNorm orig="1.0117" norm="161.04"/&gt;</t>
  </si>
  <si>
    <t>&lt;LinearNorm orig="0.020577" norm="0"/&gt;</t>
  </si>
  <si>
    <t>&lt;LinearNorm orig="1.0206" norm="123.76"/&gt;</t>
  </si>
  <si>
    <t>&lt;LinearNorm orig="0.0038327" norm="0"/&gt;</t>
  </si>
  <si>
    <t>&lt;LinearNorm orig="1.0038" norm="367.06"/&gt;</t>
  </si>
  <si>
    <t>&lt;LinearNorm orig="16.222" norm="0"/&gt;</t>
  </si>
  <si>
    <t>&lt;LinearNorm orig="17.222" norm="0.20622"/&gt;</t>
  </si>
  <si>
    <t>&lt;LinearNorm orig="25.709" norm="0"/&gt;</t>
  </si>
  <si>
    <t>&lt;LinearNorm orig="26.709" norm="0.16243"/&gt;</t>
  </si>
  <si>
    <t>&lt;LinearNorm orig="106.91" norm="0"/&gt;</t>
  </si>
  <si>
    <t>&lt;LinearNorm orig="107.91" norm="0.029665"/&gt;</t>
  </si>
  <si>
    <t>&lt;LinearNorm orig="876.78" norm="0"/&gt;</t>
  </si>
  <si>
    <t>&lt;LinearNorm orig="877.78" norm="0.0017436"/&gt;</t>
  </si>
  <si>
    <t>&lt;LinearNorm orig="0.13219" norm="0"/&gt;</t>
  </si>
  <si>
    <t>&lt;LinearNorm orig="1.1322" norm="43.704"/&gt;</t>
  </si>
  <si>
    <t>&lt;LinearNorm orig="0.25422" norm="0"/&gt;</t>
  </si>
  <si>
    <t>&lt;LinearNorm orig="1.2542" norm="6.267"/&gt;</t>
  </si>
  <si>
    <t>&lt;LinearNorm orig="0.27141" norm="0"/&gt;</t>
  </si>
  <si>
    <t>&lt;LinearNorm orig="1.2714" norm="4.7488"/&gt;</t>
  </si>
  <si>
    <t>&lt;LinearNorm orig="0.11374" norm="0"/&gt;</t>
  </si>
  <si>
    <t>&lt;LinearNorm orig="1.1137" norm="15.151"/&gt;</t>
  </si>
  <si>
    <t>&lt;LinearNorm orig="0.28936" norm="0"/&gt;</t>
  </si>
  <si>
    <t>&lt;LinearNorm orig="1.2894" norm="16.21"/&gt;</t>
  </si>
  <si>
    <t>&lt;LinearNorm orig="0.084141" norm="0"/&gt;</t>
  </si>
  <si>
    <t>&lt;LinearNorm orig="1.0841" norm="54.155"/&gt;</t>
  </si>
  <si>
    <t>&lt;Neuron id="30" bias="0.1421734510357754"&gt;</t>
  </si>
  <si>
    <t>&lt;Con from="0" weight="-0.06958096826870877"/&gt;</t>
  </si>
  <si>
    <t>&lt;Con from="1" weight="0.08856075451183032"/&gt;</t>
  </si>
  <si>
    <t>&lt;Con from="2" weight="-0.4173305332566289"/&gt;</t>
  </si>
  <si>
    <t>&lt;Con from="3" weight="0.1715916153730678"/&gt;</t>
  </si>
  <si>
    <t>&lt;Con from="4" weight="0.1427356450006607"/&gt;</t>
  </si>
  <si>
    <t>&lt;Con from="5" weight="0.1920917641646435"/&gt;</t>
  </si>
  <si>
    <t>&lt;Con from="6" weight="-0.06324396032105334"/&gt;</t>
  </si>
  <si>
    <t>&lt;Con from="7" weight="0.1979922316585681"/&gt;</t>
  </si>
  <si>
    <t>&lt;Con from="8" weight="-0.07425839446191004"/&gt;</t>
  </si>
  <si>
    <t>&lt;Con from="9" weight="0.305742761525721"/&gt;</t>
  </si>
  <si>
    <t>&lt;Con from="10" weight="-0.153890372783601"/&gt;</t>
  </si>
  <si>
    <t>&lt;Con from="11" weight="-0.09252494605704872"/&gt;</t>
  </si>
  <si>
    <t>&lt;Con from="12" weight="0.04508967912998707"/&gt;</t>
  </si>
  <si>
    <t>&lt;Con from="13" weight="-0.02738866349973396"/&gt;</t>
  </si>
  <si>
    <t>&lt;Con from="14" weight="-0.1807531311341705"/&gt;</t>
  </si>
  <si>
    <t>&lt;Con from="15" weight="0.02330617293384747"/&gt;</t>
  </si>
  <si>
    <t>&lt;Con from="16" weight="-0.1412073234285528"/&gt;</t>
  </si>
  <si>
    <t>&lt;Con from="17" weight="0.2432816653120027"/&gt;</t>
  </si>
  <si>
    <t>&lt;Con from="18" weight="-0.02322602786921947"/&gt;</t>
  </si>
  <si>
    <t>&lt;Con from="19" weight="-0.04803234009318315"/&gt;</t>
  </si>
  <si>
    <t>&lt;Con from="20" weight="0.02548813199685728"/&gt;</t>
  </si>
  <si>
    <t>&lt;Con from="21" weight="0.0187390842150834"/&gt;</t>
  </si>
  <si>
    <t>&lt;Con from="22" weight="-0.1678885905364482"/&gt;</t>
  </si>
  <si>
    <t>&lt;Con from="23" weight="0.05198093601108557"/&gt;</t>
  </si>
  <si>
    <t>&lt;Con from="24" weight="-0.02994306332366553"/&gt;</t>
  </si>
  <si>
    <t>&lt;Con from="25" weight="-0.1299481829658395"/&gt;</t>
  </si>
  <si>
    <t>&lt;Con from="26" weight="-0.03174690578970631"/&gt;</t>
  </si>
  <si>
    <t>&lt;Con from="27" weight="0.1118771990373951"/&gt;</t>
  </si>
  <si>
    <t>&lt;Con from="28" weight="0.2678714710532497"/&gt;</t>
  </si>
  <si>
    <t>&lt;Con from="29" weight="0.1338453171515632"/&gt;</t>
  </si>
  <si>
    <t>&lt;Neuron id="31" bias="0.006767942592605984"&gt;</t>
  </si>
  <si>
    <t>&lt;Con from="0" weight="-0.2488948713467162"/&gt;</t>
  </si>
  <si>
    <t>&lt;Con from="1" weight="0.01330742693931661"/&gt;</t>
  </si>
  <si>
    <t>&lt;Con from="2" weight="0.368259349822853"/&gt;</t>
  </si>
  <si>
    <t>&lt;Con from="3" weight="0.1131041877312542"/&gt;</t>
  </si>
  <si>
    <t>&lt;Con from="4" weight="-0.04497645183024909"/&gt;</t>
  </si>
  <si>
    <t>&lt;Con from="5" weight="0.0372426166489242"/&gt;</t>
  </si>
  <si>
    <t>&lt;Con from="6" weight="-0.0005515175202519458"/&gt;</t>
  </si>
  <si>
    <t>&lt;Con from="7" weight="-0.1799459721438211"/&gt;</t>
  </si>
  <si>
    <t>&lt;Con from="8" weight="-0.1945818197308631"/&gt;</t>
  </si>
  <si>
    <t>&lt;Con from="9" weight="-0.1515050191276635"/&gt;</t>
  </si>
  <si>
    <t>&lt;Con from="10" weight="0.1047791834798012"/&gt;</t>
  </si>
  <si>
    <t>&lt;Con from="11" weight="-0.2559927531871201"/&gt;</t>
  </si>
  <si>
    <t>&lt;Con from="12" weight="-0.1611316843657853"/&gt;</t>
  </si>
  <si>
    <t>&lt;Con from="13" weight="0.1781237547136695"/&gt;</t>
  </si>
  <si>
    <t>&lt;Con from="14" weight="-0.07547174948970277"/&gt;</t>
  </si>
  <si>
    <t>&lt;Con from="15" weight="-0.08375041007443031"/&gt;</t>
  </si>
  <si>
    <t>&lt;Con from="16" weight="-0.3629741417114621"/&gt;</t>
  </si>
  <si>
    <t>&lt;Con from="17" weight="-0.02099692700191191"/&gt;</t>
  </si>
  <si>
    <t>&lt;Con from="18" weight="-0.07488912372939437"/&gt;</t>
  </si>
  <si>
    <t>&lt;Con from="19" weight="-0.3522231497744047"/&gt;</t>
  </si>
  <si>
    <t>&lt;Con from="20" weight="0.3342908370925928"/&gt;</t>
  </si>
  <si>
    <t>&lt;Con from="21" weight="0.002718863519797679"/&gt;</t>
  </si>
  <si>
    <t>&lt;Con from="22" weight="0.3681158404312043"/&gt;</t>
  </si>
  <si>
    <t>&lt;Con from="23" weight="0.08841269198763135"/&gt;</t>
  </si>
  <si>
    <t>&lt;Con from="24" weight="0.1134855732958196"/&gt;</t>
  </si>
  <si>
    <t>&lt;Con from="25" weight="-0.04082645814398096"/&gt;</t>
  </si>
  <si>
    <t>&lt;Con from="26" weight="-0.4954899440296333"/&gt;</t>
  </si>
  <si>
    <t>&lt;Con from="27" weight="-0.4564269135003917"/&gt;</t>
  </si>
  <si>
    <t>&lt;Con from="28" weight="0.2787371159705182"/&gt;</t>
  </si>
  <si>
    <t>&lt;Con from="29" weight="0.07414762807835808"/&gt;</t>
  </si>
  <si>
    <t>&lt;Neuron id="32" bias="0.1097123862371037"&gt;</t>
  </si>
  <si>
    <t>&lt;Con from="0" weight="0.1786261905356031"/&gt;</t>
  </si>
  <si>
    <t>&lt;Con from="1" weight="-0.2542233880426639"/&gt;</t>
  </si>
  <si>
    <t>&lt;Con from="2" weight="0.08378616316171793"/&gt;</t>
  </si>
  <si>
    <t>&lt;Con from="3" weight="-0.0126133935971799"/&gt;</t>
  </si>
  <si>
    <t>&lt;Con from="4" weight="-0.2388627341343973"/&gt;</t>
  </si>
  <si>
    <t>&lt;Con from="5" weight="-0.1221969826701859"/&gt;</t>
  </si>
  <si>
    <t>&lt;Con from="6" weight="-0.2791288459934358"/&gt;</t>
  </si>
  <si>
    <t>&lt;Con from="7" weight="-0.00261424853239843"/&gt;</t>
  </si>
  <si>
    <t>&lt;Con from="8" weight="-0.1048119519729357"/&gt;</t>
  </si>
  <si>
    <t>&lt;Con from="9" weight="-0.2059054996298747"/&gt;</t>
  </si>
  <si>
    <t>&lt;Con from="10" weight="0.1745462749273825"/&gt;</t>
  </si>
  <si>
    <t>&lt;Con from="11" weight="0.08935816260294113"/&gt;</t>
  </si>
  <si>
    <t>&lt;Con from="12" weight="0.001681046282168716"/&gt;</t>
  </si>
  <si>
    <t>&lt;Con from="13" weight="-0.2049635481781738"/&gt;</t>
  </si>
  <si>
    <t>&lt;Con from="14" weight="0.1104494755139471"/&gt;</t>
  </si>
  <si>
    <t>&lt;Con from="15" weight="0.004985621797373887"/&gt;</t>
  </si>
  <si>
    <t>&lt;Con from="16" weight="-0.0954893519060641"/&gt;</t>
  </si>
  <si>
    <t>&lt;Con from="17" weight="0.3180326456408316"/&gt;</t>
  </si>
  <si>
    <t>&lt;Con from="18" weight="0.0141668850376827"/&gt;</t>
  </si>
  <si>
    <t>&lt;Con from="19" weight="0.1090841060246715"/&gt;</t>
  </si>
  <si>
    <t>&lt;Con from="20" weight="0.02993416067264014"/&gt;</t>
  </si>
  <si>
    <t>&lt;Con from="21" weight="0.1435978454594799"/&gt;</t>
  </si>
  <si>
    <t>&lt;Con from="22" weight="0.1052665845713469"/&gt;</t>
  </si>
  <si>
    <t>&lt;Con from="23" weight="-0.142362407205974"/&gt;</t>
  </si>
  <si>
    <t>&lt;Con from="24" weight="0.03835288645421591"/&gt;</t>
  </si>
  <si>
    <t>&lt;Con from="25" weight="-0.3437916754864306"/&gt;</t>
  </si>
  <si>
    <t>&lt;Con from="26" weight="-0.1752882023491458"/&gt;</t>
  </si>
  <si>
    <t>&lt;Con from="27" weight="-0.3007261014549774"/&gt;</t>
  </si>
  <si>
    <t>&lt;Con from="28" weight="0.09867047112971582"/&gt;</t>
  </si>
  <si>
    <t>&lt;Con from="29" weight="-0.02548498700793116"/&gt;</t>
  </si>
  <si>
    <t>&lt;Neuron id="33" bias="-0.08924988843919632"&gt;</t>
  </si>
  <si>
    <t>&lt;Con from="0" weight="-0.09271194846863549"/&gt;</t>
  </si>
  <si>
    <t>&lt;Con from="1" weight="0.1722867064611952"/&gt;</t>
  </si>
  <si>
    <t>&lt;Con from="2" weight="0.2002615750239819"/&gt;</t>
  </si>
  <si>
    <t>&lt;Con from="3" weight="0.1722089836324441"/&gt;</t>
  </si>
  <si>
    <t>&lt;Con from="4" weight="0.08941527687746591"/&gt;</t>
  </si>
  <si>
    <t>&lt;Con from="5" weight="0.0959144180484456"/&gt;</t>
  </si>
  <si>
    <t>&lt;Con from="6" weight="-0.136870751633819"/&gt;</t>
  </si>
  <si>
    <t>&lt;Con from="7" weight="-0.05890209633200873"/&gt;</t>
  </si>
  <si>
    <t>&lt;Con from="8" weight="0.09534962507061308"/&gt;</t>
  </si>
  <si>
    <t>&lt;Con from="9" weight="-0.04564044243051667"/&gt;</t>
  </si>
  <si>
    <t>&lt;Con from="10" weight="0.0545912296733039"/&gt;</t>
  </si>
  <si>
    <t>&lt;Con from="11" weight="0.2513797610325378"/&gt;</t>
  </si>
  <si>
    <t>&lt;Con from="12" weight="0.3502737018421071"/&gt;</t>
  </si>
  <si>
    <t>&lt;Con from="13" weight="-0.1650082272028664"/&gt;</t>
  </si>
  <si>
    <t>&lt;Con from="14" weight="-0.2997214710059685"/&gt;</t>
  </si>
  <si>
    <t>&lt;Con from="15" weight="0.3278915009724822"/&gt;</t>
  </si>
  <si>
    <t>&lt;Con from="16" weight="-0.2227775944043901"/&gt;</t>
  </si>
  <si>
    <t>&lt;Con from="17" weight="-0.08709469469540766"/&gt;</t>
  </si>
  <si>
    <t>&lt;Con from="18" weight="0.3968620164577241"/&gt;</t>
  </si>
  <si>
    <t>&lt;Con from="19" weight="0.1613484615161568"/&gt;</t>
  </si>
  <si>
    <t>&lt;Con from="20" weight="0.2343676219877308"/&gt;</t>
  </si>
  <si>
    <t>&lt;Con from="21" weight="-0.3537186788145994"/&gt;</t>
  </si>
  <si>
    <t>&lt;Con from="22" weight="-0.1358509615420936"/&gt;</t>
  </si>
  <si>
    <t>&lt;Con from="23" weight="0.3847450135570736"/&gt;</t>
  </si>
  <si>
    <t>&lt;Con from="24" weight="-0.04077432950874348"/&gt;</t>
  </si>
  <si>
    <t>&lt;Con from="25" weight="-0.05616267691127668"/&gt;</t>
  </si>
  <si>
    <t>&lt;Con from="26" weight="0.03360538994212768"/&gt;</t>
  </si>
  <si>
    <t>&lt;Con from="27" weight="-0.009481238212619226"/&gt;</t>
  </si>
  <si>
    <t>&lt;Con from="28" weight="-0.1001705664920156"/&gt;</t>
  </si>
  <si>
    <t>&lt;Con from="29" weight="-0.03533333700676527"/&gt;</t>
  </si>
  <si>
    <t>&lt;Neuron id="34" bias="-0.003087472300600084"&gt;</t>
  </si>
  <si>
    <t>&lt;Con from="0" weight="-0.08512831341308502"/&gt;</t>
  </si>
  <si>
    <t>&lt;Con from="1" weight="-0.4136150774921813"/&gt;</t>
  </si>
  <si>
    <t>&lt;Con from="2" weight="-0.3091873070835002"/&gt;</t>
  </si>
  <si>
    <t>&lt;Con from="3" weight="-0.2894904838425095"/&gt;</t>
  </si>
  <si>
    <t>&lt;Con from="4" weight="0.08288651466282648"/&gt;</t>
  </si>
  <si>
    <t>&lt;Con from="5" weight="-0.03179249383995705"/&gt;</t>
  </si>
  <si>
    <t>&lt;Con from="6" weight="-0.2659171642578206"/&gt;</t>
  </si>
  <si>
    <t>&lt;Con from="7" weight="-0.06641375676035885"/&gt;</t>
  </si>
  <si>
    <t>&lt;Con from="8" weight="0.4486074682679472"/&gt;</t>
  </si>
  <si>
    <t>&lt;Con from="9" weight="0.151563055360383"/&gt;</t>
  </si>
  <si>
    <t>&lt;Con from="10" weight="0.2451795900299463"/&gt;</t>
  </si>
  <si>
    <t>&lt;Con from="11" weight="-0.1673254765673659"/&gt;</t>
  </si>
  <si>
    <t>&lt;Con from="12" weight="0.1376119542031151"/&gt;</t>
  </si>
  <si>
    <t>&lt;Con from="13" weight="-0.4222748032479179"/&gt;</t>
  </si>
  <si>
    <t>&lt;Con from="14" weight="0.1297885273131571"/&gt;</t>
  </si>
  <si>
    <t>&lt;Con from="15" weight="0.1102217089457681"/&gt;</t>
  </si>
  <si>
    <t>&lt;Con from="16" weight="-0.05344895783912904"/&gt;</t>
  </si>
  <si>
    <t>&lt;Con from="17" weight="-0.1485948244082491"/&gt;</t>
  </si>
  <si>
    <t>&lt;Con from="18" weight="0.07828059731029123"/&gt;</t>
  </si>
  <si>
    <t>&lt;Con from="19" weight="0.01242985473196939"/&gt;</t>
  </si>
  <si>
    <t>&lt;Con from="20" weight="0.1189231505264845"/&gt;</t>
  </si>
  <si>
    <t>&lt;Con from="21" weight="-0.2228549575572382"/&gt;</t>
  </si>
  <si>
    <t>&lt;Con from="22" weight="-0.01844538422999885"/&gt;</t>
  </si>
  <si>
    <t>&lt;Con from="23" weight="0.04744538561875565"/&gt;</t>
  </si>
  <si>
    <t>&lt;Con from="24" weight="-0.3022397052535906"/&gt;</t>
  </si>
  <si>
    <t>&lt;Con from="25" weight="-0.4059690291069485"/&gt;</t>
  </si>
  <si>
    <t>&lt;Con from="26" weight="0.05515076710904488"/&gt;</t>
  </si>
  <si>
    <t>&lt;Con from="27" weight="-0.01752943137886321"/&gt;</t>
  </si>
  <si>
    <t>&lt;Con from="28" weight="-0.1017551937802023"/&gt;</t>
  </si>
  <si>
    <t>&lt;Con from="29" weight="0.1298329698240401"/&gt;</t>
  </si>
  <si>
    <t>&lt;Neuron id="35" bias="0.06349128943574146"&gt;</t>
  </si>
  <si>
    <t>&lt;Con from="0" weight="0.01753342745538162"/&gt;</t>
  </si>
  <si>
    <t>&lt;Con from="1" weight="0.3141982617614059"/&gt;</t>
  </si>
  <si>
    <t>&lt;Con from="2" weight="-0.0443264129867618"/&gt;</t>
  </si>
  <si>
    <t>&lt;Con from="3" weight="0.2510809120379775"/&gt;</t>
  </si>
  <si>
    <t>&lt;Con from="4" weight="0.2634654169610327"/&gt;</t>
  </si>
  <si>
    <t>&lt;Con from="5" weight="0.02528961176596214"/&gt;</t>
  </si>
  <si>
    <t>&lt;Con from="6" weight="-0.1501992609363115"/&gt;</t>
  </si>
  <si>
    <t>&lt;Con from="7" weight="-0.08064930274002835"/&gt;</t>
  </si>
  <si>
    <t>&lt;Con from="8" weight="0.1099035100332943"/&gt;</t>
  </si>
  <si>
    <t>&lt;Con from="9" weight="0.08414187765002612"/&gt;</t>
  </si>
  <si>
    <t>&lt;Con from="10" weight="0.08785850960412697"/&gt;</t>
  </si>
  <si>
    <t>&lt;Con from="11" weight="-0.1931175494756002"/&gt;</t>
  </si>
  <si>
    <t>&lt;Con from="12" weight="0.02576179856907556"/&gt;</t>
  </si>
  <si>
    <t>&lt;Con from="13" weight="-0.1975048150440673"/&gt;</t>
  </si>
  <si>
    <t>&lt;Con from="14" weight="-0.2589097474100841"/&gt;</t>
  </si>
  <si>
    <t>&lt;Con from="15" weight="0.04244475668947293"/&gt;</t>
  </si>
  <si>
    <t>&lt;Con from="16" weight="-0.136413541146458"/&gt;</t>
  </si>
  <si>
    <t>&lt;Con from="17" weight="0.2403414598384793"/&gt;</t>
  </si>
  <si>
    <t>&lt;Con from="18" weight="0.3440628457655849"/&gt;</t>
  </si>
  <si>
    <t>&lt;Con from="19" weight="-0.03998421506731155"/&gt;</t>
  </si>
  <si>
    <t>&lt;Con from="20" weight="-0.1518570417657245"/&gt;</t>
  </si>
  <si>
    <t>&lt;Con from="21" weight="-0.1818983592103513"/&gt;</t>
  </si>
  <si>
    <t>&lt;Con from="22" weight="-0.1932929365669896"/&gt;</t>
  </si>
  <si>
    <t>&lt;Con from="23" weight="-0.1957059926139567"/&gt;</t>
  </si>
  <si>
    <t>&lt;Con from="24" weight="-0.1600984483921724"/&gt;</t>
  </si>
  <si>
    <t>&lt;Con from="25" weight="-0.1908429620020364"/&gt;</t>
  </si>
  <si>
    <t>&lt;Con from="26" weight="0.01946987540549029"/&gt;</t>
  </si>
  <si>
    <t>&lt;Con from="27" weight="-0.2686182731315814"/&gt;</t>
  </si>
  <si>
    <t>&lt;Con from="28" weight="-0.03517801438619941"/&gt;</t>
  </si>
  <si>
    <t>&lt;Con from="29" weight="0.08362290305351026"/&gt;</t>
  </si>
  <si>
    <t>&lt;Neuron id="36" bias="-0.02465731157791595"&gt;</t>
  </si>
  <si>
    <t>&lt;Con from="0" weight="-0.4930967928494924"/&gt;</t>
  </si>
  <si>
    <t>&lt;Con from="1" weight="-0.2081110399562877"/&gt;</t>
  </si>
  <si>
    <t>&lt;Con from="2" weight="-0.5131482349889072"/&gt;</t>
  </si>
  <si>
    <t>&lt;Con from="3" weight="0.06138662054375691"/&gt;</t>
  </si>
  <si>
    <t>&lt;Con from="4" weight="-0.02356850229158113"/&gt;</t>
  </si>
  <si>
    <t>&lt;Con from="5" weight="0.2005778482608698"/&gt;</t>
  </si>
  <si>
    <t>&lt;Con from="6" weight="-0.1867297772600347"/&gt;</t>
  </si>
  <si>
    <t>&lt;Con from="7" weight="0.1517616226943704"/&gt;</t>
  </si>
  <si>
    <t>&lt;Con from="8" weight="0.02995668376284668"/&gt;</t>
  </si>
  <si>
    <t>&lt;Con from="9" weight="0.2670919956729676"/&gt;</t>
  </si>
  <si>
    <t>&lt;Con from="10" weight="0.1345253367626798"/&gt;</t>
  </si>
  <si>
    <t>&lt;Con from="11" weight="0.1795349557479667"/&gt;</t>
  </si>
  <si>
    <t>&lt;Con from="12" weight="-0.2544725100537296"/&gt;</t>
  </si>
  <si>
    <t>&lt;Con from="13" weight="-0.1280305343939374"/&gt;</t>
  </si>
  <si>
    <t>&lt;Con from="14" weight="-0.005073285807806967"/&gt;</t>
  </si>
  <si>
    <t>&lt;Con from="15" weight="0.1187108834119769"/&gt;</t>
  </si>
  <si>
    <t>&lt;Con from="16" weight="-0.04675193396232469"/&gt;</t>
  </si>
  <si>
    <t>&lt;Con from="17" weight="-0.2890741759345795"/&gt;</t>
  </si>
  <si>
    <t>&lt;Con from="18" weight="0.1459852028071604"/&gt;</t>
  </si>
  <si>
    <t>&lt;Con from="19" weight="0.1209775261043159"/&gt;</t>
  </si>
  <si>
    <t>&lt;Con from="20" weight="0.2904927978460606"/&gt;</t>
  </si>
  <si>
    <t>&lt;Con from="21" weight="-0.04168093939430153"/&gt;</t>
  </si>
  <si>
    <t>&lt;Con from="22" weight="-0.05700313580569249"/&gt;</t>
  </si>
  <si>
    <t>&lt;Con from="23" weight="-0.1815607840977803"/&gt;</t>
  </si>
  <si>
    <t>&lt;Con from="24" weight="-0.1544909103650083"/&gt;</t>
  </si>
  <si>
    <t>&lt;Con from="25" weight="0.2359626849526832"/&gt;</t>
  </si>
  <si>
    <t>&lt;Con from="26" weight="0.191792190176775"/&gt;</t>
  </si>
  <si>
    <t>&lt;Con from="27" weight="-0.1909851750810045"/&gt;</t>
  </si>
  <si>
    <t>&lt;Con from="28" weight="-0.3696946486854831"/&gt;</t>
  </si>
  <si>
    <t>&lt;Con from="29" weight="-0.07849778401762487"/&gt;</t>
  </si>
  <si>
    <t>&lt;Neuron id="37" bias="0.1103520973431974"&gt;</t>
  </si>
  <si>
    <t>&lt;Con from="30" weight="-0.08093700430119539"/&gt;</t>
  </si>
  <si>
    <t>&lt;Con from="31" weight="0.2584148946843889"/&gt;</t>
  </si>
  <si>
    <t>&lt;Con from="32" weight="-0.8898413811661036"/&gt;</t>
  </si>
  <si>
    <t>&lt;Con from="33" weight="0.3488620944022816"/&gt;</t>
  </si>
  <si>
    <t>&lt;Con from="34" weight="0.2520078740601452"/&gt;</t>
  </si>
  <si>
    <t>&lt;Con from="35" weight="0.2598888614448869"/&gt;</t>
  </si>
  <si>
    <t>&lt;Con from="36" weight="-0.26811797190923"/&gt;</t>
  </si>
  <si>
    <t>&lt;Neuron id="38" bias="0.2773606923139929"&gt;</t>
  </si>
  <si>
    <t>&lt;Con from="30" weight="0.3622482103581924"/&gt;</t>
  </si>
  <si>
    <t>&lt;Con from="31" weight="-0.103945456345151"/&gt;</t>
  </si>
  <si>
    <t>&lt;Con from="32" weight="0.5256167794674095"/&gt;</t>
  </si>
  <si>
    <t>&lt;Con from="33" weight="-0.2618089011314308"/&gt;</t>
  </si>
  <si>
    <t>&lt;Con from="34" weight="-0.3394191164006926"/&gt;</t>
  </si>
  <si>
    <t>&lt;Con from="35" weight="-0.02682397024204865"/&gt;</t>
  </si>
  <si>
    <t>&lt;Con from="36" weight="-0.1167658488783342"/&gt;</t>
  </si>
  <si>
    <t>&lt;Neuron id="39" bias="-0.1843754078970039"&gt;</t>
  </si>
  <si>
    <t>&lt;Con from="30" weight="-0.2850905409337369"/&gt;</t>
  </si>
  <si>
    <t>&lt;Con from="31" weight="-0.07869390034678844"/&gt;</t>
  </si>
  <si>
    <t>&lt;Con from="32" weight="-0.407267858786759"/&gt;</t>
  </si>
  <si>
    <t>&lt;Con from="33" weight="0.296511582268335"/&gt;</t>
  </si>
  <si>
    <t>&lt;Con from="34" weight="-0.2312839250509854"/&gt;</t>
  </si>
  <si>
    <t>&lt;Con from="35" weight="-0.2904353327012421"/&gt;</t>
  </si>
  <si>
    <t>&lt;Con from="36" weight="-0.1328530665855737"/&gt;</t>
  </si>
  <si>
    <t>&lt;Neuron id="40" bias="0.3562868842086405"&gt;</t>
  </si>
  <si>
    <t>&lt;Con from="37" weight="-0.02739364285844385"/&gt;</t>
  </si>
  <si>
    <t>&lt;Con from="38" weight="0.2876646247180764"/&gt;</t>
  </si>
  <si>
    <t>&lt;Con from="39" weight="-1.25509039331907"/&gt;</t>
  </si>
  <si>
    <t>&lt;Neuron id="41" bias="0.3539432244998356"&gt;</t>
  </si>
  <si>
    <t>&lt;Con from="37" weight="0.5136253862149479"/&gt;</t>
  </si>
  <si>
    <t>&lt;Con from="38" weight="0.5988850440423434"/&gt;</t>
  </si>
  <si>
    <t>&lt;Con from="39" weight="0.557154361222688"/&gt;</t>
  </si>
  <si>
    <t>&lt;NeuralOutput outputNeuron="40"&gt;</t>
  </si>
  <si>
    <t>STDPartition2</t>
  </si>
  <si>
    <t>$C$37:$AH$548</t>
  </si>
  <si>
    <t>$C$549:$AH$605</t>
  </si>
  <si>
    <t>{"comment":"this RASON template was auto-generated by Analytic Solver Data Science","datasources":{},"datasets":{},"estimator":{"neuralNetClassificationEstimator":{"type":"classification","algorithm":"neuralNetwork","parameters":{"categoricalFeaturesNames":[],"dataForErrorComputation":"ONLY_TRAIN","errorTolerance":0.01,"hiddenLayerActivation":"TANH","learningOrder":"ORIGINAL","learningOrderSeed":12345,"learningRate":0.10000000000000001,"maxNumEpochsWithNoImprovement":5,"maxTrainingTimeSeconds":3600,"minRelativeErrorChange":0.0001,"minRelativeErrorChangeComparedToNullModel":0.001,"numEpochs":30,"numNeurons":[7,3],"outputLayerActivation":"TANH","priorProbMethod":"EMPIRICAL","weightDecay":0,"weightInitSeed":12345,"weightMomentum":0.59999999999999998}}},"actions":{}}</t>
  </si>
  <si>
    <t># Nodes in Hidden Layer 2</t>
  </si>
  <si>
    <t>Date: 18-Mar-2025 20:12:21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</si>
</sst>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  <font>
      <b/>
      <sz val="10"/>
      <color rgb="FF000000"/>
      <name val="Arial Unicode MS"/>
    </font>
    <font>
      <u/>
      <sz val="11"/>
      <color theme="10"/>
      <name val="Calibri"/>
      <family val="2"/>
      <scheme val="minor"/>
    </font>
    <font>
      <b/>
      <sz val="14"/>
      <color rgb="FF4169E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4169E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8" fillId="4" borderId="1" xfId="0" applyFont="1" applyFill="1" applyBorder="1" applyAlignment="1">
      <alignment horizontal="center"/>
    </xf>
    <xf numFmtId="164" fontId="0" fillId="0" borderId="0" xfId="0" applyNumberFormat="1"/>
    <xf numFmtId="0" fontId="4" fillId="0" borderId="2" xfId="1" applyBorder="1"/>
    <xf numFmtId="0" fontId="7" fillId="3" borderId="6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8" fillId="4" borderId="2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7" fillId="3" borderId="3" xfId="0" applyFont="1" applyFill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4" fillId="0" borderId="6" xfId="1" applyBorder="1"/>
    <xf numFmtId="0" fontId="4" fillId="0" borderId="5" xfId="1" applyBorder="1"/>
    <xf numFmtId="0" fontId="0" fillId="0" borderId="6" xfId="0" applyBorder="1"/>
    <xf numFmtId="0" fontId="0" fillId="0" borderId="4" xfId="0" applyBorder="1"/>
    <xf numFmtId="0" fontId="0" fillId="0" borderId="5" xfId="0" applyBorder="1"/>
    <xf numFmtId="0" fontId="8" fillId="4" borderId="4" xfId="0" applyFont="1" applyFill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3" borderId="2" xfId="0" applyFont="1" applyFill="1" applyBorder="1"/>
  </cellXfs>
  <cellStyles count="2">
    <cellStyle name="Hyperlink" xfId="1" builtinId="8"/>
    <cellStyle name="Normal" xfId="0" builtinId="0"/>
  </cellStyles>
  <dxfs count="251"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border outline="0">
        <top style="thin">
          <color rgb="FF808080"/>
        </top>
      </border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top style="thin">
          <color rgb="FF808080"/>
        </top>
      </border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dbc.data" connectionId="1" xr16:uid="{D191D0F4-E265-4B43-B4C4-925AF245B98F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55A423-4348-40D4-B855-78CD912EC41D}" name="Table4" displayName="Table4" ref="C33:AJ602" totalsRowShown="0" dataDxfId="250">
  <autoFilter ref="C33:AJ602" xr:uid="{3955A423-4348-40D4-B855-78CD912EC41D}"/>
  <tableColumns count="34">
    <tableColumn id="1" xr3:uid="{C12897CD-D959-4722-A348-60ADFA341199}" name="Record ID" dataDxfId="249"/>
    <tableColumn id="2" xr3:uid="{FFCAAB5F-5FB3-407D-85B8-9534AFB02874}" name="No. of instances" dataDxfId="248"/>
    <tableColumn id="3" xr3:uid="{DDA65238-AD6B-4B43-AB8D-C2355792C9FE}" name="ID" dataDxfId="247"/>
    <tableColumn id="4" xr3:uid="{3AF56D0A-B408-41A4-8DBA-08F630AE4E60}" name="Diagnosis " dataDxfId="246"/>
    <tableColumn id="5" xr3:uid="{E4D5469D-CFF8-49E7-984E-45C0F1BDBFE2}" name="Treated_Feature 1" dataDxfId="245"/>
    <tableColumn id="6" xr3:uid="{FDEC0ABC-1065-4435-BCCD-39A378A4E0C4}" name="Treated_Feature 2" dataDxfId="244"/>
    <tableColumn id="7" xr3:uid="{1DF32222-42AC-4758-9949-E75EFA6ABB14}" name="Treated_Feature 3" dataDxfId="243"/>
    <tableColumn id="8" xr3:uid="{FF281D2A-2A31-4B5A-A038-139A5A7C3FC5}" name="Treated_Feature 4" dataDxfId="242"/>
    <tableColumn id="9" xr3:uid="{A9972EE5-0867-4B42-8693-30A92640F7A6}" name="Treated_Feature 5" dataDxfId="241"/>
    <tableColumn id="10" xr3:uid="{FD76A1EA-B425-401B-B10A-E85E345F084E}" name="Treated_Feature 6" dataDxfId="240"/>
    <tableColumn id="11" xr3:uid="{9265985F-601D-474F-9400-C7D30212985B}" name="Treated_Feature 7" dataDxfId="239"/>
    <tableColumn id="12" xr3:uid="{768F05FB-3149-47B1-95B0-CA51AE9F8CCC}" name="Treated_Feature 8" dataDxfId="238"/>
    <tableColumn id="13" xr3:uid="{A43711FE-58FE-4C6B-97A6-2204A0F52B9B}" name="Treated_Feature 9" dataDxfId="237"/>
    <tableColumn id="14" xr3:uid="{85ABBD08-8835-4AFF-B9D7-4714A7F23391}" name="Treated_Feature 10" dataDxfId="236"/>
    <tableColumn id="15" xr3:uid="{2AD97CD5-0337-4F7C-8804-7A7203034BB5}" name="Treated_Feature 11" dataDxfId="235"/>
    <tableColumn id="16" xr3:uid="{E8A87B5C-9E18-4680-80D1-E34ADC66ED77}" name="Treated_Feature 12" dataDxfId="234"/>
    <tableColumn id="17" xr3:uid="{9699F1E4-3B50-4999-B1E0-7A0F1BD7BFD9}" name="Treated_Feature 13" dataDxfId="233"/>
    <tableColumn id="18" xr3:uid="{36666343-8B7E-4F0F-9C02-11BEC7630480}" name="Treated_Feature 14" dataDxfId="232"/>
    <tableColumn id="19" xr3:uid="{96F76632-5ED8-479C-9172-AD4D0BB51935}" name="Treated_Feature 15" dataDxfId="231"/>
    <tableColumn id="20" xr3:uid="{EBBED24E-776D-4918-9BC7-BF7B74A9C8B0}" name="Treated_Feature 16" dataDxfId="230"/>
    <tableColumn id="21" xr3:uid="{4A8F4E21-8FB5-44FD-BE9F-57232E16BE09}" name="Treated_Feature 17" dataDxfId="229"/>
    <tableColumn id="22" xr3:uid="{CFA36396-C8C0-4C9C-8FBA-8910435A5743}" name="Treated_Feature 18" dataDxfId="228"/>
    <tableColumn id="23" xr3:uid="{E4235167-CEDB-438B-9714-A755F60BA9B9}" name="Treated_Feature 19" dataDxfId="227"/>
    <tableColumn id="24" xr3:uid="{0D50B138-8816-4B5D-AF3C-73601E853353}" name="Treated_Feature 20" dataDxfId="226"/>
    <tableColumn id="25" xr3:uid="{8E3EB5BA-34F0-4B02-AC46-8DA4C8DA3202}" name="Treated_Feature 21" dataDxfId="225"/>
    <tableColumn id="26" xr3:uid="{B9DAB900-C953-4C99-9858-5AD5584EFE3D}" name="Treated_Feature 22" dataDxfId="224"/>
    <tableColumn id="27" xr3:uid="{14A18FFD-E624-4C44-ACCB-9434EE9AF637}" name="Treated_Feature 23" dataDxfId="223"/>
    <tableColumn id="28" xr3:uid="{1B6F5A23-296D-4563-BD31-B9CB175AFD17}" name="Treated_Feature 24" dataDxfId="222"/>
    <tableColumn id="29" xr3:uid="{81E0237A-C361-4C15-9383-7DE489669E01}" name="Treated_Feature 25" dataDxfId="221"/>
    <tableColumn id="30" xr3:uid="{031F9144-94DE-41D1-98E7-8F050D1855D3}" name="Treated_Feature 26" dataDxfId="220"/>
    <tableColumn id="31" xr3:uid="{488A12D5-25A8-474F-9FEF-46EA0B82457B}" name="Treated_Feature 27" dataDxfId="219"/>
    <tableColumn id="32" xr3:uid="{5B4210B3-CD1F-42CF-8046-CD07B388F8FC}" name="Treated_Feature 28" dataDxfId="218"/>
    <tableColumn id="33" xr3:uid="{811789F4-A2EB-4980-B3CD-38F2F0116442}" name="Treated_Feature 29" dataDxfId="217"/>
    <tableColumn id="34" xr3:uid="{181E8FF3-EEBF-48AF-843A-4E1D8CD2F3C7}" name="Treated_Feature 30" dataDxfId="216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0" xr:uid="{5F9F7B24-1D5A-4508-A0B1-106F31782BC5}" name="Table650" displayName="Table650" ref="C30:D32" totalsRowShown="0">
  <autoFilter ref="C30:D32" xr:uid="{5F9F7B24-1D5A-4508-A0B1-106F31782BC5}"/>
  <tableColumns count="2">
    <tableColumn id="1" xr3:uid="{57E0FCAB-4EF9-414B-8630-1C919759B677}" name="Partition" dataDxfId="215"/>
    <tableColumn id="2" xr3:uid="{062ED2AC-0573-49DF-9B8F-0298667E68B3}" name="# Records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1" xr:uid="{D898D89E-93BB-4FBB-B6EF-38F8C2F6C44A}" name="Table651" displayName="Table651" ref="C36:AH605" totalsRowShown="0" dataDxfId="214">
  <autoFilter ref="C36:AH605" xr:uid="{D898D89E-93BB-4FBB-B6EF-38F8C2F6C44A}"/>
  <tableColumns count="32">
    <tableColumn id="1" xr3:uid="{AAB3E7E5-F0E5-4F5C-A654-B72DD42416FC}" name="Record ID" dataDxfId="213"/>
    <tableColumn id="2" xr3:uid="{CEC9001C-6D90-4F6E-ABE5-00D41F8CA4C6}" name="Diagnosis" dataDxfId="212"/>
    <tableColumn id="3" xr3:uid="{01FFE8B0-72D7-4AAB-910D-723FC5C81F4A}" name="Treated_Feature 1" dataDxfId="211"/>
    <tableColumn id="4" xr3:uid="{55866C2A-848B-40BC-AB53-AE99DBE6B0B1}" name="Treated_Feature 2" dataDxfId="210"/>
    <tableColumn id="5" xr3:uid="{8EAC2655-65F7-4377-8DC4-EBF3058E0357}" name="Treated_Feature 3" dataDxfId="209"/>
    <tableColumn id="6" xr3:uid="{399A0DF7-AC32-419F-8E6C-80C19B74AD62}" name="Treated_Feature 4" dataDxfId="208"/>
    <tableColumn id="7" xr3:uid="{ED34388F-4CB1-4C73-8F83-058BE191B65C}" name="Treated_Feature 5" dataDxfId="207"/>
    <tableColumn id="8" xr3:uid="{CADC30DD-F958-479F-8E36-5A284DC037BD}" name="Treated_Feature 6" dataDxfId="206"/>
    <tableColumn id="9" xr3:uid="{DAA57129-CEE0-4578-8E3A-D362370C2C65}" name="Treated_Feature 7" dataDxfId="205"/>
    <tableColumn id="10" xr3:uid="{7223713B-3E37-4BE0-91DC-F63847DEB479}" name="Treated_Feature 8" dataDxfId="204"/>
    <tableColumn id="11" xr3:uid="{3187F36B-962C-4DD3-9BD9-9E211701CFC2}" name="Treated_Feature 9" dataDxfId="203"/>
    <tableColumn id="12" xr3:uid="{C570C776-831F-45F7-94BD-58D215E34F8E}" name="Treated_Feature 10" dataDxfId="202"/>
    <tableColumn id="13" xr3:uid="{90849750-B05B-4B5E-B5E0-468A1F64BD4F}" name="Treated_Feature 11" dataDxfId="201"/>
    <tableColumn id="14" xr3:uid="{8E83D312-1DF4-42A1-8016-60FD02F1B972}" name="Treated_Feature 12" dataDxfId="200"/>
    <tableColumn id="15" xr3:uid="{ADB5DB69-9401-49E3-A02D-7D5BACBCCF43}" name="Treated_Feature 13" dataDxfId="199"/>
    <tableColumn id="16" xr3:uid="{C35B6E2C-E15F-44BB-A914-4BDB9807E8CA}" name="Treated_Feature 14" dataDxfId="198"/>
    <tableColumn id="17" xr3:uid="{3319F150-F2D2-4D09-975A-1120E2776C34}" name="Treated_Feature 15" dataDxfId="197"/>
    <tableColumn id="18" xr3:uid="{5D3B0843-E8CE-4FE6-A5CA-508335DB9119}" name="Treated_Feature 16" dataDxfId="196"/>
    <tableColumn id="19" xr3:uid="{DDE00D83-CB36-4E03-B052-F69FBA7D64C0}" name="Treated_Feature 17" dataDxfId="195"/>
    <tableColumn id="20" xr3:uid="{DE0C5300-5F43-41B0-A564-E420664D4E51}" name="Treated_Feature 18" dataDxfId="194"/>
    <tableColumn id="21" xr3:uid="{CDBC8B5F-736D-43ED-A7E9-49392D28C3EE}" name="Treated_Feature 19" dataDxfId="193"/>
    <tableColumn id="22" xr3:uid="{ED7B1C0E-053C-48E8-9C53-E6E1AABF31E3}" name="Treated_Feature 20" dataDxfId="192"/>
    <tableColumn id="23" xr3:uid="{1CEEE5A0-75C0-49CF-A2F0-7EC2A28D357D}" name="Treated_Feature 21" dataDxfId="191"/>
    <tableColumn id="24" xr3:uid="{1C453695-BE09-4C0B-99FA-9C3BC8695D1B}" name="Treated_Feature 22" dataDxfId="190"/>
    <tableColumn id="25" xr3:uid="{AFC4F283-07BE-4BE3-821E-4DDCE07FF6B3}" name="Treated_Feature 23" dataDxfId="189"/>
    <tableColumn id="26" xr3:uid="{BF0F37FB-EE29-44AC-89FE-6C2EFC28B254}" name="Treated_Feature 24" dataDxfId="188"/>
    <tableColumn id="27" xr3:uid="{9840B70F-B8B5-421D-A666-E17BB7037EE8}" name="Treated_Feature 25" dataDxfId="187"/>
    <tableColumn id="28" xr3:uid="{9A118086-2941-4115-A4E3-18FC30933371}" name="Treated_Feature 26" dataDxfId="186"/>
    <tableColumn id="29" xr3:uid="{EEE58208-CA33-4ACC-BFD5-2421E217780F}" name="Treated_Feature 27" dataDxfId="185"/>
    <tableColumn id="30" xr3:uid="{E04B11BA-AF57-47C0-95BE-81A325F70102}" name="Treated_Feature 28" dataDxfId="184"/>
    <tableColumn id="31" xr3:uid="{F2B884C1-74C0-4567-9E08-3B4E6F31C0BA}" name="Treated_Feature 29" dataDxfId="183"/>
    <tableColumn id="32" xr3:uid="{35B14EE8-60AF-4F37-95FD-0F9CE11B715C}" name="Treated_Feature 30" dataDxfId="182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8" xr:uid="{1F6FD560-4168-4EF4-8AFF-B0953DA34F94}" name="Table658" displayName="Table658" ref="C12:E42" totalsRowShown="0">
  <autoFilter ref="C12:E42" xr:uid="{1F6FD560-4168-4EF4-8AFF-B0953DA34F94}"/>
  <tableColumns count="3">
    <tableColumn id="1" xr3:uid="{2E4D92D1-7FA1-4D45-9E65-0916EE6BCAFA}" name="Epoch" dataDxfId="181"/>
    <tableColumn id="2" xr3:uid="{6C3A2DDC-1758-4A97-A60D-0E914206D24E}" name="Training: Network Error (Sum of Squares)" dataDxfId="180"/>
    <tableColumn id="3" xr3:uid="{BEB4D213-2D6A-436C-986C-3034C5E923F7}" name="Training: Data Error (Misclassification)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5" xr:uid="{C773032E-F679-412E-A53C-E58D045FEEAF}" name="Table655" displayName="Table655" ref="C13:E15" totalsRowShown="0" tableBorderDxfId="179">
  <autoFilter ref="C13:E15" xr:uid="{C773032E-F679-412E-A53C-E58D045FEEAF}"/>
  <tableColumns count="3">
    <tableColumn id="1" xr3:uid="{3CBEA46E-97E3-44CC-AF86-01B13394D706}" name="Actual\Predicted" dataDxfId="178"/>
    <tableColumn id="2" xr3:uid="{011D0FB5-D19D-463E-ADA0-08C79C5B9508}" name="B" dataDxfId="177"/>
    <tableColumn id="3" xr3:uid="{5784C09A-AF41-4774-988F-7AAE36131BAD}" name="M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6" xr:uid="{20E1299C-655D-4A06-A63D-69B55D634B96}" name="Table656" displayName="Table656" ref="C18:F21" totalsRowShown="0" tableBorderDxfId="176">
  <autoFilter ref="C18:F21" xr:uid="{20E1299C-655D-4A06-A63D-69B55D634B96}"/>
  <tableColumns count="4">
    <tableColumn id="1" xr3:uid="{8387D718-CF0D-4DBD-9186-9207180F1424}" name="Class" dataDxfId="175"/>
    <tableColumn id="2" xr3:uid="{28179244-C644-4396-A526-327B2622247A}" name="# Cases"/>
    <tableColumn id="3" xr3:uid="{F1BADE32-82E3-4255-BF0E-B3F25F7353AC}" name="# Errors"/>
    <tableColumn id="4" xr3:uid="{DAC6B6BC-BCEF-4BF5-85A4-050EB2429892}" name="% Error"/>
  </tableColumns>
  <tableStyleInfo name="TableStyleMedium9" showFirstColumn="1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7" xr:uid="{EE6BE473-275F-4436-B216-FA6871106130}" name="Table657" displayName="Table657" ref="C24:D32" totalsRowShown="0" tableBorderDxfId="174">
  <autoFilter ref="C24:D32" xr:uid="{EE6BE473-275F-4436-B216-FA6871106130}"/>
  <tableColumns count="2">
    <tableColumn id="1" xr3:uid="{0662C3C3-4489-429E-81CD-D84AD163D5F4}" name="Metric"/>
    <tableColumn id="2" xr3:uid="{BD3562C0-CDA9-492E-88AB-9BE43CCD2451}" name="Value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2" xr:uid="{33232BC0-85EE-4D93-8272-91AFCEAD77C0}" name="Table652" displayName="Table652" ref="C13:E15" totalsRowShown="0" tableBorderDxfId="173">
  <autoFilter ref="C13:E15" xr:uid="{33232BC0-85EE-4D93-8272-91AFCEAD77C0}"/>
  <tableColumns count="3">
    <tableColumn id="1" xr3:uid="{563837C5-129C-4784-B85F-6E5F22F56CBE}" name="Actual\Predicted" dataDxfId="172"/>
    <tableColumn id="2" xr3:uid="{44243349-1BCD-4C04-BD37-7B4BB8953C77}" name="B" dataDxfId="171"/>
    <tableColumn id="3" xr3:uid="{0D50A02B-57AD-4C07-8759-29E55344D1BE}" name="M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3" xr:uid="{998A8774-9ABD-48F4-80C6-0E58708CF39F}" name="Table653" displayName="Table653" ref="C18:F21" totalsRowShown="0" tableBorderDxfId="170">
  <autoFilter ref="C18:F21" xr:uid="{998A8774-9ABD-48F4-80C6-0E58708CF39F}"/>
  <tableColumns count="4">
    <tableColumn id="1" xr3:uid="{E735B4AD-0027-49B7-AC46-C98A2D086AB2}" name="Class" dataDxfId="169"/>
    <tableColumn id="2" xr3:uid="{A843EC5B-741F-4C99-87E6-9D56E64FDB06}" name="# Cases"/>
    <tableColumn id="3" xr3:uid="{FEB3AB58-6539-4CE8-9D13-22EA8898B9FD}" name="# Errors"/>
    <tableColumn id="4" xr3:uid="{52897F30-FCFA-44BB-97FF-120203CEA983}" name="% Error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4" xr:uid="{EA88C8CC-0E94-4BDB-B2B8-670D96AC5723}" name="Table654" displayName="Table654" ref="C24:D32" totalsRowShown="0" tableBorderDxfId="168">
  <autoFilter ref="C24:D32" xr:uid="{EA88C8CC-0E94-4BDB-B2B8-670D96AC5723}"/>
  <tableColumns count="2">
    <tableColumn id="1" xr3:uid="{5D87E7FE-00E1-4C2E-966A-30046B92207E}" name="Metric"/>
    <tableColumn id="2" xr3:uid="{DAE47C15-416C-4FF6-ABDC-C64FE644A8D2}" name="Value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4" xr:uid="{D27BAAB0-8DA1-47A8-B5A5-0437A3B0C7A6}" name="Table214" displayName="Table214" ref="C30:D32" totalsRowShown="0">
  <autoFilter ref="C30:D32" xr:uid="{D27BAAB0-8DA1-47A8-B5A5-0437A3B0C7A6}"/>
  <tableColumns count="2">
    <tableColumn id="1" xr3:uid="{E4EF1C4E-33F5-460E-9AFC-3DE8A9C261C7}" name="Partition" dataDxfId="167"/>
    <tableColumn id="2" xr3:uid="{D33E5DF2-03EB-428C-918B-75112CB00901}" name="# Records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5" xr:uid="{31633B3A-3A95-4427-AD6E-857C1717D30C}" name="Table215" displayName="Table215" ref="C36:AH605" totalsRowShown="0" dataDxfId="166">
  <autoFilter ref="C36:AH605" xr:uid="{31633B3A-3A95-4427-AD6E-857C1717D30C}"/>
  <tableColumns count="32">
    <tableColumn id="1" xr3:uid="{18929F2C-B716-4A03-8F9E-021A70BF0AAC}" name="Record ID" dataDxfId="165"/>
    <tableColumn id="2" xr3:uid="{E2AB370E-DDB8-4C98-B1CC-CF1C010B7DB5}" name="Diagnosis" dataDxfId="164"/>
    <tableColumn id="3" xr3:uid="{7CDCF8B7-A79F-4FBD-A83A-AEF453953DEB}" name="Treated_Feature 1" dataDxfId="163"/>
    <tableColumn id="4" xr3:uid="{DB5DC904-1588-4F52-89D4-928C6A944700}" name="Treated_Feature 2" dataDxfId="162"/>
    <tableColumn id="5" xr3:uid="{2092B97B-3BAC-41C9-8F0F-E604D751DF75}" name="Treated_Feature 3" dataDxfId="161"/>
    <tableColumn id="6" xr3:uid="{4A8A4997-7B0A-4911-843E-C1138C6805D8}" name="Treated_Feature 4" dataDxfId="160"/>
    <tableColumn id="7" xr3:uid="{621E0CF6-885E-4FE6-A010-5FBC2D0819CE}" name="Treated_Feature 5" dataDxfId="159"/>
    <tableColumn id="8" xr3:uid="{00F56058-580B-4E0E-8F66-3CDA9D3DE3FB}" name="Treated_Feature 6" dataDxfId="158"/>
    <tableColumn id="9" xr3:uid="{D57604D3-6DA9-454A-88AA-E68C82B76176}" name="Treated_Feature 7" dataDxfId="157"/>
    <tableColumn id="10" xr3:uid="{1EE08542-0D8E-4DA1-BEF2-55357586D6A2}" name="Treated_Feature 8" dataDxfId="156"/>
    <tableColumn id="11" xr3:uid="{CB61FC22-18ED-4035-8B0C-DDA5AC294FC2}" name="Treated_Feature 9" dataDxfId="155"/>
    <tableColumn id="12" xr3:uid="{F08E0779-4E7A-4FB4-AB0B-69D892DFCF02}" name="Treated_Feature 10" dataDxfId="154"/>
    <tableColumn id="13" xr3:uid="{EE2F597A-B592-4AA2-B66F-397D1DCF564F}" name="Treated_Feature 11" dataDxfId="153"/>
    <tableColumn id="14" xr3:uid="{4704F2DA-2F32-4244-B7BE-03E07568A792}" name="Treated_Feature 12" dataDxfId="152"/>
    <tableColumn id="15" xr3:uid="{EDA7E543-19A6-4271-BC0A-41EC729996BE}" name="Treated_Feature 13" dataDxfId="151"/>
    <tableColumn id="16" xr3:uid="{8DD8551B-D6AA-4BC9-BBE1-BEF15079ADC1}" name="Treated_Feature 14" dataDxfId="150"/>
    <tableColumn id="17" xr3:uid="{2313ACC3-0FEA-4296-BD51-7EB7F9423584}" name="Treated_Feature 15" dataDxfId="149"/>
    <tableColumn id="18" xr3:uid="{3BECC9F8-7FCE-4F75-880F-7D9A5B6FD1A5}" name="Treated_Feature 16" dataDxfId="148"/>
    <tableColumn id="19" xr3:uid="{18B7E6BB-98D7-4DD2-9317-66F14278BAC1}" name="Treated_Feature 17" dataDxfId="147"/>
    <tableColumn id="20" xr3:uid="{82F9CF20-E7DA-463D-9D9D-FCAAD45AD22C}" name="Treated_Feature 18" dataDxfId="146"/>
    <tableColumn id="21" xr3:uid="{65A8068C-90DA-4930-BA79-D858DF03C414}" name="Treated_Feature 19" dataDxfId="145"/>
    <tableColumn id="22" xr3:uid="{8603C0C9-C246-439C-BD63-E6A35C19CC32}" name="Treated_Feature 20" dataDxfId="144"/>
    <tableColumn id="23" xr3:uid="{0FE47EEE-5C8D-4545-A581-263C97894B2E}" name="Treated_Feature 21" dataDxfId="143"/>
    <tableColumn id="24" xr3:uid="{48F1F614-0CA0-4F57-AD22-C0765F52D338}" name="Treated_Feature 22" dataDxfId="142"/>
    <tableColumn id="25" xr3:uid="{278D4C51-B476-4866-80AE-D6B11B294050}" name="Treated_Feature 23" dataDxfId="141"/>
    <tableColumn id="26" xr3:uid="{DBD2DC1D-02BB-4A40-A9D4-54B16C65CEB6}" name="Treated_Feature 24" dataDxfId="140"/>
    <tableColumn id="27" xr3:uid="{1C7EEC8B-CF64-413E-85F2-F16BF98DAE95}" name="Treated_Feature 25" dataDxfId="139"/>
    <tableColumn id="28" xr3:uid="{9AD257C4-BF03-4F35-A468-4F5D09D816B8}" name="Treated_Feature 26" dataDxfId="138"/>
    <tableColumn id="29" xr3:uid="{5CB4E7D5-AE1D-4220-BECF-9A47A4983D1D}" name="Treated_Feature 27" dataDxfId="137"/>
    <tableColumn id="30" xr3:uid="{5A0A5FE3-A23A-486A-88FF-9FB072A7DC66}" name="Treated_Feature 28" dataDxfId="136"/>
    <tableColumn id="31" xr3:uid="{B8C51293-560B-4E64-B1A7-9B4A104F0964}" name="Treated_Feature 29" dataDxfId="135"/>
    <tableColumn id="32" xr3:uid="{F17CF950-A3BD-4D41-B19C-5151A57EFFFC}" name="Treated_Feature 30" dataDxfId="134"/>
  </tableColumns>
  <tableStyleInfo name="TableStyleMedium9" showFirstColumn="1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8" xr:uid="{D3040261-0BFA-40FF-B9A7-5E922635924B}" name="Table638" displayName="Table638" ref="C12:E37" totalsRowShown="0">
  <autoFilter ref="C12:E37" xr:uid="{D3040261-0BFA-40FF-B9A7-5E922635924B}"/>
  <tableColumns count="3">
    <tableColumn id="1" xr3:uid="{1E062419-8552-41C1-9048-310F14F6736E}" name="Epoch" dataDxfId="133"/>
    <tableColumn id="2" xr3:uid="{87A038FB-654D-4C41-95BF-4EB22D9481EE}" name="Training: Network Error (Sum of Squares)" dataDxfId="132"/>
    <tableColumn id="3" xr3:uid="{19B9747F-CF46-4E51-A826-B70BB34E82B5}" name="Training: Data Error (Misclassification)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5" xr:uid="{081D6913-2579-4033-9F9E-3CD572B57538}" name="Table635" displayName="Table635" ref="C13:E15" totalsRowShown="0" tableBorderDxfId="131">
  <autoFilter ref="C13:E15" xr:uid="{081D6913-2579-4033-9F9E-3CD572B57538}"/>
  <tableColumns count="3">
    <tableColumn id="1" xr3:uid="{5846706A-4E05-45F4-9EC5-E521DAD7E2C1}" name="Actual\Predicted" dataDxfId="130"/>
    <tableColumn id="2" xr3:uid="{C370492A-3FCD-4632-8F6F-F4CCFBF6F4A1}" name="B" dataDxfId="129"/>
    <tableColumn id="3" xr3:uid="{ACB49450-C1BC-4951-A022-2EA053EBCBE2}" name="M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6" xr:uid="{0EC36203-2BFA-4E90-BCE5-83184E5A4EA2}" name="Table636" displayName="Table636" ref="C18:F21" totalsRowShown="0" tableBorderDxfId="128">
  <autoFilter ref="C18:F21" xr:uid="{0EC36203-2BFA-4E90-BCE5-83184E5A4EA2}"/>
  <tableColumns count="4">
    <tableColumn id="1" xr3:uid="{54DA4C6B-49ED-4C33-9A16-6E98B7A2DD13}" name="Class" dataDxfId="127"/>
    <tableColumn id="2" xr3:uid="{086E324C-D9B8-4C44-91CE-74851A07EC13}" name="# Cases"/>
    <tableColumn id="3" xr3:uid="{C97D4ACE-2E96-49B4-A1E1-7CAEC52F997B}" name="# Errors"/>
    <tableColumn id="4" xr3:uid="{9734FA18-F054-4146-8743-F991118B5C6F}" name="% Error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7" xr:uid="{65BEE7D2-3628-4CDB-B5E2-3D2846DB6462}" name="Table637" displayName="Table637" ref="C24:D32" totalsRowShown="0" tableBorderDxfId="126">
  <autoFilter ref="C24:D32" xr:uid="{65BEE7D2-3628-4CDB-B5E2-3D2846DB6462}"/>
  <tableColumns count="2">
    <tableColumn id="1" xr3:uid="{4FF4FF2B-6BE0-4DF9-B949-6DB3ECB99401}" name="Metric"/>
    <tableColumn id="2" xr3:uid="{CFE723D0-A0F1-40E4-8033-56617AC551B9}" name="Value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2" xr:uid="{7349E8D8-6FBD-4779-AE08-D77AFC0DBE19}" name="Table632" displayName="Table632" ref="C13:E15" totalsRowShown="0" tableBorderDxfId="125">
  <autoFilter ref="C13:E15" xr:uid="{7349E8D8-6FBD-4779-AE08-D77AFC0DBE19}"/>
  <tableColumns count="3">
    <tableColumn id="1" xr3:uid="{F7A34D72-21DD-4755-9138-155D48492C4B}" name="Actual\Predicted" dataDxfId="124"/>
    <tableColumn id="2" xr3:uid="{461825FA-77FC-4A96-B4DB-472E23BF3D83}" name="B" dataDxfId="123"/>
    <tableColumn id="3" xr3:uid="{1D2AC2E4-2654-4FDE-AC35-55085CC864BB}" name="M"/>
  </tableColumns>
  <tableStyleInfo name="TableStyleMedium9" showFirstColumn="1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3" xr:uid="{3A5AC66F-74D3-42F7-A906-621BD44AE1B5}" name="Table633" displayName="Table633" ref="C18:F21" totalsRowShown="0" tableBorderDxfId="122">
  <autoFilter ref="C18:F21" xr:uid="{3A5AC66F-74D3-42F7-A906-621BD44AE1B5}"/>
  <tableColumns count="4">
    <tableColumn id="1" xr3:uid="{894B68F4-07FB-4910-AE8B-2E6A09122B8F}" name="Class" dataDxfId="121"/>
    <tableColumn id="2" xr3:uid="{7F167F2F-FDD2-4C9F-904C-776AF9891A48}" name="# Cases"/>
    <tableColumn id="3" xr3:uid="{3384379E-7F6B-4977-B1F2-343F9EC300EC}" name="# Errors"/>
    <tableColumn id="4" xr3:uid="{E8D7497D-E910-4D8B-812D-F17FB08AF4DD}" name="% Error"/>
  </tableColumns>
  <tableStyleInfo name="TableStyleMedium9" showFirstColumn="1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4" xr:uid="{CD4F7780-5A5C-4FA6-B56A-7FF1FDE015B3}" name="Table634" displayName="Table634" ref="C24:D32" totalsRowShown="0" tableBorderDxfId="120">
  <autoFilter ref="C24:D32" xr:uid="{CD4F7780-5A5C-4FA6-B56A-7FF1FDE015B3}"/>
  <tableColumns count="2">
    <tableColumn id="1" xr3:uid="{BC979723-5C54-466E-91A6-FB9EF0BA424D}" name="Metric"/>
    <tableColumn id="2" xr3:uid="{792E0404-294D-4DF0-98F7-2D823B94A773}" name="Value"/>
  </tableColumns>
  <tableStyleInfo name="TableStyleMedium9" showFirstColumn="1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C5D0A8-A0D7-45ED-9B4D-DE5DCCD99310}" name="Table5" displayName="Table5" ref="C30:D32" totalsRowShown="0">
  <autoFilter ref="C30:D32" xr:uid="{4BC5D0A8-A0D7-45ED-9B4D-DE5DCCD99310}"/>
  <tableColumns count="2">
    <tableColumn id="1" xr3:uid="{5F7E51A5-63BD-4342-897F-34A25762F35B}" name="Partition" dataDxfId="119"/>
    <tableColumn id="2" xr3:uid="{1EE68984-13B0-4A8E-B0B6-E3017A702711}" name="# Records"/>
  </tableColumns>
  <tableStyleInfo name="TableStyleMedium9" showFirstColumn="1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CD7C85-A0C4-4895-B8A1-1F4D9CB85F0B}" name="Table6" displayName="Table6" ref="C36:AH605" totalsRowShown="0" dataDxfId="118">
  <autoFilter ref="C36:AH605" xr:uid="{29CD7C85-A0C4-4895-B8A1-1F4D9CB85F0B}"/>
  <tableColumns count="32">
    <tableColumn id="1" xr3:uid="{45F297DD-7741-4671-BCBC-495CAA600825}" name="Record ID" dataDxfId="117"/>
    <tableColumn id="2" xr3:uid="{BB83D1FB-72DC-41A8-A5DA-85B44F73D097}" name="Diagnosis" dataDxfId="116"/>
    <tableColumn id="3" xr3:uid="{5DBEF7C1-69CC-4751-8E5A-EB3C40833C56}" name="Treated_Feature 1" dataDxfId="115"/>
    <tableColumn id="4" xr3:uid="{0F908533-D587-4E25-A5F7-97647B2D4101}" name="Treated_Feature 2" dataDxfId="114"/>
    <tableColumn id="5" xr3:uid="{E8034E3B-27EB-4C7F-BBDA-77D338FF1AF0}" name="Treated_Feature 3" dataDxfId="113"/>
    <tableColumn id="6" xr3:uid="{3BFD798F-9D16-4821-B239-BDC40FD9E46F}" name="Treated_Feature 4" dataDxfId="112"/>
    <tableColumn id="7" xr3:uid="{00B750E4-CE8E-4B54-85CB-D69E16508EEC}" name="Treated_Feature 5" dataDxfId="111"/>
    <tableColumn id="8" xr3:uid="{DC3D4864-808B-4204-9421-93F7D49A7ED5}" name="Treated_Feature 6" dataDxfId="110"/>
    <tableColumn id="9" xr3:uid="{D066728C-11C8-485D-B7F9-77449B760EBA}" name="Treated_Feature 7" dataDxfId="109"/>
    <tableColumn id="10" xr3:uid="{F34A8AAB-796E-46CA-9B45-3C51F93D380E}" name="Treated_Feature 8" dataDxfId="108"/>
    <tableColumn id="11" xr3:uid="{D24C2E39-B5A3-431C-8381-6E4EC29F75E2}" name="Treated_Feature 9" dataDxfId="107"/>
    <tableColumn id="12" xr3:uid="{9F7EC002-BF81-416D-B13B-DCC6E63B7D6A}" name="Treated_Feature 10" dataDxfId="106"/>
    <tableColumn id="13" xr3:uid="{9B008712-63D8-49B4-8145-037616C87548}" name="Treated_Feature 11" dataDxfId="105"/>
    <tableColumn id="14" xr3:uid="{56D8AE75-F832-4482-A3AF-BD9A1DAFDB62}" name="Treated_Feature 12" dataDxfId="104"/>
    <tableColumn id="15" xr3:uid="{EF318BD9-579A-4696-8626-DFFA8A4C3DC8}" name="Treated_Feature 13" dataDxfId="103"/>
    <tableColumn id="16" xr3:uid="{3049E98A-A8EE-4659-9040-34C8A223FE05}" name="Treated_Feature 14" dataDxfId="102"/>
    <tableColumn id="17" xr3:uid="{FDAB9FC5-5859-40F8-984C-7ED5ADD5594E}" name="Treated_Feature 15" dataDxfId="101"/>
    <tableColumn id="18" xr3:uid="{6F55F11A-3593-404D-949A-0415CAE256F6}" name="Treated_Feature 16" dataDxfId="100"/>
    <tableColumn id="19" xr3:uid="{DF71C576-7D72-48D5-AFAA-C97270448F95}" name="Treated_Feature 17" dataDxfId="99"/>
    <tableColumn id="20" xr3:uid="{D78899B8-DB15-4B37-8553-8D1D01E48DA1}" name="Treated_Feature 18" dataDxfId="98"/>
    <tableColumn id="21" xr3:uid="{1595C22D-20A1-45C9-8C31-7D122289DCC4}" name="Treated_Feature 19" dataDxfId="97"/>
    <tableColumn id="22" xr3:uid="{5A208321-82F0-4505-8FB0-3667FD7C3D93}" name="Treated_Feature 20" dataDxfId="96"/>
    <tableColumn id="23" xr3:uid="{53D711F6-732C-4896-9B26-40D0146838EA}" name="Treated_Feature 21" dataDxfId="95"/>
    <tableColumn id="24" xr3:uid="{A56FC5D6-A230-4992-8A56-6B58D5EC7E02}" name="Treated_Feature 22" dataDxfId="94"/>
    <tableColumn id="25" xr3:uid="{D7328CFC-50DD-4C1A-85CD-BE692C41DFBD}" name="Treated_Feature 23" dataDxfId="93"/>
    <tableColumn id="26" xr3:uid="{666FAF4A-6B0C-468D-BB1C-B9DA12207A80}" name="Treated_Feature 24" dataDxfId="92"/>
    <tableColumn id="27" xr3:uid="{86053DBF-763D-423F-9201-2DC1E1B20F19}" name="Treated_Feature 25" dataDxfId="91"/>
    <tableColumn id="28" xr3:uid="{06B1B4DC-F81D-4DAC-A973-6D2A0C717E47}" name="Treated_Feature 26" dataDxfId="90"/>
    <tableColumn id="29" xr3:uid="{DD742EFC-C58E-4529-BB0E-E295467A3575}" name="Treated_Feature 27" dataDxfId="89"/>
    <tableColumn id="30" xr3:uid="{E274BE6B-B449-41A5-88E6-2E00B78F665B}" name="Treated_Feature 28" dataDxfId="88"/>
    <tableColumn id="31" xr3:uid="{3F0F7DF4-BC72-4A38-9C32-EE857BA21E60}" name="Treated_Feature 29" dataDxfId="87"/>
    <tableColumn id="32" xr3:uid="{DACB4704-7115-4E90-973E-09A9D247D9B6}" name="Treated_Feature 30" dataDxfId="86"/>
  </tableColumns>
  <tableStyleInfo name="TableStyleMedium9" showFirstColumn="1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1" xr:uid="{DC70209C-AF3D-47FC-9FF2-5D3ACE90337D}" name="Table631" displayName="Table631" ref="C12:E62" totalsRowShown="0">
  <autoFilter ref="C12:E62" xr:uid="{DC70209C-AF3D-47FC-9FF2-5D3ACE90337D}"/>
  <tableColumns count="3">
    <tableColumn id="1" xr3:uid="{D4C8542C-09DE-49E3-BEDF-0306D5F07A91}" name="Epoch" dataDxfId="85"/>
    <tableColumn id="2" xr3:uid="{61435277-FBB1-4032-8207-1CC3B62AB213}" name="Training: Network Error (Sum of Squares)" dataDxfId="84"/>
    <tableColumn id="3" xr3:uid="{31C273B6-568D-4307-857A-A65E4EE0BFF3}" name="Training: Data Error (Misclassification)"/>
  </tableColumns>
  <tableStyleInfo name="TableStyleMedium9" showFirstColumn="1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8" xr:uid="{6CF8446F-E31D-43D8-9CB6-B5EFB8932DF9}" name="Table628" displayName="Table628" ref="C13:E15" totalsRowShown="0" tableBorderDxfId="83">
  <autoFilter ref="C13:E15" xr:uid="{6CF8446F-E31D-43D8-9CB6-B5EFB8932DF9}"/>
  <tableColumns count="3">
    <tableColumn id="1" xr3:uid="{8AA5CC37-4D41-438F-9D5F-25A219F1C40D}" name="Actual\Predicted" dataDxfId="82"/>
    <tableColumn id="2" xr3:uid="{BB42EA8E-D43C-4883-A18E-D30360A8A6C5}" name="B" dataDxfId="81"/>
    <tableColumn id="3" xr3:uid="{BFE2F483-3743-4995-97CE-0D02211C0146}" name="M"/>
  </tableColumns>
  <tableStyleInfo name="TableStyleMedium9" showFirstColumn="1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9" xr:uid="{0585F6E5-7216-4A3E-B934-840512D3DDB1}" name="Table629" displayName="Table629" ref="C18:F21" totalsRowShown="0" tableBorderDxfId="80">
  <autoFilter ref="C18:F21" xr:uid="{0585F6E5-7216-4A3E-B934-840512D3DDB1}"/>
  <tableColumns count="4">
    <tableColumn id="1" xr3:uid="{7308675A-16D2-4854-9F4B-ABD4BE676601}" name="Class" dataDxfId="79"/>
    <tableColumn id="2" xr3:uid="{59FEB83A-6197-4A6E-B6FE-1A9B23ECE5AD}" name="# Cases"/>
    <tableColumn id="3" xr3:uid="{1F833905-A9B6-402E-874C-F54774B2F079}" name="# Errors"/>
    <tableColumn id="4" xr3:uid="{C04E38E5-3ECB-40FE-AFB0-21766AD5DBF9}" name="% Error"/>
  </tableColumns>
  <tableStyleInfo name="TableStyleMedium9" showFirstColumn="1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0" xr:uid="{976C558C-3424-4B24-925C-82B2D9664282}" name="Table630" displayName="Table630" ref="C24:D32" totalsRowShown="0" tableBorderDxfId="78">
  <autoFilter ref="C24:D32" xr:uid="{976C558C-3424-4B24-925C-82B2D9664282}"/>
  <tableColumns count="2">
    <tableColumn id="1" xr3:uid="{91CDE8A0-D9B7-4605-9532-11190CBC32C6}" name="Metric"/>
    <tableColumn id="2" xr3:uid="{DF52EF78-5384-4F73-89A9-8DBB062CF615}" name="Value"/>
  </tableColumns>
  <tableStyleInfo name="TableStyleMedium9" showFirstColumn="1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5" xr:uid="{56BDB6CB-E2BA-41D4-A4E1-072E738A6662}" name="Table625" displayName="Table625" ref="C13:E15" totalsRowShown="0" tableBorderDxfId="77">
  <autoFilter ref="C13:E15" xr:uid="{56BDB6CB-E2BA-41D4-A4E1-072E738A6662}"/>
  <tableColumns count="3">
    <tableColumn id="1" xr3:uid="{28BBDA44-30D5-4FAA-8D88-D8625A2FB774}" name="Actual\Predicted" dataDxfId="76"/>
    <tableColumn id="2" xr3:uid="{AD834494-2189-402D-93C4-FEE62E0C7CAE}" name="B" dataDxfId="75"/>
    <tableColumn id="3" xr3:uid="{E27B6B9D-64EB-48E7-AE14-4B0106B1C99A}" name="M"/>
  </tableColumns>
  <tableStyleInfo name="TableStyleMedium9" showFirstColumn="1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6" xr:uid="{1C81767B-AC2F-4EF0-BEB6-889503A9BBA6}" name="Table626" displayName="Table626" ref="C18:F21" totalsRowShown="0" tableBorderDxfId="74">
  <autoFilter ref="C18:F21" xr:uid="{1C81767B-AC2F-4EF0-BEB6-889503A9BBA6}"/>
  <tableColumns count="4">
    <tableColumn id="1" xr3:uid="{8F5B1CD7-D70C-4A17-9979-101167039C0D}" name="Class" dataDxfId="73"/>
    <tableColumn id="2" xr3:uid="{3995EC5B-B375-490E-AC7A-5122B95E7E6F}" name="# Cases"/>
    <tableColumn id="3" xr3:uid="{0411CCC3-AD75-4387-BDFC-906850CBCA7B}" name="# Errors"/>
    <tableColumn id="4" xr3:uid="{DB5CC482-4C6D-4A40-85FC-06314FF85FCB}" name="% Error"/>
  </tableColumns>
  <tableStyleInfo name="TableStyleMedium9" showFirstColumn="1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7" xr:uid="{AD08D2FE-2028-4571-A222-C2661E80BE96}" name="Table627" displayName="Table627" ref="C24:D32" totalsRowShown="0" tableBorderDxfId="72">
  <autoFilter ref="C24:D32" xr:uid="{AD08D2FE-2028-4571-A222-C2661E80BE96}"/>
  <tableColumns count="2">
    <tableColumn id="1" xr3:uid="{6A451012-D09C-4EE3-BB33-634044AB1AA0}" name="Metric"/>
    <tableColumn id="2" xr3:uid="{E19B20C0-21E7-4CD7-9215-708B5712DB2B}" name="Value"/>
  </tableColumns>
  <tableStyleInfo name="TableStyleMedium9" showFirstColumn="1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3" xr:uid="{38B78D7F-AB23-4E52-B8E2-0AB904644068}" name="Table423" displayName="Table423" ref="C12:E42" totalsRowShown="0">
  <autoFilter ref="C12:E42" xr:uid="{38B78D7F-AB23-4E52-B8E2-0AB904644068}"/>
  <tableColumns count="3">
    <tableColumn id="1" xr3:uid="{D9262B93-F76A-4B3B-8518-39E6C68AB206}" name="Epoch" dataDxfId="71"/>
    <tableColumn id="2" xr3:uid="{BAE56CE5-E8E3-4EFF-9137-D03C4529C2F6}" name="Training: Network Error (Sum of Squares)" dataDxfId="70"/>
    <tableColumn id="3" xr3:uid="{E84FDC28-1344-4097-A47A-611F095EFE2A}" name="Training: Data Error (Misclassification)"/>
  </tableColumns>
  <tableStyleInfo name="TableStyleMedium9" showFirstColumn="1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0" xr:uid="{D87413A6-9C2A-4551-96E2-DB08C170ABB0}" name="Table420" displayName="Table420" ref="C13:E15" totalsRowShown="0" tableBorderDxfId="69">
  <autoFilter ref="C13:E15" xr:uid="{D87413A6-9C2A-4551-96E2-DB08C170ABB0}"/>
  <tableColumns count="3">
    <tableColumn id="1" xr3:uid="{4C512D07-0716-4A74-903F-4DC4C3F11E5D}" name="Actual\Predicted" dataDxfId="68"/>
    <tableColumn id="2" xr3:uid="{8831E022-B9BA-44E2-801A-B03877DE0362}" name="B" dataDxfId="67"/>
    <tableColumn id="3" xr3:uid="{44F62BEA-A06E-4510-B4C9-C023D2DA7ADE}" name="M"/>
  </tableColumns>
  <tableStyleInfo name="TableStyleMedium9" showFirstColumn="1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1" xr:uid="{0F55664D-367D-465B-93B4-B913F58EE39E}" name="Table421" displayName="Table421" ref="C18:F21" totalsRowShown="0" tableBorderDxfId="66">
  <autoFilter ref="C18:F21" xr:uid="{0F55664D-367D-465B-93B4-B913F58EE39E}"/>
  <tableColumns count="4">
    <tableColumn id="1" xr3:uid="{2F73280C-9981-43DC-9A16-D87613AA653F}" name="Class" dataDxfId="65"/>
    <tableColumn id="2" xr3:uid="{0CEACC43-7D4C-429B-A643-D46ADD5F3827}" name="# Cases"/>
    <tableColumn id="3" xr3:uid="{29C18011-12B2-423E-BA9E-21F4739101FF}" name="# Errors"/>
    <tableColumn id="4" xr3:uid="{409378EC-FD00-44F8-84AD-216D715F48B2}" name="% Error"/>
  </tableColumns>
  <tableStyleInfo name="TableStyleMedium9" showFirstColumn="1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2" xr:uid="{8F937424-23D6-4318-9897-8D6A9DD0F244}" name="Table422" displayName="Table422" ref="C24:D32" totalsRowShown="0" tableBorderDxfId="64">
  <autoFilter ref="C24:D32" xr:uid="{8F937424-23D6-4318-9897-8D6A9DD0F244}"/>
  <tableColumns count="2">
    <tableColumn id="1" xr3:uid="{17BEF153-D0AC-4D58-BE62-8922DB159C52}" name="Metric"/>
    <tableColumn id="2" xr3:uid="{0BB96EA1-7066-4819-AE94-C7035951968F}" name="Value"/>
  </tableColumns>
  <tableStyleInfo name="TableStyleMedium9" showFirstColumn="1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7" xr:uid="{BF5D7F86-F46E-46D5-BA1F-080053302918}" name="Table417" displayName="Table417" ref="C13:E15" totalsRowShown="0" tableBorderDxfId="63">
  <autoFilter ref="C13:E15" xr:uid="{BF5D7F86-F46E-46D5-BA1F-080053302918}"/>
  <tableColumns count="3">
    <tableColumn id="1" xr3:uid="{7826637B-DB4F-4304-9336-FB86265C7744}" name="Actual\Predicted" dataDxfId="62"/>
    <tableColumn id="2" xr3:uid="{ADDBBADA-22E7-4537-8962-03D344D90840}" name="B" dataDxfId="61"/>
    <tableColumn id="3" xr3:uid="{14F16238-0F7F-46FE-AECA-839749B2F1E7}" name="M"/>
  </tableColumns>
  <tableStyleInfo name="TableStyleMedium9" showFirstColumn="1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8" xr:uid="{D66EA1DF-B775-4E01-9053-CD16B5D42E01}" name="Table418" displayName="Table418" ref="C18:F21" totalsRowShown="0" tableBorderDxfId="60">
  <autoFilter ref="C18:F21" xr:uid="{D66EA1DF-B775-4E01-9053-CD16B5D42E01}"/>
  <tableColumns count="4">
    <tableColumn id="1" xr3:uid="{8ACEE9BC-A4FC-4BCB-AE40-2DA1627099FB}" name="Class" dataDxfId="59"/>
    <tableColumn id="2" xr3:uid="{41672135-C44F-492D-8169-53F5FEC3F255}" name="# Cases"/>
    <tableColumn id="3" xr3:uid="{9AFD3F91-0A97-42CF-9908-382330BE179E}" name="# Errors"/>
    <tableColumn id="4" xr3:uid="{C3C6A99C-8F3D-427B-A1A7-45E74B56FD84}" name="% Error"/>
  </tableColumns>
  <tableStyleInfo name="TableStyleMedium9" showFirstColumn="1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9" xr:uid="{8F64E7F9-E610-4D16-97CE-BC63AA1CD962}" name="Table419" displayName="Table419" ref="C24:D32" totalsRowShown="0" tableBorderDxfId="58">
  <autoFilter ref="C24:D32" xr:uid="{8F64E7F9-E610-4D16-97CE-BC63AA1CD962}"/>
  <tableColumns count="2">
    <tableColumn id="1" xr3:uid="{D9AD38D9-6825-475D-BCA7-C937A37BE000}" name="Metric"/>
    <tableColumn id="2" xr3:uid="{BF6BB84C-EE87-46DD-BD85-5E82C2311F29}" name="Value"/>
  </tableColumns>
  <tableStyleInfo name="TableStyleMedium9" showFirstColumn="1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1F614D-0C73-403A-A381-CB4C9AE0028D}" name="Table13" displayName="Table13" ref="C12:E42" totalsRowShown="0">
  <autoFilter ref="C12:E42" xr:uid="{071F614D-0C73-403A-A381-CB4C9AE0028D}"/>
  <tableColumns count="3">
    <tableColumn id="1" xr3:uid="{0830D44D-2F9F-49FB-87E1-AE7EC9AE4AFD}" name="Epoch" dataDxfId="57"/>
    <tableColumn id="2" xr3:uid="{F7DB97F5-8781-406B-B645-180E68A226B1}" name="Training: Network Error (Sum of Squares)" dataDxfId="56"/>
    <tableColumn id="3" xr3:uid="{AF704396-3CB5-4E48-9D1C-CE93974EEA91}" name="Training: Data Error (Misclassification)"/>
  </tableColumns>
  <tableStyleInfo name="TableStyleMedium9" showFirstColumn="1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7D53DED-09A8-4483-B8D8-A9AD9352A3B0}" name="Table10" displayName="Table10" ref="C13:E15" totalsRowShown="0" tableBorderDxfId="55">
  <autoFilter ref="C13:E15" xr:uid="{87D53DED-09A8-4483-B8D8-A9AD9352A3B0}"/>
  <tableColumns count="3">
    <tableColumn id="1" xr3:uid="{E112930D-E271-454F-B7B4-8C956F4DFD04}" name="Actual\Predicted" dataDxfId="54"/>
    <tableColumn id="2" xr3:uid="{CE438990-1486-408A-AE41-DE5EA767BDD9}" name="B" dataDxfId="53"/>
    <tableColumn id="3" xr3:uid="{B8A90610-9E84-4581-8D4E-25F6B978C160}" name="M"/>
  </tableColumns>
  <tableStyleInfo name="TableStyleMedium9" showFirstColumn="1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1823AD6-7ECA-4864-AA88-4453843D7DA5}" name="Table11" displayName="Table11" ref="C18:F21" totalsRowShown="0" tableBorderDxfId="52">
  <autoFilter ref="C18:F21" xr:uid="{01823AD6-7ECA-4864-AA88-4453843D7DA5}"/>
  <tableColumns count="4">
    <tableColumn id="1" xr3:uid="{6AAB9FE7-1FD8-4136-ADE1-061EA718E3C8}" name="Class" dataDxfId="51"/>
    <tableColumn id="2" xr3:uid="{9103213E-20B0-4176-ACCD-4C91DBAD9ACE}" name="# Cases"/>
    <tableColumn id="3" xr3:uid="{81864A09-DCDE-4713-8B81-A72E0A877BBB}" name="# Errors"/>
    <tableColumn id="4" xr3:uid="{1115AC07-2D8D-4087-A301-E1FA8223B497}" name="% Error"/>
  </tableColumns>
  <tableStyleInfo name="TableStyleMedium9" showFirstColumn="1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BF6A52D-E614-4C88-B96A-10D9538D5F3F}" name="Table12" displayName="Table12" ref="C24:D32" totalsRowShown="0" tableBorderDxfId="50">
  <autoFilter ref="C24:D32" xr:uid="{2BF6A52D-E614-4C88-B96A-10D9538D5F3F}"/>
  <tableColumns count="2">
    <tableColumn id="1" xr3:uid="{21BEDFB9-0BCA-4F08-B6A6-CF484BA82CF4}" name="Metric"/>
    <tableColumn id="2" xr3:uid="{9840930E-7676-4686-A4B0-64867815F6C8}" name="Value"/>
  </tableColumns>
  <tableStyleInfo name="TableStyleMedium9" showFirstColumn="1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895C668-470C-485A-91CD-FD70E86644DC}" name="Table7" displayName="Table7" ref="C13:E15" totalsRowShown="0" tableBorderDxfId="49">
  <autoFilter ref="C13:E15" xr:uid="{4895C668-470C-485A-91CD-FD70E86644DC}"/>
  <tableColumns count="3">
    <tableColumn id="1" xr3:uid="{3B445756-D31B-4F47-A66B-FA332D8FBC80}" name="Actual\Predicted" dataDxfId="48"/>
    <tableColumn id="2" xr3:uid="{600176A1-4BC9-4D49-8BE0-3D981E8487D9}" name="B" dataDxfId="47"/>
    <tableColumn id="3" xr3:uid="{C3A37E38-AA05-40C9-B0A6-0C51EA9086C0}" name="M"/>
  </tableColumns>
  <tableStyleInfo name="TableStyleMedium9" showFirstColumn="1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510129-9693-44CD-A39F-C4B125BBA997}" name="Table8" displayName="Table8" ref="C18:F21" totalsRowShown="0" tableBorderDxfId="46">
  <autoFilter ref="C18:F21" xr:uid="{9F510129-9693-44CD-A39F-C4B125BBA997}"/>
  <tableColumns count="4">
    <tableColumn id="1" xr3:uid="{A4ED5C8F-A36D-444D-8328-0623052C3FE7}" name="Class" dataDxfId="45"/>
    <tableColumn id="2" xr3:uid="{4C9288BC-2BF3-48A8-9BA3-D8AEBD6352B8}" name="# Cases"/>
    <tableColumn id="3" xr3:uid="{7CF2E7D2-62CB-4E9B-A3C7-ED4035535767}" name="# Errors"/>
    <tableColumn id="4" xr3:uid="{448BB835-13B3-425C-909A-E3B1E845F308}" name="% Error"/>
  </tableColumns>
  <tableStyleInfo name="TableStyleMedium9" showFirstColumn="1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7584DA4-3C9D-4BEB-9452-0F50B430C75A}" name="Table9" displayName="Table9" ref="C24:D32" totalsRowShown="0" tableBorderDxfId="44">
  <autoFilter ref="C24:D32" xr:uid="{67584DA4-3C9D-4BEB-9452-0F50B430C75A}"/>
  <tableColumns count="2">
    <tableColumn id="1" xr3:uid="{64730A77-7834-401C-BCF4-0AD0CADC89A3}" name="Metric"/>
    <tableColumn id="2" xr3:uid="{673FCA60-D491-48C5-BE11-2CC1A3FB67DC}" name="Value"/>
  </tableColumns>
  <tableStyleInfo name="TableStyleMedium9" showFirstColumn="1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6" xr:uid="{688F36D2-D0E2-4493-9ECC-A6B434C53C42}" name="Table646" displayName="Table646" ref="C33:AJ51" totalsRowShown="0" dataDxfId="43">
  <autoFilter ref="C33:AJ51" xr:uid="{688F36D2-D0E2-4493-9ECC-A6B434C53C42}"/>
  <tableColumns count="34">
    <tableColumn id="1" xr3:uid="{1E33C201-3137-4082-8280-91089765E9CB}" name="Record ID" dataDxfId="42"/>
    <tableColumn id="2" xr3:uid="{DF21BB19-7503-40F1-857E-BCC9CA1D589B}" name="No. of instances" dataDxfId="41"/>
    <tableColumn id="3" xr3:uid="{958FD685-C572-4DF8-B727-2FCF30129F96}" name="ID" dataDxfId="40"/>
    <tableColumn id="4" xr3:uid="{A416EF86-1C5B-4FC7-9216-ACEE151FA93B}" name="Diagnosis " dataDxfId="39"/>
    <tableColumn id="5" xr3:uid="{DB2C5D39-FDDA-49ED-A13B-103AE7B069D2}" name="Treated_Feature 1" dataDxfId="38"/>
    <tableColumn id="6" xr3:uid="{373F433A-A245-4CF7-9D7B-2966EB2F5FBD}" name="Treated_Feature 2" dataDxfId="37"/>
    <tableColumn id="7" xr3:uid="{7D337654-1328-4501-BC22-938026BE26DA}" name="Treated_Feature 3" dataDxfId="36"/>
    <tableColumn id="8" xr3:uid="{05A2D383-CB63-4787-8D73-B7967CCB5605}" name="Treated_Feature 4" dataDxfId="35"/>
    <tableColumn id="9" xr3:uid="{B8528D3E-5536-45D4-BE74-715FD750F87B}" name="Treated_Feature 5" dataDxfId="34"/>
    <tableColumn id="10" xr3:uid="{C068766B-93ED-454D-ADE5-63EAA93B5FD4}" name="Treated_Feature 6" dataDxfId="33"/>
    <tableColumn id="11" xr3:uid="{D1B54135-5F90-4001-AC18-0811E4913CAB}" name="Treated_Feature 7" dataDxfId="32"/>
    <tableColumn id="12" xr3:uid="{C0D2CB8C-E524-4F2D-930D-195EB4807225}" name="Treated_Feature 8" dataDxfId="31"/>
    <tableColumn id="13" xr3:uid="{272456FD-554A-4862-8233-D2E6624ACEF2}" name="Treated_Feature 9" dataDxfId="30"/>
    <tableColumn id="14" xr3:uid="{93F267D4-833D-4876-B25B-25D0DD07F4A5}" name="Treated_Feature 10" dataDxfId="29"/>
    <tableColumn id="15" xr3:uid="{05046BDC-E3DB-491C-9011-B03E3D9F3A3D}" name="Treated_Feature 11" dataDxfId="28"/>
    <tableColumn id="16" xr3:uid="{925B52A0-ACA0-4266-9562-B21EDE3004F2}" name="Treated_Feature 12" dataDxfId="27"/>
    <tableColumn id="17" xr3:uid="{E91F8B82-9F79-43DD-BF72-1FFAAC60C2B5}" name="Treated_Feature 13" dataDxfId="26"/>
    <tableColumn id="18" xr3:uid="{B77412DC-C36A-4350-AD06-6D4C755065AA}" name="Treated_Feature 14" dataDxfId="25"/>
    <tableColumn id="19" xr3:uid="{2844CDB2-05EA-40F8-B407-548F8399B02D}" name="Treated_Feature 15" dataDxfId="24"/>
    <tableColumn id="20" xr3:uid="{2A5627D7-031E-4718-BE67-5F78C200D917}" name="Treated_Feature 16" dataDxfId="23"/>
    <tableColumn id="21" xr3:uid="{2FCEAD79-A628-4134-B674-507F6C330F28}" name="Treated_Feature 17" dataDxfId="22"/>
    <tableColumn id="22" xr3:uid="{780D4C25-EE0A-4D09-B01B-CF64A1FA192C}" name="Treated_Feature 18" dataDxfId="21"/>
    <tableColumn id="23" xr3:uid="{524E2DE5-9BDE-4381-A2C1-B489951B584F}" name="Treated_Feature 19" dataDxfId="20"/>
    <tableColumn id="24" xr3:uid="{1D8DC00B-478C-406F-8CA7-200A61379321}" name="Treated_Feature 20" dataDxfId="19"/>
    <tableColumn id="25" xr3:uid="{2170A031-E0EE-4BE8-8F43-28D2F8AFF15A}" name="Treated_Feature 21" dataDxfId="18"/>
    <tableColumn id="26" xr3:uid="{BEF5B4F2-C3B9-4A6E-B693-65789152C4E7}" name="Treated_Feature 22" dataDxfId="17"/>
    <tableColumn id="27" xr3:uid="{477B2BD9-753B-4B45-9F02-69FE6186FACD}" name="Treated_Feature 23" dataDxfId="16"/>
    <tableColumn id="28" xr3:uid="{2CAB35E3-A524-4452-A5A6-B1B2D3314736}" name="Treated_Feature 24" dataDxfId="15"/>
    <tableColumn id="29" xr3:uid="{EF7DD611-68EF-4DB3-B5C3-58EE554F79A7}" name="Treated_Feature 25" dataDxfId="14"/>
    <tableColumn id="30" xr3:uid="{5D3EAE13-7E0A-4B8A-BC14-1D8DADEDCDE4}" name="Treated_Feature 26" dataDxfId="13"/>
    <tableColumn id="31" xr3:uid="{7E251318-364F-4D35-82A3-DFD1D708AEFB}" name="Treated_Feature 27" dataDxfId="12"/>
    <tableColumn id="32" xr3:uid="{6D2FBD19-2CB8-4D89-9C84-84D3EE4153A2}" name="Treated_Feature 28" dataDxfId="11"/>
    <tableColumn id="33" xr3:uid="{F17A3B9D-4EB8-4F4D-976E-EFC18E38108B}" name="Treated_Feature 29" dataDxfId="10"/>
    <tableColumn id="34" xr3:uid="{AB07121B-DEB5-4ED7-A68E-4398D2388170}" name="Treated_Feature 30" dataDxfId="9"/>
  </tableColumns>
  <tableStyleInfo name="TableStyleMedium9" showFirstColumn="1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9" xr:uid="{35EF178E-A1D3-494D-BA3D-D36CCAFA5EC8}" name="Table659" displayName="Table659" ref="C25:F43" totalsRowShown="0">
  <autoFilter ref="C25:F43" xr:uid="{35EF178E-A1D3-494D-BA3D-D36CCAFA5EC8}"/>
  <sortState xmlns:xlrd2="http://schemas.microsoft.com/office/spreadsheetml/2017/richdata2" ref="C26:F43">
    <sortCondition descending="1" ref="D25:D43"/>
  </sortState>
  <tableColumns count="4">
    <tableColumn id="1" xr3:uid="{278B897E-1D4D-4734-A5F6-14F0EF0E206B}" name="Record ID" dataDxfId="8"/>
    <tableColumn id="2" xr3:uid="{301250C5-B9B0-45DA-9DD8-06F856904943}" name="Prediction: Diagnosis" dataDxfId="7"/>
    <tableColumn id="3" xr3:uid="{E2E0E8FF-1FF3-4821-9525-11E5E6CEA5E4}" name="PostProb: B" dataDxfId="6"/>
    <tableColumn id="4" xr3:uid="{CD27FABB-2394-434E-A0EA-8413B8472D96}" name="PostProb: M"/>
  </tableColumns>
  <tableStyleInfo name="TableStyleMedium9" showFirstColumn="1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9" xr:uid="{375B0522-DBD9-4E25-B065-1BCAEA93C533}" name="Table649" displayName="Table649" ref="C25:F43" totalsRowShown="0">
  <autoFilter ref="C25:F43" xr:uid="{375B0522-DBD9-4E25-B065-1BCAEA93C533}"/>
  <sortState xmlns:xlrd2="http://schemas.microsoft.com/office/spreadsheetml/2017/richdata2" ref="C26:F43">
    <sortCondition ref="D25:D43"/>
  </sortState>
  <tableColumns count="4">
    <tableColumn id="1" xr3:uid="{1E2DF785-0593-4C8C-ACAC-EC30ECEF63D3}" name="Record ID" dataDxfId="5"/>
    <tableColumn id="2" xr3:uid="{52229EBE-311C-41EE-862A-B9F64271AA8E}" name="Prediction: Diagnosis" dataDxfId="4"/>
    <tableColumn id="3" xr3:uid="{C10FFB9D-2EE5-41B6-8776-09F720EF7CD9}" name="PostProb: B" dataDxfId="3"/>
    <tableColumn id="4" xr3:uid="{7F4BD3BC-76D8-4878-BC49-8FE9A7E13FAE}" name="PostProb: M"/>
  </tableColumns>
  <tableStyleInfo name="TableStyleMedium9" showFirstColumn="1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7" xr:uid="{29B25D2F-F021-4764-ADF5-D3C80B97786C}" name="Table647" displayName="Table647" ref="C25:F43" totalsRowShown="0">
  <autoFilter ref="C25:F43" xr:uid="{29B25D2F-F021-4764-ADF5-D3C80B97786C}"/>
  <sortState xmlns:xlrd2="http://schemas.microsoft.com/office/spreadsheetml/2017/richdata2" ref="C26:F43">
    <sortCondition ref="D25:D43"/>
  </sortState>
  <tableColumns count="4">
    <tableColumn id="1" xr3:uid="{61CC7353-1D60-422A-9B2A-C2B05FFA94D2}" name="Record ID" dataDxfId="2"/>
    <tableColumn id="2" xr3:uid="{8BA88106-D11A-42DA-9211-830BEF3749A9}" name="Prediction: Diagnosis" dataDxfId="1"/>
    <tableColumn id="3" xr3:uid="{5DEA36EC-48FE-4CD6-898E-FCDB0EC5E9E5}" name="PostProb: B" dataDxfId="0"/>
    <tableColumn id="4" xr3:uid="{3B42D1E0-CBD6-4775-BB33-E5388EF133C9}" name="PostProb: M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  <wetp:taskpane dockstate="right" visibility="0" width="438" row="1">
    <wetp:webextensionref xmlns:r="http://schemas.openxmlformats.org/officeDocument/2006/relationships" r:id="rId2"/>
  </wetp:taskpane>
  <wetp:taskpane dockstate="right" visibility="0" width="438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6F85D5B-5824-4807-BD71-DE190EAF1C8F}">
  <we:reference id="wa104100404" version="3.0.0.1" store="en-US" storeType="OMEX"/>
  <we:alternateReferences>
    <we:reference id="wa104100404" version="3.0.0.1" store="wa104100404" storeType="OMEX"/>
  </we:alternateReferences>
  <we:properties>
    <we:property name="UniqueID" value="&quot;20252181742323663795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E48F785-FEFF-43E9-8635-30AE8C2F029A}">
  <we:reference id="wa200000019" version="25.0.2.0" store="en-US" storeType="OMEX"/>
  <we:alternateReferences>
    <we:reference id="wa200000019" version="25.0.2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PSIFORECAST</we:customFunctionIds>
        <we:customFunctionIds>PSIPREDICT</we:customFunctionIds>
        <we:customFunctionIds>PSIPOSTERIORS</we:customFunctionIds>
        <we:customFunctionIds>PSITRANSFORM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15C3848-7181-4032-BDBA-5F5DBFE3FFD7}">
  <we:reference id="wa200000018" version="24.3.0.0" store="en-US" storeType="OMEX"/>
  <we:alternateReferences>
    <we:reference id="WA200000018" version="24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PSIMETALOGSPT</we:customFunctionIds>
        <we:customFunctionIds>PSIMETALOGFIT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9.xml"/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table" Target="../tables/table3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8"/>
  <sheetViews>
    <sheetView topLeftCell="A25" workbookViewId="0">
      <selection activeCell="A42" sqref="A42"/>
    </sheetView>
  </sheetViews>
  <sheetFormatPr defaultRowHeight="14.4"/>
  <sheetData>
    <row r="2" spans="1:1" s="4" customFormat="1">
      <c r="A2" s="3" t="s">
        <v>3</v>
      </c>
    </row>
    <row r="3" spans="1:1">
      <c r="A3" s="1"/>
    </row>
    <row r="4" spans="1:1">
      <c r="A4" s="2" t="s">
        <v>4</v>
      </c>
    </row>
    <row r="5" spans="1:1">
      <c r="A5" s="1"/>
    </row>
    <row r="6" spans="1:1">
      <c r="A6" s="2" t="s">
        <v>5</v>
      </c>
    </row>
    <row r="7" spans="1:1">
      <c r="A7" s="1"/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1"/>
    </row>
    <row r="12" spans="1:1">
      <c r="A12" s="2" t="s">
        <v>9</v>
      </c>
    </row>
    <row r="13" spans="1:1">
      <c r="A13" s="2" t="s">
        <v>10</v>
      </c>
    </row>
    <row r="14" spans="1:1">
      <c r="A14" s="2" t="s">
        <v>11</v>
      </c>
    </row>
    <row r="15" spans="1:1">
      <c r="A15" s="1"/>
    </row>
    <row r="16" spans="1:1">
      <c r="A16" s="2" t="s">
        <v>12</v>
      </c>
    </row>
    <row r="17" spans="1:1">
      <c r="A17" s="2" t="s">
        <v>10</v>
      </c>
    </row>
    <row r="18" spans="1:1">
      <c r="A18" s="2" t="s">
        <v>13</v>
      </c>
    </row>
    <row r="19" spans="1:1">
      <c r="A19" s="1"/>
    </row>
    <row r="20" spans="1:1">
      <c r="A20" s="2" t="s">
        <v>14</v>
      </c>
    </row>
    <row r="21" spans="1:1">
      <c r="A21" s="1"/>
    </row>
    <row r="22" spans="1:1">
      <c r="A22" s="2" t="s">
        <v>15</v>
      </c>
    </row>
    <row r="23" spans="1:1">
      <c r="A23" s="1"/>
    </row>
    <row r="24" spans="1:1">
      <c r="A24" s="1"/>
    </row>
    <row r="25" spans="1:1">
      <c r="A25" s="1"/>
    </row>
    <row r="26" spans="1:1">
      <c r="A26" s="2" t="s">
        <v>16</v>
      </c>
    </row>
    <row r="27" spans="1:1">
      <c r="A27" s="1"/>
    </row>
    <row r="28" spans="1:1">
      <c r="A28" s="2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1"/>
    </row>
    <row r="34" spans="1:1">
      <c r="A34" s="1"/>
    </row>
    <row r="35" spans="1:1">
      <c r="A35" s="2" t="s">
        <v>22</v>
      </c>
    </row>
    <row r="36" spans="1:1">
      <c r="A36" s="1"/>
    </row>
    <row r="37" spans="1:1" s="4" customFormat="1">
      <c r="A37" s="3" t="s">
        <v>23</v>
      </c>
    </row>
    <row r="38" spans="1:1">
      <c r="A38" s="1"/>
    </row>
    <row r="39" spans="1:1">
      <c r="A39" s="2" t="s">
        <v>24</v>
      </c>
    </row>
    <row r="40" spans="1:1">
      <c r="A40" s="1"/>
    </row>
    <row r="41" spans="1:1">
      <c r="A41" s="2" t="s">
        <v>25</v>
      </c>
    </row>
    <row r="42" spans="1:1">
      <c r="A42" s="2" t="s">
        <v>26</v>
      </c>
    </row>
    <row r="43" spans="1:1">
      <c r="A43" s="2" t="s">
        <v>27</v>
      </c>
    </row>
    <row r="44" spans="1:1">
      <c r="A44" s="1"/>
    </row>
    <row r="45" spans="1:1">
      <c r="A45" s="2" t="s">
        <v>28</v>
      </c>
    </row>
    <row r="46" spans="1:1">
      <c r="A46" s="1"/>
    </row>
    <row r="47" spans="1:1">
      <c r="A47" s="2" t="s">
        <v>29</v>
      </c>
    </row>
    <row r="48" spans="1:1">
      <c r="A48" s="2" t="s">
        <v>30</v>
      </c>
    </row>
    <row r="49" spans="1:1">
      <c r="A49" s="2" t="s">
        <v>31</v>
      </c>
    </row>
    <row r="50" spans="1:1">
      <c r="A50" s="2" t="s">
        <v>32</v>
      </c>
    </row>
    <row r="51" spans="1:1">
      <c r="A51" s="2" t="s">
        <v>33</v>
      </c>
    </row>
    <row r="52" spans="1:1">
      <c r="A52" s="2" t="s">
        <v>34</v>
      </c>
    </row>
    <row r="53" spans="1:1">
      <c r="A53" s="2" t="s">
        <v>35</v>
      </c>
    </row>
    <row r="54" spans="1:1">
      <c r="A54" s="2" t="s">
        <v>36</v>
      </c>
    </row>
    <row r="55" spans="1:1">
      <c r="A55" s="2" t="s">
        <v>37</v>
      </c>
    </row>
    <row r="56" spans="1:1">
      <c r="A56" s="2" t="s">
        <v>38</v>
      </c>
    </row>
    <row r="57" spans="1:1">
      <c r="A57" s="1"/>
    </row>
    <row r="58" spans="1:1">
      <c r="A58" s="1"/>
    </row>
    <row r="59" spans="1:1">
      <c r="A59" s="2" t="s">
        <v>39</v>
      </c>
    </row>
    <row r="60" spans="1:1">
      <c r="A60" s="2" t="s">
        <v>40</v>
      </c>
    </row>
    <row r="61" spans="1:1">
      <c r="A61" s="2" t="s">
        <v>41</v>
      </c>
    </row>
    <row r="62" spans="1:1">
      <c r="A62" s="2" t="s">
        <v>42</v>
      </c>
    </row>
    <row r="63" spans="1:1">
      <c r="A63" s="1"/>
    </row>
    <row r="64" spans="1:1">
      <c r="A64" s="2" t="s">
        <v>43</v>
      </c>
    </row>
    <row r="65" spans="1:1">
      <c r="A65" s="1"/>
    </row>
    <row r="66" spans="1:1">
      <c r="A66" s="2"/>
    </row>
    <row r="67" spans="1:1">
      <c r="A67" s="1"/>
    </row>
    <row r="68" spans="1:1">
      <c r="A68" s="2" t="s">
        <v>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8CD5A-7093-47BC-8D79-0CC8C5CF564A}">
  <dimension ref="A1:AG570"/>
  <sheetViews>
    <sheetView workbookViewId="0">
      <selection activeCell="H12" sqref="H12"/>
    </sheetView>
  </sheetViews>
  <sheetFormatPr defaultRowHeight="14.4"/>
  <cols>
    <col min="1" max="1" width="15.5546875" customWidth="1"/>
    <col min="2" max="2" width="10" bestFit="1" customWidth="1"/>
    <col min="3" max="3" width="9.109375" bestFit="1" customWidth="1"/>
    <col min="4" max="6" width="8.6640625" bestFit="1" customWidth="1"/>
    <col min="7" max="7" width="10.109375" customWidth="1"/>
    <col min="8" max="9" width="8" bestFit="1" customWidth="1"/>
    <col min="10" max="10" width="10" bestFit="1" customWidth="1"/>
    <col min="11" max="11" width="9" bestFit="1" customWidth="1"/>
    <col min="12" max="12" width="7" bestFit="1" customWidth="1"/>
    <col min="13" max="13" width="8" bestFit="1" customWidth="1"/>
    <col min="14" max="16" width="7" bestFit="1" customWidth="1"/>
    <col min="17" max="17" width="6" bestFit="1" customWidth="1"/>
    <col min="18" max="19" width="9" bestFit="1" customWidth="1"/>
    <col min="20" max="20" width="10" bestFit="1" customWidth="1"/>
    <col min="21" max="22" width="9" bestFit="1" customWidth="1"/>
    <col min="23" max="23" width="10" bestFit="1" customWidth="1"/>
    <col min="24" max="27" width="6" bestFit="1" customWidth="1"/>
    <col min="28" max="29" width="8" bestFit="1" customWidth="1"/>
    <col min="30" max="31" width="9" bestFit="1" customWidth="1"/>
    <col min="32" max="32" width="7" bestFit="1" customWidth="1"/>
    <col min="33" max="33" width="8" bestFit="1" customWidth="1"/>
  </cols>
  <sheetData>
    <row r="1" spans="1:33">
      <c r="A1" t="s">
        <v>77</v>
      </c>
      <c r="B1" s="5" t="s">
        <v>76</v>
      </c>
      <c r="C1" s="6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</row>
    <row r="2" spans="1:33">
      <c r="A2">
        <v>1</v>
      </c>
      <c r="B2">
        <v>842302</v>
      </c>
      <c r="C2" t="s">
        <v>0</v>
      </c>
      <c r="D2">
        <v>17.989999999999998</v>
      </c>
      <c r="E2">
        <v>10.38</v>
      </c>
      <c r="F2">
        <v>122.8</v>
      </c>
      <c r="G2">
        <v>1001</v>
      </c>
      <c r="H2">
        <v>0.11840000000000001</v>
      </c>
      <c r="I2">
        <v>0.27760000000000001</v>
      </c>
      <c r="J2">
        <v>0.30009999999999998</v>
      </c>
      <c r="K2">
        <v>0.14710000000000001</v>
      </c>
      <c r="L2">
        <v>0.2419</v>
      </c>
      <c r="M2">
        <v>7.8710000000000002E-2</v>
      </c>
      <c r="N2">
        <v>1.095</v>
      </c>
      <c r="O2">
        <v>0.90529999999999999</v>
      </c>
      <c r="P2">
        <v>8.5890000000000004</v>
      </c>
      <c r="Q2">
        <v>153.4</v>
      </c>
      <c r="R2">
        <v>6.3990000000000002E-3</v>
      </c>
      <c r="S2">
        <v>4.904E-2</v>
      </c>
      <c r="T2">
        <v>5.373E-2</v>
      </c>
      <c r="U2">
        <v>1.5869999999999999E-2</v>
      </c>
      <c r="V2">
        <v>3.0030000000000001E-2</v>
      </c>
      <c r="W2">
        <v>6.1929999999999997E-3</v>
      </c>
      <c r="X2">
        <v>25.38</v>
      </c>
      <c r="Y2">
        <v>17.329999999999998</v>
      </c>
      <c r="Z2">
        <v>184.6</v>
      </c>
      <c r="AA2">
        <v>2019</v>
      </c>
      <c r="AB2">
        <v>0.16220000000000001</v>
      </c>
      <c r="AC2">
        <v>0.66559999999999997</v>
      </c>
      <c r="AD2">
        <v>0.71189999999999998</v>
      </c>
      <c r="AE2">
        <v>0.26540000000000002</v>
      </c>
      <c r="AF2">
        <v>0.46010000000000001</v>
      </c>
      <c r="AG2">
        <v>0.11890000000000001</v>
      </c>
    </row>
    <row r="3" spans="1:33">
      <c r="A3">
        <v>2</v>
      </c>
      <c r="B3">
        <v>842517</v>
      </c>
      <c r="C3" t="s">
        <v>0</v>
      </c>
      <c r="D3">
        <v>20.57</v>
      </c>
      <c r="E3">
        <v>17.77</v>
      </c>
      <c r="F3">
        <v>132.9</v>
      </c>
      <c r="G3">
        <v>1326</v>
      </c>
      <c r="H3">
        <v>8.4739999999999996E-2</v>
      </c>
      <c r="I3">
        <v>7.8640000000000002E-2</v>
      </c>
      <c r="J3">
        <v>8.6900000000000005E-2</v>
      </c>
      <c r="K3">
        <v>7.0169999999999996E-2</v>
      </c>
      <c r="L3">
        <v>0.1812</v>
      </c>
      <c r="M3">
        <v>5.6669999999999998E-2</v>
      </c>
      <c r="N3">
        <v>0.54349999999999998</v>
      </c>
      <c r="O3">
        <v>0.7339</v>
      </c>
      <c r="P3">
        <v>3.3980000000000001</v>
      </c>
      <c r="Q3">
        <v>74.08</v>
      </c>
      <c r="R3">
        <v>5.2249999999999996E-3</v>
      </c>
      <c r="S3">
        <v>1.308E-2</v>
      </c>
      <c r="T3">
        <v>1.8599999999999998E-2</v>
      </c>
      <c r="U3">
        <v>1.34E-2</v>
      </c>
      <c r="V3">
        <v>1.389E-2</v>
      </c>
      <c r="W3">
        <v>3.532E-3</v>
      </c>
      <c r="X3">
        <v>24.99</v>
      </c>
      <c r="Y3">
        <v>23.41</v>
      </c>
      <c r="Z3">
        <v>158.80000000000001</v>
      </c>
      <c r="AA3">
        <v>1956</v>
      </c>
      <c r="AB3">
        <v>0.12379999999999999</v>
      </c>
      <c r="AC3">
        <v>0.18659999999999999</v>
      </c>
      <c r="AD3">
        <v>0.24160000000000001</v>
      </c>
      <c r="AE3">
        <v>0.186</v>
      </c>
      <c r="AF3">
        <v>0.27500000000000002</v>
      </c>
      <c r="AG3">
        <v>8.9020000000000002E-2</v>
      </c>
    </row>
    <row r="4" spans="1:33">
      <c r="A4">
        <v>3</v>
      </c>
      <c r="B4">
        <v>84300903</v>
      </c>
      <c r="C4" t="s">
        <v>0</v>
      </c>
      <c r="D4">
        <v>19.690000000000001</v>
      </c>
      <c r="E4">
        <v>21.25</v>
      </c>
      <c r="F4">
        <v>130</v>
      </c>
      <c r="G4">
        <v>1203</v>
      </c>
      <c r="H4">
        <v>0.1096</v>
      </c>
      <c r="I4">
        <v>0.15989999999999999</v>
      </c>
      <c r="J4">
        <v>0.19739999999999999</v>
      </c>
      <c r="K4">
        <v>0.12790000000000001</v>
      </c>
      <c r="L4">
        <v>0.2069</v>
      </c>
      <c r="M4">
        <v>5.9990000000000002E-2</v>
      </c>
      <c r="N4">
        <v>0.74560000000000004</v>
      </c>
      <c r="O4">
        <v>0.78690000000000004</v>
      </c>
      <c r="P4">
        <v>4.585</v>
      </c>
      <c r="Q4">
        <v>94.03</v>
      </c>
      <c r="R4">
        <v>6.1500000000000001E-3</v>
      </c>
      <c r="S4">
        <v>4.0059999999999998E-2</v>
      </c>
      <c r="T4">
        <v>3.832E-2</v>
      </c>
      <c r="U4">
        <v>2.0580000000000001E-2</v>
      </c>
      <c r="V4">
        <v>2.2499999999999999E-2</v>
      </c>
      <c r="W4">
        <v>4.5710000000000004E-3</v>
      </c>
      <c r="X4">
        <v>23.57</v>
      </c>
      <c r="Y4">
        <v>25.53</v>
      </c>
      <c r="Z4">
        <v>152.5</v>
      </c>
      <c r="AA4">
        <v>1709</v>
      </c>
      <c r="AB4">
        <v>0.1444</v>
      </c>
      <c r="AC4">
        <v>0.42449999999999999</v>
      </c>
      <c r="AD4">
        <v>0.45040000000000002</v>
      </c>
      <c r="AE4">
        <v>0.24299999999999999</v>
      </c>
      <c r="AF4">
        <v>0.36130000000000001</v>
      </c>
      <c r="AG4">
        <v>8.7580000000000005E-2</v>
      </c>
    </row>
    <row r="5" spans="1:33">
      <c r="A5">
        <v>4</v>
      </c>
      <c r="B5">
        <v>84348301</v>
      </c>
      <c r="C5" t="s">
        <v>0</v>
      </c>
      <c r="D5">
        <v>11.42</v>
      </c>
      <c r="E5">
        <v>20.38</v>
      </c>
      <c r="F5">
        <v>77.58</v>
      </c>
      <c r="G5">
        <v>386.1</v>
      </c>
      <c r="H5">
        <v>0.14249999999999999</v>
      </c>
      <c r="I5">
        <v>0.28389999999999999</v>
      </c>
      <c r="J5">
        <v>0.2414</v>
      </c>
      <c r="K5">
        <v>0.1052</v>
      </c>
      <c r="L5">
        <v>0.25969999999999999</v>
      </c>
      <c r="M5">
        <v>9.7439999999999999E-2</v>
      </c>
      <c r="N5">
        <v>0.49559999999999998</v>
      </c>
      <c r="O5">
        <v>1.1559999999999999</v>
      </c>
      <c r="P5">
        <v>3.4449999999999998</v>
      </c>
      <c r="Q5">
        <v>27.23</v>
      </c>
      <c r="R5">
        <v>9.11E-3</v>
      </c>
      <c r="S5">
        <v>7.4579999999999994E-2</v>
      </c>
      <c r="T5">
        <v>5.6610000000000001E-2</v>
      </c>
      <c r="U5">
        <v>1.8669999999999999E-2</v>
      </c>
      <c r="V5">
        <v>5.9630000000000002E-2</v>
      </c>
      <c r="W5">
        <v>9.2079999999999992E-3</v>
      </c>
      <c r="X5">
        <v>14.91</v>
      </c>
      <c r="Y5">
        <v>26.5</v>
      </c>
      <c r="Z5">
        <v>98.87</v>
      </c>
      <c r="AA5">
        <v>567.70000000000005</v>
      </c>
      <c r="AB5">
        <v>0.20979999999999999</v>
      </c>
      <c r="AC5">
        <v>0.86629999999999996</v>
      </c>
      <c r="AD5">
        <v>0.68689999999999996</v>
      </c>
      <c r="AE5">
        <v>0.25750000000000001</v>
      </c>
      <c r="AF5">
        <v>0.66379999999999995</v>
      </c>
      <c r="AG5">
        <v>0.17299999999999999</v>
      </c>
    </row>
    <row r="6" spans="1:33">
      <c r="A6">
        <v>5</v>
      </c>
      <c r="B6">
        <v>84358402</v>
      </c>
      <c r="C6" t="s">
        <v>0</v>
      </c>
      <c r="D6">
        <v>20.29</v>
      </c>
      <c r="E6">
        <v>14.34</v>
      </c>
      <c r="F6">
        <v>135.1</v>
      </c>
      <c r="G6">
        <v>1297</v>
      </c>
      <c r="H6">
        <v>0.1003</v>
      </c>
      <c r="I6">
        <v>0.1328</v>
      </c>
      <c r="J6">
        <v>0.19800000000000001</v>
      </c>
      <c r="K6">
        <v>0.1043</v>
      </c>
      <c r="L6">
        <v>0.18090000000000001</v>
      </c>
      <c r="M6">
        <v>5.883E-2</v>
      </c>
      <c r="N6">
        <v>0.75719999999999998</v>
      </c>
      <c r="O6">
        <v>0.78129999999999999</v>
      </c>
      <c r="P6">
        <v>5.4379999999999997</v>
      </c>
      <c r="Q6">
        <v>94.44</v>
      </c>
      <c r="R6">
        <v>1.149E-2</v>
      </c>
      <c r="S6">
        <v>2.461E-2</v>
      </c>
      <c r="T6">
        <v>5.688E-2</v>
      </c>
      <c r="U6">
        <v>1.8849999999999999E-2</v>
      </c>
      <c r="V6">
        <v>1.7559999999999999E-2</v>
      </c>
      <c r="W6">
        <v>5.1149999999999998E-3</v>
      </c>
      <c r="X6">
        <v>22.54</v>
      </c>
      <c r="Y6">
        <v>16.670000000000002</v>
      </c>
      <c r="Z6">
        <v>152.19999999999999</v>
      </c>
      <c r="AA6">
        <v>1575</v>
      </c>
      <c r="AB6">
        <v>0.13739999999999999</v>
      </c>
      <c r="AC6">
        <v>0.20499999999999999</v>
      </c>
      <c r="AD6">
        <v>0.4</v>
      </c>
      <c r="AE6">
        <v>0.16250000000000001</v>
      </c>
      <c r="AF6">
        <v>0.2364</v>
      </c>
      <c r="AG6">
        <v>7.6780000000000001E-2</v>
      </c>
    </row>
    <row r="7" spans="1:33">
      <c r="A7">
        <v>6</v>
      </c>
      <c r="B7">
        <v>843786</v>
      </c>
      <c r="C7" t="s">
        <v>0</v>
      </c>
      <c r="D7">
        <v>12.45</v>
      </c>
      <c r="E7">
        <v>15.7</v>
      </c>
      <c r="F7">
        <v>82.57</v>
      </c>
      <c r="G7">
        <v>477.1</v>
      </c>
      <c r="H7">
        <v>0.1278</v>
      </c>
      <c r="I7">
        <v>0.17</v>
      </c>
      <c r="J7">
        <v>0.1578</v>
      </c>
      <c r="K7">
        <v>8.0890000000000004E-2</v>
      </c>
      <c r="L7">
        <v>0.2087</v>
      </c>
      <c r="M7">
        <v>7.6130000000000003E-2</v>
      </c>
      <c r="N7">
        <v>0.33450000000000002</v>
      </c>
      <c r="O7">
        <v>0.89019999999999999</v>
      </c>
      <c r="P7">
        <v>2.2170000000000001</v>
      </c>
      <c r="Q7">
        <v>27.19</v>
      </c>
      <c r="R7">
        <v>7.5100000000000002E-3</v>
      </c>
      <c r="S7">
        <v>3.3450000000000001E-2</v>
      </c>
      <c r="T7">
        <v>3.6720000000000003E-2</v>
      </c>
      <c r="U7">
        <v>1.137E-2</v>
      </c>
      <c r="V7">
        <v>2.1649999999999999E-2</v>
      </c>
      <c r="W7">
        <v>5.0819999999999997E-3</v>
      </c>
      <c r="X7">
        <v>15.47</v>
      </c>
      <c r="Y7">
        <v>23.75</v>
      </c>
      <c r="Z7">
        <v>103.4</v>
      </c>
      <c r="AA7">
        <v>741.6</v>
      </c>
      <c r="AB7">
        <v>0.17910000000000001</v>
      </c>
      <c r="AC7">
        <v>0.52490000000000003</v>
      </c>
      <c r="AD7">
        <v>0.53549999999999998</v>
      </c>
      <c r="AE7">
        <v>0.1741</v>
      </c>
      <c r="AF7">
        <v>0.39850000000000002</v>
      </c>
      <c r="AG7">
        <v>0.1244</v>
      </c>
    </row>
    <row r="8" spans="1:33">
      <c r="A8">
        <v>7</v>
      </c>
      <c r="B8">
        <v>844359</v>
      </c>
      <c r="C8" t="s">
        <v>0</v>
      </c>
      <c r="D8">
        <v>18.25</v>
      </c>
      <c r="E8">
        <v>19.98</v>
      </c>
      <c r="F8">
        <v>119.6</v>
      </c>
      <c r="G8">
        <v>1040</v>
      </c>
      <c r="H8">
        <v>9.4630000000000006E-2</v>
      </c>
      <c r="I8">
        <v>0.109</v>
      </c>
      <c r="J8">
        <v>0.11269999999999999</v>
      </c>
      <c r="K8">
        <v>7.3999999999999996E-2</v>
      </c>
      <c r="L8">
        <v>0.1794</v>
      </c>
      <c r="M8">
        <v>5.7419999999999999E-2</v>
      </c>
      <c r="N8">
        <v>0.44669999999999999</v>
      </c>
      <c r="O8">
        <v>0.7732</v>
      </c>
      <c r="P8">
        <v>3.18</v>
      </c>
      <c r="Q8">
        <v>53.91</v>
      </c>
      <c r="R8">
        <v>4.3140000000000001E-3</v>
      </c>
      <c r="S8">
        <v>1.3820000000000001E-2</v>
      </c>
      <c r="T8">
        <v>2.2540000000000001E-2</v>
      </c>
      <c r="U8">
        <v>1.039E-2</v>
      </c>
      <c r="V8">
        <v>1.3690000000000001E-2</v>
      </c>
      <c r="W8">
        <v>2.1789999999999999E-3</v>
      </c>
      <c r="X8">
        <v>22.88</v>
      </c>
      <c r="Y8">
        <v>27.66</v>
      </c>
      <c r="Z8">
        <v>153.19999999999999</v>
      </c>
      <c r="AA8">
        <v>1606</v>
      </c>
      <c r="AB8">
        <v>0.14419999999999999</v>
      </c>
      <c r="AC8">
        <v>0.2576</v>
      </c>
      <c r="AD8">
        <v>0.37840000000000001</v>
      </c>
      <c r="AE8">
        <v>0.19320000000000001</v>
      </c>
      <c r="AF8">
        <v>0.30630000000000002</v>
      </c>
      <c r="AG8">
        <v>8.3680000000000004E-2</v>
      </c>
    </row>
    <row r="9" spans="1:33">
      <c r="A9">
        <v>8</v>
      </c>
      <c r="B9">
        <v>84458202</v>
      </c>
      <c r="C9" t="s">
        <v>0</v>
      </c>
      <c r="D9">
        <v>13.71</v>
      </c>
      <c r="E9">
        <v>20.83</v>
      </c>
      <c r="F9">
        <v>90.2</v>
      </c>
      <c r="G9">
        <v>577.9</v>
      </c>
      <c r="H9">
        <v>0.11890000000000001</v>
      </c>
      <c r="I9">
        <v>0.16450000000000001</v>
      </c>
      <c r="J9">
        <v>9.3659999999999993E-2</v>
      </c>
      <c r="K9">
        <v>5.985E-2</v>
      </c>
      <c r="L9">
        <v>0.21959999999999999</v>
      </c>
      <c r="M9">
        <v>7.4510000000000007E-2</v>
      </c>
      <c r="N9">
        <v>0.58350000000000002</v>
      </c>
      <c r="O9">
        <v>1.377</v>
      </c>
      <c r="P9">
        <v>3.8559999999999999</v>
      </c>
      <c r="Q9">
        <v>50.96</v>
      </c>
      <c r="R9">
        <v>8.8050000000000003E-3</v>
      </c>
      <c r="S9">
        <v>3.0290000000000001E-2</v>
      </c>
      <c r="T9">
        <v>2.4879999999999999E-2</v>
      </c>
      <c r="U9">
        <v>1.448E-2</v>
      </c>
      <c r="V9">
        <v>1.486E-2</v>
      </c>
      <c r="W9">
        <v>5.4120000000000001E-3</v>
      </c>
      <c r="X9">
        <v>17.059999999999999</v>
      </c>
      <c r="Y9">
        <v>28.14</v>
      </c>
      <c r="Z9">
        <v>110.6</v>
      </c>
      <c r="AA9">
        <v>897</v>
      </c>
      <c r="AB9">
        <v>0.16539999999999999</v>
      </c>
      <c r="AC9">
        <v>0.36820000000000003</v>
      </c>
      <c r="AD9">
        <v>0.26779999999999998</v>
      </c>
      <c r="AE9">
        <v>0.15559999999999999</v>
      </c>
      <c r="AF9">
        <v>0.3196</v>
      </c>
      <c r="AG9">
        <v>0.11509999999999999</v>
      </c>
    </row>
    <row r="10" spans="1:33">
      <c r="A10">
        <v>9</v>
      </c>
      <c r="B10">
        <v>844981</v>
      </c>
      <c r="C10" t="s">
        <v>0</v>
      </c>
      <c r="D10">
        <v>13.71</v>
      </c>
      <c r="E10">
        <v>21.82</v>
      </c>
      <c r="F10">
        <v>87.5</v>
      </c>
      <c r="G10">
        <v>519.79999999999995</v>
      </c>
      <c r="H10">
        <v>0.1273</v>
      </c>
      <c r="I10">
        <v>0.19320000000000001</v>
      </c>
      <c r="J10">
        <v>0.18590000000000001</v>
      </c>
      <c r="K10">
        <v>9.3530000000000002E-2</v>
      </c>
      <c r="L10">
        <v>0.23499999999999999</v>
      </c>
      <c r="M10">
        <v>7.3889999999999997E-2</v>
      </c>
      <c r="N10">
        <v>0.30630000000000002</v>
      </c>
      <c r="O10">
        <v>1.002</v>
      </c>
      <c r="P10">
        <v>2.4060000000000001</v>
      </c>
      <c r="Q10">
        <v>24.32</v>
      </c>
      <c r="R10">
        <v>5.731E-3</v>
      </c>
      <c r="S10">
        <v>3.5020000000000003E-2</v>
      </c>
      <c r="T10">
        <v>3.5529999999999999E-2</v>
      </c>
      <c r="U10">
        <v>1.226E-2</v>
      </c>
      <c r="V10">
        <v>2.1430000000000001E-2</v>
      </c>
      <c r="W10">
        <v>3.7490000000000002E-3</v>
      </c>
      <c r="X10">
        <v>15.49</v>
      </c>
      <c r="Y10">
        <v>30.73</v>
      </c>
      <c r="Z10">
        <v>106.2</v>
      </c>
      <c r="AA10">
        <v>739.3</v>
      </c>
      <c r="AB10">
        <v>0.17030000000000001</v>
      </c>
      <c r="AC10">
        <v>0.54010000000000002</v>
      </c>
      <c r="AD10">
        <v>0.53900000000000003</v>
      </c>
      <c r="AE10">
        <v>0.20599999999999999</v>
      </c>
      <c r="AF10">
        <v>0.43780000000000002</v>
      </c>
      <c r="AG10">
        <v>0.1072</v>
      </c>
    </row>
    <row r="11" spans="1:33">
      <c r="A11">
        <v>10</v>
      </c>
      <c r="B11">
        <v>84501001</v>
      </c>
      <c r="C11" t="s">
        <v>0</v>
      </c>
      <c r="D11">
        <v>13.71</v>
      </c>
      <c r="E11">
        <v>24.04</v>
      </c>
      <c r="F11">
        <v>83.97</v>
      </c>
      <c r="G11">
        <v>475.9</v>
      </c>
      <c r="H11">
        <v>0.1186</v>
      </c>
      <c r="I11">
        <v>0.23960000000000001</v>
      </c>
      <c r="J11">
        <v>0.2273</v>
      </c>
      <c r="K11">
        <v>8.5430000000000006E-2</v>
      </c>
      <c r="L11">
        <v>0.20300000000000001</v>
      </c>
      <c r="M11">
        <v>8.2430000000000003E-2</v>
      </c>
      <c r="N11">
        <v>0.29759999999999998</v>
      </c>
      <c r="O11">
        <v>1.599</v>
      </c>
      <c r="P11">
        <v>2.0390000000000001</v>
      </c>
      <c r="Q11">
        <v>23.94</v>
      </c>
      <c r="R11">
        <v>7.149E-3</v>
      </c>
      <c r="S11">
        <v>7.2169999999999998E-2</v>
      </c>
      <c r="T11">
        <v>7.7429999999999999E-2</v>
      </c>
      <c r="U11">
        <v>1.4319999999999999E-2</v>
      </c>
      <c r="V11">
        <v>1.789E-2</v>
      </c>
      <c r="W11">
        <v>1.008E-2</v>
      </c>
      <c r="X11">
        <v>15.09</v>
      </c>
      <c r="Y11">
        <v>40.68</v>
      </c>
      <c r="Z11">
        <v>97.65</v>
      </c>
      <c r="AA11">
        <v>711.4</v>
      </c>
      <c r="AB11">
        <v>0.18529999999999999</v>
      </c>
      <c r="AC11">
        <v>1.0580000000000001</v>
      </c>
      <c r="AD11">
        <v>1.105</v>
      </c>
      <c r="AE11">
        <v>0.221</v>
      </c>
      <c r="AF11">
        <v>0.43659999999999999</v>
      </c>
      <c r="AG11">
        <v>0.20749999999999999</v>
      </c>
    </row>
    <row r="12" spans="1:33">
      <c r="A12">
        <v>11</v>
      </c>
      <c r="B12">
        <v>845636</v>
      </c>
      <c r="C12" t="s">
        <v>0</v>
      </c>
      <c r="D12">
        <v>13.71</v>
      </c>
      <c r="E12">
        <v>23.24</v>
      </c>
      <c r="F12">
        <v>102.7</v>
      </c>
      <c r="G12">
        <v>797.8</v>
      </c>
      <c r="H12">
        <v>8.2059999999999994E-2</v>
      </c>
      <c r="I12">
        <v>6.6689999999999999E-2</v>
      </c>
      <c r="J12">
        <v>3.2989999999999998E-2</v>
      </c>
      <c r="K12">
        <v>3.3230000000000003E-2</v>
      </c>
      <c r="L12">
        <v>0.15279999999999999</v>
      </c>
      <c r="M12">
        <v>5.697E-2</v>
      </c>
      <c r="N12">
        <v>0.3795</v>
      </c>
      <c r="O12">
        <v>1.1870000000000001</v>
      </c>
      <c r="P12">
        <v>2.4660000000000002</v>
      </c>
      <c r="Q12">
        <v>40.51</v>
      </c>
      <c r="R12">
        <v>4.0289999999999996E-3</v>
      </c>
      <c r="S12">
        <v>9.2689999999999995E-3</v>
      </c>
      <c r="T12">
        <v>1.1010000000000001E-2</v>
      </c>
      <c r="U12">
        <v>7.5909999999999997E-3</v>
      </c>
      <c r="V12">
        <v>1.46E-2</v>
      </c>
      <c r="W12">
        <v>3.042E-3</v>
      </c>
      <c r="X12">
        <v>19.190000000000001</v>
      </c>
      <c r="Y12">
        <v>33.880000000000003</v>
      </c>
      <c r="Z12">
        <v>123.8</v>
      </c>
      <c r="AA12">
        <v>1150</v>
      </c>
      <c r="AB12">
        <v>0.1181</v>
      </c>
      <c r="AC12">
        <v>0.15509999999999999</v>
      </c>
      <c r="AD12">
        <v>0.1459</v>
      </c>
      <c r="AE12">
        <v>9.9750000000000005E-2</v>
      </c>
      <c r="AF12">
        <v>0.29480000000000001</v>
      </c>
      <c r="AG12">
        <v>8.4519999999999998E-2</v>
      </c>
    </row>
    <row r="13" spans="1:33">
      <c r="A13">
        <v>12</v>
      </c>
      <c r="B13">
        <v>84610002</v>
      </c>
      <c r="C13" t="s">
        <v>0</v>
      </c>
      <c r="D13">
        <v>13.71</v>
      </c>
      <c r="E13">
        <v>17.89</v>
      </c>
      <c r="F13">
        <v>103.6</v>
      </c>
      <c r="G13">
        <v>781</v>
      </c>
      <c r="H13">
        <v>9.7100000000000006E-2</v>
      </c>
      <c r="I13">
        <v>0.12920000000000001</v>
      </c>
      <c r="J13">
        <v>9.9540000000000003E-2</v>
      </c>
      <c r="K13">
        <v>6.6059999999999994E-2</v>
      </c>
      <c r="L13">
        <v>0.1842</v>
      </c>
      <c r="M13">
        <v>6.0819999999999999E-2</v>
      </c>
      <c r="N13">
        <v>0.50580000000000003</v>
      </c>
      <c r="O13">
        <v>0.9849</v>
      </c>
      <c r="P13">
        <v>3.5640000000000001</v>
      </c>
      <c r="Q13">
        <v>54.16</v>
      </c>
      <c r="R13">
        <v>5.7710000000000001E-3</v>
      </c>
      <c r="S13">
        <v>4.061E-2</v>
      </c>
      <c r="T13">
        <v>2.7910000000000001E-2</v>
      </c>
      <c r="U13">
        <v>1.282E-2</v>
      </c>
      <c r="V13">
        <v>2.0080000000000001E-2</v>
      </c>
      <c r="W13">
        <v>4.1440000000000001E-3</v>
      </c>
      <c r="X13">
        <v>20.420000000000002</v>
      </c>
      <c r="Y13">
        <v>27.28</v>
      </c>
      <c r="Z13">
        <v>136.5</v>
      </c>
      <c r="AA13">
        <v>1299</v>
      </c>
      <c r="AB13">
        <v>0.1396</v>
      </c>
      <c r="AC13">
        <v>0.56089999999999995</v>
      </c>
      <c r="AD13">
        <v>0.39650000000000002</v>
      </c>
      <c r="AE13">
        <v>0.18099999999999999</v>
      </c>
      <c r="AF13">
        <v>0.37919999999999998</v>
      </c>
      <c r="AG13">
        <v>0.1048</v>
      </c>
    </row>
    <row r="14" spans="1:33">
      <c r="A14">
        <v>13</v>
      </c>
      <c r="B14">
        <v>846226</v>
      </c>
      <c r="C14" t="s">
        <v>0</v>
      </c>
      <c r="D14">
        <v>13.71</v>
      </c>
      <c r="E14">
        <v>24.8</v>
      </c>
      <c r="F14">
        <v>132.4</v>
      </c>
      <c r="G14">
        <v>1123</v>
      </c>
      <c r="H14">
        <v>9.74E-2</v>
      </c>
      <c r="I14">
        <v>0.24579999999999999</v>
      </c>
      <c r="J14">
        <v>0.20649999999999999</v>
      </c>
      <c r="K14">
        <v>0.1118</v>
      </c>
      <c r="L14">
        <v>0.2397</v>
      </c>
      <c r="M14">
        <v>7.8E-2</v>
      </c>
      <c r="N14">
        <v>0.95550000000000002</v>
      </c>
      <c r="O14">
        <v>3.5680000000000001</v>
      </c>
      <c r="P14">
        <v>11.07</v>
      </c>
      <c r="Q14">
        <v>116.2</v>
      </c>
      <c r="R14">
        <v>3.1389999999999999E-3</v>
      </c>
      <c r="S14">
        <v>8.2970000000000002E-2</v>
      </c>
      <c r="T14">
        <v>8.8900000000000007E-2</v>
      </c>
      <c r="U14">
        <v>4.0899999999999999E-2</v>
      </c>
      <c r="V14">
        <v>4.4839999999999998E-2</v>
      </c>
      <c r="W14">
        <v>1.2840000000000001E-2</v>
      </c>
      <c r="X14">
        <v>20.96</v>
      </c>
      <c r="Y14">
        <v>29.94</v>
      </c>
      <c r="Z14">
        <v>151.69999999999999</v>
      </c>
      <c r="AA14">
        <v>1332</v>
      </c>
      <c r="AB14">
        <v>0.1037</v>
      </c>
      <c r="AC14">
        <v>0.39029999999999998</v>
      </c>
      <c r="AD14">
        <v>0.3639</v>
      </c>
      <c r="AE14">
        <v>0.1767</v>
      </c>
      <c r="AF14">
        <v>0.31759999999999999</v>
      </c>
      <c r="AG14">
        <v>0.1023</v>
      </c>
    </row>
    <row r="15" spans="1:33">
      <c r="A15">
        <v>14</v>
      </c>
      <c r="B15">
        <v>846381</v>
      </c>
      <c r="C15" t="s">
        <v>0</v>
      </c>
      <c r="D15">
        <v>13.71</v>
      </c>
      <c r="E15">
        <v>23.95</v>
      </c>
      <c r="F15">
        <v>103.7</v>
      </c>
      <c r="G15">
        <v>782.7</v>
      </c>
      <c r="H15">
        <v>8.4010000000000001E-2</v>
      </c>
      <c r="I15">
        <v>0.1002</v>
      </c>
      <c r="J15">
        <v>9.9379999999999996E-2</v>
      </c>
      <c r="K15">
        <v>5.364E-2</v>
      </c>
      <c r="L15">
        <v>0.1847</v>
      </c>
      <c r="M15">
        <v>5.3379999999999997E-2</v>
      </c>
      <c r="N15">
        <v>0.40329999999999999</v>
      </c>
      <c r="O15">
        <v>1.0780000000000001</v>
      </c>
      <c r="P15">
        <v>2.903</v>
      </c>
      <c r="Q15">
        <v>36.58</v>
      </c>
      <c r="R15">
        <v>9.7689999999999999E-3</v>
      </c>
      <c r="S15">
        <v>3.1260000000000003E-2</v>
      </c>
      <c r="T15">
        <v>5.0509999999999999E-2</v>
      </c>
      <c r="U15">
        <v>1.992E-2</v>
      </c>
      <c r="V15">
        <v>2.981E-2</v>
      </c>
      <c r="W15">
        <v>3.0019999999999999E-3</v>
      </c>
      <c r="X15">
        <v>16.84</v>
      </c>
      <c r="Y15">
        <v>27.66</v>
      </c>
      <c r="Z15">
        <v>112</v>
      </c>
      <c r="AA15">
        <v>876.5</v>
      </c>
      <c r="AB15">
        <v>0.11310000000000001</v>
      </c>
      <c r="AC15">
        <v>0.19239999999999999</v>
      </c>
      <c r="AD15">
        <v>0.23219999999999999</v>
      </c>
      <c r="AE15">
        <v>0.1119</v>
      </c>
      <c r="AF15">
        <v>0.28089999999999998</v>
      </c>
      <c r="AG15">
        <v>6.2869999999999995E-2</v>
      </c>
    </row>
    <row r="16" spans="1:33">
      <c r="A16">
        <v>15</v>
      </c>
      <c r="B16">
        <v>84667401</v>
      </c>
      <c r="C16" t="s">
        <v>0</v>
      </c>
      <c r="D16">
        <v>13.71</v>
      </c>
      <c r="E16">
        <v>22.61</v>
      </c>
      <c r="F16">
        <v>93.6</v>
      </c>
      <c r="G16">
        <v>578.29999999999995</v>
      </c>
      <c r="H16">
        <v>0.11310000000000001</v>
      </c>
      <c r="I16">
        <v>0.2293</v>
      </c>
      <c r="J16">
        <v>0.21279999999999999</v>
      </c>
      <c r="K16">
        <v>8.0250000000000002E-2</v>
      </c>
      <c r="L16">
        <v>0.2069</v>
      </c>
      <c r="M16">
        <v>7.6819999999999999E-2</v>
      </c>
      <c r="N16">
        <v>0.21210000000000001</v>
      </c>
      <c r="O16">
        <v>1.169</v>
      </c>
      <c r="P16">
        <v>2.0609999999999999</v>
      </c>
      <c r="Q16">
        <v>19.21</v>
      </c>
      <c r="R16">
        <v>6.4289999999999998E-3</v>
      </c>
      <c r="S16">
        <v>5.9360000000000003E-2</v>
      </c>
      <c r="T16">
        <v>5.5010000000000003E-2</v>
      </c>
      <c r="U16">
        <v>1.6279999999999999E-2</v>
      </c>
      <c r="V16">
        <v>1.9609999999999999E-2</v>
      </c>
      <c r="W16">
        <v>8.0929999999999995E-3</v>
      </c>
      <c r="X16">
        <v>15.03</v>
      </c>
      <c r="Y16">
        <v>32.01</v>
      </c>
      <c r="Z16">
        <v>108.8</v>
      </c>
      <c r="AA16">
        <v>697.7</v>
      </c>
      <c r="AB16">
        <v>0.1651</v>
      </c>
      <c r="AC16">
        <v>0.77249999999999996</v>
      </c>
      <c r="AD16">
        <v>0.69430000000000003</v>
      </c>
      <c r="AE16">
        <v>0.2208</v>
      </c>
      <c r="AF16">
        <v>0.35959999999999998</v>
      </c>
      <c r="AG16">
        <v>0.1431</v>
      </c>
    </row>
    <row r="17" spans="1:33">
      <c r="A17">
        <v>16</v>
      </c>
      <c r="B17">
        <v>84799002</v>
      </c>
      <c r="C17" t="s">
        <v>0</v>
      </c>
      <c r="D17">
        <v>13.71</v>
      </c>
      <c r="E17">
        <v>27.54</v>
      </c>
      <c r="F17">
        <v>96.73</v>
      </c>
      <c r="G17">
        <v>658.8</v>
      </c>
      <c r="H17">
        <v>0.1139</v>
      </c>
      <c r="I17">
        <v>0.1595</v>
      </c>
      <c r="J17">
        <v>0.16389999999999999</v>
      </c>
      <c r="K17">
        <v>7.3639999999999997E-2</v>
      </c>
      <c r="L17">
        <v>0.2303</v>
      </c>
      <c r="M17">
        <v>7.077E-2</v>
      </c>
      <c r="N17">
        <v>0.37</v>
      </c>
      <c r="O17">
        <v>1.0329999999999999</v>
      </c>
      <c r="P17">
        <v>2.879</v>
      </c>
      <c r="Q17">
        <v>32.549999999999997</v>
      </c>
      <c r="R17">
        <v>5.607E-3</v>
      </c>
      <c r="S17">
        <v>4.24E-2</v>
      </c>
      <c r="T17">
        <v>4.7410000000000001E-2</v>
      </c>
      <c r="U17">
        <v>1.09E-2</v>
      </c>
      <c r="V17">
        <v>1.857E-2</v>
      </c>
      <c r="W17">
        <v>5.4660000000000004E-3</v>
      </c>
      <c r="X17">
        <v>17.46</v>
      </c>
      <c r="Y17">
        <v>37.130000000000003</v>
      </c>
      <c r="Z17">
        <v>124.1</v>
      </c>
      <c r="AA17">
        <v>943.2</v>
      </c>
      <c r="AB17">
        <v>0.1678</v>
      </c>
      <c r="AC17">
        <v>0.65769999999999995</v>
      </c>
      <c r="AD17">
        <v>0.7026</v>
      </c>
      <c r="AE17">
        <v>0.17119999999999999</v>
      </c>
      <c r="AF17">
        <v>0.42180000000000001</v>
      </c>
      <c r="AG17">
        <v>0.1341</v>
      </c>
    </row>
    <row r="18" spans="1:33">
      <c r="A18">
        <v>17</v>
      </c>
      <c r="B18">
        <v>848406</v>
      </c>
      <c r="C18" t="s">
        <v>0</v>
      </c>
      <c r="D18">
        <v>13.71</v>
      </c>
      <c r="E18">
        <v>20.13</v>
      </c>
      <c r="F18">
        <v>94.74</v>
      </c>
      <c r="G18">
        <v>684.5</v>
      </c>
      <c r="H18">
        <v>9.8669999999999994E-2</v>
      </c>
      <c r="I18">
        <v>7.1999999999999995E-2</v>
      </c>
      <c r="J18">
        <v>7.3950000000000002E-2</v>
      </c>
      <c r="K18">
        <v>5.2589999999999998E-2</v>
      </c>
      <c r="L18">
        <v>0.15859999999999999</v>
      </c>
      <c r="M18">
        <v>5.9220000000000002E-2</v>
      </c>
      <c r="N18">
        <v>0.47270000000000001</v>
      </c>
      <c r="O18">
        <v>1.24</v>
      </c>
      <c r="P18">
        <v>3.1949999999999998</v>
      </c>
      <c r="Q18">
        <v>45.4</v>
      </c>
      <c r="R18">
        <v>5.718E-3</v>
      </c>
      <c r="S18">
        <v>1.162E-2</v>
      </c>
      <c r="T18">
        <v>1.9980000000000001E-2</v>
      </c>
      <c r="U18">
        <v>1.1089999999999999E-2</v>
      </c>
      <c r="V18">
        <v>1.41E-2</v>
      </c>
      <c r="W18">
        <v>2.085E-3</v>
      </c>
      <c r="X18">
        <v>19.07</v>
      </c>
      <c r="Y18">
        <v>30.88</v>
      </c>
      <c r="Z18">
        <v>123.4</v>
      </c>
      <c r="AA18">
        <v>1138</v>
      </c>
      <c r="AB18">
        <v>0.1464</v>
      </c>
      <c r="AC18">
        <v>0.18709999999999999</v>
      </c>
      <c r="AD18">
        <v>0.29139999999999999</v>
      </c>
      <c r="AE18">
        <v>0.16089999999999999</v>
      </c>
      <c r="AF18">
        <v>0.3029</v>
      </c>
      <c r="AG18">
        <v>8.2159999999999997E-2</v>
      </c>
    </row>
    <row r="19" spans="1:33">
      <c r="A19">
        <v>18</v>
      </c>
      <c r="B19">
        <v>84862001</v>
      </c>
      <c r="C19" t="s">
        <v>0</v>
      </c>
      <c r="D19">
        <v>13.71</v>
      </c>
      <c r="E19">
        <v>20.68</v>
      </c>
      <c r="F19">
        <v>108.1</v>
      </c>
      <c r="G19">
        <v>798.8</v>
      </c>
      <c r="H19">
        <v>0.11700000000000001</v>
      </c>
      <c r="I19">
        <v>0.20219999999999999</v>
      </c>
      <c r="J19">
        <v>0.17219999999999999</v>
      </c>
      <c r="K19">
        <v>0.1028</v>
      </c>
      <c r="L19">
        <v>0.21640000000000001</v>
      </c>
      <c r="M19">
        <v>7.356E-2</v>
      </c>
      <c r="N19">
        <v>0.56920000000000004</v>
      </c>
      <c r="O19">
        <v>1.073</v>
      </c>
      <c r="P19">
        <v>3.8540000000000001</v>
      </c>
      <c r="Q19">
        <v>54.18</v>
      </c>
      <c r="R19">
        <v>7.0260000000000001E-3</v>
      </c>
      <c r="S19">
        <v>2.5010000000000001E-2</v>
      </c>
      <c r="T19">
        <v>3.1879999999999999E-2</v>
      </c>
      <c r="U19">
        <v>1.2970000000000001E-2</v>
      </c>
      <c r="V19">
        <v>1.6889999999999999E-2</v>
      </c>
      <c r="W19">
        <v>4.1419999999999998E-3</v>
      </c>
      <c r="X19">
        <v>20.96</v>
      </c>
      <c r="Y19">
        <v>31.48</v>
      </c>
      <c r="Z19">
        <v>136.80000000000001</v>
      </c>
      <c r="AA19">
        <v>1315</v>
      </c>
      <c r="AB19">
        <v>0.1789</v>
      </c>
      <c r="AC19">
        <v>0.42330000000000001</v>
      </c>
      <c r="AD19">
        <v>0.47839999999999999</v>
      </c>
      <c r="AE19">
        <v>0.20730000000000001</v>
      </c>
      <c r="AF19">
        <v>0.37059999999999998</v>
      </c>
      <c r="AG19">
        <v>0.1142</v>
      </c>
    </row>
    <row r="20" spans="1:33">
      <c r="A20">
        <v>19</v>
      </c>
      <c r="B20">
        <v>849014</v>
      </c>
      <c r="C20" t="s">
        <v>0</v>
      </c>
      <c r="D20">
        <v>13.71</v>
      </c>
      <c r="E20">
        <v>22.15</v>
      </c>
      <c r="F20">
        <v>130</v>
      </c>
      <c r="G20">
        <v>1260</v>
      </c>
      <c r="H20">
        <v>9.8309999999999995E-2</v>
      </c>
      <c r="I20">
        <v>0.1027</v>
      </c>
      <c r="J20">
        <v>0.1479</v>
      </c>
      <c r="K20">
        <v>9.4979999999999995E-2</v>
      </c>
      <c r="L20">
        <v>0.15820000000000001</v>
      </c>
      <c r="M20">
        <v>5.3949999999999998E-2</v>
      </c>
      <c r="N20">
        <v>0.75819999999999999</v>
      </c>
      <c r="O20">
        <v>1.0169999999999999</v>
      </c>
      <c r="P20">
        <v>5.8650000000000002</v>
      </c>
      <c r="Q20">
        <v>112.4</v>
      </c>
      <c r="R20">
        <v>6.4939999999999998E-3</v>
      </c>
      <c r="S20">
        <v>1.8929999999999999E-2</v>
      </c>
      <c r="T20">
        <v>3.3910000000000003E-2</v>
      </c>
      <c r="U20">
        <v>1.521E-2</v>
      </c>
      <c r="V20">
        <v>1.3559999999999999E-2</v>
      </c>
      <c r="W20">
        <v>1.9970000000000001E-3</v>
      </c>
      <c r="X20">
        <v>27.32</v>
      </c>
      <c r="Y20">
        <v>30.88</v>
      </c>
      <c r="Z20">
        <v>186.8</v>
      </c>
      <c r="AA20">
        <v>2398</v>
      </c>
      <c r="AB20">
        <v>0.1512</v>
      </c>
      <c r="AC20">
        <v>0.315</v>
      </c>
      <c r="AD20">
        <v>0.53720000000000001</v>
      </c>
      <c r="AE20">
        <v>0.23880000000000001</v>
      </c>
      <c r="AF20">
        <v>0.27679999999999999</v>
      </c>
      <c r="AG20">
        <v>7.6149999999999995E-2</v>
      </c>
    </row>
    <row r="21" spans="1:33">
      <c r="A21">
        <v>20</v>
      </c>
      <c r="B21">
        <v>8510426</v>
      </c>
      <c r="C21" t="s">
        <v>1</v>
      </c>
      <c r="D21">
        <v>13.71</v>
      </c>
      <c r="E21">
        <v>14.36</v>
      </c>
      <c r="F21">
        <v>87.46</v>
      </c>
      <c r="G21">
        <v>566.29999999999995</v>
      </c>
      <c r="H21">
        <v>9.7790000000000002E-2</v>
      </c>
      <c r="I21">
        <v>8.1290000000000001E-2</v>
      </c>
      <c r="J21">
        <v>6.6640000000000005E-2</v>
      </c>
      <c r="K21">
        <v>4.7809999999999998E-2</v>
      </c>
      <c r="L21">
        <v>0.1885</v>
      </c>
      <c r="M21">
        <v>5.7660000000000003E-2</v>
      </c>
      <c r="N21">
        <v>0.26989999999999997</v>
      </c>
      <c r="O21">
        <v>0.78859999999999997</v>
      </c>
      <c r="P21">
        <v>2.0579999999999998</v>
      </c>
      <c r="Q21">
        <v>23.56</v>
      </c>
      <c r="R21">
        <v>8.4620000000000008E-3</v>
      </c>
      <c r="S21">
        <v>1.46E-2</v>
      </c>
      <c r="T21">
        <v>2.3869999999999999E-2</v>
      </c>
      <c r="U21">
        <v>1.315E-2</v>
      </c>
      <c r="V21">
        <v>1.9800000000000002E-2</v>
      </c>
      <c r="W21">
        <v>2.3E-3</v>
      </c>
      <c r="X21">
        <v>15.11</v>
      </c>
      <c r="Y21">
        <v>19.260000000000002</v>
      </c>
      <c r="Z21">
        <v>99.7</v>
      </c>
      <c r="AA21">
        <v>711.2</v>
      </c>
      <c r="AB21">
        <v>0.14399999999999999</v>
      </c>
      <c r="AC21">
        <v>0.17730000000000001</v>
      </c>
      <c r="AD21">
        <v>0.23899999999999999</v>
      </c>
      <c r="AE21">
        <v>0.1288</v>
      </c>
      <c r="AF21">
        <v>0.29770000000000002</v>
      </c>
      <c r="AG21">
        <v>7.2590000000000002E-2</v>
      </c>
    </row>
    <row r="22" spans="1:33">
      <c r="A22">
        <v>21</v>
      </c>
      <c r="B22">
        <v>8510653</v>
      </c>
      <c r="C22" t="s">
        <v>1</v>
      </c>
      <c r="D22">
        <v>13.71</v>
      </c>
      <c r="E22">
        <v>15.71</v>
      </c>
      <c r="F22">
        <v>85.63</v>
      </c>
      <c r="G22">
        <v>520</v>
      </c>
      <c r="H22">
        <v>0.1075</v>
      </c>
      <c r="I22">
        <v>0.127</v>
      </c>
      <c r="J22">
        <v>4.5679999999999998E-2</v>
      </c>
      <c r="K22">
        <v>3.1099999999999999E-2</v>
      </c>
      <c r="L22">
        <v>0.19670000000000001</v>
      </c>
      <c r="M22">
        <v>6.8110000000000004E-2</v>
      </c>
      <c r="N22">
        <v>0.1852</v>
      </c>
      <c r="O22">
        <v>0.74770000000000003</v>
      </c>
      <c r="P22">
        <v>1.383</v>
      </c>
      <c r="Q22">
        <v>14.67</v>
      </c>
      <c r="R22">
        <v>4.0969999999999999E-3</v>
      </c>
      <c r="S22">
        <v>1.898E-2</v>
      </c>
      <c r="T22">
        <v>1.6979999999999999E-2</v>
      </c>
      <c r="U22">
        <v>6.4900000000000001E-3</v>
      </c>
      <c r="V22">
        <v>1.678E-2</v>
      </c>
      <c r="W22">
        <v>2.4250000000000001E-3</v>
      </c>
      <c r="X22">
        <v>14.5</v>
      </c>
      <c r="Y22">
        <v>20.49</v>
      </c>
      <c r="Z22">
        <v>96.09</v>
      </c>
      <c r="AA22">
        <v>630.5</v>
      </c>
      <c r="AB22">
        <v>0.13120000000000001</v>
      </c>
      <c r="AC22">
        <v>0.27760000000000001</v>
      </c>
      <c r="AD22">
        <v>0.189</v>
      </c>
      <c r="AE22">
        <v>7.2830000000000006E-2</v>
      </c>
      <c r="AF22">
        <v>0.31840000000000002</v>
      </c>
      <c r="AG22">
        <v>8.183E-2</v>
      </c>
    </row>
    <row r="23" spans="1:33">
      <c r="A23">
        <v>22</v>
      </c>
      <c r="B23">
        <v>8510824</v>
      </c>
      <c r="C23" t="s">
        <v>1</v>
      </c>
      <c r="D23">
        <v>13.71</v>
      </c>
      <c r="E23">
        <v>12.44</v>
      </c>
      <c r="F23">
        <v>60.34</v>
      </c>
      <c r="G23">
        <v>273.89999999999998</v>
      </c>
      <c r="H23">
        <v>0.1024</v>
      </c>
      <c r="I23">
        <v>6.4920000000000005E-2</v>
      </c>
      <c r="J23">
        <v>2.9559999999999999E-2</v>
      </c>
      <c r="K23">
        <v>2.0760000000000001E-2</v>
      </c>
      <c r="L23">
        <v>0.18149999999999999</v>
      </c>
      <c r="M23">
        <v>6.905E-2</v>
      </c>
      <c r="N23">
        <v>0.27729999999999999</v>
      </c>
      <c r="O23">
        <v>0.9768</v>
      </c>
      <c r="P23">
        <v>1.909</v>
      </c>
      <c r="Q23">
        <v>15.7</v>
      </c>
      <c r="R23">
        <v>9.606E-3</v>
      </c>
      <c r="S23">
        <v>1.4319999999999999E-2</v>
      </c>
      <c r="T23">
        <v>1.985E-2</v>
      </c>
      <c r="U23">
        <v>1.421E-2</v>
      </c>
      <c r="V23">
        <v>2.027E-2</v>
      </c>
      <c r="W23">
        <v>2.9680000000000002E-3</v>
      </c>
      <c r="X23">
        <v>10.23</v>
      </c>
      <c r="Y23">
        <v>15.66</v>
      </c>
      <c r="Z23">
        <v>65.13</v>
      </c>
      <c r="AA23">
        <v>314.89999999999998</v>
      </c>
      <c r="AB23">
        <v>0.13239999999999999</v>
      </c>
      <c r="AC23">
        <v>0.1148</v>
      </c>
      <c r="AD23">
        <v>8.8669999999999999E-2</v>
      </c>
      <c r="AE23">
        <v>6.2269999999999999E-2</v>
      </c>
      <c r="AF23">
        <v>0.245</v>
      </c>
      <c r="AG23">
        <v>7.7729999999999994E-2</v>
      </c>
    </row>
    <row r="24" spans="1:33">
      <c r="A24">
        <v>23</v>
      </c>
      <c r="B24">
        <v>8511133</v>
      </c>
      <c r="C24" t="s">
        <v>0</v>
      </c>
      <c r="D24">
        <v>13.71</v>
      </c>
      <c r="E24">
        <v>14.26</v>
      </c>
      <c r="F24">
        <v>102.5</v>
      </c>
      <c r="G24">
        <v>704.4</v>
      </c>
      <c r="H24">
        <v>0.10730000000000001</v>
      </c>
      <c r="I24">
        <v>0.2135</v>
      </c>
      <c r="J24">
        <v>0.2077</v>
      </c>
      <c r="K24">
        <v>9.7559999999999994E-2</v>
      </c>
      <c r="L24">
        <v>0.25209999999999999</v>
      </c>
      <c r="M24">
        <v>7.0319999999999994E-2</v>
      </c>
      <c r="N24">
        <v>0.43880000000000002</v>
      </c>
      <c r="O24">
        <v>0.70960000000000001</v>
      </c>
      <c r="P24">
        <v>3.3839999999999999</v>
      </c>
      <c r="Q24">
        <v>44.91</v>
      </c>
      <c r="R24">
        <v>6.7889999999999999E-3</v>
      </c>
      <c r="S24">
        <v>5.3280000000000001E-2</v>
      </c>
      <c r="T24">
        <v>6.4460000000000003E-2</v>
      </c>
      <c r="U24">
        <v>2.2519999999999998E-2</v>
      </c>
      <c r="V24">
        <v>3.6720000000000003E-2</v>
      </c>
      <c r="W24">
        <v>4.3940000000000003E-3</v>
      </c>
      <c r="X24">
        <v>18.07</v>
      </c>
      <c r="Y24">
        <v>19.079999999999998</v>
      </c>
      <c r="Z24">
        <v>125.1</v>
      </c>
      <c r="AA24">
        <v>980.9</v>
      </c>
      <c r="AB24">
        <v>0.13900000000000001</v>
      </c>
      <c r="AC24">
        <v>0.59540000000000004</v>
      </c>
      <c r="AD24">
        <v>0.63049999999999995</v>
      </c>
      <c r="AE24">
        <v>0.23930000000000001</v>
      </c>
      <c r="AF24">
        <v>0.4667</v>
      </c>
      <c r="AG24">
        <v>9.9460000000000007E-2</v>
      </c>
    </row>
    <row r="25" spans="1:33">
      <c r="A25">
        <v>24</v>
      </c>
      <c r="B25">
        <v>851509</v>
      </c>
      <c r="C25" t="s">
        <v>0</v>
      </c>
      <c r="D25">
        <v>13.71</v>
      </c>
      <c r="E25">
        <v>23.04</v>
      </c>
      <c r="F25">
        <v>137.19999999999999</v>
      </c>
      <c r="G25">
        <v>1404</v>
      </c>
      <c r="H25">
        <v>9.4280000000000003E-2</v>
      </c>
      <c r="I25">
        <v>0.1022</v>
      </c>
      <c r="J25">
        <v>0.10970000000000001</v>
      </c>
      <c r="K25">
        <v>8.6319999999999994E-2</v>
      </c>
      <c r="L25">
        <v>0.1769</v>
      </c>
      <c r="M25">
        <v>5.2780000000000001E-2</v>
      </c>
      <c r="N25">
        <v>0.69169999999999998</v>
      </c>
      <c r="O25">
        <v>1.127</v>
      </c>
      <c r="P25">
        <v>4.3029999999999999</v>
      </c>
      <c r="Q25">
        <v>93.99</v>
      </c>
      <c r="R25">
        <v>4.7280000000000004E-3</v>
      </c>
      <c r="S25">
        <v>1.259E-2</v>
      </c>
      <c r="T25">
        <v>1.7149999999999999E-2</v>
      </c>
      <c r="U25">
        <v>1.038E-2</v>
      </c>
      <c r="V25">
        <v>1.0829999999999999E-2</v>
      </c>
      <c r="W25">
        <v>1.9870000000000001E-3</v>
      </c>
      <c r="X25">
        <v>29.17</v>
      </c>
      <c r="Y25">
        <v>35.590000000000003</v>
      </c>
      <c r="Z25">
        <v>188</v>
      </c>
      <c r="AA25">
        <v>2615</v>
      </c>
      <c r="AB25">
        <v>0.1401</v>
      </c>
      <c r="AC25">
        <v>0.26</v>
      </c>
      <c r="AD25">
        <v>0.3155</v>
      </c>
      <c r="AE25">
        <v>0.2009</v>
      </c>
      <c r="AF25">
        <v>0.28220000000000001</v>
      </c>
      <c r="AG25">
        <v>7.5259999999999994E-2</v>
      </c>
    </row>
    <row r="26" spans="1:33">
      <c r="A26">
        <v>25</v>
      </c>
      <c r="B26">
        <v>852552</v>
      </c>
      <c r="C26" t="s">
        <v>0</v>
      </c>
      <c r="D26">
        <v>13.71</v>
      </c>
      <c r="E26">
        <v>21.38</v>
      </c>
      <c r="F26">
        <v>110</v>
      </c>
      <c r="G26">
        <v>904.6</v>
      </c>
      <c r="H26">
        <v>0.11210000000000001</v>
      </c>
      <c r="I26">
        <v>0.1457</v>
      </c>
      <c r="J26">
        <v>0.1525</v>
      </c>
      <c r="K26">
        <v>9.1700000000000004E-2</v>
      </c>
      <c r="L26">
        <v>0.19950000000000001</v>
      </c>
      <c r="M26">
        <v>6.3299999999999995E-2</v>
      </c>
      <c r="N26">
        <v>0.80679999999999996</v>
      </c>
      <c r="O26">
        <v>0.90169999999999995</v>
      </c>
      <c r="P26">
        <v>5.4550000000000001</v>
      </c>
      <c r="Q26">
        <v>102.6</v>
      </c>
      <c r="R26">
        <v>6.0480000000000004E-3</v>
      </c>
      <c r="S26">
        <v>1.882E-2</v>
      </c>
      <c r="T26">
        <v>2.741E-2</v>
      </c>
      <c r="U26">
        <v>1.1299999999999999E-2</v>
      </c>
      <c r="V26">
        <v>1.468E-2</v>
      </c>
      <c r="W26">
        <v>2.8010000000000001E-3</v>
      </c>
      <c r="X26">
        <v>26.46</v>
      </c>
      <c r="Y26">
        <v>31.56</v>
      </c>
      <c r="Z26">
        <v>177</v>
      </c>
      <c r="AA26">
        <v>2215</v>
      </c>
      <c r="AB26">
        <v>0.18049999999999999</v>
      </c>
      <c r="AC26">
        <v>0.35780000000000001</v>
      </c>
      <c r="AD26">
        <v>0.46949999999999997</v>
      </c>
      <c r="AE26">
        <v>0.20949999999999999</v>
      </c>
      <c r="AF26">
        <v>0.36130000000000001</v>
      </c>
      <c r="AG26">
        <v>9.5640000000000003E-2</v>
      </c>
    </row>
    <row r="27" spans="1:33">
      <c r="A27">
        <v>26</v>
      </c>
      <c r="B27">
        <v>852631</v>
      </c>
      <c r="C27" t="s">
        <v>0</v>
      </c>
      <c r="D27">
        <v>13.71</v>
      </c>
      <c r="E27">
        <v>16.399999999999999</v>
      </c>
      <c r="F27">
        <v>116</v>
      </c>
      <c r="G27">
        <v>912.7</v>
      </c>
      <c r="H27">
        <v>0.1186</v>
      </c>
      <c r="I27">
        <v>0.2276</v>
      </c>
      <c r="J27">
        <v>0.22289999999999999</v>
      </c>
      <c r="K27">
        <v>0.1401</v>
      </c>
      <c r="L27">
        <v>0.30399999999999999</v>
      </c>
      <c r="M27">
        <v>7.4130000000000001E-2</v>
      </c>
      <c r="N27">
        <v>1.046</v>
      </c>
      <c r="O27">
        <v>0.97599999999999998</v>
      </c>
      <c r="P27">
        <v>7.2759999999999998</v>
      </c>
      <c r="Q27">
        <v>111.4</v>
      </c>
      <c r="R27">
        <v>8.0289999999999997E-3</v>
      </c>
      <c r="S27">
        <v>3.7990000000000003E-2</v>
      </c>
      <c r="T27">
        <v>3.7319999999999999E-2</v>
      </c>
      <c r="U27">
        <v>2.3970000000000002E-2</v>
      </c>
      <c r="V27">
        <v>2.308E-2</v>
      </c>
      <c r="W27">
        <v>7.4440000000000001E-3</v>
      </c>
      <c r="X27">
        <v>22.25</v>
      </c>
      <c r="Y27">
        <v>21.4</v>
      </c>
      <c r="Z27">
        <v>152.4</v>
      </c>
      <c r="AA27">
        <v>1461</v>
      </c>
      <c r="AB27">
        <v>0.1545</v>
      </c>
      <c r="AC27">
        <v>0.39489999999999997</v>
      </c>
      <c r="AD27">
        <v>0.38529999999999998</v>
      </c>
      <c r="AE27">
        <v>0.255</v>
      </c>
      <c r="AF27">
        <v>0.40660000000000002</v>
      </c>
      <c r="AG27">
        <v>0.10589999999999999</v>
      </c>
    </row>
    <row r="28" spans="1:33">
      <c r="A28">
        <v>27</v>
      </c>
      <c r="B28">
        <v>852763</v>
      </c>
      <c r="C28" t="s">
        <v>0</v>
      </c>
      <c r="D28">
        <v>13.71</v>
      </c>
      <c r="E28">
        <v>21.53</v>
      </c>
      <c r="F28">
        <v>97.41</v>
      </c>
      <c r="G28">
        <v>644.79999999999995</v>
      </c>
      <c r="H28">
        <v>0.10539999999999999</v>
      </c>
      <c r="I28">
        <v>0.18679999999999999</v>
      </c>
      <c r="J28">
        <v>0.14249999999999999</v>
      </c>
      <c r="K28">
        <v>8.7830000000000005E-2</v>
      </c>
      <c r="L28">
        <v>0.22520000000000001</v>
      </c>
      <c r="M28">
        <v>6.9239999999999996E-2</v>
      </c>
      <c r="N28">
        <v>0.2545</v>
      </c>
      <c r="O28">
        <v>0.98319999999999996</v>
      </c>
      <c r="P28">
        <v>2.11</v>
      </c>
      <c r="Q28">
        <v>21.05</v>
      </c>
      <c r="R28">
        <v>4.4520000000000002E-3</v>
      </c>
      <c r="S28">
        <v>3.0550000000000001E-2</v>
      </c>
      <c r="T28">
        <v>2.681E-2</v>
      </c>
      <c r="U28">
        <v>1.3520000000000001E-2</v>
      </c>
      <c r="V28">
        <v>1.4540000000000001E-2</v>
      </c>
      <c r="W28">
        <v>3.7109999999999999E-3</v>
      </c>
      <c r="X28">
        <v>17.62</v>
      </c>
      <c r="Y28">
        <v>33.21</v>
      </c>
      <c r="Z28">
        <v>122.4</v>
      </c>
      <c r="AA28">
        <v>896.9</v>
      </c>
      <c r="AB28">
        <v>0.1525</v>
      </c>
      <c r="AC28">
        <v>0.6643</v>
      </c>
      <c r="AD28">
        <v>0.55389999999999995</v>
      </c>
      <c r="AE28">
        <v>0.27010000000000001</v>
      </c>
      <c r="AF28">
        <v>0.4264</v>
      </c>
      <c r="AG28">
        <v>0.1275</v>
      </c>
    </row>
    <row r="29" spans="1:33">
      <c r="A29">
        <v>28</v>
      </c>
      <c r="B29">
        <v>852781</v>
      </c>
      <c r="C29" t="s">
        <v>0</v>
      </c>
      <c r="D29">
        <v>13.71</v>
      </c>
      <c r="E29">
        <v>20.25</v>
      </c>
      <c r="F29">
        <v>122.1</v>
      </c>
      <c r="G29">
        <v>1094</v>
      </c>
      <c r="H29">
        <v>9.4399999999999998E-2</v>
      </c>
      <c r="I29">
        <v>0.1066</v>
      </c>
      <c r="J29">
        <v>0.14899999999999999</v>
      </c>
      <c r="K29">
        <v>7.7310000000000004E-2</v>
      </c>
      <c r="L29">
        <v>0.16969999999999999</v>
      </c>
      <c r="M29">
        <v>5.6989999999999999E-2</v>
      </c>
      <c r="N29">
        <v>0.85289999999999999</v>
      </c>
      <c r="O29">
        <v>1.849</v>
      </c>
      <c r="P29">
        <v>5.6319999999999997</v>
      </c>
      <c r="Q29">
        <v>93.54</v>
      </c>
      <c r="R29">
        <v>1.0749999999999999E-2</v>
      </c>
      <c r="S29">
        <v>2.7220000000000001E-2</v>
      </c>
      <c r="T29">
        <v>5.0810000000000001E-2</v>
      </c>
      <c r="U29">
        <v>1.9109999999999999E-2</v>
      </c>
      <c r="V29">
        <v>2.2929999999999999E-2</v>
      </c>
      <c r="W29">
        <v>4.2170000000000003E-3</v>
      </c>
      <c r="X29">
        <v>21.31</v>
      </c>
      <c r="Y29">
        <v>27.26</v>
      </c>
      <c r="Z29">
        <v>139.9</v>
      </c>
      <c r="AA29">
        <v>1403</v>
      </c>
      <c r="AB29">
        <v>0.1338</v>
      </c>
      <c r="AC29">
        <v>0.2117</v>
      </c>
      <c r="AD29">
        <v>0.34460000000000002</v>
      </c>
      <c r="AE29">
        <v>0.14899999999999999</v>
      </c>
      <c r="AF29">
        <v>0.2341</v>
      </c>
      <c r="AG29">
        <v>7.4209999999999998E-2</v>
      </c>
    </row>
    <row r="30" spans="1:33">
      <c r="A30">
        <v>29</v>
      </c>
      <c r="B30">
        <v>852973</v>
      </c>
      <c r="C30" t="s">
        <v>0</v>
      </c>
      <c r="D30">
        <v>13.71</v>
      </c>
      <c r="E30">
        <v>25.27</v>
      </c>
      <c r="F30">
        <v>102.4</v>
      </c>
      <c r="G30">
        <v>732.4</v>
      </c>
      <c r="H30">
        <v>0.1082</v>
      </c>
      <c r="I30">
        <v>0.16969999999999999</v>
      </c>
      <c r="J30">
        <v>0.16830000000000001</v>
      </c>
      <c r="K30">
        <v>8.7510000000000004E-2</v>
      </c>
      <c r="L30">
        <v>0.19259999999999999</v>
      </c>
      <c r="M30">
        <v>6.54E-2</v>
      </c>
      <c r="N30">
        <v>0.439</v>
      </c>
      <c r="O30">
        <v>1.012</v>
      </c>
      <c r="P30">
        <v>3.4980000000000002</v>
      </c>
      <c r="Q30">
        <v>43.5</v>
      </c>
      <c r="R30">
        <v>5.2329999999999998E-3</v>
      </c>
      <c r="S30">
        <v>3.057E-2</v>
      </c>
      <c r="T30">
        <v>3.576E-2</v>
      </c>
      <c r="U30">
        <v>1.0829999999999999E-2</v>
      </c>
      <c r="V30">
        <v>1.7680000000000001E-2</v>
      </c>
      <c r="W30">
        <v>2.967E-3</v>
      </c>
      <c r="X30">
        <v>20.27</v>
      </c>
      <c r="Y30">
        <v>36.71</v>
      </c>
      <c r="Z30">
        <v>149.30000000000001</v>
      </c>
      <c r="AA30">
        <v>1269</v>
      </c>
      <c r="AB30">
        <v>0.1641</v>
      </c>
      <c r="AC30">
        <v>0.61099999999999999</v>
      </c>
      <c r="AD30">
        <v>0.63349999999999995</v>
      </c>
      <c r="AE30">
        <v>0.2024</v>
      </c>
      <c r="AF30">
        <v>0.4027</v>
      </c>
      <c r="AG30">
        <v>9.8760000000000001E-2</v>
      </c>
    </row>
    <row r="31" spans="1:33">
      <c r="A31">
        <v>30</v>
      </c>
      <c r="B31">
        <v>853201</v>
      </c>
      <c r="C31" t="s">
        <v>0</v>
      </c>
      <c r="D31">
        <v>13.71</v>
      </c>
      <c r="E31">
        <v>15.05</v>
      </c>
      <c r="F31">
        <v>115</v>
      </c>
      <c r="G31">
        <v>955.1</v>
      </c>
      <c r="H31">
        <v>9.8470000000000002E-2</v>
      </c>
      <c r="I31">
        <v>0.1157</v>
      </c>
      <c r="J31">
        <v>9.8750000000000004E-2</v>
      </c>
      <c r="K31">
        <v>7.9530000000000003E-2</v>
      </c>
      <c r="L31">
        <v>0.1739</v>
      </c>
      <c r="M31">
        <v>6.1490000000000003E-2</v>
      </c>
      <c r="N31">
        <v>0.60029999999999994</v>
      </c>
      <c r="O31">
        <v>0.82250000000000001</v>
      </c>
      <c r="P31">
        <v>4.6550000000000002</v>
      </c>
      <c r="Q31">
        <v>61.1</v>
      </c>
      <c r="R31">
        <v>5.6270000000000001E-3</v>
      </c>
      <c r="S31">
        <v>3.0329999999999999E-2</v>
      </c>
      <c r="T31">
        <v>3.4070000000000003E-2</v>
      </c>
      <c r="U31">
        <v>1.354E-2</v>
      </c>
      <c r="V31">
        <v>1.925E-2</v>
      </c>
      <c r="W31">
        <v>3.7420000000000001E-3</v>
      </c>
      <c r="X31">
        <v>20.010000000000002</v>
      </c>
      <c r="Y31">
        <v>19.52</v>
      </c>
      <c r="Z31">
        <v>134.9</v>
      </c>
      <c r="AA31">
        <v>1227</v>
      </c>
      <c r="AB31">
        <v>0.1255</v>
      </c>
      <c r="AC31">
        <v>0.28120000000000001</v>
      </c>
      <c r="AD31">
        <v>0.24890000000000001</v>
      </c>
      <c r="AE31">
        <v>0.14560000000000001</v>
      </c>
      <c r="AF31">
        <v>0.27560000000000001</v>
      </c>
      <c r="AG31">
        <v>7.9189999999999997E-2</v>
      </c>
    </row>
    <row r="32" spans="1:33">
      <c r="A32">
        <v>31</v>
      </c>
      <c r="B32">
        <v>853401</v>
      </c>
      <c r="C32" t="s">
        <v>0</v>
      </c>
      <c r="D32">
        <v>13.71</v>
      </c>
      <c r="E32">
        <v>25.11</v>
      </c>
      <c r="F32">
        <v>124.8</v>
      </c>
      <c r="G32">
        <v>1088</v>
      </c>
      <c r="H32">
        <v>0.10639999999999999</v>
      </c>
      <c r="I32">
        <v>0.18870000000000001</v>
      </c>
      <c r="J32">
        <v>0.2319</v>
      </c>
      <c r="K32">
        <v>0.1244</v>
      </c>
      <c r="L32">
        <v>0.21829999999999999</v>
      </c>
      <c r="M32">
        <v>6.1969999999999997E-2</v>
      </c>
      <c r="N32">
        <v>0.83069999999999999</v>
      </c>
      <c r="O32">
        <v>1.466</v>
      </c>
      <c r="P32">
        <v>5.5739999999999998</v>
      </c>
      <c r="Q32">
        <v>105</v>
      </c>
      <c r="R32">
        <v>6.2480000000000001E-3</v>
      </c>
      <c r="S32">
        <v>3.3739999999999999E-2</v>
      </c>
      <c r="T32">
        <v>5.1959999999999999E-2</v>
      </c>
      <c r="U32">
        <v>1.158E-2</v>
      </c>
      <c r="V32">
        <v>2.0070000000000001E-2</v>
      </c>
      <c r="W32">
        <v>4.5599999999999998E-3</v>
      </c>
      <c r="X32">
        <v>23.15</v>
      </c>
      <c r="Y32">
        <v>34.01</v>
      </c>
      <c r="Z32">
        <v>160.5</v>
      </c>
      <c r="AA32">
        <v>1670</v>
      </c>
      <c r="AB32">
        <v>0.14910000000000001</v>
      </c>
      <c r="AC32">
        <v>0.42570000000000002</v>
      </c>
      <c r="AD32">
        <v>0.61329999999999996</v>
      </c>
      <c r="AE32">
        <v>0.18479999999999999</v>
      </c>
      <c r="AF32">
        <v>0.34439999999999998</v>
      </c>
      <c r="AG32">
        <v>9.7820000000000004E-2</v>
      </c>
    </row>
    <row r="33" spans="1:33">
      <c r="A33">
        <v>32</v>
      </c>
      <c r="B33">
        <v>853612</v>
      </c>
      <c r="C33" t="s">
        <v>0</v>
      </c>
      <c r="D33">
        <v>13.71</v>
      </c>
      <c r="E33">
        <v>18.7</v>
      </c>
      <c r="F33">
        <v>77.930000000000007</v>
      </c>
      <c r="G33">
        <v>440.6</v>
      </c>
      <c r="H33">
        <v>0.1109</v>
      </c>
      <c r="I33">
        <v>0.15160000000000001</v>
      </c>
      <c r="J33">
        <v>0.12180000000000001</v>
      </c>
      <c r="K33">
        <v>5.1819999999999998E-2</v>
      </c>
      <c r="L33">
        <v>0.2301</v>
      </c>
      <c r="M33">
        <v>7.7990000000000004E-2</v>
      </c>
      <c r="N33">
        <v>0.48249999999999998</v>
      </c>
      <c r="O33">
        <v>1.03</v>
      </c>
      <c r="P33">
        <v>3.4750000000000001</v>
      </c>
      <c r="Q33">
        <v>41</v>
      </c>
      <c r="R33">
        <v>5.5510000000000004E-3</v>
      </c>
      <c r="S33">
        <v>3.4139999999999997E-2</v>
      </c>
      <c r="T33">
        <v>4.2049999999999997E-2</v>
      </c>
      <c r="U33">
        <v>1.044E-2</v>
      </c>
      <c r="V33">
        <v>2.273E-2</v>
      </c>
      <c r="W33">
        <v>5.6670000000000002E-3</v>
      </c>
      <c r="X33">
        <v>16.82</v>
      </c>
      <c r="Y33">
        <v>28.12</v>
      </c>
      <c r="Z33">
        <v>119.4</v>
      </c>
      <c r="AA33">
        <v>888.7</v>
      </c>
      <c r="AB33">
        <v>0.16370000000000001</v>
      </c>
      <c r="AC33">
        <v>0.57750000000000001</v>
      </c>
      <c r="AD33">
        <v>0.6956</v>
      </c>
      <c r="AE33">
        <v>0.15459999999999999</v>
      </c>
      <c r="AF33">
        <v>0.47610000000000002</v>
      </c>
      <c r="AG33">
        <v>0.14019999999999999</v>
      </c>
    </row>
    <row r="34" spans="1:33">
      <c r="A34">
        <v>33</v>
      </c>
      <c r="B34">
        <v>85382601</v>
      </c>
      <c r="C34" t="s">
        <v>0</v>
      </c>
      <c r="D34">
        <v>13.71</v>
      </c>
      <c r="E34">
        <v>23.98</v>
      </c>
      <c r="F34">
        <v>112.8</v>
      </c>
      <c r="G34">
        <v>899.3</v>
      </c>
      <c r="H34">
        <v>0.1197</v>
      </c>
      <c r="I34">
        <v>0.14960000000000001</v>
      </c>
      <c r="J34">
        <v>0.2417</v>
      </c>
      <c r="K34">
        <v>0.1203</v>
      </c>
      <c r="L34">
        <v>0.2248</v>
      </c>
      <c r="M34">
        <v>6.3820000000000002E-2</v>
      </c>
      <c r="N34">
        <v>0.60089999999999999</v>
      </c>
      <c r="O34">
        <v>1.3979999999999999</v>
      </c>
      <c r="P34">
        <v>3.9990000000000001</v>
      </c>
      <c r="Q34">
        <v>67.78</v>
      </c>
      <c r="R34">
        <v>8.2679999999999993E-3</v>
      </c>
      <c r="S34">
        <v>3.082E-2</v>
      </c>
      <c r="T34">
        <v>5.042E-2</v>
      </c>
      <c r="U34">
        <v>1.112E-2</v>
      </c>
      <c r="V34">
        <v>2.102E-2</v>
      </c>
      <c r="W34">
        <v>3.8539999999999998E-3</v>
      </c>
      <c r="X34">
        <v>20.88</v>
      </c>
      <c r="Y34">
        <v>32.090000000000003</v>
      </c>
      <c r="Z34">
        <v>136.1</v>
      </c>
      <c r="AA34">
        <v>1344</v>
      </c>
      <c r="AB34">
        <v>0.16339999999999999</v>
      </c>
      <c r="AC34">
        <v>0.35589999999999999</v>
      </c>
      <c r="AD34">
        <v>0.55879999999999996</v>
      </c>
      <c r="AE34">
        <v>0.1847</v>
      </c>
      <c r="AF34">
        <v>0.35299999999999998</v>
      </c>
      <c r="AG34">
        <v>8.4820000000000007E-2</v>
      </c>
    </row>
    <row r="35" spans="1:33">
      <c r="A35">
        <v>34</v>
      </c>
      <c r="B35">
        <v>854002</v>
      </c>
      <c r="C35" t="s">
        <v>0</v>
      </c>
      <c r="D35">
        <v>13.71</v>
      </c>
      <c r="E35">
        <v>26.47</v>
      </c>
      <c r="F35">
        <v>127.9</v>
      </c>
      <c r="G35">
        <v>1162</v>
      </c>
      <c r="H35">
        <v>9.4009999999999996E-2</v>
      </c>
      <c r="I35">
        <v>0.1719</v>
      </c>
      <c r="J35">
        <v>0.16569999999999999</v>
      </c>
      <c r="K35">
        <v>7.5929999999999997E-2</v>
      </c>
      <c r="L35">
        <v>0.18529999999999999</v>
      </c>
      <c r="M35">
        <v>6.2609999999999999E-2</v>
      </c>
      <c r="N35">
        <v>0.55579999999999996</v>
      </c>
      <c r="O35">
        <v>0.60619999999999996</v>
      </c>
      <c r="P35">
        <v>3.528</v>
      </c>
      <c r="Q35">
        <v>68.17</v>
      </c>
      <c r="R35">
        <v>5.0150000000000004E-3</v>
      </c>
      <c r="S35">
        <v>3.3180000000000001E-2</v>
      </c>
      <c r="T35">
        <v>3.4970000000000001E-2</v>
      </c>
      <c r="U35">
        <v>9.6430000000000005E-3</v>
      </c>
      <c r="V35">
        <v>1.5429999999999999E-2</v>
      </c>
      <c r="W35">
        <v>3.8960000000000002E-3</v>
      </c>
      <c r="X35">
        <v>24.15</v>
      </c>
      <c r="Y35">
        <v>30.9</v>
      </c>
      <c r="Z35">
        <v>161.4</v>
      </c>
      <c r="AA35">
        <v>1813</v>
      </c>
      <c r="AB35">
        <v>0.15090000000000001</v>
      </c>
      <c r="AC35">
        <v>0.65900000000000003</v>
      </c>
      <c r="AD35">
        <v>0.60909999999999997</v>
      </c>
      <c r="AE35">
        <v>0.17849999999999999</v>
      </c>
      <c r="AF35">
        <v>0.36720000000000003</v>
      </c>
      <c r="AG35">
        <v>0.1123</v>
      </c>
    </row>
    <row r="36" spans="1:33">
      <c r="A36">
        <v>35</v>
      </c>
      <c r="B36">
        <v>854039</v>
      </c>
      <c r="C36" t="s">
        <v>0</v>
      </c>
      <c r="D36">
        <v>13.71</v>
      </c>
      <c r="E36">
        <v>17.88</v>
      </c>
      <c r="F36">
        <v>107</v>
      </c>
      <c r="G36">
        <v>807.2</v>
      </c>
      <c r="H36">
        <v>0.104</v>
      </c>
      <c r="I36">
        <v>0.15590000000000001</v>
      </c>
      <c r="J36">
        <v>0.13539999999999999</v>
      </c>
      <c r="K36">
        <v>7.7520000000000006E-2</v>
      </c>
      <c r="L36">
        <v>0.19980000000000001</v>
      </c>
      <c r="M36">
        <v>6.515E-2</v>
      </c>
      <c r="N36">
        <v>0.33400000000000002</v>
      </c>
      <c r="O36">
        <v>0.68569999999999998</v>
      </c>
      <c r="P36">
        <v>2.1829999999999998</v>
      </c>
      <c r="Q36">
        <v>35.03</v>
      </c>
      <c r="R36">
        <v>4.1850000000000004E-3</v>
      </c>
      <c r="S36">
        <v>2.8680000000000001E-2</v>
      </c>
      <c r="T36">
        <v>2.664E-2</v>
      </c>
      <c r="U36">
        <v>9.0670000000000004E-3</v>
      </c>
      <c r="V36">
        <v>1.703E-2</v>
      </c>
      <c r="W36">
        <v>3.8170000000000001E-3</v>
      </c>
      <c r="X36">
        <v>20.21</v>
      </c>
      <c r="Y36">
        <v>27.26</v>
      </c>
      <c r="Z36">
        <v>132.69999999999999</v>
      </c>
      <c r="AA36">
        <v>1261</v>
      </c>
      <c r="AB36">
        <v>0.14460000000000001</v>
      </c>
      <c r="AC36">
        <v>0.58040000000000003</v>
      </c>
      <c r="AD36">
        <v>0.52739999999999998</v>
      </c>
      <c r="AE36">
        <v>0.18640000000000001</v>
      </c>
      <c r="AF36">
        <v>0.42699999999999999</v>
      </c>
      <c r="AG36">
        <v>0.12330000000000001</v>
      </c>
    </row>
    <row r="37" spans="1:33">
      <c r="A37">
        <v>36</v>
      </c>
      <c r="B37">
        <v>854253</v>
      </c>
      <c r="C37" t="s">
        <v>0</v>
      </c>
      <c r="D37">
        <v>13.71</v>
      </c>
      <c r="E37">
        <v>21.59</v>
      </c>
      <c r="F37">
        <v>110.1</v>
      </c>
      <c r="G37">
        <v>869.5</v>
      </c>
      <c r="H37">
        <v>9.6100000000000005E-2</v>
      </c>
      <c r="I37">
        <v>0.1336</v>
      </c>
      <c r="J37">
        <v>0.1348</v>
      </c>
      <c r="K37">
        <v>6.0179999999999997E-2</v>
      </c>
      <c r="L37">
        <v>0.18959999999999999</v>
      </c>
      <c r="M37">
        <v>5.6559999999999999E-2</v>
      </c>
      <c r="N37">
        <v>0.46150000000000002</v>
      </c>
      <c r="O37">
        <v>0.91969999999999996</v>
      </c>
      <c r="P37">
        <v>3.008</v>
      </c>
      <c r="Q37">
        <v>45.19</v>
      </c>
      <c r="R37">
        <v>5.7759999999999999E-3</v>
      </c>
      <c r="S37">
        <v>2.4989999999999998E-2</v>
      </c>
      <c r="T37">
        <v>3.6949999999999997E-2</v>
      </c>
      <c r="U37">
        <v>1.1950000000000001E-2</v>
      </c>
      <c r="V37">
        <v>2.7890000000000002E-2</v>
      </c>
      <c r="W37">
        <v>2.6649999999999998E-3</v>
      </c>
      <c r="X37">
        <v>20.010000000000002</v>
      </c>
      <c r="Y37">
        <v>29.02</v>
      </c>
      <c r="Z37">
        <v>133.5</v>
      </c>
      <c r="AA37">
        <v>1229</v>
      </c>
      <c r="AB37">
        <v>0.15629999999999999</v>
      </c>
      <c r="AC37">
        <v>0.38350000000000001</v>
      </c>
      <c r="AD37">
        <v>0.54090000000000005</v>
      </c>
      <c r="AE37">
        <v>0.18129999999999999</v>
      </c>
      <c r="AF37">
        <v>0.48630000000000001</v>
      </c>
      <c r="AG37">
        <v>8.6330000000000004E-2</v>
      </c>
    </row>
    <row r="38" spans="1:33">
      <c r="A38">
        <v>37</v>
      </c>
      <c r="B38">
        <v>854268</v>
      </c>
      <c r="C38" t="s">
        <v>0</v>
      </c>
      <c r="D38">
        <v>13.71</v>
      </c>
      <c r="E38">
        <v>21.72</v>
      </c>
      <c r="F38">
        <v>93.63</v>
      </c>
      <c r="G38">
        <v>633</v>
      </c>
      <c r="H38">
        <v>9.8229999999999998E-2</v>
      </c>
      <c r="I38">
        <v>0.10979999999999999</v>
      </c>
      <c r="J38">
        <v>0.13189999999999999</v>
      </c>
      <c r="K38">
        <v>5.5980000000000002E-2</v>
      </c>
      <c r="L38">
        <v>0.1885</v>
      </c>
      <c r="M38">
        <v>6.1249999999999999E-2</v>
      </c>
      <c r="N38">
        <v>0.28599999999999998</v>
      </c>
      <c r="O38">
        <v>1.0189999999999999</v>
      </c>
      <c r="P38">
        <v>2.657</v>
      </c>
      <c r="Q38">
        <v>24.91</v>
      </c>
      <c r="R38">
        <v>5.8780000000000004E-3</v>
      </c>
      <c r="S38">
        <v>2.9950000000000001E-2</v>
      </c>
      <c r="T38">
        <v>4.8149999999999998E-2</v>
      </c>
      <c r="U38">
        <v>1.1610000000000001E-2</v>
      </c>
      <c r="V38">
        <v>2.0279999999999999E-2</v>
      </c>
      <c r="W38">
        <v>4.0220000000000004E-3</v>
      </c>
      <c r="X38">
        <v>15.89</v>
      </c>
      <c r="Y38">
        <v>30.36</v>
      </c>
      <c r="Z38">
        <v>116.2</v>
      </c>
      <c r="AA38">
        <v>799.6</v>
      </c>
      <c r="AB38">
        <v>0.14460000000000001</v>
      </c>
      <c r="AC38">
        <v>0.42380000000000001</v>
      </c>
      <c r="AD38">
        <v>0.51859999999999995</v>
      </c>
      <c r="AE38">
        <v>0.1447</v>
      </c>
      <c r="AF38">
        <v>0.35909999999999997</v>
      </c>
      <c r="AG38">
        <v>0.1014</v>
      </c>
    </row>
    <row r="39" spans="1:33">
      <c r="A39">
        <v>38</v>
      </c>
      <c r="B39">
        <v>854941</v>
      </c>
      <c r="C39" t="s">
        <v>1</v>
      </c>
      <c r="D39">
        <v>13.71</v>
      </c>
      <c r="E39">
        <v>18.420000000000002</v>
      </c>
      <c r="F39">
        <v>82.61</v>
      </c>
      <c r="G39">
        <v>523.79999999999995</v>
      </c>
      <c r="H39">
        <v>8.9829999999999993E-2</v>
      </c>
      <c r="I39">
        <v>3.7659999999999999E-2</v>
      </c>
      <c r="J39">
        <v>2.562E-2</v>
      </c>
      <c r="K39">
        <v>2.9229999999999999E-2</v>
      </c>
      <c r="L39">
        <v>0.1467</v>
      </c>
      <c r="M39">
        <v>5.8630000000000002E-2</v>
      </c>
      <c r="N39">
        <v>0.18390000000000001</v>
      </c>
      <c r="O39">
        <v>2.3420000000000001</v>
      </c>
      <c r="P39">
        <v>1.17</v>
      </c>
      <c r="Q39">
        <v>14.16</v>
      </c>
      <c r="R39">
        <v>4.352E-3</v>
      </c>
      <c r="S39">
        <v>4.8989999999999997E-3</v>
      </c>
      <c r="T39">
        <v>1.3429999999999999E-2</v>
      </c>
      <c r="U39">
        <v>1.1639999999999999E-2</v>
      </c>
      <c r="V39">
        <v>2.6710000000000001E-2</v>
      </c>
      <c r="W39">
        <v>1.7769999999999999E-3</v>
      </c>
      <c r="X39">
        <v>13.3</v>
      </c>
      <c r="Y39">
        <v>22.81</v>
      </c>
      <c r="Z39">
        <v>84.46</v>
      </c>
      <c r="AA39">
        <v>545.9</v>
      </c>
      <c r="AB39">
        <v>9.7009999999999999E-2</v>
      </c>
      <c r="AC39">
        <v>4.6190000000000002E-2</v>
      </c>
      <c r="AD39">
        <v>4.8329999999999998E-2</v>
      </c>
      <c r="AE39">
        <v>5.0130000000000001E-2</v>
      </c>
      <c r="AF39">
        <v>0.19869999999999999</v>
      </c>
      <c r="AG39">
        <v>6.1690000000000002E-2</v>
      </c>
    </row>
    <row r="40" spans="1:33">
      <c r="A40">
        <v>39</v>
      </c>
      <c r="B40">
        <v>855133</v>
      </c>
      <c r="C40" t="s">
        <v>0</v>
      </c>
      <c r="D40">
        <v>13.71</v>
      </c>
      <c r="E40">
        <v>25.2</v>
      </c>
      <c r="F40">
        <v>95.54</v>
      </c>
      <c r="G40">
        <v>698.8</v>
      </c>
      <c r="H40">
        <v>9.3869999999999995E-2</v>
      </c>
      <c r="I40">
        <v>5.1310000000000001E-2</v>
      </c>
      <c r="J40">
        <v>2.3980000000000001E-2</v>
      </c>
      <c r="K40">
        <v>2.8989999999999998E-2</v>
      </c>
      <c r="L40">
        <v>0.1565</v>
      </c>
      <c r="M40">
        <v>5.5039999999999999E-2</v>
      </c>
      <c r="N40">
        <v>1.214</v>
      </c>
      <c r="O40">
        <v>2.1880000000000002</v>
      </c>
      <c r="P40">
        <v>8.077</v>
      </c>
      <c r="Q40">
        <v>106</v>
      </c>
      <c r="R40">
        <v>6.8830000000000002E-3</v>
      </c>
      <c r="S40">
        <v>1.094E-2</v>
      </c>
      <c r="T40">
        <v>1.8180000000000002E-2</v>
      </c>
      <c r="U40">
        <v>1.917E-2</v>
      </c>
      <c r="V40">
        <v>7.8820000000000001E-3</v>
      </c>
      <c r="W40">
        <v>1.7539999999999999E-3</v>
      </c>
      <c r="X40">
        <v>14.99</v>
      </c>
      <c r="Y40">
        <v>25.2</v>
      </c>
      <c r="Z40">
        <v>95.54</v>
      </c>
      <c r="AA40">
        <v>698.8</v>
      </c>
      <c r="AB40">
        <v>9.3869999999999995E-2</v>
      </c>
      <c r="AC40">
        <v>5.1310000000000001E-2</v>
      </c>
      <c r="AD40">
        <v>2.3980000000000001E-2</v>
      </c>
      <c r="AE40">
        <v>2.8989999999999998E-2</v>
      </c>
      <c r="AF40">
        <v>0.1565</v>
      </c>
      <c r="AG40">
        <v>5.5039999999999999E-2</v>
      </c>
    </row>
    <row r="41" spans="1:33">
      <c r="A41">
        <v>40</v>
      </c>
      <c r="B41">
        <v>855138</v>
      </c>
      <c r="C41" t="s">
        <v>0</v>
      </c>
      <c r="D41">
        <v>13.71</v>
      </c>
      <c r="E41">
        <v>20.82</v>
      </c>
      <c r="F41">
        <v>88.4</v>
      </c>
      <c r="G41">
        <v>559.20000000000005</v>
      </c>
      <c r="H41">
        <v>0.1016</v>
      </c>
      <c r="I41">
        <v>0.1255</v>
      </c>
      <c r="J41">
        <v>0.10630000000000001</v>
      </c>
      <c r="K41">
        <v>5.4390000000000001E-2</v>
      </c>
      <c r="L41">
        <v>0.17199999999999999</v>
      </c>
      <c r="M41">
        <v>6.4189999999999997E-2</v>
      </c>
      <c r="N41">
        <v>0.21299999999999999</v>
      </c>
      <c r="O41">
        <v>0.59140000000000004</v>
      </c>
      <c r="P41">
        <v>1.5449999999999999</v>
      </c>
      <c r="Q41">
        <v>18.52</v>
      </c>
      <c r="R41">
        <v>5.3670000000000002E-3</v>
      </c>
      <c r="S41">
        <v>2.239E-2</v>
      </c>
      <c r="T41">
        <v>3.049E-2</v>
      </c>
      <c r="U41">
        <v>1.2619999999999999E-2</v>
      </c>
      <c r="V41">
        <v>1.3769999999999999E-2</v>
      </c>
      <c r="W41">
        <v>3.1870000000000002E-3</v>
      </c>
      <c r="X41">
        <v>15.53</v>
      </c>
      <c r="Y41">
        <v>26.02</v>
      </c>
      <c r="Z41">
        <v>107.3</v>
      </c>
      <c r="AA41">
        <v>740.4</v>
      </c>
      <c r="AB41">
        <v>0.161</v>
      </c>
      <c r="AC41">
        <v>0.42249999999999999</v>
      </c>
      <c r="AD41">
        <v>0.503</v>
      </c>
      <c r="AE41">
        <v>0.2258</v>
      </c>
      <c r="AF41">
        <v>0.28070000000000001</v>
      </c>
      <c r="AG41">
        <v>0.1071</v>
      </c>
    </row>
    <row r="42" spans="1:33">
      <c r="A42">
        <v>41</v>
      </c>
      <c r="B42">
        <v>855167</v>
      </c>
      <c r="C42" t="s">
        <v>0</v>
      </c>
      <c r="D42">
        <v>13.71</v>
      </c>
      <c r="E42">
        <v>21.58</v>
      </c>
      <c r="F42">
        <v>86.18</v>
      </c>
      <c r="G42">
        <v>563</v>
      </c>
      <c r="H42">
        <v>8.1619999999999998E-2</v>
      </c>
      <c r="I42">
        <v>6.0310000000000002E-2</v>
      </c>
      <c r="J42">
        <v>3.1099999999999999E-2</v>
      </c>
      <c r="K42">
        <v>2.0310000000000002E-2</v>
      </c>
      <c r="L42">
        <v>0.1784</v>
      </c>
      <c r="M42">
        <v>5.5870000000000003E-2</v>
      </c>
      <c r="N42">
        <v>0.23849999999999999</v>
      </c>
      <c r="O42">
        <v>0.82650000000000001</v>
      </c>
      <c r="P42">
        <v>1.5720000000000001</v>
      </c>
      <c r="Q42">
        <v>20.53</v>
      </c>
      <c r="R42">
        <v>3.2799999999999999E-3</v>
      </c>
      <c r="S42">
        <v>1.102E-2</v>
      </c>
      <c r="T42">
        <v>1.3899999999999999E-2</v>
      </c>
      <c r="U42">
        <v>6.881E-3</v>
      </c>
      <c r="V42">
        <v>1.38E-2</v>
      </c>
      <c r="W42">
        <v>1.286E-3</v>
      </c>
      <c r="X42">
        <v>15.93</v>
      </c>
      <c r="Y42">
        <v>30.25</v>
      </c>
      <c r="Z42">
        <v>102.5</v>
      </c>
      <c r="AA42">
        <v>787.9</v>
      </c>
      <c r="AB42">
        <v>0.1094</v>
      </c>
      <c r="AC42">
        <v>0.20430000000000001</v>
      </c>
      <c r="AD42">
        <v>0.20849999999999999</v>
      </c>
      <c r="AE42">
        <v>0.11119999999999999</v>
      </c>
      <c r="AF42">
        <v>0.2994</v>
      </c>
      <c r="AG42">
        <v>7.1459999999999996E-2</v>
      </c>
    </row>
    <row r="43" spans="1:33">
      <c r="A43">
        <v>42</v>
      </c>
      <c r="B43">
        <v>855563</v>
      </c>
      <c r="C43" t="s">
        <v>0</v>
      </c>
      <c r="D43">
        <v>13.71</v>
      </c>
      <c r="E43">
        <v>21.35</v>
      </c>
      <c r="F43">
        <v>71.900000000000006</v>
      </c>
      <c r="G43">
        <v>371.1</v>
      </c>
      <c r="H43">
        <v>0.1227</v>
      </c>
      <c r="I43">
        <v>0.12180000000000001</v>
      </c>
      <c r="J43">
        <v>0.10440000000000001</v>
      </c>
      <c r="K43">
        <v>5.6689999999999997E-2</v>
      </c>
      <c r="L43">
        <v>0.1895</v>
      </c>
      <c r="M43">
        <v>6.8699999999999997E-2</v>
      </c>
      <c r="N43">
        <v>0.2366</v>
      </c>
      <c r="O43">
        <v>1.4279999999999999</v>
      </c>
      <c r="P43">
        <v>1.8220000000000001</v>
      </c>
      <c r="Q43">
        <v>16.97</v>
      </c>
      <c r="R43">
        <v>8.064E-3</v>
      </c>
      <c r="S43">
        <v>1.7639999999999999E-2</v>
      </c>
      <c r="T43">
        <v>2.5950000000000001E-2</v>
      </c>
      <c r="U43">
        <v>1.0370000000000001E-2</v>
      </c>
      <c r="V43">
        <v>1.357E-2</v>
      </c>
      <c r="W43">
        <v>3.0400000000000002E-3</v>
      </c>
      <c r="X43">
        <v>12.84</v>
      </c>
      <c r="Y43">
        <v>35.340000000000003</v>
      </c>
      <c r="Z43">
        <v>87.22</v>
      </c>
      <c r="AA43">
        <v>514</v>
      </c>
      <c r="AB43">
        <v>0.19089999999999999</v>
      </c>
      <c r="AC43">
        <v>0.26979999999999998</v>
      </c>
      <c r="AD43">
        <v>0.40229999999999999</v>
      </c>
      <c r="AE43">
        <v>0.1424</v>
      </c>
      <c r="AF43">
        <v>0.2964</v>
      </c>
      <c r="AG43">
        <v>9.6060000000000006E-2</v>
      </c>
    </row>
    <row r="44" spans="1:33">
      <c r="A44">
        <v>43</v>
      </c>
      <c r="B44">
        <v>855625</v>
      </c>
      <c r="C44" t="s">
        <v>0</v>
      </c>
      <c r="D44">
        <v>13.71</v>
      </c>
      <c r="E44">
        <v>24.81</v>
      </c>
      <c r="F44">
        <v>128.30000000000001</v>
      </c>
      <c r="G44">
        <v>1104</v>
      </c>
      <c r="H44">
        <v>9.0810000000000002E-2</v>
      </c>
      <c r="I44">
        <v>0.219</v>
      </c>
      <c r="J44">
        <v>0.2107</v>
      </c>
      <c r="K44">
        <v>9.9610000000000004E-2</v>
      </c>
      <c r="L44">
        <v>0.23100000000000001</v>
      </c>
      <c r="M44">
        <v>6.343E-2</v>
      </c>
      <c r="N44">
        <v>0.98109999999999997</v>
      </c>
      <c r="O44">
        <v>1.6659999999999999</v>
      </c>
      <c r="P44">
        <v>8.83</v>
      </c>
      <c r="Q44">
        <v>104.9</v>
      </c>
      <c r="R44">
        <v>6.548E-3</v>
      </c>
      <c r="S44">
        <v>0.10059999999999999</v>
      </c>
      <c r="T44">
        <v>9.7229999999999997E-2</v>
      </c>
      <c r="U44">
        <v>2.6380000000000001E-2</v>
      </c>
      <c r="V44">
        <v>5.3330000000000002E-2</v>
      </c>
      <c r="W44">
        <v>7.646E-3</v>
      </c>
      <c r="X44">
        <v>24.09</v>
      </c>
      <c r="Y44">
        <v>33.17</v>
      </c>
      <c r="Z44">
        <v>177.4</v>
      </c>
      <c r="AA44">
        <v>1651</v>
      </c>
      <c r="AB44">
        <v>0.12470000000000001</v>
      </c>
      <c r="AC44">
        <v>0.74439999999999995</v>
      </c>
      <c r="AD44">
        <v>0.72419999999999995</v>
      </c>
      <c r="AE44">
        <v>0.24929999999999999</v>
      </c>
      <c r="AF44">
        <v>0.46700000000000003</v>
      </c>
      <c r="AG44">
        <v>0.1038</v>
      </c>
    </row>
    <row r="45" spans="1:33">
      <c r="A45">
        <v>44</v>
      </c>
      <c r="B45">
        <v>856106</v>
      </c>
      <c r="C45" t="s">
        <v>0</v>
      </c>
      <c r="D45">
        <v>13.71</v>
      </c>
      <c r="E45">
        <v>20.28</v>
      </c>
      <c r="F45">
        <v>87.32</v>
      </c>
      <c r="G45">
        <v>545.20000000000005</v>
      </c>
      <c r="H45">
        <v>0.1041</v>
      </c>
      <c r="I45">
        <v>0.14360000000000001</v>
      </c>
      <c r="J45">
        <v>9.8470000000000002E-2</v>
      </c>
      <c r="K45">
        <v>6.1580000000000003E-2</v>
      </c>
      <c r="L45">
        <v>0.19739999999999999</v>
      </c>
      <c r="M45">
        <v>6.7820000000000005E-2</v>
      </c>
      <c r="N45">
        <v>0.37040000000000001</v>
      </c>
      <c r="O45">
        <v>0.82489999999999997</v>
      </c>
      <c r="P45">
        <v>2.427</v>
      </c>
      <c r="Q45">
        <v>31.33</v>
      </c>
      <c r="R45">
        <v>5.0720000000000001E-3</v>
      </c>
      <c r="S45">
        <v>2.147E-2</v>
      </c>
      <c r="T45">
        <v>2.1850000000000001E-2</v>
      </c>
      <c r="U45">
        <v>9.5600000000000008E-3</v>
      </c>
      <c r="V45">
        <v>1.719E-2</v>
      </c>
      <c r="W45">
        <v>3.3170000000000001E-3</v>
      </c>
      <c r="X45">
        <v>17.38</v>
      </c>
      <c r="Y45">
        <v>28</v>
      </c>
      <c r="Z45">
        <v>113.1</v>
      </c>
      <c r="AA45">
        <v>907.2</v>
      </c>
      <c r="AB45">
        <v>0.153</v>
      </c>
      <c r="AC45">
        <v>0.37240000000000001</v>
      </c>
      <c r="AD45">
        <v>0.3664</v>
      </c>
      <c r="AE45">
        <v>0.1492</v>
      </c>
      <c r="AF45">
        <v>0.37390000000000001</v>
      </c>
      <c r="AG45">
        <v>0.1027</v>
      </c>
    </row>
    <row r="46" spans="1:33">
      <c r="A46">
        <v>45</v>
      </c>
      <c r="B46">
        <v>85638502</v>
      </c>
      <c r="C46" t="s">
        <v>0</v>
      </c>
      <c r="D46">
        <v>13.71</v>
      </c>
      <c r="E46">
        <v>21.81</v>
      </c>
      <c r="F46">
        <v>85.42</v>
      </c>
      <c r="G46">
        <v>531.5</v>
      </c>
      <c r="H46">
        <v>9.7140000000000004E-2</v>
      </c>
      <c r="I46">
        <v>0.1047</v>
      </c>
      <c r="J46">
        <v>8.2589999999999997E-2</v>
      </c>
      <c r="K46">
        <v>5.2519999999999997E-2</v>
      </c>
      <c r="L46">
        <v>0.17460000000000001</v>
      </c>
      <c r="M46">
        <v>6.1769999999999999E-2</v>
      </c>
      <c r="N46">
        <v>0.1938</v>
      </c>
      <c r="O46">
        <v>0.61229999999999996</v>
      </c>
      <c r="P46">
        <v>1.3340000000000001</v>
      </c>
      <c r="Q46">
        <v>14.49</v>
      </c>
      <c r="R46">
        <v>3.3500000000000001E-3</v>
      </c>
      <c r="S46">
        <v>1.384E-2</v>
      </c>
      <c r="T46">
        <v>1.452E-2</v>
      </c>
      <c r="U46">
        <v>6.8529999999999997E-3</v>
      </c>
      <c r="V46">
        <v>1.1129999999999999E-2</v>
      </c>
      <c r="W46">
        <v>1.72E-3</v>
      </c>
      <c r="X46">
        <v>16.23</v>
      </c>
      <c r="Y46">
        <v>29.89</v>
      </c>
      <c r="Z46">
        <v>105.5</v>
      </c>
      <c r="AA46">
        <v>740.7</v>
      </c>
      <c r="AB46">
        <v>0.15029999999999999</v>
      </c>
      <c r="AC46">
        <v>0.39040000000000002</v>
      </c>
      <c r="AD46">
        <v>0.37280000000000002</v>
      </c>
      <c r="AE46">
        <v>0.16070000000000001</v>
      </c>
      <c r="AF46">
        <v>0.36930000000000002</v>
      </c>
      <c r="AG46">
        <v>9.6180000000000002E-2</v>
      </c>
    </row>
    <row r="47" spans="1:33">
      <c r="A47">
        <v>46</v>
      </c>
      <c r="B47">
        <v>857010</v>
      </c>
      <c r="C47" t="s">
        <v>0</v>
      </c>
      <c r="D47">
        <v>13.71</v>
      </c>
      <c r="E47">
        <v>17.600000000000001</v>
      </c>
      <c r="F47">
        <v>123.7</v>
      </c>
      <c r="G47">
        <v>1076</v>
      </c>
      <c r="H47">
        <v>0.1099</v>
      </c>
      <c r="I47">
        <v>0.1686</v>
      </c>
      <c r="J47">
        <v>0.19739999999999999</v>
      </c>
      <c r="K47">
        <v>0.1009</v>
      </c>
      <c r="L47">
        <v>0.19070000000000001</v>
      </c>
      <c r="M47">
        <v>6.0490000000000002E-2</v>
      </c>
      <c r="N47">
        <v>0.62890000000000001</v>
      </c>
      <c r="O47">
        <v>0.6633</v>
      </c>
      <c r="P47">
        <v>4.2930000000000001</v>
      </c>
      <c r="Q47">
        <v>71.56</v>
      </c>
      <c r="R47">
        <v>6.2940000000000001E-3</v>
      </c>
      <c r="S47">
        <v>3.9940000000000003E-2</v>
      </c>
      <c r="T47">
        <v>5.5539999999999999E-2</v>
      </c>
      <c r="U47">
        <v>1.695E-2</v>
      </c>
      <c r="V47">
        <v>2.4279999999999999E-2</v>
      </c>
      <c r="W47">
        <v>3.5349999999999999E-3</v>
      </c>
      <c r="X47">
        <v>22.82</v>
      </c>
      <c r="Y47">
        <v>21.32</v>
      </c>
      <c r="Z47">
        <v>150.6</v>
      </c>
      <c r="AA47">
        <v>1567</v>
      </c>
      <c r="AB47">
        <v>0.16789999999999999</v>
      </c>
      <c r="AC47">
        <v>0.50900000000000001</v>
      </c>
      <c r="AD47">
        <v>0.73450000000000004</v>
      </c>
      <c r="AE47">
        <v>0.23780000000000001</v>
      </c>
      <c r="AF47">
        <v>0.37990000000000002</v>
      </c>
      <c r="AG47">
        <v>9.1850000000000001E-2</v>
      </c>
    </row>
    <row r="48" spans="1:33">
      <c r="A48">
        <v>47</v>
      </c>
      <c r="B48">
        <v>85713702</v>
      </c>
      <c r="C48" t="s">
        <v>1</v>
      </c>
      <c r="D48">
        <v>13.71</v>
      </c>
      <c r="E48">
        <v>16.84</v>
      </c>
      <c r="F48">
        <v>51.71</v>
      </c>
      <c r="G48">
        <v>201.9</v>
      </c>
      <c r="H48">
        <v>8.5999999999999993E-2</v>
      </c>
      <c r="I48">
        <v>5.9429999999999997E-2</v>
      </c>
      <c r="J48">
        <v>1.5879999999999998E-2</v>
      </c>
      <c r="K48">
        <v>5.9170000000000004E-3</v>
      </c>
      <c r="L48">
        <v>0.1769</v>
      </c>
      <c r="M48">
        <v>6.5030000000000004E-2</v>
      </c>
      <c r="N48">
        <v>0.15629999999999999</v>
      </c>
      <c r="O48">
        <v>0.95669999999999999</v>
      </c>
      <c r="P48">
        <v>1.0940000000000001</v>
      </c>
      <c r="Q48">
        <v>8.2050000000000001</v>
      </c>
      <c r="R48">
        <v>8.9680000000000003E-3</v>
      </c>
      <c r="S48">
        <v>1.6459999999999999E-2</v>
      </c>
      <c r="T48">
        <v>1.5879999999999998E-2</v>
      </c>
      <c r="U48">
        <v>5.9170000000000004E-3</v>
      </c>
      <c r="V48">
        <v>2.5739999999999999E-2</v>
      </c>
      <c r="W48">
        <v>2.5820000000000001E-3</v>
      </c>
      <c r="X48">
        <v>8.9640000000000004</v>
      </c>
      <c r="Y48">
        <v>21.96</v>
      </c>
      <c r="Z48">
        <v>57.26</v>
      </c>
      <c r="AA48">
        <v>242.2</v>
      </c>
      <c r="AB48">
        <v>0.12970000000000001</v>
      </c>
      <c r="AC48">
        <v>0.13569999999999999</v>
      </c>
      <c r="AD48">
        <v>6.88E-2</v>
      </c>
      <c r="AE48">
        <v>2.564E-2</v>
      </c>
      <c r="AF48">
        <v>0.3105</v>
      </c>
      <c r="AG48">
        <v>7.4090000000000003E-2</v>
      </c>
    </row>
    <row r="49" spans="1:33">
      <c r="A49">
        <v>48</v>
      </c>
      <c r="B49">
        <v>85715</v>
      </c>
      <c r="C49" t="s">
        <v>0</v>
      </c>
      <c r="D49">
        <v>13.71</v>
      </c>
      <c r="E49">
        <v>18.66</v>
      </c>
      <c r="F49">
        <v>85.98</v>
      </c>
      <c r="G49">
        <v>534.6</v>
      </c>
      <c r="H49">
        <v>0.1158</v>
      </c>
      <c r="I49">
        <v>0.1231</v>
      </c>
      <c r="J49">
        <v>0.1226</v>
      </c>
      <c r="K49">
        <v>7.3400000000000007E-2</v>
      </c>
      <c r="L49">
        <v>0.21279999999999999</v>
      </c>
      <c r="M49">
        <v>6.7769999999999997E-2</v>
      </c>
      <c r="N49">
        <v>0.28710000000000002</v>
      </c>
      <c r="O49">
        <v>0.89370000000000005</v>
      </c>
      <c r="P49">
        <v>1.897</v>
      </c>
      <c r="Q49">
        <v>24.25</v>
      </c>
      <c r="R49">
        <v>6.5319999999999996E-3</v>
      </c>
      <c r="S49">
        <v>2.3359999999999999E-2</v>
      </c>
      <c r="T49">
        <v>2.9049999999999999E-2</v>
      </c>
      <c r="U49">
        <v>1.2149999999999999E-2</v>
      </c>
      <c r="V49">
        <v>1.7430000000000001E-2</v>
      </c>
      <c r="W49">
        <v>3.643E-3</v>
      </c>
      <c r="X49">
        <v>15.67</v>
      </c>
      <c r="Y49">
        <v>27.95</v>
      </c>
      <c r="Z49">
        <v>102.8</v>
      </c>
      <c r="AA49">
        <v>759.4</v>
      </c>
      <c r="AB49">
        <v>0.17860000000000001</v>
      </c>
      <c r="AC49">
        <v>0.41660000000000003</v>
      </c>
      <c r="AD49">
        <v>0.50060000000000004</v>
      </c>
      <c r="AE49">
        <v>0.20880000000000001</v>
      </c>
      <c r="AF49">
        <v>0.39</v>
      </c>
      <c r="AG49">
        <v>0.1179</v>
      </c>
    </row>
    <row r="50" spans="1:33">
      <c r="A50">
        <v>49</v>
      </c>
      <c r="B50">
        <v>857155</v>
      </c>
      <c r="C50" t="s">
        <v>1</v>
      </c>
      <c r="D50">
        <v>13.71</v>
      </c>
      <c r="E50">
        <v>14.63</v>
      </c>
      <c r="F50">
        <v>78.040000000000006</v>
      </c>
      <c r="G50">
        <v>449.3</v>
      </c>
      <c r="H50">
        <v>0.1031</v>
      </c>
      <c r="I50">
        <v>9.0920000000000001E-2</v>
      </c>
      <c r="J50">
        <v>6.5920000000000006E-2</v>
      </c>
      <c r="K50">
        <v>2.7490000000000001E-2</v>
      </c>
      <c r="L50">
        <v>0.16750000000000001</v>
      </c>
      <c r="M50">
        <v>6.0429999999999998E-2</v>
      </c>
      <c r="N50">
        <v>0.2636</v>
      </c>
      <c r="O50">
        <v>0.72940000000000005</v>
      </c>
      <c r="P50">
        <v>1.8480000000000001</v>
      </c>
      <c r="Q50">
        <v>19.87</v>
      </c>
      <c r="R50">
        <v>5.4879999999999998E-3</v>
      </c>
      <c r="S50">
        <v>1.427E-2</v>
      </c>
      <c r="T50">
        <v>2.3220000000000001E-2</v>
      </c>
      <c r="U50">
        <v>5.6600000000000001E-3</v>
      </c>
      <c r="V50">
        <v>1.4279999999999999E-2</v>
      </c>
      <c r="W50">
        <v>2.4220000000000001E-3</v>
      </c>
      <c r="X50">
        <v>13.76</v>
      </c>
      <c r="Y50">
        <v>20.7</v>
      </c>
      <c r="Z50">
        <v>89.88</v>
      </c>
      <c r="AA50">
        <v>582.6</v>
      </c>
      <c r="AB50">
        <v>0.14940000000000001</v>
      </c>
      <c r="AC50">
        <v>0.21560000000000001</v>
      </c>
      <c r="AD50">
        <v>0.30499999999999999</v>
      </c>
      <c r="AE50">
        <v>6.5479999999999997E-2</v>
      </c>
      <c r="AF50">
        <v>0.2747</v>
      </c>
      <c r="AG50">
        <v>8.301E-2</v>
      </c>
    </row>
    <row r="51" spans="1:33">
      <c r="A51">
        <v>50</v>
      </c>
      <c r="B51">
        <v>857156</v>
      </c>
      <c r="C51" t="s">
        <v>1</v>
      </c>
      <c r="D51">
        <v>13.71</v>
      </c>
      <c r="E51">
        <v>22.3</v>
      </c>
      <c r="F51">
        <v>86.91</v>
      </c>
      <c r="G51">
        <v>561</v>
      </c>
      <c r="H51">
        <v>8.7520000000000001E-2</v>
      </c>
      <c r="I51">
        <v>7.6980000000000007E-2</v>
      </c>
      <c r="J51">
        <v>4.7509999999999997E-2</v>
      </c>
      <c r="K51">
        <v>3.3840000000000002E-2</v>
      </c>
      <c r="L51">
        <v>0.18090000000000001</v>
      </c>
      <c r="M51">
        <v>5.7180000000000002E-2</v>
      </c>
      <c r="N51">
        <v>0.23380000000000001</v>
      </c>
      <c r="O51">
        <v>1.353</v>
      </c>
      <c r="P51">
        <v>1.7350000000000001</v>
      </c>
      <c r="Q51">
        <v>20.2</v>
      </c>
      <c r="R51">
        <v>4.4549999999999998E-3</v>
      </c>
      <c r="S51">
        <v>1.3820000000000001E-2</v>
      </c>
      <c r="T51">
        <v>2.095E-2</v>
      </c>
      <c r="U51">
        <v>1.184E-2</v>
      </c>
      <c r="V51">
        <v>1.6410000000000001E-2</v>
      </c>
      <c r="W51">
        <v>1.9559999999999998E-3</v>
      </c>
      <c r="X51">
        <v>15.15</v>
      </c>
      <c r="Y51">
        <v>31.82</v>
      </c>
      <c r="Z51">
        <v>99</v>
      </c>
      <c r="AA51">
        <v>698.8</v>
      </c>
      <c r="AB51">
        <v>0.1162</v>
      </c>
      <c r="AC51">
        <v>0.1711</v>
      </c>
      <c r="AD51">
        <v>0.22819999999999999</v>
      </c>
      <c r="AE51">
        <v>0.12820000000000001</v>
      </c>
      <c r="AF51">
        <v>0.28710000000000002</v>
      </c>
      <c r="AG51">
        <v>6.9169999999999995E-2</v>
      </c>
    </row>
    <row r="52" spans="1:33">
      <c r="A52">
        <v>51</v>
      </c>
      <c r="B52">
        <v>857343</v>
      </c>
      <c r="C52" t="s">
        <v>1</v>
      </c>
      <c r="D52">
        <v>13.71</v>
      </c>
      <c r="E52">
        <v>21.6</v>
      </c>
      <c r="F52">
        <v>74.72</v>
      </c>
      <c r="G52">
        <v>427.9</v>
      </c>
      <c r="H52">
        <v>8.6370000000000002E-2</v>
      </c>
      <c r="I52">
        <v>4.9660000000000003E-2</v>
      </c>
      <c r="J52">
        <v>1.6570000000000001E-2</v>
      </c>
      <c r="K52">
        <v>1.115E-2</v>
      </c>
      <c r="L52">
        <v>0.14949999999999999</v>
      </c>
      <c r="M52">
        <v>5.8880000000000002E-2</v>
      </c>
      <c r="N52">
        <v>0.40620000000000001</v>
      </c>
      <c r="O52">
        <v>1.21</v>
      </c>
      <c r="P52">
        <v>2.6349999999999998</v>
      </c>
      <c r="Q52">
        <v>28.47</v>
      </c>
      <c r="R52">
        <v>5.8570000000000002E-3</v>
      </c>
      <c r="S52">
        <v>9.7579999999999993E-3</v>
      </c>
      <c r="T52">
        <v>1.1679999999999999E-2</v>
      </c>
      <c r="U52">
        <v>7.4450000000000002E-3</v>
      </c>
      <c r="V52">
        <v>2.4060000000000002E-2</v>
      </c>
      <c r="W52">
        <v>1.769E-3</v>
      </c>
      <c r="X52">
        <v>12.98</v>
      </c>
      <c r="Y52">
        <v>25.72</v>
      </c>
      <c r="Z52">
        <v>82.98</v>
      </c>
      <c r="AA52">
        <v>516.5</v>
      </c>
      <c r="AB52">
        <v>0.1085</v>
      </c>
      <c r="AC52">
        <v>8.6150000000000004E-2</v>
      </c>
      <c r="AD52">
        <v>5.5230000000000001E-2</v>
      </c>
      <c r="AE52">
        <v>3.7150000000000002E-2</v>
      </c>
      <c r="AF52">
        <v>0.24329999999999999</v>
      </c>
      <c r="AG52">
        <v>6.5629999999999994E-2</v>
      </c>
    </row>
    <row r="53" spans="1:33">
      <c r="A53">
        <v>52</v>
      </c>
      <c r="B53">
        <v>857373</v>
      </c>
      <c r="C53" t="s">
        <v>1</v>
      </c>
      <c r="D53">
        <v>13.71</v>
      </c>
      <c r="E53">
        <v>16.34</v>
      </c>
      <c r="F53">
        <v>87.21</v>
      </c>
      <c r="G53">
        <v>571.79999999999995</v>
      </c>
      <c r="H53">
        <v>7.6850000000000002E-2</v>
      </c>
      <c r="I53">
        <v>6.0589999999999998E-2</v>
      </c>
      <c r="J53">
        <v>1.857E-2</v>
      </c>
      <c r="K53">
        <v>1.7229999999999999E-2</v>
      </c>
      <c r="L53">
        <v>0.1353</v>
      </c>
      <c r="M53">
        <v>5.953E-2</v>
      </c>
      <c r="N53">
        <v>0.18720000000000001</v>
      </c>
      <c r="O53">
        <v>0.9234</v>
      </c>
      <c r="P53">
        <v>1.4490000000000001</v>
      </c>
      <c r="Q53">
        <v>14.55</v>
      </c>
      <c r="R53">
        <v>4.4770000000000001E-3</v>
      </c>
      <c r="S53">
        <v>1.1769999999999999E-2</v>
      </c>
      <c r="T53">
        <v>1.0789999999999999E-2</v>
      </c>
      <c r="U53">
        <v>7.9559999999999995E-3</v>
      </c>
      <c r="V53">
        <v>1.325E-2</v>
      </c>
      <c r="W53">
        <v>2.5509999999999999E-3</v>
      </c>
      <c r="X53">
        <v>14.67</v>
      </c>
      <c r="Y53">
        <v>23.19</v>
      </c>
      <c r="Z53">
        <v>96.08</v>
      </c>
      <c r="AA53">
        <v>656.7</v>
      </c>
      <c r="AB53">
        <v>0.1089</v>
      </c>
      <c r="AC53">
        <v>0.15820000000000001</v>
      </c>
      <c r="AD53">
        <v>0.105</v>
      </c>
      <c r="AE53">
        <v>8.5860000000000006E-2</v>
      </c>
      <c r="AF53">
        <v>0.2346</v>
      </c>
      <c r="AG53">
        <v>8.0250000000000002E-2</v>
      </c>
    </row>
    <row r="54" spans="1:33">
      <c r="A54">
        <v>53</v>
      </c>
      <c r="B54">
        <v>857374</v>
      </c>
      <c r="C54" t="s">
        <v>1</v>
      </c>
      <c r="D54">
        <v>13.71</v>
      </c>
      <c r="E54">
        <v>18.239999999999998</v>
      </c>
      <c r="F54">
        <v>75.709999999999994</v>
      </c>
      <c r="G54">
        <v>437.6</v>
      </c>
      <c r="H54">
        <v>8.2610000000000003E-2</v>
      </c>
      <c r="I54">
        <v>4.7509999999999997E-2</v>
      </c>
      <c r="J54">
        <v>1.9720000000000001E-2</v>
      </c>
      <c r="K54">
        <v>1.349E-2</v>
      </c>
      <c r="L54">
        <v>0.18679999999999999</v>
      </c>
      <c r="M54">
        <v>6.1100000000000002E-2</v>
      </c>
      <c r="N54">
        <v>0.2273</v>
      </c>
      <c r="O54">
        <v>0.63290000000000002</v>
      </c>
      <c r="P54">
        <v>1.52</v>
      </c>
      <c r="Q54">
        <v>17.47</v>
      </c>
      <c r="R54">
        <v>7.2100000000000003E-3</v>
      </c>
      <c r="S54">
        <v>8.3800000000000003E-3</v>
      </c>
      <c r="T54">
        <v>1.311E-2</v>
      </c>
      <c r="U54">
        <v>8.0000000000000002E-3</v>
      </c>
      <c r="V54">
        <v>1.9959999999999999E-2</v>
      </c>
      <c r="W54">
        <v>2.6350000000000002E-3</v>
      </c>
      <c r="X54">
        <v>13.1</v>
      </c>
      <c r="Y54">
        <v>21.33</v>
      </c>
      <c r="Z54">
        <v>83.67</v>
      </c>
      <c r="AA54">
        <v>527.20000000000005</v>
      </c>
      <c r="AB54">
        <v>0.1144</v>
      </c>
      <c r="AC54">
        <v>8.906E-2</v>
      </c>
      <c r="AD54">
        <v>9.2030000000000001E-2</v>
      </c>
      <c r="AE54">
        <v>6.2960000000000002E-2</v>
      </c>
      <c r="AF54">
        <v>0.27850000000000003</v>
      </c>
      <c r="AG54">
        <v>7.4079999999999993E-2</v>
      </c>
    </row>
    <row r="55" spans="1:33">
      <c r="A55">
        <v>54</v>
      </c>
      <c r="B55">
        <v>857392</v>
      </c>
      <c r="C55" t="s">
        <v>0</v>
      </c>
      <c r="D55">
        <v>13.71</v>
      </c>
      <c r="E55">
        <v>18.7</v>
      </c>
      <c r="F55">
        <v>120.3</v>
      </c>
      <c r="G55">
        <v>1033</v>
      </c>
      <c r="H55">
        <v>0.1148</v>
      </c>
      <c r="I55">
        <v>0.14849999999999999</v>
      </c>
      <c r="J55">
        <v>0.1772</v>
      </c>
      <c r="K55">
        <v>0.106</v>
      </c>
      <c r="L55">
        <v>0.2092</v>
      </c>
      <c r="M55">
        <v>6.3100000000000003E-2</v>
      </c>
      <c r="N55">
        <v>0.8337</v>
      </c>
      <c r="O55">
        <v>1.593</v>
      </c>
      <c r="P55">
        <v>4.8769999999999998</v>
      </c>
      <c r="Q55">
        <v>98.81</v>
      </c>
      <c r="R55">
        <v>3.8990000000000001E-3</v>
      </c>
      <c r="S55">
        <v>2.9610000000000001E-2</v>
      </c>
      <c r="T55">
        <v>2.8170000000000001E-2</v>
      </c>
      <c r="U55">
        <v>9.2219999999999993E-3</v>
      </c>
      <c r="V55">
        <v>2.674E-2</v>
      </c>
      <c r="W55">
        <v>5.1260000000000003E-3</v>
      </c>
      <c r="X55">
        <v>20.6</v>
      </c>
      <c r="Y55">
        <v>24.13</v>
      </c>
      <c r="Z55">
        <v>135.1</v>
      </c>
      <c r="AA55">
        <v>1321</v>
      </c>
      <c r="AB55">
        <v>0.128</v>
      </c>
      <c r="AC55">
        <v>0.22969999999999999</v>
      </c>
      <c r="AD55">
        <v>0.26229999999999998</v>
      </c>
      <c r="AE55">
        <v>0.13250000000000001</v>
      </c>
      <c r="AF55">
        <v>0.30209999999999998</v>
      </c>
      <c r="AG55">
        <v>7.9869999999999997E-2</v>
      </c>
    </row>
    <row r="56" spans="1:33">
      <c r="A56">
        <v>55</v>
      </c>
      <c r="B56">
        <v>857438</v>
      </c>
      <c r="C56" t="s">
        <v>0</v>
      </c>
      <c r="D56">
        <v>13.71</v>
      </c>
      <c r="E56">
        <v>22.02</v>
      </c>
      <c r="F56">
        <v>97.26</v>
      </c>
      <c r="G56">
        <v>712.8</v>
      </c>
      <c r="H56">
        <v>9.0560000000000002E-2</v>
      </c>
      <c r="I56">
        <v>7.0809999999999998E-2</v>
      </c>
      <c r="J56">
        <v>5.253E-2</v>
      </c>
      <c r="K56">
        <v>3.3340000000000002E-2</v>
      </c>
      <c r="L56">
        <v>0.16159999999999999</v>
      </c>
      <c r="M56">
        <v>5.6840000000000002E-2</v>
      </c>
      <c r="N56">
        <v>0.3105</v>
      </c>
      <c r="O56">
        <v>0.83389999999999997</v>
      </c>
      <c r="P56">
        <v>2.097</v>
      </c>
      <c r="Q56">
        <v>29.91</v>
      </c>
      <c r="R56">
        <v>4.6750000000000003E-3</v>
      </c>
      <c r="S56">
        <v>1.03E-2</v>
      </c>
      <c r="T56">
        <v>1.6029999999999999E-2</v>
      </c>
      <c r="U56">
        <v>9.2219999999999993E-3</v>
      </c>
      <c r="V56">
        <v>1.095E-2</v>
      </c>
      <c r="W56">
        <v>1.629E-3</v>
      </c>
      <c r="X56">
        <v>18.100000000000001</v>
      </c>
      <c r="Y56">
        <v>31.69</v>
      </c>
      <c r="Z56">
        <v>117.7</v>
      </c>
      <c r="AA56">
        <v>1030</v>
      </c>
      <c r="AB56">
        <v>0.1389</v>
      </c>
      <c r="AC56">
        <v>0.20569999999999999</v>
      </c>
      <c r="AD56">
        <v>0.2712</v>
      </c>
      <c r="AE56">
        <v>0.153</v>
      </c>
      <c r="AF56">
        <v>0.26750000000000002</v>
      </c>
      <c r="AG56">
        <v>7.8729999999999994E-2</v>
      </c>
    </row>
    <row r="57" spans="1:33">
      <c r="A57">
        <v>56</v>
      </c>
      <c r="B57">
        <v>85759902</v>
      </c>
      <c r="C57" t="s">
        <v>1</v>
      </c>
      <c r="D57">
        <v>13.71</v>
      </c>
      <c r="E57">
        <v>18.75</v>
      </c>
      <c r="F57">
        <v>73.34</v>
      </c>
      <c r="G57">
        <v>409</v>
      </c>
      <c r="H57">
        <v>9.5240000000000005E-2</v>
      </c>
      <c r="I57">
        <v>5.4730000000000001E-2</v>
      </c>
      <c r="J57">
        <v>3.0360000000000002E-2</v>
      </c>
      <c r="K57">
        <v>2.2780000000000002E-2</v>
      </c>
      <c r="L57">
        <v>0.192</v>
      </c>
      <c r="M57">
        <v>5.9069999999999998E-2</v>
      </c>
      <c r="N57">
        <v>0.32490000000000002</v>
      </c>
      <c r="O57">
        <v>0.95909999999999995</v>
      </c>
      <c r="P57">
        <v>2.1829999999999998</v>
      </c>
      <c r="Q57">
        <v>23.47</v>
      </c>
      <c r="R57">
        <v>8.3280000000000003E-3</v>
      </c>
      <c r="S57">
        <v>8.7220000000000006E-3</v>
      </c>
      <c r="T57">
        <v>1.349E-2</v>
      </c>
      <c r="U57">
        <v>8.6700000000000006E-3</v>
      </c>
      <c r="V57">
        <v>3.218E-2</v>
      </c>
      <c r="W57">
        <v>2.3860000000000001E-3</v>
      </c>
      <c r="X57">
        <v>12.84</v>
      </c>
      <c r="Y57">
        <v>22.47</v>
      </c>
      <c r="Z57">
        <v>81.81</v>
      </c>
      <c r="AA57">
        <v>506.2</v>
      </c>
      <c r="AB57">
        <v>0.1249</v>
      </c>
      <c r="AC57">
        <v>8.72E-2</v>
      </c>
      <c r="AD57">
        <v>9.0759999999999993E-2</v>
      </c>
      <c r="AE57">
        <v>6.3159999999999994E-2</v>
      </c>
      <c r="AF57">
        <v>0.3306</v>
      </c>
      <c r="AG57">
        <v>7.0360000000000006E-2</v>
      </c>
    </row>
    <row r="58" spans="1:33">
      <c r="A58">
        <v>57</v>
      </c>
      <c r="B58">
        <v>857637</v>
      </c>
      <c r="C58" t="s">
        <v>0</v>
      </c>
      <c r="D58">
        <v>13.71</v>
      </c>
      <c r="E58">
        <v>18.57</v>
      </c>
      <c r="F58">
        <v>125.5</v>
      </c>
      <c r="G58">
        <v>1152</v>
      </c>
      <c r="H58">
        <v>0.1053</v>
      </c>
      <c r="I58">
        <v>0.12670000000000001</v>
      </c>
      <c r="J58">
        <v>0.1323</v>
      </c>
      <c r="K58">
        <v>8.9940000000000006E-2</v>
      </c>
      <c r="L58">
        <v>0.19170000000000001</v>
      </c>
      <c r="M58">
        <v>5.9610000000000003E-2</v>
      </c>
      <c r="N58">
        <v>0.72750000000000004</v>
      </c>
      <c r="O58">
        <v>1.1930000000000001</v>
      </c>
      <c r="P58">
        <v>4.8369999999999997</v>
      </c>
      <c r="Q58">
        <v>102.5</v>
      </c>
      <c r="R58">
        <v>6.4580000000000002E-3</v>
      </c>
      <c r="S58">
        <v>2.3060000000000001E-2</v>
      </c>
      <c r="T58">
        <v>2.945E-2</v>
      </c>
      <c r="U58">
        <v>1.538E-2</v>
      </c>
      <c r="V58">
        <v>1.8519999999999998E-2</v>
      </c>
      <c r="W58">
        <v>2.6080000000000001E-3</v>
      </c>
      <c r="X58">
        <v>26.14</v>
      </c>
      <c r="Y58">
        <v>28.14</v>
      </c>
      <c r="Z58">
        <v>170.1</v>
      </c>
      <c r="AA58">
        <v>2145</v>
      </c>
      <c r="AB58">
        <v>0.16239999999999999</v>
      </c>
      <c r="AC58">
        <v>0.35110000000000002</v>
      </c>
      <c r="AD58">
        <v>0.38790000000000002</v>
      </c>
      <c r="AE58">
        <v>0.20910000000000001</v>
      </c>
      <c r="AF58">
        <v>0.35370000000000001</v>
      </c>
      <c r="AG58">
        <v>8.294E-2</v>
      </c>
    </row>
    <row r="59" spans="1:33">
      <c r="A59">
        <v>58</v>
      </c>
      <c r="B59">
        <v>857793</v>
      </c>
      <c r="C59" t="s">
        <v>0</v>
      </c>
      <c r="D59">
        <v>13.71</v>
      </c>
      <c r="E59">
        <v>21.59</v>
      </c>
      <c r="F59">
        <v>95.55</v>
      </c>
      <c r="G59">
        <v>656.9</v>
      </c>
      <c r="H59">
        <v>0.1137</v>
      </c>
      <c r="I59">
        <v>0.13650000000000001</v>
      </c>
      <c r="J59">
        <v>0.1293</v>
      </c>
      <c r="K59">
        <v>8.1229999999999997E-2</v>
      </c>
      <c r="L59">
        <v>0.20269999999999999</v>
      </c>
      <c r="M59">
        <v>6.7580000000000001E-2</v>
      </c>
      <c r="N59">
        <v>0.42259999999999998</v>
      </c>
      <c r="O59">
        <v>1.1499999999999999</v>
      </c>
      <c r="P59">
        <v>2.7349999999999999</v>
      </c>
      <c r="Q59">
        <v>40.090000000000003</v>
      </c>
      <c r="R59">
        <v>3.6589999999999999E-3</v>
      </c>
      <c r="S59">
        <v>2.8549999999999999E-2</v>
      </c>
      <c r="T59">
        <v>2.572E-2</v>
      </c>
      <c r="U59">
        <v>1.272E-2</v>
      </c>
      <c r="V59">
        <v>1.8169999999999999E-2</v>
      </c>
      <c r="W59">
        <v>4.1079999999999997E-3</v>
      </c>
      <c r="X59">
        <v>17.87</v>
      </c>
      <c r="Y59">
        <v>30.7</v>
      </c>
      <c r="Z59">
        <v>115.7</v>
      </c>
      <c r="AA59">
        <v>985.5</v>
      </c>
      <c r="AB59">
        <v>0.1368</v>
      </c>
      <c r="AC59">
        <v>0.42899999999999999</v>
      </c>
      <c r="AD59">
        <v>0.35870000000000002</v>
      </c>
      <c r="AE59">
        <v>0.18340000000000001</v>
      </c>
      <c r="AF59">
        <v>0.36980000000000002</v>
      </c>
      <c r="AG59">
        <v>0.1094</v>
      </c>
    </row>
    <row r="60" spans="1:33">
      <c r="A60">
        <v>59</v>
      </c>
      <c r="B60">
        <v>857810</v>
      </c>
      <c r="C60" t="s">
        <v>1</v>
      </c>
      <c r="D60">
        <v>13.71</v>
      </c>
      <c r="E60">
        <v>19.309999999999999</v>
      </c>
      <c r="F60">
        <v>82.61</v>
      </c>
      <c r="G60">
        <v>527.20000000000005</v>
      </c>
      <c r="H60">
        <v>8.0600000000000005E-2</v>
      </c>
      <c r="I60">
        <v>3.789E-2</v>
      </c>
      <c r="J60">
        <v>6.9200000000000002E-4</v>
      </c>
      <c r="K60">
        <v>4.1669999999999997E-3</v>
      </c>
      <c r="L60">
        <v>0.18190000000000001</v>
      </c>
      <c r="M60">
        <v>5.5010000000000003E-2</v>
      </c>
      <c r="N60">
        <v>0.40400000000000003</v>
      </c>
      <c r="O60">
        <v>1.214</v>
      </c>
      <c r="P60">
        <v>2.5950000000000002</v>
      </c>
      <c r="Q60">
        <v>32.96</v>
      </c>
      <c r="R60">
        <v>7.4910000000000003E-3</v>
      </c>
      <c r="S60">
        <v>8.5929999999999999E-3</v>
      </c>
      <c r="T60">
        <v>6.9200000000000002E-4</v>
      </c>
      <c r="U60">
        <v>4.1669999999999997E-3</v>
      </c>
      <c r="V60">
        <v>2.1899999999999999E-2</v>
      </c>
      <c r="W60">
        <v>2.99E-3</v>
      </c>
      <c r="X60">
        <v>14.23</v>
      </c>
      <c r="Y60">
        <v>22.25</v>
      </c>
      <c r="Z60">
        <v>90.24</v>
      </c>
      <c r="AA60">
        <v>624.1</v>
      </c>
      <c r="AB60">
        <v>0.1021</v>
      </c>
      <c r="AC60">
        <v>6.191E-2</v>
      </c>
      <c r="AD60">
        <v>1.8450000000000001E-3</v>
      </c>
      <c r="AE60">
        <v>1.111E-2</v>
      </c>
      <c r="AF60">
        <v>0.24390000000000001</v>
      </c>
      <c r="AG60">
        <v>6.2890000000000001E-2</v>
      </c>
    </row>
    <row r="61" spans="1:33">
      <c r="A61">
        <v>60</v>
      </c>
      <c r="B61">
        <v>858477</v>
      </c>
      <c r="C61" t="s">
        <v>1</v>
      </c>
      <c r="D61">
        <v>13.71</v>
      </c>
      <c r="E61">
        <v>11.79</v>
      </c>
      <c r="F61">
        <v>54.34</v>
      </c>
      <c r="G61">
        <v>224.5</v>
      </c>
      <c r="H61">
        <v>9.7519999999999996E-2</v>
      </c>
      <c r="I61">
        <v>5.2720000000000003E-2</v>
      </c>
      <c r="J61">
        <v>2.061E-2</v>
      </c>
      <c r="K61">
        <v>7.7990000000000004E-3</v>
      </c>
      <c r="L61">
        <v>0.16830000000000001</v>
      </c>
      <c r="M61">
        <v>7.1870000000000003E-2</v>
      </c>
      <c r="N61">
        <v>0.15590000000000001</v>
      </c>
      <c r="O61">
        <v>0.5796</v>
      </c>
      <c r="P61">
        <v>1.046</v>
      </c>
      <c r="Q61">
        <v>8.3219999999999992</v>
      </c>
      <c r="R61">
        <v>1.0109999999999999E-2</v>
      </c>
      <c r="S61">
        <v>1.055E-2</v>
      </c>
      <c r="T61">
        <v>1.9810000000000001E-2</v>
      </c>
      <c r="U61">
        <v>5.7419999999999997E-3</v>
      </c>
      <c r="V61">
        <v>2.0899999999999998E-2</v>
      </c>
      <c r="W61">
        <v>2.7880000000000001E-3</v>
      </c>
      <c r="X61">
        <v>9.5069999999999997</v>
      </c>
      <c r="Y61">
        <v>15.4</v>
      </c>
      <c r="Z61">
        <v>59.9</v>
      </c>
      <c r="AA61">
        <v>274.89999999999998</v>
      </c>
      <c r="AB61">
        <v>0.17330000000000001</v>
      </c>
      <c r="AC61">
        <v>0.1239</v>
      </c>
      <c r="AD61">
        <v>0.1168</v>
      </c>
      <c r="AE61">
        <v>4.419E-2</v>
      </c>
      <c r="AF61">
        <v>0.32200000000000001</v>
      </c>
      <c r="AG61">
        <v>9.0260000000000007E-2</v>
      </c>
    </row>
    <row r="62" spans="1:33">
      <c r="A62">
        <v>61</v>
      </c>
      <c r="B62">
        <v>858970</v>
      </c>
      <c r="C62" t="s">
        <v>1</v>
      </c>
      <c r="D62">
        <v>13.71</v>
      </c>
      <c r="E62">
        <v>14.88</v>
      </c>
      <c r="F62">
        <v>64.55</v>
      </c>
      <c r="G62">
        <v>311.89999999999998</v>
      </c>
      <c r="H62">
        <v>0.1134</v>
      </c>
      <c r="I62">
        <v>8.0610000000000001E-2</v>
      </c>
      <c r="J62">
        <v>1.0840000000000001E-2</v>
      </c>
      <c r="K62">
        <v>1.29E-2</v>
      </c>
      <c r="L62">
        <v>0.27429999999999999</v>
      </c>
      <c r="M62">
        <v>6.9599999999999995E-2</v>
      </c>
      <c r="N62">
        <v>0.51580000000000004</v>
      </c>
      <c r="O62">
        <v>1.4410000000000001</v>
      </c>
      <c r="P62">
        <v>3.3119999999999998</v>
      </c>
      <c r="Q62">
        <v>34.619999999999997</v>
      </c>
      <c r="R62">
        <v>7.5139999999999998E-3</v>
      </c>
      <c r="S62">
        <v>1.099E-2</v>
      </c>
      <c r="T62">
        <v>7.6649999999999999E-3</v>
      </c>
      <c r="U62">
        <v>8.1930000000000006E-3</v>
      </c>
      <c r="V62">
        <v>4.1829999999999999E-2</v>
      </c>
      <c r="W62">
        <v>5.953E-3</v>
      </c>
      <c r="X62">
        <v>11.02</v>
      </c>
      <c r="Y62">
        <v>17.45</v>
      </c>
      <c r="Z62">
        <v>69.86</v>
      </c>
      <c r="AA62">
        <v>368.6</v>
      </c>
      <c r="AB62">
        <v>0.1275</v>
      </c>
      <c r="AC62">
        <v>9.8659999999999998E-2</v>
      </c>
      <c r="AD62">
        <v>2.1680000000000001E-2</v>
      </c>
      <c r="AE62">
        <v>2.579E-2</v>
      </c>
      <c r="AF62">
        <v>0.35570000000000002</v>
      </c>
      <c r="AG62">
        <v>8.0199999999999994E-2</v>
      </c>
    </row>
    <row r="63" spans="1:33">
      <c r="A63">
        <v>62</v>
      </c>
      <c r="B63">
        <v>858981</v>
      </c>
      <c r="C63" t="s">
        <v>1</v>
      </c>
      <c r="D63">
        <v>13.71</v>
      </c>
      <c r="E63">
        <v>20.98</v>
      </c>
      <c r="F63">
        <v>54.66</v>
      </c>
      <c r="G63">
        <v>221.8</v>
      </c>
      <c r="H63">
        <v>0.12429999999999999</v>
      </c>
      <c r="I63">
        <v>8.9630000000000001E-2</v>
      </c>
      <c r="J63">
        <v>0.03</v>
      </c>
      <c r="K63">
        <v>9.2589999999999999E-3</v>
      </c>
      <c r="L63">
        <v>0.18279999999999999</v>
      </c>
      <c r="M63">
        <v>6.7570000000000005E-2</v>
      </c>
      <c r="N63">
        <v>0.35820000000000002</v>
      </c>
      <c r="O63">
        <v>2.0670000000000002</v>
      </c>
      <c r="P63">
        <v>2.4929999999999999</v>
      </c>
      <c r="Q63">
        <v>18.39</v>
      </c>
      <c r="R63">
        <v>1.193E-2</v>
      </c>
      <c r="S63">
        <v>3.1620000000000002E-2</v>
      </c>
      <c r="T63">
        <v>0.03</v>
      </c>
      <c r="U63">
        <v>9.2589999999999999E-3</v>
      </c>
      <c r="V63">
        <v>3.3570000000000003E-2</v>
      </c>
      <c r="W63">
        <v>3.0479999999999999E-3</v>
      </c>
      <c r="X63">
        <v>9.5649999999999995</v>
      </c>
      <c r="Y63">
        <v>27.04</v>
      </c>
      <c r="Z63">
        <v>62.06</v>
      </c>
      <c r="AA63">
        <v>273.89999999999998</v>
      </c>
      <c r="AB63">
        <v>0.16389999999999999</v>
      </c>
      <c r="AC63">
        <v>0.16980000000000001</v>
      </c>
      <c r="AD63">
        <v>9.0010000000000007E-2</v>
      </c>
      <c r="AE63">
        <v>2.7779999999999999E-2</v>
      </c>
      <c r="AF63">
        <v>0.29720000000000002</v>
      </c>
      <c r="AG63">
        <v>7.7119999999999994E-2</v>
      </c>
    </row>
    <row r="64" spans="1:33">
      <c r="A64">
        <v>63</v>
      </c>
      <c r="B64">
        <v>858986</v>
      </c>
      <c r="C64" t="s">
        <v>0</v>
      </c>
      <c r="D64">
        <v>13.71</v>
      </c>
      <c r="E64">
        <v>22.15</v>
      </c>
      <c r="F64">
        <v>96.42</v>
      </c>
      <c r="G64">
        <v>645.70000000000005</v>
      </c>
      <c r="H64">
        <v>0.10489999999999999</v>
      </c>
      <c r="I64">
        <v>0.20080000000000001</v>
      </c>
      <c r="J64">
        <v>0.2135</v>
      </c>
      <c r="K64">
        <v>8.6529999999999996E-2</v>
      </c>
      <c r="L64">
        <v>0.19489999999999999</v>
      </c>
      <c r="M64">
        <v>7.2919999999999999E-2</v>
      </c>
      <c r="N64">
        <v>0.7036</v>
      </c>
      <c r="O64">
        <v>1.268</v>
      </c>
      <c r="P64">
        <v>5.3730000000000002</v>
      </c>
      <c r="Q64">
        <v>60.78</v>
      </c>
      <c r="R64">
        <v>9.4070000000000004E-3</v>
      </c>
      <c r="S64">
        <v>7.0559999999999998E-2</v>
      </c>
      <c r="T64">
        <v>6.8989999999999996E-2</v>
      </c>
      <c r="U64">
        <v>1.848E-2</v>
      </c>
      <c r="V64">
        <v>1.7000000000000001E-2</v>
      </c>
      <c r="W64">
        <v>6.1130000000000004E-3</v>
      </c>
      <c r="X64">
        <v>17.670000000000002</v>
      </c>
      <c r="Y64">
        <v>29.51</v>
      </c>
      <c r="Z64">
        <v>119.1</v>
      </c>
      <c r="AA64">
        <v>959.5</v>
      </c>
      <c r="AB64">
        <v>0.16400000000000001</v>
      </c>
      <c r="AC64">
        <v>0.62470000000000003</v>
      </c>
      <c r="AD64">
        <v>0.69220000000000004</v>
      </c>
      <c r="AE64">
        <v>0.17849999999999999</v>
      </c>
      <c r="AF64">
        <v>0.28439999999999999</v>
      </c>
      <c r="AG64">
        <v>0.1132</v>
      </c>
    </row>
    <row r="65" spans="1:33">
      <c r="A65">
        <v>64</v>
      </c>
      <c r="B65">
        <v>859196</v>
      </c>
      <c r="C65" t="s">
        <v>1</v>
      </c>
      <c r="D65">
        <v>13.71</v>
      </c>
      <c r="E65">
        <v>13.86</v>
      </c>
      <c r="F65">
        <v>59.2</v>
      </c>
      <c r="G65">
        <v>260.89999999999998</v>
      </c>
      <c r="H65">
        <v>7.7210000000000001E-2</v>
      </c>
      <c r="I65">
        <v>8.7510000000000004E-2</v>
      </c>
      <c r="J65">
        <v>5.9880000000000003E-2</v>
      </c>
      <c r="K65">
        <v>2.18E-2</v>
      </c>
      <c r="L65">
        <v>0.2341</v>
      </c>
      <c r="M65">
        <v>6.9629999999999997E-2</v>
      </c>
      <c r="N65">
        <v>0.4098</v>
      </c>
      <c r="O65">
        <v>2.2650000000000001</v>
      </c>
      <c r="P65">
        <v>2.6080000000000001</v>
      </c>
      <c r="Q65">
        <v>23.52</v>
      </c>
      <c r="R65">
        <v>8.7379999999999992E-3</v>
      </c>
      <c r="S65">
        <v>3.9379999999999998E-2</v>
      </c>
      <c r="T65">
        <v>4.3119999999999999E-2</v>
      </c>
      <c r="U65">
        <v>1.5599999999999999E-2</v>
      </c>
      <c r="V65">
        <v>4.1919999999999999E-2</v>
      </c>
      <c r="W65">
        <v>5.8219999999999999E-3</v>
      </c>
      <c r="X65">
        <v>10.01</v>
      </c>
      <c r="Y65">
        <v>19.23</v>
      </c>
      <c r="Z65">
        <v>65.59</v>
      </c>
      <c r="AA65">
        <v>310.10000000000002</v>
      </c>
      <c r="AB65">
        <v>9.8360000000000003E-2</v>
      </c>
      <c r="AC65">
        <v>0.1678</v>
      </c>
      <c r="AD65">
        <v>0.13969999999999999</v>
      </c>
      <c r="AE65">
        <v>5.0869999999999999E-2</v>
      </c>
      <c r="AF65">
        <v>0.32819999999999999</v>
      </c>
      <c r="AG65">
        <v>8.4900000000000003E-2</v>
      </c>
    </row>
    <row r="66" spans="1:33">
      <c r="A66">
        <v>65</v>
      </c>
      <c r="B66">
        <v>85922302</v>
      </c>
      <c r="C66" t="s">
        <v>0</v>
      </c>
      <c r="D66">
        <v>13.71</v>
      </c>
      <c r="E66">
        <v>23.84</v>
      </c>
      <c r="F66">
        <v>82.69</v>
      </c>
      <c r="G66">
        <v>499</v>
      </c>
      <c r="H66">
        <v>0.11219999999999999</v>
      </c>
      <c r="I66">
        <v>0.12620000000000001</v>
      </c>
      <c r="J66">
        <v>0.1128</v>
      </c>
      <c r="K66">
        <v>6.8729999999999999E-2</v>
      </c>
      <c r="L66">
        <v>0.1905</v>
      </c>
      <c r="M66">
        <v>6.59E-2</v>
      </c>
      <c r="N66">
        <v>0.42549999999999999</v>
      </c>
      <c r="O66">
        <v>1.1779999999999999</v>
      </c>
      <c r="P66">
        <v>2.927</v>
      </c>
      <c r="Q66">
        <v>36.46</v>
      </c>
      <c r="R66">
        <v>7.7809999999999997E-3</v>
      </c>
      <c r="S66">
        <v>2.648E-2</v>
      </c>
      <c r="T66">
        <v>2.9729999999999999E-2</v>
      </c>
      <c r="U66">
        <v>1.29E-2</v>
      </c>
      <c r="V66">
        <v>1.635E-2</v>
      </c>
      <c r="W66">
        <v>3.601E-3</v>
      </c>
      <c r="X66">
        <v>17.09</v>
      </c>
      <c r="Y66">
        <v>33.47</v>
      </c>
      <c r="Z66">
        <v>111.8</v>
      </c>
      <c r="AA66">
        <v>888.3</v>
      </c>
      <c r="AB66">
        <v>0.18509999999999999</v>
      </c>
      <c r="AC66">
        <v>0.40610000000000002</v>
      </c>
      <c r="AD66">
        <v>0.40239999999999998</v>
      </c>
      <c r="AE66">
        <v>0.1716</v>
      </c>
      <c r="AF66">
        <v>0.33829999999999999</v>
      </c>
      <c r="AG66">
        <v>0.1031</v>
      </c>
    </row>
    <row r="67" spans="1:33">
      <c r="A67">
        <v>66</v>
      </c>
      <c r="B67">
        <v>859283</v>
      </c>
      <c r="C67" t="s">
        <v>0</v>
      </c>
      <c r="D67">
        <v>13.71</v>
      </c>
      <c r="E67">
        <v>23.94</v>
      </c>
      <c r="F67">
        <v>97.4</v>
      </c>
      <c r="G67">
        <v>668.3</v>
      </c>
      <c r="H67">
        <v>0.1172</v>
      </c>
      <c r="I67">
        <v>0.1479</v>
      </c>
      <c r="J67">
        <v>0.12670000000000001</v>
      </c>
      <c r="K67">
        <v>9.0289999999999995E-2</v>
      </c>
      <c r="L67">
        <v>0.1953</v>
      </c>
      <c r="M67">
        <v>6.6540000000000002E-2</v>
      </c>
      <c r="N67">
        <v>0.35770000000000002</v>
      </c>
      <c r="O67">
        <v>1.2809999999999999</v>
      </c>
      <c r="P67">
        <v>2.4500000000000002</v>
      </c>
      <c r="Q67">
        <v>35.24</v>
      </c>
      <c r="R67">
        <v>6.7029999999999998E-3</v>
      </c>
      <c r="S67">
        <v>2.3099999999999999E-2</v>
      </c>
      <c r="T67">
        <v>2.315E-2</v>
      </c>
      <c r="U67">
        <v>1.184E-2</v>
      </c>
      <c r="V67">
        <v>1.9E-2</v>
      </c>
      <c r="W67">
        <v>3.2239999999999999E-3</v>
      </c>
      <c r="X67">
        <v>17.309999999999999</v>
      </c>
      <c r="Y67">
        <v>33.39</v>
      </c>
      <c r="Z67">
        <v>114.6</v>
      </c>
      <c r="AA67">
        <v>925.1</v>
      </c>
      <c r="AB67">
        <v>0.1648</v>
      </c>
      <c r="AC67">
        <v>0.34160000000000001</v>
      </c>
      <c r="AD67">
        <v>0.3024</v>
      </c>
      <c r="AE67">
        <v>0.16139999999999999</v>
      </c>
      <c r="AF67">
        <v>0.33210000000000001</v>
      </c>
      <c r="AG67">
        <v>8.9109999999999995E-2</v>
      </c>
    </row>
    <row r="68" spans="1:33">
      <c r="A68">
        <v>67</v>
      </c>
      <c r="B68">
        <v>859464</v>
      </c>
      <c r="C68" t="s">
        <v>1</v>
      </c>
      <c r="D68">
        <v>13.71</v>
      </c>
      <c r="E68">
        <v>21.01</v>
      </c>
      <c r="F68">
        <v>60.11</v>
      </c>
      <c r="G68">
        <v>269.39999999999998</v>
      </c>
      <c r="H68">
        <v>0.10440000000000001</v>
      </c>
      <c r="I68">
        <v>7.7729999999999994E-2</v>
      </c>
      <c r="J68">
        <v>2.172E-2</v>
      </c>
      <c r="K68">
        <v>1.504E-2</v>
      </c>
      <c r="L68">
        <v>0.17169999999999999</v>
      </c>
      <c r="M68">
        <v>6.8989999999999996E-2</v>
      </c>
      <c r="N68">
        <v>0.2351</v>
      </c>
      <c r="O68">
        <v>2.0110000000000001</v>
      </c>
      <c r="P68">
        <v>1.66</v>
      </c>
      <c r="Q68">
        <v>14.2</v>
      </c>
      <c r="R68">
        <v>1.052E-2</v>
      </c>
      <c r="S68">
        <v>1.755E-2</v>
      </c>
      <c r="T68">
        <v>1.7139999999999999E-2</v>
      </c>
      <c r="U68">
        <v>9.3329999999999993E-3</v>
      </c>
      <c r="V68">
        <v>2.2790000000000001E-2</v>
      </c>
      <c r="W68">
        <v>4.2370000000000003E-3</v>
      </c>
      <c r="X68">
        <v>10.41</v>
      </c>
      <c r="Y68">
        <v>31.56</v>
      </c>
      <c r="Z68">
        <v>67.03</v>
      </c>
      <c r="AA68">
        <v>330.7</v>
      </c>
      <c r="AB68">
        <v>0.15479999999999999</v>
      </c>
      <c r="AC68">
        <v>0.16639999999999999</v>
      </c>
      <c r="AD68">
        <v>9.4119999999999995E-2</v>
      </c>
      <c r="AE68">
        <v>6.5170000000000006E-2</v>
      </c>
      <c r="AF68">
        <v>0.2878</v>
      </c>
      <c r="AG68">
        <v>9.2109999999999997E-2</v>
      </c>
    </row>
    <row r="69" spans="1:33">
      <c r="A69">
        <v>68</v>
      </c>
      <c r="B69">
        <v>859465</v>
      </c>
      <c r="C69" t="s">
        <v>1</v>
      </c>
      <c r="D69">
        <v>13.71</v>
      </c>
      <c r="E69">
        <v>19.04</v>
      </c>
      <c r="F69">
        <v>71.8</v>
      </c>
      <c r="G69">
        <v>394.1</v>
      </c>
      <c r="H69">
        <v>8.1390000000000004E-2</v>
      </c>
      <c r="I69">
        <v>4.7010000000000003E-2</v>
      </c>
      <c r="J69">
        <v>3.7089999999999998E-2</v>
      </c>
      <c r="K69">
        <v>2.23E-2</v>
      </c>
      <c r="L69">
        <v>0.15160000000000001</v>
      </c>
      <c r="M69">
        <v>5.6669999999999998E-2</v>
      </c>
      <c r="N69">
        <v>0.2727</v>
      </c>
      <c r="O69">
        <v>0.94289999999999996</v>
      </c>
      <c r="P69">
        <v>1.831</v>
      </c>
      <c r="Q69">
        <v>18.149999999999999</v>
      </c>
      <c r="R69">
        <v>9.2820000000000003E-3</v>
      </c>
      <c r="S69">
        <v>9.2160000000000002E-3</v>
      </c>
      <c r="T69">
        <v>2.0629999999999999E-2</v>
      </c>
      <c r="U69">
        <v>8.9650000000000007E-3</v>
      </c>
      <c r="V69">
        <v>2.1829999999999999E-2</v>
      </c>
      <c r="W69">
        <v>2.1459999999999999E-3</v>
      </c>
      <c r="X69">
        <v>12.33</v>
      </c>
      <c r="Y69">
        <v>23.84</v>
      </c>
      <c r="Z69">
        <v>78</v>
      </c>
      <c r="AA69">
        <v>466.7</v>
      </c>
      <c r="AB69">
        <v>0.129</v>
      </c>
      <c r="AC69">
        <v>9.1480000000000006E-2</v>
      </c>
      <c r="AD69">
        <v>0.1444</v>
      </c>
      <c r="AE69">
        <v>6.9610000000000005E-2</v>
      </c>
      <c r="AF69">
        <v>0.24</v>
      </c>
      <c r="AG69">
        <v>6.6409999999999997E-2</v>
      </c>
    </row>
    <row r="70" spans="1:33">
      <c r="A70">
        <v>69</v>
      </c>
      <c r="B70">
        <v>859471</v>
      </c>
      <c r="C70" t="s">
        <v>1</v>
      </c>
      <c r="D70">
        <v>13.71</v>
      </c>
      <c r="E70">
        <v>17.329999999999998</v>
      </c>
      <c r="F70">
        <v>58.79</v>
      </c>
      <c r="G70">
        <v>250.5</v>
      </c>
      <c r="H70">
        <v>0.1066</v>
      </c>
      <c r="I70">
        <v>0.14130000000000001</v>
      </c>
      <c r="J70">
        <v>0.313</v>
      </c>
      <c r="K70">
        <v>4.3749999999999997E-2</v>
      </c>
      <c r="L70">
        <v>0.21110000000000001</v>
      </c>
      <c r="M70">
        <v>8.0460000000000004E-2</v>
      </c>
      <c r="N70">
        <v>0.32740000000000002</v>
      </c>
      <c r="O70">
        <v>1.194</v>
      </c>
      <c r="P70">
        <v>1.885</v>
      </c>
      <c r="Q70">
        <v>17.670000000000002</v>
      </c>
      <c r="R70">
        <v>9.5490000000000002E-3</v>
      </c>
      <c r="S70">
        <v>8.6059999999999998E-2</v>
      </c>
      <c r="T70">
        <v>0.30380000000000001</v>
      </c>
      <c r="U70">
        <v>3.322E-2</v>
      </c>
      <c r="V70">
        <v>4.197E-2</v>
      </c>
      <c r="W70">
        <v>9.5589999999999998E-3</v>
      </c>
      <c r="X70">
        <v>10.31</v>
      </c>
      <c r="Y70">
        <v>22.65</v>
      </c>
      <c r="Z70">
        <v>65.5</v>
      </c>
      <c r="AA70">
        <v>324.7</v>
      </c>
      <c r="AB70">
        <v>0.1482</v>
      </c>
      <c r="AC70">
        <v>0.4365</v>
      </c>
      <c r="AD70">
        <v>1.252</v>
      </c>
      <c r="AE70">
        <v>0.17499999999999999</v>
      </c>
      <c r="AF70">
        <v>0.42280000000000001</v>
      </c>
      <c r="AG70">
        <v>0.11749999999999999</v>
      </c>
    </row>
    <row r="71" spans="1:33">
      <c r="A71">
        <v>70</v>
      </c>
      <c r="B71">
        <v>859487</v>
      </c>
      <c r="C71" t="s">
        <v>1</v>
      </c>
      <c r="D71">
        <v>13.71</v>
      </c>
      <c r="E71">
        <v>16.489999999999998</v>
      </c>
      <c r="F71">
        <v>81.37</v>
      </c>
      <c r="G71">
        <v>502.5</v>
      </c>
      <c r="H71">
        <v>9.8309999999999995E-2</v>
      </c>
      <c r="I71">
        <v>5.2339999999999998E-2</v>
      </c>
      <c r="J71">
        <v>3.653E-2</v>
      </c>
      <c r="K71">
        <v>2.8639999999999999E-2</v>
      </c>
      <c r="L71">
        <v>0.159</v>
      </c>
      <c r="M71">
        <v>5.6529999999999997E-2</v>
      </c>
      <c r="N71">
        <v>0.23680000000000001</v>
      </c>
      <c r="O71">
        <v>0.87319999999999998</v>
      </c>
      <c r="P71">
        <v>1.4710000000000001</v>
      </c>
      <c r="Q71">
        <v>18.329999999999998</v>
      </c>
      <c r="R71">
        <v>7.9620000000000003E-3</v>
      </c>
      <c r="S71">
        <v>5.6119999999999998E-3</v>
      </c>
      <c r="T71">
        <v>1.585E-2</v>
      </c>
      <c r="U71">
        <v>8.6619999999999996E-3</v>
      </c>
      <c r="V71">
        <v>2.2540000000000001E-2</v>
      </c>
      <c r="W71">
        <v>1.9059999999999999E-3</v>
      </c>
      <c r="X71">
        <v>13.46</v>
      </c>
      <c r="Y71">
        <v>19.760000000000002</v>
      </c>
      <c r="Z71">
        <v>85.67</v>
      </c>
      <c r="AA71">
        <v>554.9</v>
      </c>
      <c r="AB71">
        <v>0.12959999999999999</v>
      </c>
      <c r="AC71">
        <v>7.0610000000000006E-2</v>
      </c>
      <c r="AD71">
        <v>0.10390000000000001</v>
      </c>
      <c r="AE71">
        <v>5.8819999999999997E-2</v>
      </c>
      <c r="AF71">
        <v>0.23830000000000001</v>
      </c>
      <c r="AG71">
        <v>6.4100000000000004E-2</v>
      </c>
    </row>
    <row r="72" spans="1:33">
      <c r="A72">
        <v>71</v>
      </c>
      <c r="B72">
        <v>859575</v>
      </c>
      <c r="C72" t="s">
        <v>0</v>
      </c>
      <c r="D72">
        <v>13.71</v>
      </c>
      <c r="E72">
        <v>21.31</v>
      </c>
      <c r="F72">
        <v>123.6</v>
      </c>
      <c r="G72">
        <v>1130</v>
      </c>
      <c r="H72">
        <v>9.0090000000000003E-2</v>
      </c>
      <c r="I72">
        <v>0.10290000000000001</v>
      </c>
      <c r="J72">
        <v>0.108</v>
      </c>
      <c r="K72">
        <v>7.9509999999999997E-2</v>
      </c>
      <c r="L72">
        <v>0.15820000000000001</v>
      </c>
      <c r="M72">
        <v>5.4609999999999999E-2</v>
      </c>
      <c r="N72">
        <v>0.78879999999999995</v>
      </c>
      <c r="O72">
        <v>0.79749999999999999</v>
      </c>
      <c r="P72">
        <v>5.4859999999999998</v>
      </c>
      <c r="Q72">
        <v>96.05</v>
      </c>
      <c r="R72">
        <v>4.444E-3</v>
      </c>
      <c r="S72">
        <v>1.652E-2</v>
      </c>
      <c r="T72">
        <v>2.2689999999999998E-2</v>
      </c>
      <c r="U72">
        <v>1.37E-2</v>
      </c>
      <c r="V72">
        <v>1.3860000000000001E-2</v>
      </c>
      <c r="W72">
        <v>1.6980000000000001E-3</v>
      </c>
      <c r="X72">
        <v>24.86</v>
      </c>
      <c r="Y72">
        <v>26.58</v>
      </c>
      <c r="Z72">
        <v>165.9</v>
      </c>
      <c r="AA72">
        <v>1866</v>
      </c>
      <c r="AB72">
        <v>0.1193</v>
      </c>
      <c r="AC72">
        <v>0.2336</v>
      </c>
      <c r="AD72">
        <v>0.26869999999999999</v>
      </c>
      <c r="AE72">
        <v>0.1789</v>
      </c>
      <c r="AF72">
        <v>0.25509999999999999</v>
      </c>
      <c r="AG72">
        <v>6.5890000000000004E-2</v>
      </c>
    </row>
    <row r="73" spans="1:33">
      <c r="A73">
        <v>72</v>
      </c>
      <c r="B73">
        <v>859711</v>
      </c>
      <c r="C73" t="s">
        <v>1</v>
      </c>
      <c r="D73">
        <v>13.71</v>
      </c>
      <c r="E73">
        <v>14.64</v>
      </c>
      <c r="F73">
        <v>58.79</v>
      </c>
      <c r="G73">
        <v>244</v>
      </c>
      <c r="H73">
        <v>9.783E-2</v>
      </c>
      <c r="I73">
        <v>0.15310000000000001</v>
      </c>
      <c r="J73">
        <v>8.6059999999999998E-2</v>
      </c>
      <c r="K73">
        <v>2.8719999999999999E-2</v>
      </c>
      <c r="L73">
        <v>0.19020000000000001</v>
      </c>
      <c r="M73">
        <v>8.9800000000000005E-2</v>
      </c>
      <c r="N73">
        <v>0.5262</v>
      </c>
      <c r="O73">
        <v>0.85219999999999996</v>
      </c>
      <c r="P73">
        <v>3.1680000000000001</v>
      </c>
      <c r="Q73">
        <v>25.44</v>
      </c>
      <c r="R73">
        <v>1.721E-2</v>
      </c>
      <c r="S73">
        <v>9.3679999999999999E-2</v>
      </c>
      <c r="T73">
        <v>5.6710000000000003E-2</v>
      </c>
      <c r="U73">
        <v>1.7659999999999999E-2</v>
      </c>
      <c r="V73">
        <v>2.5409999999999999E-2</v>
      </c>
      <c r="W73">
        <v>2.1930000000000002E-2</v>
      </c>
      <c r="X73">
        <v>9.7330000000000005</v>
      </c>
      <c r="Y73">
        <v>15.67</v>
      </c>
      <c r="Z73">
        <v>62.56</v>
      </c>
      <c r="AA73">
        <v>284.39999999999998</v>
      </c>
      <c r="AB73">
        <v>0.1207</v>
      </c>
      <c r="AC73">
        <v>0.24360000000000001</v>
      </c>
      <c r="AD73">
        <v>0.1434</v>
      </c>
      <c r="AE73">
        <v>4.786E-2</v>
      </c>
      <c r="AF73">
        <v>0.22539999999999999</v>
      </c>
      <c r="AG73">
        <v>0.1084</v>
      </c>
    </row>
    <row r="74" spans="1:33">
      <c r="A74">
        <v>73</v>
      </c>
      <c r="B74">
        <v>859717</v>
      </c>
      <c r="C74" t="s">
        <v>0</v>
      </c>
      <c r="D74">
        <v>13.71</v>
      </c>
      <c r="E74">
        <v>24.52</v>
      </c>
      <c r="F74">
        <v>114.2</v>
      </c>
      <c r="G74">
        <v>929.4</v>
      </c>
      <c r="H74">
        <v>0.1071</v>
      </c>
      <c r="I74">
        <v>0.183</v>
      </c>
      <c r="J74">
        <v>0.16919999999999999</v>
      </c>
      <c r="K74">
        <v>7.9439999999999997E-2</v>
      </c>
      <c r="L74">
        <v>0.19270000000000001</v>
      </c>
      <c r="M74">
        <v>6.4869999999999997E-2</v>
      </c>
      <c r="N74">
        <v>0.5907</v>
      </c>
      <c r="O74">
        <v>1.0409999999999999</v>
      </c>
      <c r="P74">
        <v>3.7050000000000001</v>
      </c>
      <c r="Q74">
        <v>69.47</v>
      </c>
      <c r="R74">
        <v>5.8199999999999997E-3</v>
      </c>
      <c r="S74">
        <v>5.6160000000000002E-2</v>
      </c>
      <c r="T74">
        <v>4.2520000000000002E-2</v>
      </c>
      <c r="U74">
        <v>1.1270000000000001E-2</v>
      </c>
      <c r="V74">
        <v>1.5270000000000001E-2</v>
      </c>
      <c r="W74">
        <v>6.2989999999999999E-3</v>
      </c>
      <c r="X74">
        <v>23.32</v>
      </c>
      <c r="Y74">
        <v>33.82</v>
      </c>
      <c r="Z74">
        <v>151.6</v>
      </c>
      <c r="AA74">
        <v>1681</v>
      </c>
      <c r="AB74">
        <v>0.1585</v>
      </c>
      <c r="AC74">
        <v>0.73939999999999995</v>
      </c>
      <c r="AD74">
        <v>0.65659999999999996</v>
      </c>
      <c r="AE74">
        <v>0.18990000000000001</v>
      </c>
      <c r="AF74">
        <v>0.33129999999999998</v>
      </c>
      <c r="AG74">
        <v>0.13389999999999999</v>
      </c>
    </row>
    <row r="75" spans="1:33">
      <c r="A75">
        <v>74</v>
      </c>
      <c r="B75">
        <v>859983</v>
      </c>
      <c r="C75" t="s">
        <v>0</v>
      </c>
      <c r="D75">
        <v>13.71</v>
      </c>
      <c r="E75">
        <v>15.79</v>
      </c>
      <c r="F75">
        <v>90.43</v>
      </c>
      <c r="G75">
        <v>584.1</v>
      </c>
      <c r="H75">
        <v>0.1007</v>
      </c>
      <c r="I75">
        <v>0.128</v>
      </c>
      <c r="J75">
        <v>7.7890000000000001E-2</v>
      </c>
      <c r="K75">
        <v>5.0689999999999999E-2</v>
      </c>
      <c r="L75">
        <v>0.16619999999999999</v>
      </c>
      <c r="M75">
        <v>6.5659999999999996E-2</v>
      </c>
      <c r="N75">
        <v>0.2787</v>
      </c>
      <c r="O75">
        <v>0.62050000000000005</v>
      </c>
      <c r="P75">
        <v>1.9570000000000001</v>
      </c>
      <c r="Q75">
        <v>23.35</v>
      </c>
      <c r="R75">
        <v>4.7169999999999998E-3</v>
      </c>
      <c r="S75">
        <v>2.0650000000000002E-2</v>
      </c>
      <c r="T75">
        <v>1.7590000000000001E-2</v>
      </c>
      <c r="U75">
        <v>9.2060000000000006E-3</v>
      </c>
      <c r="V75">
        <v>1.2200000000000001E-2</v>
      </c>
      <c r="W75">
        <v>3.13E-3</v>
      </c>
      <c r="X75">
        <v>16.57</v>
      </c>
      <c r="Y75">
        <v>20.86</v>
      </c>
      <c r="Z75">
        <v>110.3</v>
      </c>
      <c r="AA75">
        <v>812.4</v>
      </c>
      <c r="AB75">
        <v>0.1411</v>
      </c>
      <c r="AC75">
        <v>0.35420000000000001</v>
      </c>
      <c r="AD75">
        <v>0.27789999999999998</v>
      </c>
      <c r="AE75">
        <v>0.13830000000000001</v>
      </c>
      <c r="AF75">
        <v>0.25890000000000002</v>
      </c>
      <c r="AG75">
        <v>0.10299999999999999</v>
      </c>
    </row>
    <row r="76" spans="1:33">
      <c r="A76">
        <v>75</v>
      </c>
      <c r="B76">
        <v>8610175</v>
      </c>
      <c r="C76" t="s">
        <v>1</v>
      </c>
      <c r="D76">
        <v>13.71</v>
      </c>
      <c r="E76">
        <v>16.52</v>
      </c>
      <c r="F76">
        <v>79.19</v>
      </c>
      <c r="G76">
        <v>470.9</v>
      </c>
      <c r="H76">
        <v>9.1719999999999996E-2</v>
      </c>
      <c r="I76">
        <v>6.8290000000000003E-2</v>
      </c>
      <c r="J76">
        <v>3.372E-2</v>
      </c>
      <c r="K76">
        <v>2.2720000000000001E-2</v>
      </c>
      <c r="L76">
        <v>0.17199999999999999</v>
      </c>
      <c r="M76">
        <v>5.9139999999999998E-2</v>
      </c>
      <c r="N76">
        <v>0.2505</v>
      </c>
      <c r="O76">
        <v>1.0249999999999999</v>
      </c>
      <c r="P76">
        <v>1.74</v>
      </c>
      <c r="Q76">
        <v>19.68</v>
      </c>
      <c r="R76">
        <v>4.8539999999999998E-3</v>
      </c>
      <c r="S76">
        <v>1.8190000000000001E-2</v>
      </c>
      <c r="T76">
        <v>1.8259999999999998E-2</v>
      </c>
      <c r="U76">
        <v>7.9649999999999999E-3</v>
      </c>
      <c r="V76">
        <v>1.3860000000000001E-2</v>
      </c>
      <c r="W76">
        <v>2.3040000000000001E-3</v>
      </c>
      <c r="X76">
        <v>14.11</v>
      </c>
      <c r="Y76">
        <v>23.21</v>
      </c>
      <c r="Z76">
        <v>89.71</v>
      </c>
      <c r="AA76">
        <v>611.1</v>
      </c>
      <c r="AB76">
        <v>0.1176</v>
      </c>
      <c r="AC76">
        <v>0.18429999999999999</v>
      </c>
      <c r="AD76">
        <v>0.17030000000000001</v>
      </c>
      <c r="AE76">
        <v>8.6599999999999996E-2</v>
      </c>
      <c r="AF76">
        <v>0.26179999999999998</v>
      </c>
      <c r="AG76">
        <v>7.6090000000000005E-2</v>
      </c>
    </row>
    <row r="77" spans="1:33">
      <c r="A77">
        <v>76</v>
      </c>
      <c r="B77">
        <v>8610404</v>
      </c>
      <c r="C77" t="s">
        <v>0</v>
      </c>
      <c r="D77">
        <v>13.71</v>
      </c>
      <c r="E77">
        <v>19.649999999999999</v>
      </c>
      <c r="F77">
        <v>104.1</v>
      </c>
      <c r="G77">
        <v>817.7</v>
      </c>
      <c r="H77">
        <v>9.1679999999999998E-2</v>
      </c>
      <c r="I77">
        <v>8.4239999999999995E-2</v>
      </c>
      <c r="J77">
        <v>9.7689999999999999E-2</v>
      </c>
      <c r="K77">
        <v>6.6379999999999995E-2</v>
      </c>
      <c r="L77">
        <v>0.17979999999999999</v>
      </c>
      <c r="M77">
        <v>5.391E-2</v>
      </c>
      <c r="N77">
        <v>0.74739999999999995</v>
      </c>
      <c r="O77">
        <v>1.016</v>
      </c>
      <c r="P77">
        <v>5.0289999999999999</v>
      </c>
      <c r="Q77">
        <v>79.25</v>
      </c>
      <c r="R77">
        <v>1.082E-2</v>
      </c>
      <c r="S77">
        <v>2.2030000000000001E-2</v>
      </c>
      <c r="T77">
        <v>3.5000000000000003E-2</v>
      </c>
      <c r="U77">
        <v>1.8089999999999998E-2</v>
      </c>
      <c r="V77">
        <v>1.55E-2</v>
      </c>
      <c r="W77">
        <v>1.9480000000000001E-3</v>
      </c>
      <c r="X77">
        <v>19.77</v>
      </c>
      <c r="Y77">
        <v>24.56</v>
      </c>
      <c r="Z77">
        <v>128.80000000000001</v>
      </c>
      <c r="AA77">
        <v>1223</v>
      </c>
      <c r="AB77">
        <v>0.15</v>
      </c>
      <c r="AC77">
        <v>0.20449999999999999</v>
      </c>
      <c r="AD77">
        <v>0.28289999999999998</v>
      </c>
      <c r="AE77">
        <v>0.152</v>
      </c>
      <c r="AF77">
        <v>0.26500000000000001</v>
      </c>
      <c r="AG77">
        <v>6.3869999999999996E-2</v>
      </c>
    </row>
    <row r="78" spans="1:33">
      <c r="A78">
        <v>77</v>
      </c>
      <c r="B78">
        <v>8610629</v>
      </c>
      <c r="C78" t="s">
        <v>1</v>
      </c>
      <c r="D78">
        <v>13.71</v>
      </c>
      <c r="E78">
        <v>10.94</v>
      </c>
      <c r="F78">
        <v>87.91</v>
      </c>
      <c r="G78">
        <v>559.20000000000005</v>
      </c>
      <c r="H78">
        <v>0.12909999999999999</v>
      </c>
      <c r="I78">
        <v>0.1047</v>
      </c>
      <c r="J78">
        <v>6.8769999999999998E-2</v>
      </c>
      <c r="K78">
        <v>6.5559999999999993E-2</v>
      </c>
      <c r="L78">
        <v>0.24030000000000001</v>
      </c>
      <c r="M78">
        <v>6.6409999999999997E-2</v>
      </c>
      <c r="N78">
        <v>0.41010000000000002</v>
      </c>
      <c r="O78">
        <v>1.014</v>
      </c>
      <c r="P78">
        <v>2.6520000000000001</v>
      </c>
      <c r="Q78">
        <v>32.65</v>
      </c>
      <c r="R78">
        <v>1.34E-2</v>
      </c>
      <c r="S78">
        <v>2.8389999999999999E-2</v>
      </c>
      <c r="T78">
        <v>1.162E-2</v>
      </c>
      <c r="U78">
        <v>8.2389999999999998E-3</v>
      </c>
      <c r="V78">
        <v>2.572E-2</v>
      </c>
      <c r="W78">
        <v>6.1640000000000002E-3</v>
      </c>
      <c r="X78">
        <v>14.08</v>
      </c>
      <c r="Y78">
        <v>12.49</v>
      </c>
      <c r="Z78">
        <v>91.36</v>
      </c>
      <c r="AA78">
        <v>605.5</v>
      </c>
      <c r="AB78">
        <v>0.14510000000000001</v>
      </c>
      <c r="AC78">
        <v>0.13789999999999999</v>
      </c>
      <c r="AD78">
        <v>8.5389999999999994E-2</v>
      </c>
      <c r="AE78">
        <v>7.4069999999999997E-2</v>
      </c>
      <c r="AF78">
        <v>0.27100000000000002</v>
      </c>
      <c r="AG78">
        <v>7.1910000000000002E-2</v>
      </c>
    </row>
    <row r="79" spans="1:33">
      <c r="A79">
        <v>78</v>
      </c>
      <c r="B79">
        <v>8610637</v>
      </c>
      <c r="C79" t="s">
        <v>0</v>
      </c>
      <c r="D79">
        <v>13.71</v>
      </c>
      <c r="E79">
        <v>16.149999999999999</v>
      </c>
      <c r="F79">
        <v>120.2</v>
      </c>
      <c r="G79">
        <v>1006</v>
      </c>
      <c r="H79">
        <v>0.1065</v>
      </c>
      <c r="I79">
        <v>0.21460000000000001</v>
      </c>
      <c r="J79">
        <v>0.16839999999999999</v>
      </c>
      <c r="K79">
        <v>0.108</v>
      </c>
      <c r="L79">
        <v>0.2152</v>
      </c>
      <c r="M79">
        <v>6.6729999999999998E-2</v>
      </c>
      <c r="N79">
        <v>0.98060000000000003</v>
      </c>
      <c r="O79">
        <v>0.55049999999999999</v>
      </c>
      <c r="P79">
        <v>6.3109999999999999</v>
      </c>
      <c r="Q79">
        <v>134.80000000000001</v>
      </c>
      <c r="R79">
        <v>7.9399999999999991E-3</v>
      </c>
      <c r="S79">
        <v>5.8389999999999997E-2</v>
      </c>
      <c r="T79">
        <v>4.6580000000000003E-2</v>
      </c>
      <c r="U79">
        <v>2.07E-2</v>
      </c>
      <c r="V79">
        <v>2.5909999999999999E-2</v>
      </c>
      <c r="W79">
        <v>7.0540000000000004E-3</v>
      </c>
      <c r="X79">
        <v>22.39</v>
      </c>
      <c r="Y79">
        <v>18.91</v>
      </c>
      <c r="Z79">
        <v>150.1</v>
      </c>
      <c r="AA79">
        <v>1610</v>
      </c>
      <c r="AB79">
        <v>0.14779999999999999</v>
      </c>
      <c r="AC79">
        <v>0.56340000000000001</v>
      </c>
      <c r="AD79">
        <v>0.37859999999999999</v>
      </c>
      <c r="AE79">
        <v>0.2102</v>
      </c>
      <c r="AF79">
        <v>0.37509999999999999</v>
      </c>
      <c r="AG79">
        <v>0.1108</v>
      </c>
    </row>
    <row r="80" spans="1:33">
      <c r="A80">
        <v>79</v>
      </c>
      <c r="B80">
        <v>8610862</v>
      </c>
      <c r="C80" t="s">
        <v>0</v>
      </c>
      <c r="D80">
        <v>13.71</v>
      </c>
      <c r="E80">
        <v>23.97</v>
      </c>
      <c r="F80">
        <v>143.69999999999999</v>
      </c>
      <c r="G80">
        <v>1245</v>
      </c>
      <c r="H80">
        <v>0.12859999999999999</v>
      </c>
      <c r="I80">
        <v>0.34539999999999998</v>
      </c>
      <c r="J80">
        <v>0.37540000000000001</v>
      </c>
      <c r="K80">
        <v>0.16039999999999999</v>
      </c>
      <c r="L80">
        <v>0.29060000000000002</v>
      </c>
      <c r="M80">
        <v>8.1420000000000006E-2</v>
      </c>
      <c r="N80">
        <v>0.93169999999999997</v>
      </c>
      <c r="O80">
        <v>1.885</v>
      </c>
      <c r="P80">
        <v>8.6489999999999991</v>
      </c>
      <c r="Q80">
        <v>116.4</v>
      </c>
      <c r="R80">
        <v>1.038E-2</v>
      </c>
      <c r="S80">
        <v>6.8349999999999994E-2</v>
      </c>
      <c r="T80">
        <v>0.1091</v>
      </c>
      <c r="U80">
        <v>2.5930000000000002E-2</v>
      </c>
      <c r="V80">
        <v>7.8950000000000006E-2</v>
      </c>
      <c r="W80">
        <v>5.9870000000000001E-3</v>
      </c>
      <c r="X80">
        <v>23.37</v>
      </c>
      <c r="Y80">
        <v>31.72</v>
      </c>
      <c r="Z80">
        <v>170.3</v>
      </c>
      <c r="AA80">
        <v>1623</v>
      </c>
      <c r="AB80">
        <v>0.16389999999999999</v>
      </c>
      <c r="AC80">
        <v>0.61639999999999995</v>
      </c>
      <c r="AD80">
        <v>0.7681</v>
      </c>
      <c r="AE80">
        <v>0.25080000000000002</v>
      </c>
      <c r="AF80">
        <v>0.54400000000000004</v>
      </c>
      <c r="AG80">
        <v>9.9640000000000006E-2</v>
      </c>
    </row>
    <row r="81" spans="1:33">
      <c r="A81">
        <v>80</v>
      </c>
      <c r="B81">
        <v>8610908</v>
      </c>
      <c r="C81" t="s">
        <v>1</v>
      </c>
      <c r="D81">
        <v>13.71</v>
      </c>
      <c r="E81">
        <v>18</v>
      </c>
      <c r="F81">
        <v>83.19</v>
      </c>
      <c r="G81">
        <v>506.3</v>
      </c>
      <c r="H81">
        <v>9.9339999999999998E-2</v>
      </c>
      <c r="I81">
        <v>9.5460000000000003E-2</v>
      </c>
      <c r="J81">
        <v>3.8890000000000001E-2</v>
      </c>
      <c r="K81">
        <v>2.315E-2</v>
      </c>
      <c r="L81">
        <v>0.17180000000000001</v>
      </c>
      <c r="M81">
        <v>5.9970000000000002E-2</v>
      </c>
      <c r="N81">
        <v>0.26550000000000001</v>
      </c>
      <c r="O81">
        <v>1.095</v>
      </c>
      <c r="P81">
        <v>1.778</v>
      </c>
      <c r="Q81">
        <v>20.350000000000001</v>
      </c>
      <c r="R81">
        <v>5.293E-3</v>
      </c>
      <c r="S81">
        <v>1.661E-2</v>
      </c>
      <c r="T81">
        <v>2.0709999999999999E-2</v>
      </c>
      <c r="U81">
        <v>8.1790000000000005E-3</v>
      </c>
      <c r="V81">
        <v>1.7479999999999999E-2</v>
      </c>
      <c r="W81">
        <v>2.8479999999999998E-3</v>
      </c>
      <c r="X81">
        <v>14.24</v>
      </c>
      <c r="Y81">
        <v>24.82</v>
      </c>
      <c r="Z81">
        <v>91.88</v>
      </c>
      <c r="AA81">
        <v>622.1</v>
      </c>
      <c r="AB81">
        <v>0.12889999999999999</v>
      </c>
      <c r="AC81">
        <v>0.21410000000000001</v>
      </c>
      <c r="AD81">
        <v>0.1731</v>
      </c>
      <c r="AE81">
        <v>7.9259999999999997E-2</v>
      </c>
      <c r="AF81">
        <v>0.27789999999999998</v>
      </c>
      <c r="AG81">
        <v>7.918E-2</v>
      </c>
    </row>
    <row r="82" spans="1:33">
      <c r="A82">
        <v>81</v>
      </c>
      <c r="B82">
        <v>861103</v>
      </c>
      <c r="C82" t="s">
        <v>1</v>
      </c>
      <c r="D82">
        <v>13.71</v>
      </c>
      <c r="E82">
        <v>20.97</v>
      </c>
      <c r="F82">
        <v>73.81</v>
      </c>
      <c r="G82">
        <v>401.5</v>
      </c>
      <c r="H82">
        <v>0.11020000000000001</v>
      </c>
      <c r="I82">
        <v>9.3619999999999995E-2</v>
      </c>
      <c r="J82">
        <v>4.5909999999999999E-2</v>
      </c>
      <c r="K82">
        <v>2.2329999999999999E-2</v>
      </c>
      <c r="L82">
        <v>0.1842</v>
      </c>
      <c r="M82">
        <v>7.0050000000000001E-2</v>
      </c>
      <c r="N82">
        <v>0.3251</v>
      </c>
      <c r="O82">
        <v>2.1739999999999999</v>
      </c>
      <c r="P82">
        <v>2.077</v>
      </c>
      <c r="Q82">
        <v>24.62</v>
      </c>
      <c r="R82">
        <v>1.0370000000000001E-2</v>
      </c>
      <c r="S82">
        <v>1.7059999999999999E-2</v>
      </c>
      <c r="T82">
        <v>2.5860000000000001E-2</v>
      </c>
      <c r="U82">
        <v>7.5059999999999997E-3</v>
      </c>
      <c r="V82">
        <v>1.8159999999999999E-2</v>
      </c>
      <c r="W82">
        <v>3.9760000000000004E-3</v>
      </c>
      <c r="X82">
        <v>13.11</v>
      </c>
      <c r="Y82">
        <v>32.159999999999997</v>
      </c>
      <c r="Z82">
        <v>84.53</v>
      </c>
      <c r="AA82">
        <v>525.1</v>
      </c>
      <c r="AB82">
        <v>0.15570000000000001</v>
      </c>
      <c r="AC82">
        <v>0.1676</v>
      </c>
      <c r="AD82">
        <v>0.17549999999999999</v>
      </c>
      <c r="AE82">
        <v>6.1269999999999998E-2</v>
      </c>
      <c r="AF82">
        <v>0.2762</v>
      </c>
      <c r="AG82">
        <v>8.8510000000000005E-2</v>
      </c>
    </row>
    <row r="83" spans="1:33">
      <c r="A83">
        <v>82</v>
      </c>
      <c r="B83">
        <v>8611161</v>
      </c>
      <c r="C83" t="s">
        <v>1</v>
      </c>
      <c r="D83">
        <v>13.71</v>
      </c>
      <c r="E83">
        <v>15.86</v>
      </c>
      <c r="F83">
        <v>86.49</v>
      </c>
      <c r="G83">
        <v>520</v>
      </c>
      <c r="H83">
        <v>0.10780000000000001</v>
      </c>
      <c r="I83">
        <v>0.1535</v>
      </c>
      <c r="J83">
        <v>0.1169</v>
      </c>
      <c r="K83">
        <v>6.9870000000000002E-2</v>
      </c>
      <c r="L83">
        <v>0.19420000000000001</v>
      </c>
      <c r="M83">
        <v>6.9019999999999998E-2</v>
      </c>
      <c r="N83">
        <v>0.28599999999999998</v>
      </c>
      <c r="O83">
        <v>1.016</v>
      </c>
      <c r="P83">
        <v>1.5349999999999999</v>
      </c>
      <c r="Q83">
        <v>12.96</v>
      </c>
      <c r="R83">
        <v>6.7939999999999997E-3</v>
      </c>
      <c r="S83">
        <v>3.5749999999999997E-2</v>
      </c>
      <c r="T83">
        <v>3.9800000000000002E-2</v>
      </c>
      <c r="U83">
        <v>1.383E-2</v>
      </c>
      <c r="V83">
        <v>2.1340000000000001E-2</v>
      </c>
      <c r="W83">
        <v>4.6030000000000003E-3</v>
      </c>
      <c r="X83">
        <v>15.53</v>
      </c>
      <c r="Y83">
        <v>23.19</v>
      </c>
      <c r="Z83">
        <v>96.66</v>
      </c>
      <c r="AA83">
        <v>614.9</v>
      </c>
      <c r="AB83">
        <v>0.15359999999999999</v>
      </c>
      <c r="AC83">
        <v>0.47910000000000003</v>
      </c>
      <c r="AD83">
        <v>0.48580000000000001</v>
      </c>
      <c r="AE83">
        <v>0.17080000000000001</v>
      </c>
      <c r="AF83">
        <v>0.35270000000000001</v>
      </c>
      <c r="AG83">
        <v>0.1016</v>
      </c>
    </row>
    <row r="84" spans="1:33">
      <c r="A84">
        <v>83</v>
      </c>
      <c r="B84">
        <v>8611555</v>
      </c>
      <c r="C84" t="s">
        <v>0</v>
      </c>
      <c r="D84">
        <v>13.71</v>
      </c>
      <c r="E84">
        <v>24.91</v>
      </c>
      <c r="F84">
        <v>171.5</v>
      </c>
      <c r="G84">
        <v>1878</v>
      </c>
      <c r="H84">
        <v>0.10630000000000001</v>
      </c>
      <c r="I84">
        <v>0.26650000000000001</v>
      </c>
      <c r="J84">
        <v>0.33389999999999997</v>
      </c>
      <c r="K84">
        <v>0.1845</v>
      </c>
      <c r="L84">
        <v>0.18290000000000001</v>
      </c>
      <c r="M84">
        <v>6.7820000000000005E-2</v>
      </c>
      <c r="N84">
        <v>0.89729999999999999</v>
      </c>
      <c r="O84">
        <v>1.474</v>
      </c>
      <c r="P84">
        <v>7.3819999999999997</v>
      </c>
      <c r="Q84">
        <v>120</v>
      </c>
      <c r="R84">
        <v>8.1659999999999996E-3</v>
      </c>
      <c r="S84">
        <v>5.6930000000000001E-2</v>
      </c>
      <c r="T84">
        <v>5.7299999999999997E-2</v>
      </c>
      <c r="U84">
        <v>2.0299999999999999E-2</v>
      </c>
      <c r="V84">
        <v>1.065E-2</v>
      </c>
      <c r="W84">
        <v>5.8929999999999998E-3</v>
      </c>
      <c r="X84">
        <v>30</v>
      </c>
      <c r="Y84">
        <v>33.619999999999997</v>
      </c>
      <c r="Z84">
        <v>211.7</v>
      </c>
      <c r="AA84">
        <v>2562</v>
      </c>
      <c r="AB84">
        <v>0.1573</v>
      </c>
      <c r="AC84">
        <v>0.60760000000000003</v>
      </c>
      <c r="AD84">
        <v>0.64759999999999995</v>
      </c>
      <c r="AE84">
        <v>0.28670000000000001</v>
      </c>
      <c r="AF84">
        <v>0.23549999999999999</v>
      </c>
      <c r="AG84">
        <v>0.1051</v>
      </c>
    </row>
    <row r="85" spans="1:33">
      <c r="A85">
        <v>84</v>
      </c>
      <c r="B85">
        <v>8611792</v>
      </c>
      <c r="C85" t="s">
        <v>0</v>
      </c>
      <c r="D85">
        <v>13.71</v>
      </c>
      <c r="E85">
        <v>26.29</v>
      </c>
      <c r="F85">
        <v>129.1</v>
      </c>
      <c r="G85">
        <v>1132</v>
      </c>
      <c r="H85">
        <v>0.1215</v>
      </c>
      <c r="I85">
        <v>0.17910000000000001</v>
      </c>
      <c r="J85">
        <v>0.19370000000000001</v>
      </c>
      <c r="K85">
        <v>0.1469</v>
      </c>
      <c r="L85">
        <v>0.16339999999999999</v>
      </c>
      <c r="M85">
        <v>7.2239999999999999E-2</v>
      </c>
      <c r="N85">
        <v>0.51900000000000002</v>
      </c>
      <c r="O85">
        <v>2.91</v>
      </c>
      <c r="P85">
        <v>5.8010000000000002</v>
      </c>
      <c r="Q85">
        <v>67.099999999999994</v>
      </c>
      <c r="R85">
        <v>7.5449999999999996E-3</v>
      </c>
      <c r="S85">
        <v>6.0499999999999998E-2</v>
      </c>
      <c r="T85">
        <v>2.1340000000000001E-2</v>
      </c>
      <c r="U85">
        <v>1.8429999999999998E-2</v>
      </c>
      <c r="V85">
        <v>3.056E-2</v>
      </c>
      <c r="W85">
        <v>1.039E-2</v>
      </c>
      <c r="X85">
        <v>20.329999999999998</v>
      </c>
      <c r="Y85">
        <v>32.72</v>
      </c>
      <c r="Z85">
        <v>141.30000000000001</v>
      </c>
      <c r="AA85">
        <v>1298</v>
      </c>
      <c r="AB85">
        <v>0.13919999999999999</v>
      </c>
      <c r="AC85">
        <v>0.28170000000000001</v>
      </c>
      <c r="AD85">
        <v>0.2432</v>
      </c>
      <c r="AE85">
        <v>0.18410000000000001</v>
      </c>
      <c r="AF85">
        <v>0.2311</v>
      </c>
      <c r="AG85">
        <v>9.2030000000000001E-2</v>
      </c>
    </row>
    <row r="86" spans="1:33">
      <c r="A86">
        <v>85</v>
      </c>
      <c r="B86">
        <v>8612080</v>
      </c>
      <c r="C86" t="s">
        <v>1</v>
      </c>
      <c r="D86">
        <v>13.71</v>
      </c>
      <c r="E86">
        <v>15.65</v>
      </c>
      <c r="F86">
        <v>76.95</v>
      </c>
      <c r="G86">
        <v>443.3</v>
      </c>
      <c r="H86">
        <v>9.7229999999999997E-2</v>
      </c>
      <c r="I86">
        <v>7.1650000000000005E-2</v>
      </c>
      <c r="J86">
        <v>4.1509999999999998E-2</v>
      </c>
      <c r="K86">
        <v>1.8630000000000001E-2</v>
      </c>
      <c r="L86">
        <v>0.2079</v>
      </c>
      <c r="M86">
        <v>5.9679999999999997E-2</v>
      </c>
      <c r="N86">
        <v>0.2271</v>
      </c>
      <c r="O86">
        <v>1.2549999999999999</v>
      </c>
      <c r="P86">
        <v>1.4410000000000001</v>
      </c>
      <c r="Q86">
        <v>16.16</v>
      </c>
      <c r="R86">
        <v>5.9690000000000003E-3</v>
      </c>
      <c r="S86">
        <v>1.8120000000000001E-2</v>
      </c>
      <c r="T86">
        <v>2.0070000000000001E-2</v>
      </c>
      <c r="U86">
        <v>7.0270000000000003E-3</v>
      </c>
      <c r="V86">
        <v>1.9720000000000001E-2</v>
      </c>
      <c r="W86">
        <v>2.6069999999999999E-3</v>
      </c>
      <c r="X86">
        <v>13.67</v>
      </c>
      <c r="Y86">
        <v>24.9</v>
      </c>
      <c r="Z86">
        <v>87.78</v>
      </c>
      <c r="AA86">
        <v>567.9</v>
      </c>
      <c r="AB86">
        <v>0.13769999999999999</v>
      </c>
      <c r="AC86">
        <v>0.20030000000000001</v>
      </c>
      <c r="AD86">
        <v>0.22670000000000001</v>
      </c>
      <c r="AE86">
        <v>7.6319999999999999E-2</v>
      </c>
      <c r="AF86">
        <v>0.33789999999999998</v>
      </c>
      <c r="AG86">
        <v>7.9240000000000005E-2</v>
      </c>
    </row>
    <row r="87" spans="1:33">
      <c r="A87">
        <v>86</v>
      </c>
      <c r="B87">
        <v>8612399</v>
      </c>
      <c r="C87" t="s">
        <v>0</v>
      </c>
      <c r="D87">
        <v>13.71</v>
      </c>
      <c r="E87">
        <v>18.52</v>
      </c>
      <c r="F87">
        <v>121.1</v>
      </c>
      <c r="G87">
        <v>1075</v>
      </c>
      <c r="H87">
        <v>9.8739999999999994E-2</v>
      </c>
      <c r="I87">
        <v>0.1053</v>
      </c>
      <c r="J87">
        <v>0.13350000000000001</v>
      </c>
      <c r="K87">
        <v>8.795E-2</v>
      </c>
      <c r="L87">
        <v>0.2132</v>
      </c>
      <c r="M87">
        <v>6.0220000000000003E-2</v>
      </c>
      <c r="N87">
        <v>0.69969999999999999</v>
      </c>
      <c r="O87">
        <v>1.4750000000000001</v>
      </c>
      <c r="P87">
        <v>4.782</v>
      </c>
      <c r="Q87">
        <v>80.599999999999994</v>
      </c>
      <c r="R87">
        <v>6.4710000000000002E-3</v>
      </c>
      <c r="S87">
        <v>1.6490000000000001E-2</v>
      </c>
      <c r="T87">
        <v>2.8060000000000002E-2</v>
      </c>
      <c r="U87">
        <v>1.4200000000000001E-2</v>
      </c>
      <c r="V87">
        <v>2.3699999999999999E-2</v>
      </c>
      <c r="W87">
        <v>3.7550000000000001E-3</v>
      </c>
      <c r="X87">
        <v>22.93</v>
      </c>
      <c r="Y87">
        <v>27.68</v>
      </c>
      <c r="Z87">
        <v>152.19999999999999</v>
      </c>
      <c r="AA87">
        <v>1603</v>
      </c>
      <c r="AB87">
        <v>0.13980000000000001</v>
      </c>
      <c r="AC87">
        <v>0.2089</v>
      </c>
      <c r="AD87">
        <v>0.31569999999999998</v>
      </c>
      <c r="AE87">
        <v>0.16420000000000001</v>
      </c>
      <c r="AF87">
        <v>0.3695</v>
      </c>
      <c r="AG87">
        <v>8.5790000000000005E-2</v>
      </c>
    </row>
    <row r="88" spans="1:33">
      <c r="A88">
        <v>87</v>
      </c>
      <c r="B88">
        <v>86135501</v>
      </c>
      <c r="C88" t="s">
        <v>0</v>
      </c>
      <c r="D88">
        <v>13.71</v>
      </c>
      <c r="E88">
        <v>21.46</v>
      </c>
      <c r="F88">
        <v>94.25</v>
      </c>
      <c r="G88">
        <v>648.20000000000005</v>
      </c>
      <c r="H88">
        <v>9.4439999999999996E-2</v>
      </c>
      <c r="I88">
        <v>9.9470000000000003E-2</v>
      </c>
      <c r="J88">
        <v>0.12039999999999999</v>
      </c>
      <c r="K88">
        <v>4.938E-2</v>
      </c>
      <c r="L88">
        <v>0.20749999999999999</v>
      </c>
      <c r="M88">
        <v>5.636E-2</v>
      </c>
      <c r="N88">
        <v>0.4204</v>
      </c>
      <c r="O88">
        <v>2.2200000000000002</v>
      </c>
      <c r="P88">
        <v>3.3010000000000002</v>
      </c>
      <c r="Q88">
        <v>38.869999999999997</v>
      </c>
      <c r="R88">
        <v>9.3690000000000006E-3</v>
      </c>
      <c r="S88">
        <v>2.9829999999999999E-2</v>
      </c>
      <c r="T88">
        <v>5.3710000000000001E-2</v>
      </c>
      <c r="U88">
        <v>1.7610000000000001E-2</v>
      </c>
      <c r="V88">
        <v>2.418E-2</v>
      </c>
      <c r="W88">
        <v>3.2490000000000002E-3</v>
      </c>
      <c r="X88">
        <v>16.21</v>
      </c>
      <c r="Y88">
        <v>29.25</v>
      </c>
      <c r="Z88">
        <v>108.4</v>
      </c>
      <c r="AA88">
        <v>808.9</v>
      </c>
      <c r="AB88">
        <v>0.13059999999999999</v>
      </c>
      <c r="AC88">
        <v>0.1976</v>
      </c>
      <c r="AD88">
        <v>0.33489999999999998</v>
      </c>
      <c r="AE88">
        <v>0.1225</v>
      </c>
      <c r="AF88">
        <v>0.30199999999999999</v>
      </c>
      <c r="AG88">
        <v>6.8459999999999993E-2</v>
      </c>
    </row>
    <row r="89" spans="1:33">
      <c r="A89">
        <v>88</v>
      </c>
      <c r="B89">
        <v>86135502</v>
      </c>
      <c r="C89" t="s">
        <v>0</v>
      </c>
      <c r="D89">
        <v>13.71</v>
      </c>
      <c r="E89">
        <v>24.59</v>
      </c>
      <c r="F89">
        <v>122</v>
      </c>
      <c r="G89">
        <v>1076</v>
      </c>
      <c r="H89">
        <v>9.0289999999999995E-2</v>
      </c>
      <c r="I89">
        <v>0.1206</v>
      </c>
      <c r="J89">
        <v>0.14680000000000001</v>
      </c>
      <c r="K89">
        <v>8.2710000000000006E-2</v>
      </c>
      <c r="L89">
        <v>0.1953</v>
      </c>
      <c r="M89">
        <v>5.629E-2</v>
      </c>
      <c r="N89">
        <v>0.54949999999999999</v>
      </c>
      <c r="O89">
        <v>0.66359999999999997</v>
      </c>
      <c r="P89">
        <v>3.0550000000000002</v>
      </c>
      <c r="Q89">
        <v>57.65</v>
      </c>
      <c r="R89">
        <v>3.872E-3</v>
      </c>
      <c r="S89">
        <v>1.8419999999999999E-2</v>
      </c>
      <c r="T89">
        <v>3.7100000000000001E-2</v>
      </c>
      <c r="U89">
        <v>1.2E-2</v>
      </c>
      <c r="V89">
        <v>1.9640000000000001E-2</v>
      </c>
      <c r="W89">
        <v>3.3370000000000001E-3</v>
      </c>
      <c r="X89">
        <v>24.56</v>
      </c>
      <c r="Y89">
        <v>30.41</v>
      </c>
      <c r="Z89">
        <v>152.9</v>
      </c>
      <c r="AA89">
        <v>1623</v>
      </c>
      <c r="AB89">
        <v>0.1249</v>
      </c>
      <c r="AC89">
        <v>0.3206</v>
      </c>
      <c r="AD89">
        <v>0.57550000000000001</v>
      </c>
      <c r="AE89">
        <v>0.1956</v>
      </c>
      <c r="AF89">
        <v>0.39560000000000001</v>
      </c>
      <c r="AG89">
        <v>9.2880000000000004E-2</v>
      </c>
    </row>
    <row r="90" spans="1:33">
      <c r="A90">
        <v>89</v>
      </c>
      <c r="B90">
        <v>861597</v>
      </c>
      <c r="C90" t="s">
        <v>1</v>
      </c>
      <c r="D90">
        <v>13.71</v>
      </c>
      <c r="E90">
        <v>21.8</v>
      </c>
      <c r="F90">
        <v>79.78</v>
      </c>
      <c r="G90">
        <v>466.1</v>
      </c>
      <c r="H90">
        <v>8.7720000000000006E-2</v>
      </c>
      <c r="I90">
        <v>9.4450000000000006E-2</v>
      </c>
      <c r="J90">
        <v>6.0150000000000002E-2</v>
      </c>
      <c r="K90">
        <v>3.7449999999999997E-2</v>
      </c>
      <c r="L90">
        <v>0.193</v>
      </c>
      <c r="M90">
        <v>6.404E-2</v>
      </c>
      <c r="N90">
        <v>0.29780000000000001</v>
      </c>
      <c r="O90">
        <v>1.502</v>
      </c>
      <c r="P90">
        <v>2.2029999999999998</v>
      </c>
      <c r="Q90">
        <v>20.95</v>
      </c>
      <c r="R90">
        <v>7.1120000000000003E-3</v>
      </c>
      <c r="S90">
        <v>2.4930000000000001E-2</v>
      </c>
      <c r="T90">
        <v>2.7029999999999998E-2</v>
      </c>
      <c r="U90">
        <v>1.2930000000000001E-2</v>
      </c>
      <c r="V90">
        <v>1.958E-2</v>
      </c>
      <c r="W90">
        <v>4.463E-3</v>
      </c>
      <c r="X90">
        <v>13.83</v>
      </c>
      <c r="Y90">
        <v>30.5</v>
      </c>
      <c r="Z90">
        <v>91.46</v>
      </c>
      <c r="AA90">
        <v>574.70000000000005</v>
      </c>
      <c r="AB90">
        <v>0.13039999999999999</v>
      </c>
      <c r="AC90">
        <v>0.24629999999999999</v>
      </c>
      <c r="AD90">
        <v>0.24340000000000001</v>
      </c>
      <c r="AE90">
        <v>0.1205</v>
      </c>
      <c r="AF90">
        <v>0.29720000000000002</v>
      </c>
      <c r="AG90">
        <v>9.2609999999999998E-2</v>
      </c>
    </row>
    <row r="91" spans="1:33">
      <c r="A91">
        <v>90</v>
      </c>
      <c r="B91">
        <v>861598</v>
      </c>
      <c r="C91" t="s">
        <v>1</v>
      </c>
      <c r="D91">
        <v>13.71</v>
      </c>
      <c r="E91">
        <v>15.24</v>
      </c>
      <c r="F91">
        <v>95.77</v>
      </c>
      <c r="G91">
        <v>651.9</v>
      </c>
      <c r="H91">
        <v>0.1132</v>
      </c>
      <c r="I91">
        <v>0.13389999999999999</v>
      </c>
      <c r="J91">
        <v>9.9659999999999999E-2</v>
      </c>
      <c r="K91">
        <v>7.0639999999999994E-2</v>
      </c>
      <c r="L91">
        <v>0.21160000000000001</v>
      </c>
      <c r="M91">
        <v>6.3460000000000003E-2</v>
      </c>
      <c r="N91">
        <v>0.51149999999999995</v>
      </c>
      <c r="O91">
        <v>0.73719999999999997</v>
      </c>
      <c r="P91">
        <v>3.8140000000000001</v>
      </c>
      <c r="Q91">
        <v>42.76</v>
      </c>
      <c r="R91">
        <v>5.5079999999999999E-3</v>
      </c>
      <c r="S91">
        <v>4.4119999999999999E-2</v>
      </c>
      <c r="T91">
        <v>4.4359999999999997E-2</v>
      </c>
      <c r="U91">
        <v>1.6230000000000001E-2</v>
      </c>
      <c r="V91">
        <v>2.427E-2</v>
      </c>
      <c r="W91">
        <v>4.8409999999999998E-3</v>
      </c>
      <c r="X91">
        <v>16.34</v>
      </c>
      <c r="Y91">
        <v>18.239999999999998</v>
      </c>
      <c r="Z91">
        <v>109.4</v>
      </c>
      <c r="AA91">
        <v>803.6</v>
      </c>
      <c r="AB91">
        <v>0.12770000000000001</v>
      </c>
      <c r="AC91">
        <v>0.30890000000000001</v>
      </c>
      <c r="AD91">
        <v>0.26040000000000002</v>
      </c>
      <c r="AE91">
        <v>0.13969999999999999</v>
      </c>
      <c r="AF91">
        <v>0.31509999999999999</v>
      </c>
      <c r="AG91">
        <v>8.473E-2</v>
      </c>
    </row>
    <row r="92" spans="1:33">
      <c r="A92">
        <v>91</v>
      </c>
      <c r="B92">
        <v>861648</v>
      </c>
      <c r="C92" t="s">
        <v>1</v>
      </c>
      <c r="D92">
        <v>13.71</v>
      </c>
      <c r="E92">
        <v>24.02</v>
      </c>
      <c r="F92">
        <v>94.57</v>
      </c>
      <c r="G92">
        <v>662.7</v>
      </c>
      <c r="H92">
        <v>8.974E-2</v>
      </c>
      <c r="I92">
        <v>8.6059999999999998E-2</v>
      </c>
      <c r="J92">
        <v>3.1019999999999999E-2</v>
      </c>
      <c r="K92">
        <v>2.9569999999999999E-2</v>
      </c>
      <c r="L92">
        <v>0.16850000000000001</v>
      </c>
      <c r="M92">
        <v>5.8659999999999997E-2</v>
      </c>
      <c r="N92">
        <v>0.37209999999999999</v>
      </c>
      <c r="O92">
        <v>1.111</v>
      </c>
      <c r="P92">
        <v>2.2789999999999999</v>
      </c>
      <c r="Q92">
        <v>33.76</v>
      </c>
      <c r="R92">
        <v>4.8679999999999999E-3</v>
      </c>
      <c r="S92">
        <v>1.8180000000000002E-2</v>
      </c>
      <c r="T92">
        <v>1.1209999999999999E-2</v>
      </c>
      <c r="U92">
        <v>8.6060000000000008E-3</v>
      </c>
      <c r="V92">
        <v>2.085E-2</v>
      </c>
      <c r="W92">
        <v>2.8930000000000002E-3</v>
      </c>
      <c r="X92">
        <v>16.11</v>
      </c>
      <c r="Y92">
        <v>29.11</v>
      </c>
      <c r="Z92">
        <v>102.9</v>
      </c>
      <c r="AA92">
        <v>803.7</v>
      </c>
      <c r="AB92">
        <v>0.1115</v>
      </c>
      <c r="AC92">
        <v>0.17660000000000001</v>
      </c>
      <c r="AD92">
        <v>9.1889999999999999E-2</v>
      </c>
      <c r="AE92">
        <v>6.9459999999999994E-2</v>
      </c>
      <c r="AF92">
        <v>0.25219999999999998</v>
      </c>
      <c r="AG92">
        <v>7.2459999999999997E-2</v>
      </c>
    </row>
    <row r="93" spans="1:33">
      <c r="A93">
        <v>92</v>
      </c>
      <c r="B93">
        <v>861799</v>
      </c>
      <c r="C93" t="s">
        <v>0</v>
      </c>
      <c r="D93">
        <v>13.71</v>
      </c>
      <c r="E93">
        <v>22.76</v>
      </c>
      <c r="F93">
        <v>100.2</v>
      </c>
      <c r="G93">
        <v>728.2</v>
      </c>
      <c r="H93">
        <v>9.1999999999999998E-2</v>
      </c>
      <c r="I93">
        <v>0.1036</v>
      </c>
      <c r="J93">
        <v>0.11219999999999999</v>
      </c>
      <c r="K93">
        <v>7.4829999999999994E-2</v>
      </c>
      <c r="L93">
        <v>0.17169999999999999</v>
      </c>
      <c r="M93">
        <v>6.0970000000000003E-2</v>
      </c>
      <c r="N93">
        <v>0.31290000000000001</v>
      </c>
      <c r="O93">
        <v>0.84130000000000005</v>
      </c>
      <c r="P93">
        <v>2.0750000000000002</v>
      </c>
      <c r="Q93">
        <v>29.44</v>
      </c>
      <c r="R93">
        <v>9.8820000000000002E-3</v>
      </c>
      <c r="S93">
        <v>2.444E-2</v>
      </c>
      <c r="T93">
        <v>4.5310000000000003E-2</v>
      </c>
      <c r="U93">
        <v>1.763E-2</v>
      </c>
      <c r="V93">
        <v>2.4709999999999999E-2</v>
      </c>
      <c r="W93">
        <v>2.1419999999999998E-3</v>
      </c>
      <c r="X93">
        <v>16.43</v>
      </c>
      <c r="Y93">
        <v>25.84</v>
      </c>
      <c r="Z93">
        <v>107.5</v>
      </c>
      <c r="AA93">
        <v>830.9</v>
      </c>
      <c r="AB93">
        <v>0.12570000000000001</v>
      </c>
      <c r="AC93">
        <v>0.19969999999999999</v>
      </c>
      <c r="AD93">
        <v>0.28460000000000002</v>
      </c>
      <c r="AE93">
        <v>0.14760000000000001</v>
      </c>
      <c r="AF93">
        <v>0.25559999999999999</v>
      </c>
      <c r="AG93">
        <v>6.8279999999999993E-2</v>
      </c>
    </row>
    <row r="94" spans="1:33">
      <c r="A94">
        <v>93</v>
      </c>
      <c r="B94">
        <v>861853</v>
      </c>
      <c r="C94" t="s">
        <v>1</v>
      </c>
      <c r="D94">
        <v>13.71</v>
      </c>
      <c r="E94">
        <v>14.76</v>
      </c>
      <c r="F94">
        <v>84.74</v>
      </c>
      <c r="G94">
        <v>551.70000000000005</v>
      </c>
      <c r="H94">
        <v>7.3550000000000004E-2</v>
      </c>
      <c r="I94">
        <v>5.0549999999999998E-2</v>
      </c>
      <c r="J94">
        <v>3.261E-2</v>
      </c>
      <c r="K94">
        <v>2.648E-2</v>
      </c>
      <c r="L94">
        <v>0.1386</v>
      </c>
      <c r="M94">
        <v>5.3179999999999998E-2</v>
      </c>
      <c r="N94">
        <v>0.40570000000000001</v>
      </c>
      <c r="O94">
        <v>1.153</v>
      </c>
      <c r="P94">
        <v>2.7010000000000001</v>
      </c>
      <c r="Q94">
        <v>36.35</v>
      </c>
      <c r="R94">
        <v>4.4809999999999997E-3</v>
      </c>
      <c r="S94">
        <v>1.038E-2</v>
      </c>
      <c r="T94">
        <v>1.358E-2</v>
      </c>
      <c r="U94">
        <v>1.082E-2</v>
      </c>
      <c r="V94">
        <v>1.069E-2</v>
      </c>
      <c r="W94">
        <v>1.4350000000000001E-3</v>
      </c>
      <c r="X94">
        <v>16.36</v>
      </c>
      <c r="Y94">
        <v>22.35</v>
      </c>
      <c r="Z94">
        <v>104.5</v>
      </c>
      <c r="AA94">
        <v>830.6</v>
      </c>
      <c r="AB94">
        <v>0.10059999999999999</v>
      </c>
      <c r="AC94">
        <v>0.12379999999999999</v>
      </c>
      <c r="AD94">
        <v>0.13500000000000001</v>
      </c>
      <c r="AE94">
        <v>0.10009999999999999</v>
      </c>
      <c r="AF94">
        <v>0.20269999999999999</v>
      </c>
      <c r="AG94">
        <v>6.2059999999999997E-2</v>
      </c>
    </row>
    <row r="95" spans="1:33">
      <c r="A95">
        <v>94</v>
      </c>
      <c r="B95">
        <v>862009</v>
      </c>
      <c r="C95" t="s">
        <v>1</v>
      </c>
      <c r="D95">
        <v>13.71</v>
      </c>
      <c r="E95">
        <v>18.3</v>
      </c>
      <c r="F95">
        <v>86.6</v>
      </c>
      <c r="G95">
        <v>555.1</v>
      </c>
      <c r="H95">
        <v>0.1022</v>
      </c>
      <c r="I95">
        <v>8.165E-2</v>
      </c>
      <c r="J95">
        <v>3.9739999999999998E-2</v>
      </c>
      <c r="K95">
        <v>2.7799999999999998E-2</v>
      </c>
      <c r="L95">
        <v>0.1638</v>
      </c>
      <c r="M95">
        <v>5.7099999999999998E-2</v>
      </c>
      <c r="N95">
        <v>0.29499999999999998</v>
      </c>
      <c r="O95">
        <v>1.373</v>
      </c>
      <c r="P95">
        <v>2.0990000000000002</v>
      </c>
      <c r="Q95">
        <v>25.22</v>
      </c>
      <c r="R95">
        <v>5.8840000000000003E-3</v>
      </c>
      <c r="S95">
        <v>1.491E-2</v>
      </c>
      <c r="T95">
        <v>1.8720000000000001E-2</v>
      </c>
      <c r="U95">
        <v>9.3659999999999993E-3</v>
      </c>
      <c r="V95">
        <v>1.8839999999999999E-2</v>
      </c>
      <c r="W95">
        <v>1.817E-3</v>
      </c>
      <c r="X95">
        <v>15.1</v>
      </c>
      <c r="Y95">
        <v>25.94</v>
      </c>
      <c r="Z95">
        <v>97.59</v>
      </c>
      <c r="AA95">
        <v>699.4</v>
      </c>
      <c r="AB95">
        <v>0.13389999999999999</v>
      </c>
      <c r="AC95">
        <v>0.17510000000000001</v>
      </c>
      <c r="AD95">
        <v>0.1381</v>
      </c>
      <c r="AE95">
        <v>7.911E-2</v>
      </c>
      <c r="AF95">
        <v>0.26779999999999998</v>
      </c>
      <c r="AG95">
        <v>6.6030000000000005E-2</v>
      </c>
    </row>
    <row r="96" spans="1:33">
      <c r="A96">
        <v>95</v>
      </c>
      <c r="B96">
        <v>862028</v>
      </c>
      <c r="C96" t="s">
        <v>0</v>
      </c>
      <c r="D96">
        <v>13.71</v>
      </c>
      <c r="E96">
        <v>19.829999999999998</v>
      </c>
      <c r="F96">
        <v>100.3</v>
      </c>
      <c r="G96">
        <v>705.6</v>
      </c>
      <c r="H96">
        <v>0.10390000000000001</v>
      </c>
      <c r="I96">
        <v>0.15529999999999999</v>
      </c>
      <c r="J96">
        <v>0.17</v>
      </c>
      <c r="K96">
        <v>8.8150000000000006E-2</v>
      </c>
      <c r="L96">
        <v>0.1855</v>
      </c>
      <c r="M96">
        <v>6.2839999999999993E-2</v>
      </c>
      <c r="N96">
        <v>0.4768</v>
      </c>
      <c r="O96">
        <v>0.96440000000000003</v>
      </c>
      <c r="P96">
        <v>3.706</v>
      </c>
      <c r="Q96">
        <v>47.14</v>
      </c>
      <c r="R96">
        <v>9.2499999999999995E-3</v>
      </c>
      <c r="S96">
        <v>3.7150000000000002E-2</v>
      </c>
      <c r="T96">
        <v>4.8669999999999998E-2</v>
      </c>
      <c r="U96">
        <v>1.8509999999999999E-2</v>
      </c>
      <c r="V96">
        <v>1.498E-2</v>
      </c>
      <c r="W96">
        <v>3.5200000000000001E-3</v>
      </c>
      <c r="X96">
        <v>18.23</v>
      </c>
      <c r="Y96">
        <v>24.23</v>
      </c>
      <c r="Z96">
        <v>123.5</v>
      </c>
      <c r="AA96">
        <v>1025</v>
      </c>
      <c r="AB96">
        <v>0.15509999999999999</v>
      </c>
      <c r="AC96">
        <v>0.42030000000000001</v>
      </c>
      <c r="AD96">
        <v>0.52029999999999998</v>
      </c>
      <c r="AE96">
        <v>0.21149999999999999</v>
      </c>
      <c r="AF96">
        <v>0.28339999999999999</v>
      </c>
      <c r="AG96">
        <v>8.2339999999999997E-2</v>
      </c>
    </row>
    <row r="97" spans="1:33">
      <c r="A97">
        <v>96</v>
      </c>
      <c r="B97">
        <v>86208</v>
      </c>
      <c r="C97" t="s">
        <v>0</v>
      </c>
      <c r="D97">
        <v>13.71</v>
      </c>
      <c r="E97">
        <v>23.03</v>
      </c>
      <c r="F97">
        <v>132.4</v>
      </c>
      <c r="G97">
        <v>1264</v>
      </c>
      <c r="H97">
        <v>9.078E-2</v>
      </c>
      <c r="I97">
        <v>0.1313</v>
      </c>
      <c r="J97">
        <v>0.14649999999999999</v>
      </c>
      <c r="K97">
        <v>8.6830000000000004E-2</v>
      </c>
      <c r="L97">
        <v>0.20949999999999999</v>
      </c>
      <c r="M97">
        <v>5.6489999999999999E-2</v>
      </c>
      <c r="N97">
        <v>0.75760000000000005</v>
      </c>
      <c r="O97">
        <v>1.5089999999999999</v>
      </c>
      <c r="P97">
        <v>4.5540000000000003</v>
      </c>
      <c r="Q97">
        <v>87.87</v>
      </c>
      <c r="R97">
        <v>6.0159999999999996E-3</v>
      </c>
      <c r="S97">
        <v>3.4819999999999997E-2</v>
      </c>
      <c r="T97">
        <v>4.2320000000000003E-2</v>
      </c>
      <c r="U97">
        <v>1.269E-2</v>
      </c>
      <c r="V97">
        <v>2.657E-2</v>
      </c>
      <c r="W97">
        <v>4.411E-3</v>
      </c>
      <c r="X97">
        <v>24.22</v>
      </c>
      <c r="Y97">
        <v>31.59</v>
      </c>
      <c r="Z97">
        <v>156.1</v>
      </c>
      <c r="AA97">
        <v>1750</v>
      </c>
      <c r="AB97">
        <v>0.11899999999999999</v>
      </c>
      <c r="AC97">
        <v>0.35389999999999999</v>
      </c>
      <c r="AD97">
        <v>0.4098</v>
      </c>
      <c r="AE97">
        <v>0.1573</v>
      </c>
      <c r="AF97">
        <v>0.36890000000000001</v>
      </c>
      <c r="AG97">
        <v>8.3680000000000004E-2</v>
      </c>
    </row>
    <row r="98" spans="1:33">
      <c r="A98">
        <v>97</v>
      </c>
      <c r="B98">
        <v>86211</v>
      </c>
      <c r="C98" t="s">
        <v>1</v>
      </c>
      <c r="D98">
        <v>13.71</v>
      </c>
      <c r="E98">
        <v>17.84</v>
      </c>
      <c r="F98">
        <v>77.790000000000006</v>
      </c>
      <c r="G98">
        <v>451.1</v>
      </c>
      <c r="H98">
        <v>0.1045</v>
      </c>
      <c r="I98">
        <v>7.0569999999999994E-2</v>
      </c>
      <c r="J98">
        <v>2.4899999999999999E-2</v>
      </c>
      <c r="K98">
        <v>2.9409999999999999E-2</v>
      </c>
      <c r="L98">
        <v>0.19</v>
      </c>
      <c r="M98">
        <v>6.6350000000000006E-2</v>
      </c>
      <c r="N98">
        <v>0.36609999999999998</v>
      </c>
      <c r="O98">
        <v>1.5109999999999999</v>
      </c>
      <c r="P98">
        <v>2.41</v>
      </c>
      <c r="Q98">
        <v>24.44</v>
      </c>
      <c r="R98">
        <v>5.4330000000000003E-3</v>
      </c>
      <c r="S98">
        <v>1.179E-2</v>
      </c>
      <c r="T98">
        <v>1.1310000000000001E-2</v>
      </c>
      <c r="U98">
        <v>1.519E-2</v>
      </c>
      <c r="V98">
        <v>2.2200000000000001E-2</v>
      </c>
      <c r="W98">
        <v>3.408E-3</v>
      </c>
      <c r="X98">
        <v>12.83</v>
      </c>
      <c r="Y98">
        <v>20.92</v>
      </c>
      <c r="Z98">
        <v>82.14</v>
      </c>
      <c r="AA98">
        <v>495.2</v>
      </c>
      <c r="AB98">
        <v>0.114</v>
      </c>
      <c r="AC98">
        <v>9.3579999999999997E-2</v>
      </c>
      <c r="AD98">
        <v>4.9799999999999997E-2</v>
      </c>
      <c r="AE98">
        <v>5.8819999999999997E-2</v>
      </c>
      <c r="AF98">
        <v>0.22270000000000001</v>
      </c>
      <c r="AG98">
        <v>7.3760000000000006E-2</v>
      </c>
    </row>
    <row r="99" spans="1:33">
      <c r="A99">
        <v>98</v>
      </c>
      <c r="B99">
        <v>862261</v>
      </c>
      <c r="C99" t="s">
        <v>1</v>
      </c>
      <c r="D99">
        <v>13.71</v>
      </c>
      <c r="E99">
        <v>19.940000000000001</v>
      </c>
      <c r="F99">
        <v>62.11</v>
      </c>
      <c r="G99">
        <v>294.5</v>
      </c>
      <c r="H99">
        <v>0.1024</v>
      </c>
      <c r="I99">
        <v>5.3010000000000002E-2</v>
      </c>
      <c r="J99">
        <v>6.829E-3</v>
      </c>
      <c r="K99">
        <v>7.9369999999999996E-3</v>
      </c>
      <c r="L99">
        <v>0.13500000000000001</v>
      </c>
      <c r="M99">
        <v>6.8900000000000003E-2</v>
      </c>
      <c r="N99">
        <v>0.33500000000000002</v>
      </c>
      <c r="O99">
        <v>2.0430000000000001</v>
      </c>
      <c r="P99">
        <v>2.1320000000000001</v>
      </c>
      <c r="Q99">
        <v>20.05</v>
      </c>
      <c r="R99">
        <v>1.1129999999999999E-2</v>
      </c>
      <c r="S99">
        <v>1.4630000000000001E-2</v>
      </c>
      <c r="T99">
        <v>5.3080000000000002E-3</v>
      </c>
      <c r="U99">
        <v>5.2500000000000003E-3</v>
      </c>
      <c r="V99">
        <v>1.8010000000000002E-2</v>
      </c>
      <c r="W99">
        <v>5.6670000000000002E-3</v>
      </c>
      <c r="X99">
        <v>10.92</v>
      </c>
      <c r="Y99">
        <v>26.29</v>
      </c>
      <c r="Z99">
        <v>68.81</v>
      </c>
      <c r="AA99">
        <v>366.1</v>
      </c>
      <c r="AB99">
        <v>0.13159999999999999</v>
      </c>
      <c r="AC99">
        <v>9.4729999999999995E-2</v>
      </c>
      <c r="AD99">
        <v>2.0490000000000001E-2</v>
      </c>
      <c r="AE99">
        <v>2.3810000000000001E-2</v>
      </c>
      <c r="AF99">
        <v>0.19339999999999999</v>
      </c>
      <c r="AG99">
        <v>8.9880000000000002E-2</v>
      </c>
    </row>
    <row r="100" spans="1:33">
      <c r="A100">
        <v>99</v>
      </c>
      <c r="B100">
        <v>862485</v>
      </c>
      <c r="C100" t="s">
        <v>1</v>
      </c>
      <c r="D100">
        <v>13.71</v>
      </c>
      <c r="E100">
        <v>12.84</v>
      </c>
      <c r="F100">
        <v>74.34</v>
      </c>
      <c r="G100">
        <v>412.6</v>
      </c>
      <c r="H100">
        <v>8.9829999999999993E-2</v>
      </c>
      <c r="I100">
        <v>7.5249999999999997E-2</v>
      </c>
      <c r="J100">
        <v>4.1959999999999997E-2</v>
      </c>
      <c r="K100">
        <v>3.3500000000000002E-2</v>
      </c>
      <c r="L100">
        <v>0.16200000000000001</v>
      </c>
      <c r="M100">
        <v>6.5820000000000004E-2</v>
      </c>
      <c r="N100">
        <v>0.23150000000000001</v>
      </c>
      <c r="O100">
        <v>0.53910000000000002</v>
      </c>
      <c r="P100">
        <v>1.4750000000000001</v>
      </c>
      <c r="Q100">
        <v>15.75</v>
      </c>
      <c r="R100">
        <v>6.1529999999999996E-3</v>
      </c>
      <c r="S100">
        <v>1.3299999999999999E-2</v>
      </c>
      <c r="T100">
        <v>1.6930000000000001E-2</v>
      </c>
      <c r="U100">
        <v>6.8840000000000004E-3</v>
      </c>
      <c r="V100">
        <v>1.651E-2</v>
      </c>
      <c r="W100">
        <v>2.5509999999999999E-3</v>
      </c>
      <c r="X100">
        <v>13.06</v>
      </c>
      <c r="Y100">
        <v>17.16</v>
      </c>
      <c r="Z100">
        <v>82.96</v>
      </c>
      <c r="AA100">
        <v>512.5</v>
      </c>
      <c r="AB100">
        <v>0.1431</v>
      </c>
      <c r="AC100">
        <v>0.18509999999999999</v>
      </c>
      <c r="AD100">
        <v>0.19220000000000001</v>
      </c>
      <c r="AE100">
        <v>8.4489999999999996E-2</v>
      </c>
      <c r="AF100">
        <v>0.2772</v>
      </c>
      <c r="AG100">
        <v>8.7559999999999999E-2</v>
      </c>
    </row>
    <row r="101" spans="1:33">
      <c r="A101">
        <v>100</v>
      </c>
      <c r="B101">
        <v>862548</v>
      </c>
      <c r="C101" t="s">
        <v>0</v>
      </c>
      <c r="D101">
        <v>13.71</v>
      </c>
      <c r="E101">
        <v>19.77</v>
      </c>
      <c r="F101">
        <v>94.48</v>
      </c>
      <c r="G101">
        <v>642.5</v>
      </c>
      <c r="H101">
        <v>9.7519999999999996E-2</v>
      </c>
      <c r="I101">
        <v>0.11409999999999999</v>
      </c>
      <c r="J101">
        <v>9.3880000000000005E-2</v>
      </c>
      <c r="K101">
        <v>5.8389999999999997E-2</v>
      </c>
      <c r="L101">
        <v>0.18790000000000001</v>
      </c>
      <c r="M101">
        <v>6.3899999999999998E-2</v>
      </c>
      <c r="N101">
        <v>0.28949999999999998</v>
      </c>
      <c r="O101">
        <v>1.851</v>
      </c>
      <c r="P101">
        <v>2.3759999999999999</v>
      </c>
      <c r="Q101">
        <v>26.85</v>
      </c>
      <c r="R101">
        <v>8.005E-3</v>
      </c>
      <c r="S101">
        <v>2.895E-2</v>
      </c>
      <c r="T101">
        <v>3.3210000000000003E-2</v>
      </c>
      <c r="U101">
        <v>1.4239999999999999E-2</v>
      </c>
      <c r="V101">
        <v>1.4619999999999999E-2</v>
      </c>
      <c r="W101">
        <v>4.4520000000000002E-3</v>
      </c>
      <c r="X101">
        <v>16.329999999999998</v>
      </c>
      <c r="Y101">
        <v>30.86</v>
      </c>
      <c r="Z101">
        <v>109.5</v>
      </c>
      <c r="AA101">
        <v>826.4</v>
      </c>
      <c r="AB101">
        <v>0.1431</v>
      </c>
      <c r="AC101">
        <v>0.30259999999999998</v>
      </c>
      <c r="AD101">
        <v>0.31940000000000002</v>
      </c>
      <c r="AE101">
        <v>0.1565</v>
      </c>
      <c r="AF101">
        <v>0.27179999999999999</v>
      </c>
      <c r="AG101">
        <v>9.3530000000000002E-2</v>
      </c>
    </row>
    <row r="102" spans="1:33">
      <c r="A102">
        <v>101</v>
      </c>
      <c r="B102">
        <v>862717</v>
      </c>
      <c r="C102" t="s">
        <v>0</v>
      </c>
      <c r="D102">
        <v>13.71</v>
      </c>
      <c r="E102">
        <v>24.98</v>
      </c>
      <c r="F102">
        <v>88.05</v>
      </c>
      <c r="G102">
        <v>582.70000000000005</v>
      </c>
      <c r="H102">
        <v>9.4880000000000006E-2</v>
      </c>
      <c r="I102">
        <v>8.5110000000000005E-2</v>
      </c>
      <c r="J102">
        <v>8.6249999999999993E-2</v>
      </c>
      <c r="K102">
        <v>4.4889999999999999E-2</v>
      </c>
      <c r="L102">
        <v>0.16089999999999999</v>
      </c>
      <c r="M102">
        <v>5.8709999999999998E-2</v>
      </c>
      <c r="N102">
        <v>0.45650000000000002</v>
      </c>
      <c r="O102">
        <v>1.29</v>
      </c>
      <c r="P102">
        <v>2.8610000000000002</v>
      </c>
      <c r="Q102">
        <v>43.14</v>
      </c>
      <c r="R102">
        <v>5.8719999999999996E-3</v>
      </c>
      <c r="S102">
        <v>1.4880000000000001E-2</v>
      </c>
      <c r="T102">
        <v>2.647E-2</v>
      </c>
      <c r="U102">
        <v>9.9209999999999993E-3</v>
      </c>
      <c r="V102">
        <v>1.465E-2</v>
      </c>
      <c r="W102">
        <v>2.3549999999999999E-3</v>
      </c>
      <c r="X102">
        <v>16.989999999999998</v>
      </c>
      <c r="Y102">
        <v>35.270000000000003</v>
      </c>
      <c r="Z102">
        <v>108.6</v>
      </c>
      <c r="AA102">
        <v>906.5</v>
      </c>
      <c r="AB102">
        <v>0.1265</v>
      </c>
      <c r="AC102">
        <v>0.1943</v>
      </c>
      <c r="AD102">
        <v>0.31690000000000002</v>
      </c>
      <c r="AE102">
        <v>0.11840000000000001</v>
      </c>
      <c r="AF102">
        <v>0.2651</v>
      </c>
      <c r="AG102">
        <v>7.3969999999999994E-2</v>
      </c>
    </row>
    <row r="103" spans="1:33">
      <c r="A103">
        <v>102</v>
      </c>
      <c r="B103">
        <v>862722</v>
      </c>
      <c r="C103" t="s">
        <v>1</v>
      </c>
      <c r="D103">
        <v>13.71</v>
      </c>
      <c r="E103">
        <v>13.43</v>
      </c>
      <c r="F103">
        <v>43.79</v>
      </c>
      <c r="G103">
        <v>143.5</v>
      </c>
      <c r="H103">
        <v>0.11700000000000001</v>
      </c>
      <c r="I103">
        <v>7.5679999999999997E-2</v>
      </c>
      <c r="J103">
        <v>0</v>
      </c>
      <c r="K103">
        <v>0</v>
      </c>
      <c r="L103">
        <v>0.193</v>
      </c>
      <c r="M103">
        <v>7.8179999999999999E-2</v>
      </c>
      <c r="N103">
        <v>0.22409999999999999</v>
      </c>
      <c r="O103">
        <v>1.508</v>
      </c>
      <c r="P103">
        <v>1.5529999999999999</v>
      </c>
      <c r="Q103">
        <v>9.8330000000000002</v>
      </c>
      <c r="R103">
        <v>1.0189999999999999E-2</v>
      </c>
      <c r="S103">
        <v>1.0840000000000001E-2</v>
      </c>
      <c r="T103">
        <v>0</v>
      </c>
      <c r="U103">
        <v>0</v>
      </c>
      <c r="V103">
        <v>2.6589999999999999E-2</v>
      </c>
      <c r="W103">
        <v>4.1000000000000003E-3</v>
      </c>
      <c r="X103">
        <v>7.93</v>
      </c>
      <c r="Y103">
        <v>19.54</v>
      </c>
      <c r="Z103">
        <v>50.41</v>
      </c>
      <c r="AA103">
        <v>185.2</v>
      </c>
      <c r="AB103">
        <v>0.15840000000000001</v>
      </c>
      <c r="AC103">
        <v>0.1202</v>
      </c>
      <c r="AD103">
        <v>0</v>
      </c>
      <c r="AE103">
        <v>0</v>
      </c>
      <c r="AF103">
        <v>0.29320000000000002</v>
      </c>
      <c r="AG103">
        <v>9.3820000000000001E-2</v>
      </c>
    </row>
    <row r="104" spans="1:33">
      <c r="A104">
        <v>103</v>
      </c>
      <c r="B104">
        <v>862965</v>
      </c>
      <c r="C104" t="s">
        <v>1</v>
      </c>
      <c r="D104">
        <v>13.71</v>
      </c>
      <c r="E104">
        <v>20.52</v>
      </c>
      <c r="F104">
        <v>77.22</v>
      </c>
      <c r="G104">
        <v>458.7</v>
      </c>
      <c r="H104">
        <v>8.0130000000000007E-2</v>
      </c>
      <c r="I104">
        <v>4.0379999999999999E-2</v>
      </c>
      <c r="J104">
        <v>2.383E-2</v>
      </c>
      <c r="K104">
        <v>1.77E-2</v>
      </c>
      <c r="L104">
        <v>0.1739</v>
      </c>
      <c r="M104">
        <v>5.6770000000000001E-2</v>
      </c>
      <c r="N104">
        <v>0.19239999999999999</v>
      </c>
      <c r="O104">
        <v>1.571</v>
      </c>
      <c r="P104">
        <v>1.1830000000000001</v>
      </c>
      <c r="Q104">
        <v>14.68</v>
      </c>
      <c r="R104">
        <v>5.0800000000000003E-3</v>
      </c>
      <c r="S104">
        <v>6.0980000000000001E-3</v>
      </c>
      <c r="T104">
        <v>1.069E-2</v>
      </c>
      <c r="U104">
        <v>6.7970000000000001E-3</v>
      </c>
      <c r="V104">
        <v>1.447E-2</v>
      </c>
      <c r="W104">
        <v>1.5319999999999999E-3</v>
      </c>
      <c r="X104">
        <v>13.34</v>
      </c>
      <c r="Y104">
        <v>32.840000000000003</v>
      </c>
      <c r="Z104">
        <v>84.58</v>
      </c>
      <c r="AA104">
        <v>547.79999999999995</v>
      </c>
      <c r="AB104">
        <v>0.1123</v>
      </c>
      <c r="AC104">
        <v>8.8620000000000004E-2</v>
      </c>
      <c r="AD104">
        <v>0.1145</v>
      </c>
      <c r="AE104">
        <v>7.4310000000000001E-2</v>
      </c>
      <c r="AF104">
        <v>0.26939999999999997</v>
      </c>
      <c r="AG104">
        <v>6.8779999999999994E-2</v>
      </c>
    </row>
    <row r="105" spans="1:33">
      <c r="A105">
        <v>104</v>
      </c>
      <c r="B105">
        <v>862980</v>
      </c>
      <c r="C105" t="s">
        <v>1</v>
      </c>
      <c r="D105">
        <v>13.71</v>
      </c>
      <c r="E105">
        <v>19.399999999999999</v>
      </c>
      <c r="F105">
        <v>63.95</v>
      </c>
      <c r="G105">
        <v>298.3</v>
      </c>
      <c r="H105">
        <v>0.10050000000000001</v>
      </c>
      <c r="I105">
        <v>9.6970000000000001E-2</v>
      </c>
      <c r="J105">
        <v>6.1539999999999997E-2</v>
      </c>
      <c r="K105">
        <v>3.0290000000000001E-2</v>
      </c>
      <c r="L105">
        <v>0.19450000000000001</v>
      </c>
      <c r="M105">
        <v>6.3219999999999998E-2</v>
      </c>
      <c r="N105">
        <v>0.18029999999999999</v>
      </c>
      <c r="O105">
        <v>1.222</v>
      </c>
      <c r="P105">
        <v>1.528</v>
      </c>
      <c r="Q105">
        <v>11.77</v>
      </c>
      <c r="R105">
        <v>9.0580000000000001E-3</v>
      </c>
      <c r="S105">
        <v>2.196E-2</v>
      </c>
      <c r="T105">
        <v>3.0290000000000001E-2</v>
      </c>
      <c r="U105">
        <v>1.112E-2</v>
      </c>
      <c r="V105">
        <v>1.609E-2</v>
      </c>
      <c r="W105">
        <v>3.5699999999999998E-3</v>
      </c>
      <c r="X105">
        <v>10.76</v>
      </c>
      <c r="Y105">
        <v>26.83</v>
      </c>
      <c r="Z105">
        <v>72.22</v>
      </c>
      <c r="AA105">
        <v>361.2</v>
      </c>
      <c r="AB105">
        <v>0.15590000000000001</v>
      </c>
      <c r="AC105">
        <v>0.23019999999999999</v>
      </c>
      <c r="AD105">
        <v>0.26440000000000002</v>
      </c>
      <c r="AE105">
        <v>9.7489999999999993E-2</v>
      </c>
      <c r="AF105">
        <v>0.26219999999999999</v>
      </c>
      <c r="AG105">
        <v>8.4900000000000003E-2</v>
      </c>
    </row>
    <row r="106" spans="1:33">
      <c r="A106">
        <v>105</v>
      </c>
      <c r="B106">
        <v>862989</v>
      </c>
      <c r="C106" t="s">
        <v>1</v>
      </c>
      <c r="D106">
        <v>13.71</v>
      </c>
      <c r="E106">
        <v>19.29</v>
      </c>
      <c r="F106">
        <v>67.41</v>
      </c>
      <c r="G106">
        <v>336.1</v>
      </c>
      <c r="H106">
        <v>9.9890000000000007E-2</v>
      </c>
      <c r="I106">
        <v>8.5779999999999995E-2</v>
      </c>
      <c r="J106">
        <v>2.9950000000000001E-2</v>
      </c>
      <c r="K106">
        <v>1.201E-2</v>
      </c>
      <c r="L106">
        <v>0.22170000000000001</v>
      </c>
      <c r="M106">
        <v>6.4810000000000006E-2</v>
      </c>
      <c r="N106">
        <v>0.35499999999999998</v>
      </c>
      <c r="O106">
        <v>1.534</v>
      </c>
      <c r="P106">
        <v>2.302</v>
      </c>
      <c r="Q106">
        <v>23.13</v>
      </c>
      <c r="R106">
        <v>7.5950000000000002E-3</v>
      </c>
      <c r="S106">
        <v>2.2190000000000001E-2</v>
      </c>
      <c r="T106">
        <v>2.8799999999999999E-2</v>
      </c>
      <c r="U106">
        <v>8.6140000000000001E-3</v>
      </c>
      <c r="V106">
        <v>2.7099999999999999E-2</v>
      </c>
      <c r="W106">
        <v>3.4510000000000001E-3</v>
      </c>
      <c r="X106">
        <v>11.54</v>
      </c>
      <c r="Y106">
        <v>23.31</v>
      </c>
      <c r="Z106">
        <v>74.22</v>
      </c>
      <c r="AA106">
        <v>402.8</v>
      </c>
      <c r="AB106">
        <v>0.12189999999999999</v>
      </c>
      <c r="AC106">
        <v>0.14860000000000001</v>
      </c>
      <c r="AD106">
        <v>7.9869999999999997E-2</v>
      </c>
      <c r="AE106">
        <v>3.2030000000000003E-2</v>
      </c>
      <c r="AF106">
        <v>0.28260000000000002</v>
      </c>
      <c r="AG106">
        <v>7.5520000000000004E-2</v>
      </c>
    </row>
    <row r="107" spans="1:33">
      <c r="A107">
        <v>106</v>
      </c>
      <c r="B107">
        <v>863030</v>
      </c>
      <c r="C107" t="s">
        <v>0</v>
      </c>
      <c r="D107">
        <v>13.71</v>
      </c>
      <c r="E107">
        <v>15.56</v>
      </c>
      <c r="F107">
        <v>87.21</v>
      </c>
      <c r="G107">
        <v>530.20000000000005</v>
      </c>
      <c r="H107">
        <v>0.13980000000000001</v>
      </c>
      <c r="I107">
        <v>0.17649999999999999</v>
      </c>
      <c r="J107">
        <v>0.20710000000000001</v>
      </c>
      <c r="K107">
        <v>9.6009999999999998E-2</v>
      </c>
      <c r="L107">
        <v>0.1925</v>
      </c>
      <c r="M107">
        <v>7.6920000000000002E-2</v>
      </c>
      <c r="N107">
        <v>0.39079999999999998</v>
      </c>
      <c r="O107">
        <v>0.92379999999999995</v>
      </c>
      <c r="P107">
        <v>2.41</v>
      </c>
      <c r="Q107">
        <v>34.659999999999997</v>
      </c>
      <c r="R107">
        <v>7.162E-3</v>
      </c>
      <c r="S107">
        <v>2.912E-2</v>
      </c>
      <c r="T107">
        <v>5.4730000000000001E-2</v>
      </c>
      <c r="U107">
        <v>1.388E-2</v>
      </c>
      <c r="V107">
        <v>1.5469999999999999E-2</v>
      </c>
      <c r="W107">
        <v>7.0980000000000001E-3</v>
      </c>
      <c r="X107">
        <v>16.309999999999999</v>
      </c>
      <c r="Y107">
        <v>22.4</v>
      </c>
      <c r="Z107">
        <v>106.4</v>
      </c>
      <c r="AA107">
        <v>827.2</v>
      </c>
      <c r="AB107">
        <v>0.1862</v>
      </c>
      <c r="AC107">
        <v>0.40989999999999999</v>
      </c>
      <c r="AD107">
        <v>0.63759999999999994</v>
      </c>
      <c r="AE107">
        <v>0.1986</v>
      </c>
      <c r="AF107">
        <v>0.31469999999999998</v>
      </c>
      <c r="AG107">
        <v>0.14050000000000001</v>
      </c>
    </row>
    <row r="108" spans="1:33">
      <c r="A108">
        <v>107</v>
      </c>
      <c r="B108">
        <v>863031</v>
      </c>
      <c r="C108" t="s">
        <v>1</v>
      </c>
      <c r="D108">
        <v>13.71</v>
      </c>
      <c r="E108">
        <v>18.329999999999998</v>
      </c>
      <c r="F108">
        <v>75.17</v>
      </c>
      <c r="G108">
        <v>412.5</v>
      </c>
      <c r="H108">
        <v>0.1142</v>
      </c>
      <c r="I108">
        <v>0.1017</v>
      </c>
      <c r="J108">
        <v>7.0699999999999999E-2</v>
      </c>
      <c r="K108">
        <v>3.4849999999999999E-2</v>
      </c>
      <c r="L108">
        <v>0.18010000000000001</v>
      </c>
      <c r="M108">
        <v>6.5199999999999994E-2</v>
      </c>
      <c r="N108">
        <v>0.30599999999999999</v>
      </c>
      <c r="O108">
        <v>1.657</v>
      </c>
      <c r="P108">
        <v>2.1549999999999998</v>
      </c>
      <c r="Q108">
        <v>20.62</v>
      </c>
      <c r="R108">
        <v>8.5400000000000007E-3</v>
      </c>
      <c r="S108">
        <v>2.3099999999999999E-2</v>
      </c>
      <c r="T108">
        <v>2.945E-2</v>
      </c>
      <c r="U108">
        <v>1.3979999999999999E-2</v>
      </c>
      <c r="V108">
        <v>1.5650000000000001E-2</v>
      </c>
      <c r="W108">
        <v>3.8400000000000001E-3</v>
      </c>
      <c r="X108">
        <v>13.14</v>
      </c>
      <c r="Y108">
        <v>29.26</v>
      </c>
      <c r="Z108">
        <v>85.51</v>
      </c>
      <c r="AA108">
        <v>521.70000000000005</v>
      </c>
      <c r="AB108">
        <v>0.16880000000000001</v>
      </c>
      <c r="AC108">
        <v>0.26600000000000001</v>
      </c>
      <c r="AD108">
        <v>0.2873</v>
      </c>
      <c r="AE108">
        <v>0.12180000000000001</v>
      </c>
      <c r="AF108">
        <v>0.28060000000000002</v>
      </c>
      <c r="AG108">
        <v>9.0969999999999995E-2</v>
      </c>
    </row>
    <row r="109" spans="1:33">
      <c r="A109">
        <v>108</v>
      </c>
      <c r="B109">
        <v>863270</v>
      </c>
      <c r="C109" t="s">
        <v>1</v>
      </c>
      <c r="D109">
        <v>13.71</v>
      </c>
      <c r="E109">
        <v>18.54</v>
      </c>
      <c r="F109">
        <v>79.010000000000005</v>
      </c>
      <c r="G109">
        <v>466.7</v>
      </c>
      <c r="H109">
        <v>8.4769999999999998E-2</v>
      </c>
      <c r="I109">
        <v>6.8150000000000002E-2</v>
      </c>
      <c r="J109">
        <v>2.6429999999999999E-2</v>
      </c>
      <c r="K109">
        <v>1.9210000000000001E-2</v>
      </c>
      <c r="L109">
        <v>0.16020000000000001</v>
      </c>
      <c r="M109">
        <v>6.0659999999999999E-2</v>
      </c>
      <c r="N109">
        <v>0.11990000000000001</v>
      </c>
      <c r="O109">
        <v>0.89439999999999997</v>
      </c>
      <c r="P109">
        <v>0.84840000000000004</v>
      </c>
      <c r="Q109">
        <v>9.2270000000000003</v>
      </c>
      <c r="R109">
        <v>3.457E-3</v>
      </c>
      <c r="S109">
        <v>1.047E-2</v>
      </c>
      <c r="T109">
        <v>1.167E-2</v>
      </c>
      <c r="U109">
        <v>5.5579999999999996E-3</v>
      </c>
      <c r="V109">
        <v>1.251E-2</v>
      </c>
      <c r="W109">
        <v>1.356E-3</v>
      </c>
      <c r="X109">
        <v>13.29</v>
      </c>
      <c r="Y109">
        <v>27.49</v>
      </c>
      <c r="Z109">
        <v>85.56</v>
      </c>
      <c r="AA109">
        <v>544.1</v>
      </c>
      <c r="AB109">
        <v>0.11840000000000001</v>
      </c>
      <c r="AC109">
        <v>0.1963</v>
      </c>
      <c r="AD109">
        <v>0.19370000000000001</v>
      </c>
      <c r="AE109">
        <v>8.4419999999999995E-2</v>
      </c>
      <c r="AF109">
        <v>0.29830000000000001</v>
      </c>
      <c r="AG109">
        <v>7.1849999999999997E-2</v>
      </c>
    </row>
    <row r="110" spans="1:33">
      <c r="A110">
        <v>109</v>
      </c>
      <c r="B110">
        <v>86355</v>
      </c>
      <c r="C110" t="s">
        <v>0</v>
      </c>
      <c r="D110">
        <v>13.71</v>
      </c>
      <c r="E110">
        <v>19.670000000000002</v>
      </c>
      <c r="F110">
        <v>152.80000000000001</v>
      </c>
      <c r="G110">
        <v>1509</v>
      </c>
      <c r="H110">
        <v>0.1326</v>
      </c>
      <c r="I110">
        <v>0.27679999999999999</v>
      </c>
      <c r="J110">
        <v>0.4264</v>
      </c>
      <c r="K110">
        <v>0.18229999999999999</v>
      </c>
      <c r="L110">
        <v>0.25559999999999999</v>
      </c>
      <c r="M110">
        <v>7.0389999999999994E-2</v>
      </c>
      <c r="N110">
        <v>1.2150000000000001</v>
      </c>
      <c r="O110">
        <v>1.5449999999999999</v>
      </c>
      <c r="P110">
        <v>10.050000000000001</v>
      </c>
      <c r="Q110">
        <v>170</v>
      </c>
      <c r="R110">
        <v>6.515E-3</v>
      </c>
      <c r="S110">
        <v>8.6679999999999993E-2</v>
      </c>
      <c r="T110">
        <v>0.104</v>
      </c>
      <c r="U110">
        <v>2.4799999999999999E-2</v>
      </c>
      <c r="V110">
        <v>3.1119999999999998E-2</v>
      </c>
      <c r="W110">
        <v>5.0369999999999998E-3</v>
      </c>
      <c r="X110">
        <v>28.4</v>
      </c>
      <c r="Y110">
        <v>28.01</v>
      </c>
      <c r="Z110">
        <v>206.8</v>
      </c>
      <c r="AA110">
        <v>2360</v>
      </c>
      <c r="AB110">
        <v>0.1701</v>
      </c>
      <c r="AC110">
        <v>0.69969999999999999</v>
      </c>
      <c r="AD110">
        <v>0.96079999999999999</v>
      </c>
      <c r="AE110">
        <v>0.29099999999999998</v>
      </c>
      <c r="AF110">
        <v>0.40550000000000003</v>
      </c>
      <c r="AG110">
        <v>9.7890000000000005E-2</v>
      </c>
    </row>
    <row r="111" spans="1:33">
      <c r="A111">
        <v>110</v>
      </c>
      <c r="B111">
        <v>864018</v>
      </c>
      <c r="C111" t="s">
        <v>1</v>
      </c>
      <c r="D111">
        <v>13.71</v>
      </c>
      <c r="E111">
        <v>21.26</v>
      </c>
      <c r="F111">
        <v>72.48</v>
      </c>
      <c r="G111">
        <v>396.5</v>
      </c>
      <c r="H111">
        <v>8.7590000000000001E-2</v>
      </c>
      <c r="I111">
        <v>6.5750000000000003E-2</v>
      </c>
      <c r="J111">
        <v>5.1330000000000001E-2</v>
      </c>
      <c r="K111">
        <v>1.899E-2</v>
      </c>
      <c r="L111">
        <v>0.1487</v>
      </c>
      <c r="M111">
        <v>6.5290000000000001E-2</v>
      </c>
      <c r="N111">
        <v>0.2344</v>
      </c>
      <c r="O111">
        <v>0.98609999999999998</v>
      </c>
      <c r="P111">
        <v>1.597</v>
      </c>
      <c r="Q111">
        <v>16.41</v>
      </c>
      <c r="R111">
        <v>9.1129999999999996E-3</v>
      </c>
      <c r="S111">
        <v>1.5570000000000001E-2</v>
      </c>
      <c r="T111">
        <v>2.443E-2</v>
      </c>
      <c r="U111">
        <v>6.4349999999999997E-3</v>
      </c>
      <c r="V111">
        <v>1.5679999999999999E-2</v>
      </c>
      <c r="W111">
        <v>2.477E-3</v>
      </c>
      <c r="X111">
        <v>13.01</v>
      </c>
      <c r="Y111">
        <v>29.15</v>
      </c>
      <c r="Z111">
        <v>83.99</v>
      </c>
      <c r="AA111">
        <v>518.1</v>
      </c>
      <c r="AB111">
        <v>0.1699</v>
      </c>
      <c r="AC111">
        <v>0.21959999999999999</v>
      </c>
      <c r="AD111">
        <v>0.312</v>
      </c>
      <c r="AE111">
        <v>8.2780000000000006E-2</v>
      </c>
      <c r="AF111">
        <v>0.28289999999999998</v>
      </c>
      <c r="AG111">
        <v>8.8319999999999996E-2</v>
      </c>
    </row>
    <row r="112" spans="1:33">
      <c r="A112">
        <v>111</v>
      </c>
      <c r="B112">
        <v>864033</v>
      </c>
      <c r="C112" t="s">
        <v>1</v>
      </c>
      <c r="D112">
        <v>13.71</v>
      </c>
      <c r="E112">
        <v>16.989999999999998</v>
      </c>
      <c r="F112">
        <v>62.5</v>
      </c>
      <c r="G112">
        <v>290.2</v>
      </c>
      <c r="H112">
        <v>0.1037</v>
      </c>
      <c r="I112">
        <v>8.4040000000000004E-2</v>
      </c>
      <c r="J112">
        <v>4.3339999999999997E-2</v>
      </c>
      <c r="K112">
        <v>1.7780000000000001E-2</v>
      </c>
      <c r="L112">
        <v>0.15840000000000001</v>
      </c>
      <c r="M112">
        <v>7.0650000000000004E-2</v>
      </c>
      <c r="N112">
        <v>0.40300000000000002</v>
      </c>
      <c r="O112">
        <v>1.4239999999999999</v>
      </c>
      <c r="P112">
        <v>2.7469999999999999</v>
      </c>
      <c r="Q112">
        <v>22.87</v>
      </c>
      <c r="R112">
        <v>1.3849999999999999E-2</v>
      </c>
      <c r="S112">
        <v>2.9319999999999999E-2</v>
      </c>
      <c r="T112">
        <v>2.7220000000000001E-2</v>
      </c>
      <c r="U112">
        <v>1.023E-2</v>
      </c>
      <c r="V112">
        <v>3.2809999999999999E-2</v>
      </c>
      <c r="W112">
        <v>4.6379999999999998E-3</v>
      </c>
      <c r="X112">
        <v>11.05</v>
      </c>
      <c r="Y112">
        <v>21.47</v>
      </c>
      <c r="Z112">
        <v>71.680000000000007</v>
      </c>
      <c r="AA112">
        <v>367</v>
      </c>
      <c r="AB112">
        <v>0.1467</v>
      </c>
      <c r="AC112">
        <v>0.17649999999999999</v>
      </c>
      <c r="AD112">
        <v>0.13</v>
      </c>
      <c r="AE112">
        <v>5.3339999999999999E-2</v>
      </c>
      <c r="AF112">
        <v>0.25330000000000003</v>
      </c>
      <c r="AG112">
        <v>8.4680000000000005E-2</v>
      </c>
    </row>
    <row r="113" spans="1:33">
      <c r="A113">
        <v>112</v>
      </c>
      <c r="B113">
        <v>86408</v>
      </c>
      <c r="C113" t="s">
        <v>1</v>
      </c>
      <c r="D113">
        <v>13.71</v>
      </c>
      <c r="E113">
        <v>20.76</v>
      </c>
      <c r="F113">
        <v>82.15</v>
      </c>
      <c r="G113">
        <v>480.4</v>
      </c>
      <c r="H113">
        <v>9.9330000000000002E-2</v>
      </c>
      <c r="I113">
        <v>0.12089999999999999</v>
      </c>
      <c r="J113">
        <v>0.1065</v>
      </c>
      <c r="K113">
        <v>6.021E-2</v>
      </c>
      <c r="L113">
        <v>0.17349999999999999</v>
      </c>
      <c r="M113">
        <v>7.0699999999999999E-2</v>
      </c>
      <c r="N113">
        <v>0.34239999999999998</v>
      </c>
      <c r="O113">
        <v>1.8029999999999999</v>
      </c>
      <c r="P113">
        <v>2.7109999999999999</v>
      </c>
      <c r="Q113">
        <v>20.48</v>
      </c>
      <c r="R113">
        <v>1.291E-2</v>
      </c>
      <c r="S113">
        <v>4.0419999999999998E-2</v>
      </c>
      <c r="T113">
        <v>5.101E-2</v>
      </c>
      <c r="U113">
        <v>2.2950000000000002E-2</v>
      </c>
      <c r="V113">
        <v>2.1440000000000001E-2</v>
      </c>
      <c r="W113">
        <v>5.8910000000000004E-3</v>
      </c>
      <c r="X113">
        <v>13.33</v>
      </c>
      <c r="Y113">
        <v>25.47</v>
      </c>
      <c r="Z113">
        <v>89</v>
      </c>
      <c r="AA113">
        <v>527.4</v>
      </c>
      <c r="AB113">
        <v>0.12870000000000001</v>
      </c>
      <c r="AC113">
        <v>0.22500000000000001</v>
      </c>
      <c r="AD113">
        <v>0.22159999999999999</v>
      </c>
      <c r="AE113">
        <v>0.1105</v>
      </c>
      <c r="AF113">
        <v>0.22259999999999999</v>
      </c>
      <c r="AG113">
        <v>8.4860000000000005E-2</v>
      </c>
    </row>
    <row r="114" spans="1:33">
      <c r="A114">
        <v>113</v>
      </c>
      <c r="B114">
        <v>86409</v>
      </c>
      <c r="C114" t="s">
        <v>1</v>
      </c>
      <c r="D114">
        <v>13.71</v>
      </c>
      <c r="E114">
        <v>19.649999999999999</v>
      </c>
      <c r="F114">
        <v>97.83</v>
      </c>
      <c r="G114">
        <v>629.9</v>
      </c>
      <c r="H114">
        <v>7.8369999999999995E-2</v>
      </c>
      <c r="I114">
        <v>0.2233</v>
      </c>
      <c r="J114">
        <v>0.30030000000000001</v>
      </c>
      <c r="K114">
        <v>7.7979999999999994E-2</v>
      </c>
      <c r="L114">
        <v>0.1704</v>
      </c>
      <c r="M114">
        <v>7.7689999999999995E-2</v>
      </c>
      <c r="N114">
        <v>0.36280000000000001</v>
      </c>
      <c r="O114">
        <v>1.49</v>
      </c>
      <c r="P114">
        <v>3.399</v>
      </c>
      <c r="Q114">
        <v>29.25</v>
      </c>
      <c r="R114">
        <v>5.2979999999999998E-3</v>
      </c>
      <c r="S114">
        <v>7.4459999999999998E-2</v>
      </c>
      <c r="T114">
        <v>0.14349999999999999</v>
      </c>
      <c r="U114">
        <v>2.2919999999999999E-2</v>
      </c>
      <c r="V114">
        <v>2.5659999999999999E-2</v>
      </c>
      <c r="W114">
        <v>1.298E-2</v>
      </c>
      <c r="X114">
        <v>15.3</v>
      </c>
      <c r="Y114">
        <v>23.73</v>
      </c>
      <c r="Z114">
        <v>107</v>
      </c>
      <c r="AA114">
        <v>709</v>
      </c>
      <c r="AB114">
        <v>8.949E-2</v>
      </c>
      <c r="AC114">
        <v>0.41930000000000001</v>
      </c>
      <c r="AD114">
        <v>0.67830000000000001</v>
      </c>
      <c r="AE114">
        <v>0.15049999999999999</v>
      </c>
      <c r="AF114">
        <v>0.23980000000000001</v>
      </c>
      <c r="AG114">
        <v>0.1082</v>
      </c>
    </row>
    <row r="115" spans="1:33">
      <c r="A115">
        <v>114</v>
      </c>
      <c r="B115">
        <v>864292</v>
      </c>
      <c r="C115" t="s">
        <v>1</v>
      </c>
      <c r="D115">
        <v>13.71</v>
      </c>
      <c r="E115">
        <v>20.190000000000001</v>
      </c>
      <c r="F115">
        <v>68.64</v>
      </c>
      <c r="G115">
        <v>334.2</v>
      </c>
      <c r="H115">
        <v>0.11219999999999999</v>
      </c>
      <c r="I115">
        <v>0.1303</v>
      </c>
      <c r="J115">
        <v>6.4759999999999998E-2</v>
      </c>
      <c r="K115">
        <v>3.0679999999999999E-2</v>
      </c>
      <c r="L115">
        <v>0.19220000000000001</v>
      </c>
      <c r="M115">
        <v>7.782E-2</v>
      </c>
      <c r="N115">
        <v>0.33360000000000001</v>
      </c>
      <c r="O115">
        <v>1.86</v>
      </c>
      <c r="P115">
        <v>2.0409999999999999</v>
      </c>
      <c r="Q115">
        <v>19.91</v>
      </c>
      <c r="R115">
        <v>1.188E-2</v>
      </c>
      <c r="S115">
        <v>3.7470000000000003E-2</v>
      </c>
      <c r="T115">
        <v>4.5909999999999999E-2</v>
      </c>
      <c r="U115">
        <v>1.5440000000000001E-2</v>
      </c>
      <c r="V115">
        <v>2.2870000000000001E-2</v>
      </c>
      <c r="W115">
        <v>6.7920000000000003E-3</v>
      </c>
      <c r="X115">
        <v>11.16</v>
      </c>
      <c r="Y115">
        <v>22.75</v>
      </c>
      <c r="Z115">
        <v>72.62</v>
      </c>
      <c r="AA115">
        <v>374.4</v>
      </c>
      <c r="AB115">
        <v>0.13</v>
      </c>
      <c r="AC115">
        <v>0.2049</v>
      </c>
      <c r="AD115">
        <v>0.1295</v>
      </c>
      <c r="AE115">
        <v>6.1359999999999998E-2</v>
      </c>
      <c r="AF115">
        <v>0.23830000000000001</v>
      </c>
      <c r="AG115">
        <v>9.0260000000000007E-2</v>
      </c>
    </row>
    <row r="116" spans="1:33">
      <c r="A116">
        <v>115</v>
      </c>
      <c r="B116">
        <v>864496</v>
      </c>
      <c r="C116" t="s">
        <v>1</v>
      </c>
      <c r="D116">
        <v>13.71</v>
      </c>
      <c r="E116">
        <v>15.83</v>
      </c>
      <c r="F116">
        <v>55.84</v>
      </c>
      <c r="G116">
        <v>230.9</v>
      </c>
      <c r="H116">
        <v>0.115</v>
      </c>
      <c r="I116">
        <v>8.201E-2</v>
      </c>
      <c r="J116">
        <v>4.1320000000000003E-2</v>
      </c>
      <c r="K116">
        <v>1.924E-2</v>
      </c>
      <c r="L116">
        <v>0.16489999999999999</v>
      </c>
      <c r="M116">
        <v>7.6329999999999995E-2</v>
      </c>
      <c r="N116">
        <v>0.16650000000000001</v>
      </c>
      <c r="O116">
        <v>0.58640000000000003</v>
      </c>
      <c r="P116">
        <v>1.3540000000000001</v>
      </c>
      <c r="Q116">
        <v>8.9659999999999993</v>
      </c>
      <c r="R116">
        <v>8.2609999999999992E-3</v>
      </c>
      <c r="S116">
        <v>2.213E-2</v>
      </c>
      <c r="T116">
        <v>3.2590000000000001E-2</v>
      </c>
      <c r="U116">
        <v>1.04E-2</v>
      </c>
      <c r="V116">
        <v>1.7080000000000001E-2</v>
      </c>
      <c r="W116">
        <v>3.8059999999999999E-3</v>
      </c>
      <c r="X116">
        <v>9.6280000000000001</v>
      </c>
      <c r="Y116">
        <v>19.62</v>
      </c>
      <c r="Z116">
        <v>64.48</v>
      </c>
      <c r="AA116">
        <v>284.39999999999998</v>
      </c>
      <c r="AB116">
        <v>0.1724</v>
      </c>
      <c r="AC116">
        <v>0.2364</v>
      </c>
      <c r="AD116">
        <v>0.24560000000000001</v>
      </c>
      <c r="AE116">
        <v>0.105</v>
      </c>
      <c r="AF116">
        <v>0.29260000000000003</v>
      </c>
      <c r="AG116">
        <v>0.1017</v>
      </c>
    </row>
    <row r="117" spans="1:33">
      <c r="A117">
        <v>116</v>
      </c>
      <c r="B117">
        <v>864685</v>
      </c>
      <c r="C117" t="s">
        <v>1</v>
      </c>
      <c r="D117">
        <v>13.71</v>
      </c>
      <c r="E117">
        <v>21.53</v>
      </c>
      <c r="F117">
        <v>76.53</v>
      </c>
      <c r="G117">
        <v>438.6</v>
      </c>
      <c r="H117">
        <v>9.7680000000000003E-2</v>
      </c>
      <c r="I117">
        <v>7.8490000000000004E-2</v>
      </c>
      <c r="J117">
        <v>3.3279999999999997E-2</v>
      </c>
      <c r="K117">
        <v>2.0080000000000001E-2</v>
      </c>
      <c r="L117">
        <v>0.16880000000000001</v>
      </c>
      <c r="M117">
        <v>6.1940000000000002E-2</v>
      </c>
      <c r="N117">
        <v>0.31180000000000002</v>
      </c>
      <c r="O117">
        <v>0.92269999999999996</v>
      </c>
      <c r="P117">
        <v>2</v>
      </c>
      <c r="Q117">
        <v>24.79</v>
      </c>
      <c r="R117">
        <v>7.803E-3</v>
      </c>
      <c r="S117">
        <v>2.5069999999999999E-2</v>
      </c>
      <c r="T117">
        <v>1.8350000000000002E-2</v>
      </c>
      <c r="U117">
        <v>7.711E-3</v>
      </c>
      <c r="V117">
        <v>1.278E-2</v>
      </c>
      <c r="W117">
        <v>3.8560000000000001E-3</v>
      </c>
      <c r="X117">
        <v>13.67</v>
      </c>
      <c r="Y117">
        <v>26.15</v>
      </c>
      <c r="Z117">
        <v>87.54</v>
      </c>
      <c r="AA117">
        <v>583</v>
      </c>
      <c r="AB117">
        <v>0.15</v>
      </c>
      <c r="AC117">
        <v>0.2399</v>
      </c>
      <c r="AD117">
        <v>0.15029999999999999</v>
      </c>
      <c r="AE117">
        <v>7.2470000000000007E-2</v>
      </c>
      <c r="AF117">
        <v>0.24379999999999999</v>
      </c>
      <c r="AG117">
        <v>8.541E-2</v>
      </c>
    </row>
    <row r="118" spans="1:33">
      <c r="A118">
        <v>117</v>
      </c>
      <c r="B118">
        <v>864726</v>
      </c>
      <c r="C118" t="s">
        <v>1</v>
      </c>
      <c r="D118">
        <v>13.71</v>
      </c>
      <c r="E118">
        <v>15.76</v>
      </c>
      <c r="F118">
        <v>58.74</v>
      </c>
      <c r="G118">
        <v>245.2</v>
      </c>
      <c r="H118">
        <v>9.4619999999999996E-2</v>
      </c>
      <c r="I118">
        <v>0.12429999999999999</v>
      </c>
      <c r="J118">
        <v>9.2630000000000004E-2</v>
      </c>
      <c r="K118">
        <v>2.308E-2</v>
      </c>
      <c r="L118">
        <v>0.1305</v>
      </c>
      <c r="M118">
        <v>7.1629999999999999E-2</v>
      </c>
      <c r="N118">
        <v>0.31319999999999998</v>
      </c>
      <c r="O118">
        <v>0.97889999999999999</v>
      </c>
      <c r="P118">
        <v>3.28</v>
      </c>
      <c r="Q118">
        <v>16.940000000000001</v>
      </c>
      <c r="R118">
        <v>1.8350000000000002E-2</v>
      </c>
      <c r="S118">
        <v>6.7599999999999993E-2</v>
      </c>
      <c r="T118">
        <v>9.2630000000000004E-2</v>
      </c>
      <c r="U118">
        <v>2.308E-2</v>
      </c>
      <c r="V118">
        <v>2.384E-2</v>
      </c>
      <c r="W118">
        <v>5.6010000000000001E-3</v>
      </c>
      <c r="X118">
        <v>9.4139999999999997</v>
      </c>
      <c r="Y118">
        <v>17.07</v>
      </c>
      <c r="Z118">
        <v>63.34</v>
      </c>
      <c r="AA118">
        <v>270</v>
      </c>
      <c r="AB118">
        <v>0.1179</v>
      </c>
      <c r="AC118">
        <v>0.18790000000000001</v>
      </c>
      <c r="AD118">
        <v>0.15440000000000001</v>
      </c>
      <c r="AE118">
        <v>3.8460000000000001E-2</v>
      </c>
      <c r="AF118">
        <v>0.16520000000000001</v>
      </c>
      <c r="AG118">
        <v>7.7219999999999997E-2</v>
      </c>
    </row>
    <row r="119" spans="1:33">
      <c r="A119">
        <v>118</v>
      </c>
      <c r="B119">
        <v>864729</v>
      </c>
      <c r="C119" t="s">
        <v>0</v>
      </c>
      <c r="D119">
        <v>13.71</v>
      </c>
      <c r="E119">
        <v>16.670000000000002</v>
      </c>
      <c r="F119">
        <v>98.64</v>
      </c>
      <c r="G119">
        <v>682.5</v>
      </c>
      <c r="H119">
        <v>0.1162</v>
      </c>
      <c r="I119">
        <v>0.16489999999999999</v>
      </c>
      <c r="J119">
        <v>0.16900000000000001</v>
      </c>
      <c r="K119">
        <v>8.9230000000000004E-2</v>
      </c>
      <c r="L119">
        <v>0.2157</v>
      </c>
      <c r="M119">
        <v>6.7680000000000004E-2</v>
      </c>
      <c r="N119">
        <v>0.42659999999999998</v>
      </c>
      <c r="O119">
        <v>0.94889999999999997</v>
      </c>
      <c r="P119">
        <v>2.9889999999999999</v>
      </c>
      <c r="Q119">
        <v>41.18</v>
      </c>
      <c r="R119">
        <v>6.9849999999999999E-3</v>
      </c>
      <c r="S119">
        <v>2.563E-2</v>
      </c>
      <c r="T119">
        <v>3.0110000000000001E-2</v>
      </c>
      <c r="U119">
        <v>1.2710000000000001E-2</v>
      </c>
      <c r="V119">
        <v>1.602E-2</v>
      </c>
      <c r="W119">
        <v>3.8839999999999999E-3</v>
      </c>
      <c r="X119">
        <v>18.809999999999999</v>
      </c>
      <c r="Y119">
        <v>27.37</v>
      </c>
      <c r="Z119">
        <v>127.1</v>
      </c>
      <c r="AA119">
        <v>1095</v>
      </c>
      <c r="AB119">
        <v>0.18779999999999999</v>
      </c>
      <c r="AC119">
        <v>0.44800000000000001</v>
      </c>
      <c r="AD119">
        <v>0.47039999999999998</v>
      </c>
      <c r="AE119">
        <v>0.20269999999999999</v>
      </c>
      <c r="AF119">
        <v>0.35849999999999999</v>
      </c>
      <c r="AG119">
        <v>0.1065</v>
      </c>
    </row>
    <row r="120" spans="1:33">
      <c r="A120">
        <v>119</v>
      </c>
      <c r="B120">
        <v>864877</v>
      </c>
      <c r="C120" t="s">
        <v>0</v>
      </c>
      <c r="D120">
        <v>13.71</v>
      </c>
      <c r="E120">
        <v>22.91</v>
      </c>
      <c r="F120">
        <v>105.7</v>
      </c>
      <c r="G120">
        <v>782.6</v>
      </c>
      <c r="H120">
        <v>0.11550000000000001</v>
      </c>
      <c r="I120">
        <v>0.17519999999999999</v>
      </c>
      <c r="J120">
        <v>0.21329999999999999</v>
      </c>
      <c r="K120">
        <v>9.4789999999999999E-2</v>
      </c>
      <c r="L120">
        <v>0.20960000000000001</v>
      </c>
      <c r="M120">
        <v>7.331E-2</v>
      </c>
      <c r="N120">
        <v>0.55200000000000005</v>
      </c>
      <c r="O120">
        <v>1.0720000000000001</v>
      </c>
      <c r="P120">
        <v>3.5979999999999999</v>
      </c>
      <c r="Q120">
        <v>58.63</v>
      </c>
      <c r="R120">
        <v>8.6990000000000001E-3</v>
      </c>
      <c r="S120">
        <v>3.9759999999999997E-2</v>
      </c>
      <c r="T120">
        <v>5.9499999999999997E-2</v>
      </c>
      <c r="U120">
        <v>1.3899999999999999E-2</v>
      </c>
      <c r="V120">
        <v>1.495E-2</v>
      </c>
      <c r="W120">
        <v>5.9839999999999997E-3</v>
      </c>
      <c r="X120">
        <v>20.190000000000001</v>
      </c>
      <c r="Y120">
        <v>30.5</v>
      </c>
      <c r="Z120">
        <v>130.30000000000001</v>
      </c>
      <c r="AA120">
        <v>1272</v>
      </c>
      <c r="AB120">
        <v>0.1855</v>
      </c>
      <c r="AC120">
        <v>0.49249999999999999</v>
      </c>
      <c r="AD120">
        <v>0.73560000000000003</v>
      </c>
      <c r="AE120">
        <v>0.2034</v>
      </c>
      <c r="AF120">
        <v>0.32740000000000002</v>
      </c>
      <c r="AG120">
        <v>0.12520000000000001</v>
      </c>
    </row>
    <row r="121" spans="1:33">
      <c r="A121">
        <v>120</v>
      </c>
      <c r="B121">
        <v>865128</v>
      </c>
      <c r="C121" t="s">
        <v>0</v>
      </c>
      <c r="D121">
        <v>13.71</v>
      </c>
      <c r="E121">
        <v>20.010000000000002</v>
      </c>
      <c r="F121">
        <v>114.2</v>
      </c>
      <c r="G121">
        <v>982</v>
      </c>
      <c r="H121">
        <v>8.4019999999999997E-2</v>
      </c>
      <c r="I121">
        <v>6.7220000000000002E-2</v>
      </c>
      <c r="J121">
        <v>7.2929999999999995E-2</v>
      </c>
      <c r="K121">
        <v>5.5960000000000003E-2</v>
      </c>
      <c r="L121">
        <v>0.21290000000000001</v>
      </c>
      <c r="M121">
        <v>5.0250000000000003E-2</v>
      </c>
      <c r="N121">
        <v>0.55059999999999998</v>
      </c>
      <c r="O121">
        <v>1.214</v>
      </c>
      <c r="P121">
        <v>3.3570000000000002</v>
      </c>
      <c r="Q121">
        <v>54.04</v>
      </c>
      <c r="R121">
        <v>4.0239999999999998E-3</v>
      </c>
      <c r="S121">
        <v>8.4220000000000007E-3</v>
      </c>
      <c r="T121">
        <v>2.291E-2</v>
      </c>
      <c r="U121">
        <v>9.8630000000000002E-3</v>
      </c>
      <c r="V121">
        <v>5.0139999999999997E-2</v>
      </c>
      <c r="W121">
        <v>1.902E-3</v>
      </c>
      <c r="X121">
        <v>20.58</v>
      </c>
      <c r="Y121">
        <v>27.83</v>
      </c>
      <c r="Z121">
        <v>129.19999999999999</v>
      </c>
      <c r="AA121">
        <v>1261</v>
      </c>
      <c r="AB121">
        <v>0.1072</v>
      </c>
      <c r="AC121">
        <v>0.1202</v>
      </c>
      <c r="AD121">
        <v>0.22489999999999999</v>
      </c>
      <c r="AE121">
        <v>0.11849999999999999</v>
      </c>
      <c r="AF121">
        <v>0.48820000000000002</v>
      </c>
      <c r="AG121">
        <v>6.1109999999999998E-2</v>
      </c>
    </row>
    <row r="122" spans="1:33">
      <c r="A122">
        <v>121</v>
      </c>
      <c r="B122">
        <v>865137</v>
      </c>
      <c r="C122" t="s">
        <v>1</v>
      </c>
      <c r="D122">
        <v>13.71</v>
      </c>
      <c r="E122">
        <v>10.82</v>
      </c>
      <c r="F122">
        <v>73.34</v>
      </c>
      <c r="G122">
        <v>403.3</v>
      </c>
      <c r="H122">
        <v>9.3729999999999994E-2</v>
      </c>
      <c r="I122">
        <v>6.6850000000000007E-2</v>
      </c>
      <c r="J122">
        <v>3.5119999999999998E-2</v>
      </c>
      <c r="K122">
        <v>2.623E-2</v>
      </c>
      <c r="L122">
        <v>0.16669999999999999</v>
      </c>
      <c r="M122">
        <v>6.1129999999999997E-2</v>
      </c>
      <c r="N122">
        <v>0.14080000000000001</v>
      </c>
      <c r="O122">
        <v>0.4607</v>
      </c>
      <c r="P122">
        <v>1.103</v>
      </c>
      <c r="Q122">
        <v>10.5</v>
      </c>
      <c r="R122">
        <v>6.0400000000000002E-3</v>
      </c>
      <c r="S122">
        <v>1.529E-2</v>
      </c>
      <c r="T122">
        <v>1.5140000000000001E-2</v>
      </c>
      <c r="U122">
        <v>6.4599999999999996E-3</v>
      </c>
      <c r="V122">
        <v>1.3440000000000001E-2</v>
      </c>
      <c r="W122">
        <v>2.2060000000000001E-3</v>
      </c>
      <c r="X122">
        <v>12.82</v>
      </c>
      <c r="Y122">
        <v>15.97</v>
      </c>
      <c r="Z122">
        <v>83.74</v>
      </c>
      <c r="AA122">
        <v>510.5</v>
      </c>
      <c r="AB122">
        <v>0.15479999999999999</v>
      </c>
      <c r="AC122">
        <v>0.23899999999999999</v>
      </c>
      <c r="AD122">
        <v>0.2102</v>
      </c>
      <c r="AE122">
        <v>8.9580000000000007E-2</v>
      </c>
      <c r="AF122">
        <v>0.30159999999999998</v>
      </c>
      <c r="AG122">
        <v>8.523E-2</v>
      </c>
    </row>
    <row r="123" spans="1:33">
      <c r="A123">
        <v>122</v>
      </c>
      <c r="B123">
        <v>86517</v>
      </c>
      <c r="C123" t="s">
        <v>0</v>
      </c>
      <c r="D123">
        <v>13.71</v>
      </c>
      <c r="E123">
        <v>17.12</v>
      </c>
      <c r="F123">
        <v>121.4</v>
      </c>
      <c r="G123">
        <v>1077</v>
      </c>
      <c r="H123">
        <v>0.10539999999999999</v>
      </c>
      <c r="I123">
        <v>0.11</v>
      </c>
      <c r="J123">
        <v>0.1457</v>
      </c>
      <c r="K123">
        <v>8.6650000000000005E-2</v>
      </c>
      <c r="L123">
        <v>0.1966</v>
      </c>
      <c r="M123">
        <v>6.2129999999999998E-2</v>
      </c>
      <c r="N123">
        <v>0.71279999999999999</v>
      </c>
      <c r="O123">
        <v>1.581</v>
      </c>
      <c r="P123">
        <v>4.8949999999999996</v>
      </c>
      <c r="Q123">
        <v>90.47</v>
      </c>
      <c r="R123">
        <v>8.1019999999999998E-3</v>
      </c>
      <c r="S123">
        <v>2.1010000000000001E-2</v>
      </c>
      <c r="T123">
        <v>3.3419999999999998E-2</v>
      </c>
      <c r="U123">
        <v>1.601E-2</v>
      </c>
      <c r="V123">
        <v>2.0449999999999999E-2</v>
      </c>
      <c r="W123">
        <v>4.5700000000000003E-3</v>
      </c>
      <c r="X123">
        <v>22.25</v>
      </c>
      <c r="Y123">
        <v>24.9</v>
      </c>
      <c r="Z123">
        <v>145.4</v>
      </c>
      <c r="AA123">
        <v>1549</v>
      </c>
      <c r="AB123">
        <v>0.15029999999999999</v>
      </c>
      <c r="AC123">
        <v>0.2291</v>
      </c>
      <c r="AD123">
        <v>0.32719999999999999</v>
      </c>
      <c r="AE123">
        <v>0.16739999999999999</v>
      </c>
      <c r="AF123">
        <v>0.28939999999999999</v>
      </c>
      <c r="AG123">
        <v>8.4559999999999996E-2</v>
      </c>
    </row>
    <row r="124" spans="1:33">
      <c r="A124">
        <v>123</v>
      </c>
      <c r="B124">
        <v>865423</v>
      </c>
      <c r="C124" t="s">
        <v>0</v>
      </c>
      <c r="D124">
        <v>13.71</v>
      </c>
      <c r="E124">
        <v>20.2</v>
      </c>
      <c r="F124">
        <v>166.2</v>
      </c>
      <c r="G124">
        <v>1761</v>
      </c>
      <c r="H124">
        <v>0.1447</v>
      </c>
      <c r="I124">
        <v>0.28670000000000001</v>
      </c>
      <c r="J124">
        <v>0.42680000000000001</v>
      </c>
      <c r="K124">
        <v>0.20119999999999999</v>
      </c>
      <c r="L124">
        <v>0.26550000000000001</v>
      </c>
      <c r="M124">
        <v>6.8769999999999998E-2</v>
      </c>
      <c r="N124">
        <v>1.5089999999999999</v>
      </c>
      <c r="O124">
        <v>3.12</v>
      </c>
      <c r="P124">
        <v>9.8070000000000004</v>
      </c>
      <c r="Q124">
        <v>233</v>
      </c>
      <c r="R124">
        <v>2.333E-2</v>
      </c>
      <c r="S124">
        <v>9.8059999999999994E-2</v>
      </c>
      <c r="T124">
        <v>0.1278</v>
      </c>
      <c r="U124">
        <v>1.822E-2</v>
      </c>
      <c r="V124">
        <v>4.5469999999999997E-2</v>
      </c>
      <c r="W124">
        <v>9.8750000000000001E-3</v>
      </c>
      <c r="X124">
        <v>26.02</v>
      </c>
      <c r="Y124">
        <v>23.99</v>
      </c>
      <c r="Z124">
        <v>180.9</v>
      </c>
      <c r="AA124">
        <v>2073</v>
      </c>
      <c r="AB124">
        <v>0.1696</v>
      </c>
      <c r="AC124">
        <v>0.4244</v>
      </c>
      <c r="AD124">
        <v>0.58030000000000004</v>
      </c>
      <c r="AE124">
        <v>0.2248</v>
      </c>
      <c r="AF124">
        <v>0.32219999999999999</v>
      </c>
      <c r="AG124">
        <v>8.0089999999999995E-2</v>
      </c>
    </row>
    <row r="125" spans="1:33">
      <c r="A125">
        <v>124</v>
      </c>
      <c r="B125">
        <v>865432</v>
      </c>
      <c r="C125" t="s">
        <v>1</v>
      </c>
      <c r="D125">
        <v>13.71</v>
      </c>
      <c r="E125">
        <v>10.89</v>
      </c>
      <c r="F125">
        <v>94.28</v>
      </c>
      <c r="G125">
        <v>640.70000000000005</v>
      </c>
      <c r="H125">
        <v>0.1101</v>
      </c>
      <c r="I125">
        <v>0.1099</v>
      </c>
      <c r="J125">
        <v>8.8419999999999999E-2</v>
      </c>
      <c r="K125">
        <v>5.7779999999999998E-2</v>
      </c>
      <c r="L125">
        <v>0.18559999999999999</v>
      </c>
      <c r="M125">
        <v>6.4019999999999994E-2</v>
      </c>
      <c r="N125">
        <v>0.29289999999999999</v>
      </c>
      <c r="O125">
        <v>0.85699999999999998</v>
      </c>
      <c r="P125">
        <v>1.9279999999999999</v>
      </c>
      <c r="Q125">
        <v>24.19</v>
      </c>
      <c r="R125">
        <v>3.8180000000000002E-3</v>
      </c>
      <c r="S125">
        <v>1.2760000000000001E-2</v>
      </c>
      <c r="T125">
        <v>2.8819999999999998E-2</v>
      </c>
      <c r="U125">
        <v>1.2E-2</v>
      </c>
      <c r="V125">
        <v>1.9099999999999999E-2</v>
      </c>
      <c r="W125">
        <v>2.8080000000000002E-3</v>
      </c>
      <c r="X125">
        <v>15.7</v>
      </c>
      <c r="Y125">
        <v>15.98</v>
      </c>
      <c r="Z125">
        <v>102.8</v>
      </c>
      <c r="AA125">
        <v>745.5</v>
      </c>
      <c r="AB125">
        <v>0.1313</v>
      </c>
      <c r="AC125">
        <v>0.17879999999999999</v>
      </c>
      <c r="AD125">
        <v>0.25600000000000001</v>
      </c>
      <c r="AE125">
        <v>0.1221</v>
      </c>
      <c r="AF125">
        <v>0.28889999999999999</v>
      </c>
      <c r="AG125">
        <v>8.0060000000000006E-2</v>
      </c>
    </row>
    <row r="126" spans="1:33">
      <c r="A126">
        <v>125</v>
      </c>
      <c r="B126">
        <v>865468</v>
      </c>
      <c r="C126" t="s">
        <v>1</v>
      </c>
      <c r="D126">
        <v>13.71</v>
      </c>
      <c r="E126">
        <v>16.39</v>
      </c>
      <c r="F126">
        <v>86.1</v>
      </c>
      <c r="G126">
        <v>553.5</v>
      </c>
      <c r="H126">
        <v>7.1150000000000005E-2</v>
      </c>
      <c r="I126">
        <v>7.3249999999999996E-2</v>
      </c>
      <c r="J126">
        <v>8.0920000000000006E-2</v>
      </c>
      <c r="K126">
        <v>2.8000000000000001E-2</v>
      </c>
      <c r="L126">
        <v>0.14219999999999999</v>
      </c>
      <c r="M126">
        <v>5.8229999999999997E-2</v>
      </c>
      <c r="N126">
        <v>0.16389999999999999</v>
      </c>
      <c r="O126">
        <v>1.1399999999999999</v>
      </c>
      <c r="P126">
        <v>1.2230000000000001</v>
      </c>
      <c r="Q126">
        <v>14.66</v>
      </c>
      <c r="R126">
        <v>5.9189999999999998E-3</v>
      </c>
      <c r="S126">
        <v>3.27E-2</v>
      </c>
      <c r="T126">
        <v>4.9570000000000003E-2</v>
      </c>
      <c r="U126">
        <v>1.038E-2</v>
      </c>
      <c r="V126">
        <v>1.208E-2</v>
      </c>
      <c r="W126">
        <v>4.0759999999999998E-3</v>
      </c>
      <c r="X126">
        <v>14.26</v>
      </c>
      <c r="Y126">
        <v>22.75</v>
      </c>
      <c r="Z126">
        <v>91.99</v>
      </c>
      <c r="AA126">
        <v>632.1</v>
      </c>
      <c r="AB126">
        <v>0.10249999999999999</v>
      </c>
      <c r="AC126">
        <v>0.25309999999999999</v>
      </c>
      <c r="AD126">
        <v>0.33079999999999998</v>
      </c>
      <c r="AE126">
        <v>8.9779999999999999E-2</v>
      </c>
      <c r="AF126">
        <v>0.20480000000000001</v>
      </c>
      <c r="AG126">
        <v>7.6280000000000001E-2</v>
      </c>
    </row>
    <row r="127" spans="1:33">
      <c r="A127">
        <v>126</v>
      </c>
      <c r="B127">
        <v>86561</v>
      </c>
      <c r="C127" t="s">
        <v>1</v>
      </c>
      <c r="D127">
        <v>13.71</v>
      </c>
      <c r="E127">
        <v>17.21</v>
      </c>
      <c r="F127">
        <v>88.44</v>
      </c>
      <c r="G127">
        <v>588.70000000000005</v>
      </c>
      <c r="H127">
        <v>8.7849999999999998E-2</v>
      </c>
      <c r="I127">
        <v>6.1359999999999998E-2</v>
      </c>
      <c r="J127">
        <v>1.4200000000000001E-2</v>
      </c>
      <c r="K127">
        <v>1.141E-2</v>
      </c>
      <c r="L127">
        <v>0.16139999999999999</v>
      </c>
      <c r="M127">
        <v>5.8900000000000001E-2</v>
      </c>
      <c r="N127">
        <v>0.2185</v>
      </c>
      <c r="O127">
        <v>0.85609999999999997</v>
      </c>
      <c r="P127">
        <v>1.4950000000000001</v>
      </c>
      <c r="Q127">
        <v>17.91</v>
      </c>
      <c r="R127">
        <v>4.5989999999999998E-3</v>
      </c>
      <c r="S127">
        <v>9.1690000000000001E-3</v>
      </c>
      <c r="T127">
        <v>9.1269999999999997E-3</v>
      </c>
      <c r="U127">
        <v>4.8139999999999997E-3</v>
      </c>
      <c r="V127">
        <v>1.247E-2</v>
      </c>
      <c r="W127">
        <v>1.7080000000000001E-3</v>
      </c>
      <c r="X127">
        <v>15.49</v>
      </c>
      <c r="Y127">
        <v>23.58</v>
      </c>
      <c r="Z127">
        <v>100.3</v>
      </c>
      <c r="AA127">
        <v>725.9</v>
      </c>
      <c r="AB127">
        <v>0.1157</v>
      </c>
      <c r="AC127">
        <v>0.13500000000000001</v>
      </c>
      <c r="AD127">
        <v>8.115E-2</v>
      </c>
      <c r="AE127">
        <v>5.1040000000000002E-2</v>
      </c>
      <c r="AF127">
        <v>0.2364</v>
      </c>
      <c r="AG127">
        <v>7.1819999999999995E-2</v>
      </c>
    </row>
    <row r="128" spans="1:33">
      <c r="A128">
        <v>127</v>
      </c>
      <c r="B128">
        <v>866083</v>
      </c>
      <c r="C128" t="s">
        <v>0</v>
      </c>
      <c r="D128">
        <v>13.71</v>
      </c>
      <c r="E128">
        <v>24.69</v>
      </c>
      <c r="F128">
        <v>87.76</v>
      </c>
      <c r="G128">
        <v>572.6</v>
      </c>
      <c r="H128">
        <v>9.2579999999999996E-2</v>
      </c>
      <c r="I128">
        <v>7.8619999999999995E-2</v>
      </c>
      <c r="J128">
        <v>5.2850000000000001E-2</v>
      </c>
      <c r="K128">
        <v>3.0849999999999999E-2</v>
      </c>
      <c r="L128">
        <v>0.17610000000000001</v>
      </c>
      <c r="M128">
        <v>6.13E-2</v>
      </c>
      <c r="N128">
        <v>0.23100000000000001</v>
      </c>
      <c r="O128">
        <v>1.0049999999999999</v>
      </c>
      <c r="P128">
        <v>1.752</v>
      </c>
      <c r="Q128">
        <v>19.829999999999998</v>
      </c>
      <c r="R128">
        <v>4.0879999999999996E-3</v>
      </c>
      <c r="S128">
        <v>1.174E-2</v>
      </c>
      <c r="T128">
        <v>1.796E-2</v>
      </c>
      <c r="U128">
        <v>6.8799999999999998E-3</v>
      </c>
      <c r="V128">
        <v>1.323E-2</v>
      </c>
      <c r="W128">
        <v>1.4649999999999999E-3</v>
      </c>
      <c r="X128">
        <v>16.89</v>
      </c>
      <c r="Y128">
        <v>35.64</v>
      </c>
      <c r="Z128">
        <v>113.2</v>
      </c>
      <c r="AA128">
        <v>848.7</v>
      </c>
      <c r="AB128">
        <v>0.14710000000000001</v>
      </c>
      <c r="AC128">
        <v>0.28839999999999999</v>
      </c>
      <c r="AD128">
        <v>0.37959999999999999</v>
      </c>
      <c r="AE128">
        <v>0.13289999999999999</v>
      </c>
      <c r="AF128">
        <v>0.34699999999999998</v>
      </c>
      <c r="AG128">
        <v>7.9000000000000001E-2</v>
      </c>
    </row>
    <row r="129" spans="1:33">
      <c r="A129">
        <v>128</v>
      </c>
      <c r="B129">
        <v>866203</v>
      </c>
      <c r="C129" t="s">
        <v>0</v>
      </c>
      <c r="D129">
        <v>13.71</v>
      </c>
      <c r="E129">
        <v>18.91</v>
      </c>
      <c r="F129">
        <v>123.4</v>
      </c>
      <c r="G129">
        <v>1138</v>
      </c>
      <c r="H129">
        <v>8.2170000000000007E-2</v>
      </c>
      <c r="I129">
        <v>8.0280000000000004E-2</v>
      </c>
      <c r="J129">
        <v>9.2710000000000001E-2</v>
      </c>
      <c r="K129">
        <v>5.6270000000000001E-2</v>
      </c>
      <c r="L129">
        <v>0.1946</v>
      </c>
      <c r="M129">
        <v>5.0439999999999999E-2</v>
      </c>
      <c r="N129">
        <v>0.68959999999999999</v>
      </c>
      <c r="O129">
        <v>1.3420000000000001</v>
      </c>
      <c r="P129">
        <v>5.2160000000000002</v>
      </c>
      <c r="Q129">
        <v>81.23</v>
      </c>
      <c r="R129">
        <v>4.4279999999999996E-3</v>
      </c>
      <c r="S129">
        <v>2.7310000000000001E-2</v>
      </c>
      <c r="T129">
        <v>4.0399999999999998E-2</v>
      </c>
      <c r="U129">
        <v>1.3610000000000001E-2</v>
      </c>
      <c r="V129">
        <v>2.0299999999999999E-2</v>
      </c>
      <c r="W129">
        <v>2.686E-3</v>
      </c>
      <c r="X129">
        <v>22.32</v>
      </c>
      <c r="Y129">
        <v>25.73</v>
      </c>
      <c r="Z129">
        <v>148.19999999999999</v>
      </c>
      <c r="AA129">
        <v>1538</v>
      </c>
      <c r="AB129">
        <v>0.1021</v>
      </c>
      <c r="AC129">
        <v>0.22639999999999999</v>
      </c>
      <c r="AD129">
        <v>0.32069999999999999</v>
      </c>
      <c r="AE129">
        <v>0.12180000000000001</v>
      </c>
      <c r="AF129">
        <v>0.28410000000000002</v>
      </c>
      <c r="AG129">
        <v>6.5409999999999996E-2</v>
      </c>
    </row>
    <row r="130" spans="1:33">
      <c r="A130">
        <v>129</v>
      </c>
      <c r="B130">
        <v>866458</v>
      </c>
      <c r="C130" t="s">
        <v>1</v>
      </c>
      <c r="D130">
        <v>13.71</v>
      </c>
      <c r="E130">
        <v>16.39</v>
      </c>
      <c r="F130">
        <v>99.58</v>
      </c>
      <c r="G130">
        <v>674.5</v>
      </c>
      <c r="H130">
        <v>0.115</v>
      </c>
      <c r="I130">
        <v>0.1807</v>
      </c>
      <c r="J130">
        <v>0.1138</v>
      </c>
      <c r="K130">
        <v>8.5339999999999999E-2</v>
      </c>
      <c r="L130">
        <v>0.2001</v>
      </c>
      <c r="M130">
        <v>6.4670000000000005E-2</v>
      </c>
      <c r="N130">
        <v>0.43090000000000001</v>
      </c>
      <c r="O130">
        <v>1.0680000000000001</v>
      </c>
      <c r="P130">
        <v>2.7959999999999998</v>
      </c>
      <c r="Q130">
        <v>39.840000000000003</v>
      </c>
      <c r="R130">
        <v>9.0060000000000001E-3</v>
      </c>
      <c r="S130">
        <v>4.1849999999999998E-2</v>
      </c>
      <c r="T130">
        <v>3.2039999999999999E-2</v>
      </c>
      <c r="U130">
        <v>2.2579999999999999E-2</v>
      </c>
      <c r="V130">
        <v>2.3529999999999999E-2</v>
      </c>
      <c r="W130">
        <v>4.9839999999999997E-3</v>
      </c>
      <c r="X130">
        <v>16.11</v>
      </c>
      <c r="Y130">
        <v>18.329999999999998</v>
      </c>
      <c r="Z130">
        <v>105.9</v>
      </c>
      <c r="AA130">
        <v>762.6</v>
      </c>
      <c r="AB130">
        <v>0.1386</v>
      </c>
      <c r="AC130">
        <v>0.2883</v>
      </c>
      <c r="AD130">
        <v>0.19600000000000001</v>
      </c>
      <c r="AE130">
        <v>0.14230000000000001</v>
      </c>
      <c r="AF130">
        <v>0.25900000000000001</v>
      </c>
      <c r="AG130">
        <v>7.7789999999999998E-2</v>
      </c>
    </row>
    <row r="131" spans="1:33">
      <c r="A131">
        <v>130</v>
      </c>
      <c r="B131">
        <v>866674</v>
      </c>
      <c r="C131" t="s">
        <v>0</v>
      </c>
      <c r="D131">
        <v>13.71</v>
      </c>
      <c r="E131">
        <v>25.12</v>
      </c>
      <c r="F131">
        <v>130.4</v>
      </c>
      <c r="G131">
        <v>1192</v>
      </c>
      <c r="H131">
        <v>0.10150000000000001</v>
      </c>
      <c r="I131">
        <v>0.15890000000000001</v>
      </c>
      <c r="J131">
        <v>0.2545</v>
      </c>
      <c r="K131">
        <v>0.1149</v>
      </c>
      <c r="L131">
        <v>0.22020000000000001</v>
      </c>
      <c r="M131">
        <v>6.1129999999999997E-2</v>
      </c>
      <c r="N131">
        <v>0.49530000000000002</v>
      </c>
      <c r="O131">
        <v>1.1990000000000001</v>
      </c>
      <c r="P131">
        <v>2.7650000000000001</v>
      </c>
      <c r="Q131">
        <v>63.33</v>
      </c>
      <c r="R131">
        <v>5.0330000000000001E-3</v>
      </c>
      <c r="S131">
        <v>3.1789999999999999E-2</v>
      </c>
      <c r="T131">
        <v>4.7550000000000002E-2</v>
      </c>
      <c r="U131">
        <v>1.043E-2</v>
      </c>
      <c r="V131">
        <v>1.5779999999999999E-2</v>
      </c>
      <c r="W131">
        <v>3.2239999999999999E-3</v>
      </c>
      <c r="X131">
        <v>22.63</v>
      </c>
      <c r="Y131">
        <v>33.58</v>
      </c>
      <c r="Z131">
        <v>148.69999999999999</v>
      </c>
      <c r="AA131">
        <v>1589</v>
      </c>
      <c r="AB131">
        <v>0.1275</v>
      </c>
      <c r="AC131">
        <v>0.3861</v>
      </c>
      <c r="AD131">
        <v>0.56730000000000003</v>
      </c>
      <c r="AE131">
        <v>0.17319999999999999</v>
      </c>
      <c r="AF131">
        <v>0.33050000000000002</v>
      </c>
      <c r="AG131">
        <v>8.4650000000000003E-2</v>
      </c>
    </row>
    <row r="132" spans="1:33">
      <c r="A132">
        <v>131</v>
      </c>
      <c r="B132">
        <v>866714</v>
      </c>
      <c r="C132" t="s">
        <v>1</v>
      </c>
      <c r="D132">
        <v>13.71</v>
      </c>
      <c r="E132">
        <v>13.29</v>
      </c>
      <c r="F132">
        <v>79.08</v>
      </c>
      <c r="G132">
        <v>455.8</v>
      </c>
      <c r="H132">
        <v>0.1066</v>
      </c>
      <c r="I132">
        <v>9.5089999999999994E-2</v>
      </c>
      <c r="J132">
        <v>2.8549999999999999E-2</v>
      </c>
      <c r="K132">
        <v>2.8819999999999998E-2</v>
      </c>
      <c r="L132">
        <v>0.188</v>
      </c>
      <c r="M132">
        <v>6.4710000000000004E-2</v>
      </c>
      <c r="N132">
        <v>0.20050000000000001</v>
      </c>
      <c r="O132">
        <v>0.81630000000000003</v>
      </c>
      <c r="P132">
        <v>1.9730000000000001</v>
      </c>
      <c r="Q132">
        <v>15.24</v>
      </c>
      <c r="R132">
        <v>6.7730000000000004E-3</v>
      </c>
      <c r="S132">
        <v>2.4559999999999998E-2</v>
      </c>
      <c r="T132">
        <v>1.018E-2</v>
      </c>
      <c r="U132">
        <v>8.0940000000000005E-3</v>
      </c>
      <c r="V132">
        <v>2.6620000000000001E-2</v>
      </c>
      <c r="W132">
        <v>4.143E-3</v>
      </c>
      <c r="X132">
        <v>13.34</v>
      </c>
      <c r="Y132">
        <v>17.809999999999999</v>
      </c>
      <c r="Z132">
        <v>91.38</v>
      </c>
      <c r="AA132">
        <v>545.20000000000005</v>
      </c>
      <c r="AB132">
        <v>0.14269999999999999</v>
      </c>
      <c r="AC132">
        <v>0.25850000000000001</v>
      </c>
      <c r="AD132">
        <v>9.9150000000000002E-2</v>
      </c>
      <c r="AE132">
        <v>8.1869999999999998E-2</v>
      </c>
      <c r="AF132">
        <v>0.34689999999999999</v>
      </c>
      <c r="AG132">
        <v>9.2410000000000006E-2</v>
      </c>
    </row>
    <row r="133" spans="1:33">
      <c r="A133">
        <v>132</v>
      </c>
      <c r="B133">
        <v>8670</v>
      </c>
      <c r="C133" t="s">
        <v>0</v>
      </c>
      <c r="D133">
        <v>13.71</v>
      </c>
      <c r="E133">
        <v>19.48</v>
      </c>
      <c r="F133">
        <v>101.7</v>
      </c>
      <c r="G133">
        <v>748.9</v>
      </c>
      <c r="H133">
        <v>0.10920000000000001</v>
      </c>
      <c r="I133">
        <v>0.12230000000000001</v>
      </c>
      <c r="J133">
        <v>0.14660000000000001</v>
      </c>
      <c r="K133">
        <v>8.0869999999999997E-2</v>
      </c>
      <c r="L133">
        <v>0.19309999999999999</v>
      </c>
      <c r="M133">
        <v>5.7959999999999998E-2</v>
      </c>
      <c r="N133">
        <v>0.4743</v>
      </c>
      <c r="O133">
        <v>0.78590000000000004</v>
      </c>
      <c r="P133">
        <v>3.0939999999999999</v>
      </c>
      <c r="Q133">
        <v>48.31</v>
      </c>
      <c r="R133">
        <v>6.2399999999999999E-3</v>
      </c>
      <c r="S133">
        <v>1.4840000000000001E-2</v>
      </c>
      <c r="T133">
        <v>2.8129999999999999E-2</v>
      </c>
      <c r="U133">
        <v>1.093E-2</v>
      </c>
      <c r="V133">
        <v>1.397E-2</v>
      </c>
      <c r="W133">
        <v>2.4610000000000001E-3</v>
      </c>
      <c r="X133">
        <v>19.260000000000002</v>
      </c>
      <c r="Y133">
        <v>26</v>
      </c>
      <c r="Z133">
        <v>124.9</v>
      </c>
      <c r="AA133">
        <v>1156</v>
      </c>
      <c r="AB133">
        <v>0.15459999999999999</v>
      </c>
      <c r="AC133">
        <v>0.2394</v>
      </c>
      <c r="AD133">
        <v>0.37909999999999999</v>
      </c>
      <c r="AE133">
        <v>0.15140000000000001</v>
      </c>
      <c r="AF133">
        <v>0.28370000000000001</v>
      </c>
      <c r="AG133">
        <v>8.0189999999999997E-2</v>
      </c>
    </row>
    <row r="134" spans="1:33">
      <c r="A134">
        <v>133</v>
      </c>
      <c r="B134">
        <v>86730502</v>
      </c>
      <c r="C134" t="s">
        <v>0</v>
      </c>
      <c r="D134">
        <v>13.71</v>
      </c>
      <c r="E134">
        <v>21.54</v>
      </c>
      <c r="F134">
        <v>106.2</v>
      </c>
      <c r="G134">
        <v>809.8</v>
      </c>
      <c r="H134">
        <v>0.1008</v>
      </c>
      <c r="I134">
        <v>0.12839999999999999</v>
      </c>
      <c r="J134">
        <v>0.1043</v>
      </c>
      <c r="K134">
        <v>5.6129999999999999E-2</v>
      </c>
      <c r="L134">
        <v>0.216</v>
      </c>
      <c r="M134">
        <v>5.8909999999999997E-2</v>
      </c>
      <c r="N134">
        <v>0.43319999999999997</v>
      </c>
      <c r="O134">
        <v>1.2649999999999999</v>
      </c>
      <c r="P134">
        <v>2.8439999999999999</v>
      </c>
      <c r="Q134">
        <v>43.68</v>
      </c>
      <c r="R134">
        <v>4.8770000000000003E-3</v>
      </c>
      <c r="S134">
        <v>1.9519999999999999E-2</v>
      </c>
      <c r="T134">
        <v>2.2190000000000001E-2</v>
      </c>
      <c r="U134">
        <v>9.2309999999999996E-3</v>
      </c>
      <c r="V134">
        <v>1.5350000000000001E-2</v>
      </c>
      <c r="W134">
        <v>2.3730000000000001E-3</v>
      </c>
      <c r="X134">
        <v>19.47</v>
      </c>
      <c r="Y134">
        <v>31.68</v>
      </c>
      <c r="Z134">
        <v>129.69999999999999</v>
      </c>
      <c r="AA134">
        <v>1175</v>
      </c>
      <c r="AB134">
        <v>0.13950000000000001</v>
      </c>
      <c r="AC134">
        <v>0.30549999999999999</v>
      </c>
      <c r="AD134">
        <v>0.29920000000000002</v>
      </c>
      <c r="AE134">
        <v>0.13120000000000001</v>
      </c>
      <c r="AF134">
        <v>0.34799999999999998</v>
      </c>
      <c r="AG134">
        <v>7.6189999999999994E-2</v>
      </c>
    </row>
    <row r="135" spans="1:33">
      <c r="A135">
        <v>134</v>
      </c>
      <c r="B135">
        <v>867387</v>
      </c>
      <c r="C135" t="s">
        <v>1</v>
      </c>
      <c r="D135">
        <v>13.71</v>
      </c>
      <c r="E135">
        <v>13.93</v>
      </c>
      <c r="F135">
        <v>102</v>
      </c>
      <c r="G135">
        <v>761.7</v>
      </c>
      <c r="H135">
        <v>9.4619999999999996E-2</v>
      </c>
      <c r="I135">
        <v>9.4619999999999996E-2</v>
      </c>
      <c r="J135">
        <v>7.1349999999999997E-2</v>
      </c>
      <c r="K135">
        <v>5.9330000000000001E-2</v>
      </c>
      <c r="L135">
        <v>0.18160000000000001</v>
      </c>
      <c r="M135">
        <v>5.7230000000000003E-2</v>
      </c>
      <c r="N135">
        <v>0.31169999999999998</v>
      </c>
      <c r="O135">
        <v>0.8155</v>
      </c>
      <c r="P135">
        <v>1.972</v>
      </c>
      <c r="Q135">
        <v>27.94</v>
      </c>
      <c r="R135">
        <v>5.2170000000000003E-3</v>
      </c>
      <c r="S135">
        <v>1.515E-2</v>
      </c>
      <c r="T135">
        <v>1.678E-2</v>
      </c>
      <c r="U135">
        <v>1.268E-2</v>
      </c>
      <c r="V135">
        <v>1.669E-2</v>
      </c>
      <c r="W135">
        <v>2.33E-3</v>
      </c>
      <c r="X135">
        <v>17.5</v>
      </c>
      <c r="Y135">
        <v>19.25</v>
      </c>
      <c r="Z135">
        <v>114.3</v>
      </c>
      <c r="AA135">
        <v>922.8</v>
      </c>
      <c r="AB135">
        <v>0.12230000000000001</v>
      </c>
      <c r="AC135">
        <v>0.19489999999999999</v>
      </c>
      <c r="AD135">
        <v>0.1709</v>
      </c>
      <c r="AE135">
        <v>0.13739999999999999</v>
      </c>
      <c r="AF135">
        <v>0.27229999999999999</v>
      </c>
      <c r="AG135">
        <v>7.0709999999999995E-2</v>
      </c>
    </row>
    <row r="136" spans="1:33">
      <c r="A136">
        <v>135</v>
      </c>
      <c r="B136">
        <v>867739</v>
      </c>
      <c r="C136" t="s">
        <v>0</v>
      </c>
      <c r="D136">
        <v>13.71</v>
      </c>
      <c r="E136">
        <v>21.91</v>
      </c>
      <c r="F136">
        <v>120.2</v>
      </c>
      <c r="G136">
        <v>1075</v>
      </c>
      <c r="H136">
        <v>9.4299999999999995E-2</v>
      </c>
      <c r="I136">
        <v>9.7089999999999996E-2</v>
      </c>
      <c r="J136">
        <v>0.1153</v>
      </c>
      <c r="K136">
        <v>6.8470000000000003E-2</v>
      </c>
      <c r="L136">
        <v>0.16919999999999999</v>
      </c>
      <c r="M136">
        <v>5.7270000000000001E-2</v>
      </c>
      <c r="N136">
        <v>0.59589999999999999</v>
      </c>
      <c r="O136">
        <v>1.202</v>
      </c>
      <c r="P136">
        <v>3.766</v>
      </c>
      <c r="Q136">
        <v>68.349999999999994</v>
      </c>
      <c r="R136">
        <v>6.0010000000000003E-3</v>
      </c>
      <c r="S136">
        <v>1.422E-2</v>
      </c>
      <c r="T136">
        <v>2.8549999999999999E-2</v>
      </c>
      <c r="U136">
        <v>9.1479999999999999E-3</v>
      </c>
      <c r="V136">
        <v>1.4919999999999999E-2</v>
      </c>
      <c r="W136">
        <v>2.2049999999999999E-3</v>
      </c>
      <c r="X136">
        <v>22.52</v>
      </c>
      <c r="Y136">
        <v>31.39</v>
      </c>
      <c r="Z136">
        <v>145.6</v>
      </c>
      <c r="AA136">
        <v>1590</v>
      </c>
      <c r="AB136">
        <v>0.14649999999999999</v>
      </c>
      <c r="AC136">
        <v>0.22750000000000001</v>
      </c>
      <c r="AD136">
        <v>0.39650000000000002</v>
      </c>
      <c r="AE136">
        <v>0.13789999999999999</v>
      </c>
      <c r="AF136">
        <v>0.31090000000000001</v>
      </c>
      <c r="AG136">
        <v>7.6100000000000001E-2</v>
      </c>
    </row>
    <row r="137" spans="1:33">
      <c r="A137">
        <v>136</v>
      </c>
      <c r="B137">
        <v>868202</v>
      </c>
      <c r="C137" t="s">
        <v>0</v>
      </c>
      <c r="D137">
        <v>13.71</v>
      </c>
      <c r="E137">
        <v>22.47</v>
      </c>
      <c r="F137">
        <v>81.72</v>
      </c>
      <c r="G137">
        <v>506.3</v>
      </c>
      <c r="H137">
        <v>9.0550000000000005E-2</v>
      </c>
      <c r="I137">
        <v>5.7610000000000001E-2</v>
      </c>
      <c r="J137">
        <v>4.7109999999999999E-2</v>
      </c>
      <c r="K137">
        <v>2.7040000000000002E-2</v>
      </c>
      <c r="L137">
        <v>0.1585</v>
      </c>
      <c r="M137">
        <v>6.0650000000000003E-2</v>
      </c>
      <c r="N137">
        <v>0.23669999999999999</v>
      </c>
      <c r="O137">
        <v>1.38</v>
      </c>
      <c r="P137">
        <v>1.4570000000000001</v>
      </c>
      <c r="Q137">
        <v>19.87</v>
      </c>
      <c r="R137">
        <v>7.4989999999999996E-3</v>
      </c>
      <c r="S137">
        <v>1.2019999999999999E-2</v>
      </c>
      <c r="T137">
        <v>2.332E-2</v>
      </c>
      <c r="U137">
        <v>8.9200000000000008E-3</v>
      </c>
      <c r="V137">
        <v>1.6469999999999999E-2</v>
      </c>
      <c r="W137">
        <v>2.6289999999999998E-3</v>
      </c>
      <c r="X137">
        <v>14.49</v>
      </c>
      <c r="Y137">
        <v>33.369999999999997</v>
      </c>
      <c r="Z137">
        <v>92.04</v>
      </c>
      <c r="AA137">
        <v>653.6</v>
      </c>
      <c r="AB137">
        <v>0.1419</v>
      </c>
      <c r="AC137">
        <v>0.15229999999999999</v>
      </c>
      <c r="AD137">
        <v>0.2177</v>
      </c>
      <c r="AE137">
        <v>9.3310000000000004E-2</v>
      </c>
      <c r="AF137">
        <v>0.28289999999999998</v>
      </c>
      <c r="AG137">
        <v>8.0670000000000006E-2</v>
      </c>
    </row>
    <row r="138" spans="1:33">
      <c r="A138">
        <v>137</v>
      </c>
      <c r="B138">
        <v>868223</v>
      </c>
      <c r="C138" t="s">
        <v>1</v>
      </c>
      <c r="D138">
        <v>13.71</v>
      </c>
      <c r="E138">
        <v>16.670000000000002</v>
      </c>
      <c r="F138">
        <v>74.72</v>
      </c>
      <c r="G138">
        <v>423.6</v>
      </c>
      <c r="H138">
        <v>0.1051</v>
      </c>
      <c r="I138">
        <v>6.0949999999999997E-2</v>
      </c>
      <c r="J138">
        <v>3.5920000000000001E-2</v>
      </c>
      <c r="K138">
        <v>2.5999999999999999E-2</v>
      </c>
      <c r="L138">
        <v>0.13389999999999999</v>
      </c>
      <c r="M138">
        <v>5.9450000000000003E-2</v>
      </c>
      <c r="N138">
        <v>0.44890000000000002</v>
      </c>
      <c r="O138">
        <v>2.508</v>
      </c>
      <c r="P138">
        <v>3.258</v>
      </c>
      <c r="Q138">
        <v>34.369999999999997</v>
      </c>
      <c r="R138">
        <v>6.5779999999999996E-3</v>
      </c>
      <c r="S138">
        <v>1.38E-2</v>
      </c>
      <c r="T138">
        <v>2.6620000000000001E-2</v>
      </c>
      <c r="U138">
        <v>1.307E-2</v>
      </c>
      <c r="V138">
        <v>1.359E-2</v>
      </c>
      <c r="W138">
        <v>3.7069999999999998E-3</v>
      </c>
      <c r="X138">
        <v>13.33</v>
      </c>
      <c r="Y138">
        <v>25.48</v>
      </c>
      <c r="Z138">
        <v>86.16</v>
      </c>
      <c r="AA138">
        <v>546.70000000000005</v>
      </c>
      <c r="AB138">
        <v>0.12709999999999999</v>
      </c>
      <c r="AC138">
        <v>0.1028</v>
      </c>
      <c r="AD138">
        <v>0.1046</v>
      </c>
      <c r="AE138">
        <v>6.9680000000000006E-2</v>
      </c>
      <c r="AF138">
        <v>0.17119999999999999</v>
      </c>
      <c r="AG138">
        <v>7.3429999999999995E-2</v>
      </c>
    </row>
    <row r="139" spans="1:33">
      <c r="A139">
        <v>138</v>
      </c>
      <c r="B139">
        <v>868682</v>
      </c>
      <c r="C139" t="s">
        <v>1</v>
      </c>
      <c r="D139">
        <v>13.71</v>
      </c>
      <c r="E139">
        <v>15.39</v>
      </c>
      <c r="F139">
        <v>73.06</v>
      </c>
      <c r="G139">
        <v>399.8</v>
      </c>
      <c r="H139">
        <v>9.6390000000000003E-2</v>
      </c>
      <c r="I139">
        <v>6.8890000000000007E-2</v>
      </c>
      <c r="J139">
        <v>3.5029999999999999E-2</v>
      </c>
      <c r="K139">
        <v>2.8750000000000001E-2</v>
      </c>
      <c r="L139">
        <v>0.1734</v>
      </c>
      <c r="M139">
        <v>5.8650000000000001E-2</v>
      </c>
      <c r="N139">
        <v>0.1759</v>
      </c>
      <c r="O139">
        <v>0.99380000000000002</v>
      </c>
      <c r="P139">
        <v>1.143</v>
      </c>
      <c r="Q139">
        <v>12.67</v>
      </c>
      <c r="R139">
        <v>5.1330000000000004E-3</v>
      </c>
      <c r="S139">
        <v>1.521E-2</v>
      </c>
      <c r="T139">
        <v>1.434E-2</v>
      </c>
      <c r="U139">
        <v>8.6020000000000003E-3</v>
      </c>
      <c r="V139">
        <v>1.5010000000000001E-2</v>
      </c>
      <c r="W139">
        <v>1.588E-3</v>
      </c>
      <c r="X139">
        <v>12.32</v>
      </c>
      <c r="Y139">
        <v>22.02</v>
      </c>
      <c r="Z139">
        <v>79.930000000000007</v>
      </c>
      <c r="AA139">
        <v>462</v>
      </c>
      <c r="AB139">
        <v>0.11899999999999999</v>
      </c>
      <c r="AC139">
        <v>0.1648</v>
      </c>
      <c r="AD139">
        <v>0.1399</v>
      </c>
      <c r="AE139">
        <v>8.4760000000000002E-2</v>
      </c>
      <c r="AF139">
        <v>0.2676</v>
      </c>
      <c r="AG139">
        <v>6.7650000000000002E-2</v>
      </c>
    </row>
    <row r="140" spans="1:33">
      <c r="A140">
        <v>139</v>
      </c>
      <c r="B140">
        <v>868826</v>
      </c>
      <c r="C140" t="s">
        <v>0</v>
      </c>
      <c r="D140">
        <v>13.71</v>
      </c>
      <c r="E140">
        <v>17.57</v>
      </c>
      <c r="F140">
        <v>96.85</v>
      </c>
      <c r="G140">
        <v>678.1</v>
      </c>
      <c r="H140">
        <v>0.1167</v>
      </c>
      <c r="I140">
        <v>0.1305</v>
      </c>
      <c r="J140">
        <v>0.15390000000000001</v>
      </c>
      <c r="K140">
        <v>8.6239999999999997E-2</v>
      </c>
      <c r="L140">
        <v>0.19570000000000001</v>
      </c>
      <c r="M140">
        <v>6.216E-2</v>
      </c>
      <c r="N140">
        <v>1.296</v>
      </c>
      <c r="O140">
        <v>1.452</v>
      </c>
      <c r="P140">
        <v>8.4190000000000005</v>
      </c>
      <c r="Q140">
        <v>101.9</v>
      </c>
      <c r="R140">
        <v>0.01</v>
      </c>
      <c r="S140">
        <v>3.4799999999999998E-2</v>
      </c>
      <c r="T140">
        <v>6.5769999999999995E-2</v>
      </c>
      <c r="U140">
        <v>2.801E-2</v>
      </c>
      <c r="V140">
        <v>5.1679999999999997E-2</v>
      </c>
      <c r="W140">
        <v>2.8869999999999998E-3</v>
      </c>
      <c r="X140">
        <v>18.55</v>
      </c>
      <c r="Y140">
        <v>21.43</v>
      </c>
      <c r="Z140">
        <v>121.4</v>
      </c>
      <c r="AA140">
        <v>971.4</v>
      </c>
      <c r="AB140">
        <v>0.1411</v>
      </c>
      <c r="AC140">
        <v>0.21640000000000001</v>
      </c>
      <c r="AD140">
        <v>0.33550000000000002</v>
      </c>
      <c r="AE140">
        <v>0.16669999999999999</v>
      </c>
      <c r="AF140">
        <v>0.34139999999999998</v>
      </c>
      <c r="AG140">
        <v>7.1470000000000006E-2</v>
      </c>
    </row>
    <row r="141" spans="1:33">
      <c r="A141">
        <v>140</v>
      </c>
      <c r="B141">
        <v>868871</v>
      </c>
      <c r="C141" t="s">
        <v>1</v>
      </c>
      <c r="D141">
        <v>13.71</v>
      </c>
      <c r="E141">
        <v>13.39</v>
      </c>
      <c r="F141">
        <v>73</v>
      </c>
      <c r="G141">
        <v>384.8</v>
      </c>
      <c r="H141">
        <v>0.1164</v>
      </c>
      <c r="I141">
        <v>0.11360000000000001</v>
      </c>
      <c r="J141">
        <v>4.6350000000000002E-2</v>
      </c>
      <c r="K141">
        <v>4.7960000000000003E-2</v>
      </c>
      <c r="L141">
        <v>0.17710000000000001</v>
      </c>
      <c r="M141">
        <v>6.0720000000000003E-2</v>
      </c>
      <c r="N141">
        <v>0.33839999999999998</v>
      </c>
      <c r="O141">
        <v>1.343</v>
      </c>
      <c r="P141">
        <v>1.851</v>
      </c>
      <c r="Q141">
        <v>26.33</v>
      </c>
      <c r="R141">
        <v>1.1270000000000001E-2</v>
      </c>
      <c r="S141">
        <v>3.4979999999999997E-2</v>
      </c>
      <c r="T141">
        <v>2.1870000000000001E-2</v>
      </c>
      <c r="U141">
        <v>1.9650000000000001E-2</v>
      </c>
      <c r="V141">
        <v>1.5800000000000002E-2</v>
      </c>
      <c r="W141">
        <v>3.4420000000000002E-3</v>
      </c>
      <c r="X141">
        <v>11.92</v>
      </c>
      <c r="Y141">
        <v>15.77</v>
      </c>
      <c r="Z141">
        <v>76.53</v>
      </c>
      <c r="AA141">
        <v>434</v>
      </c>
      <c r="AB141">
        <v>0.13669999999999999</v>
      </c>
      <c r="AC141">
        <v>0.1822</v>
      </c>
      <c r="AD141">
        <v>8.6690000000000003E-2</v>
      </c>
      <c r="AE141">
        <v>8.6110000000000006E-2</v>
      </c>
      <c r="AF141">
        <v>0.2102</v>
      </c>
      <c r="AG141">
        <v>6.7839999999999998E-2</v>
      </c>
    </row>
    <row r="142" spans="1:33">
      <c r="A142">
        <v>141</v>
      </c>
      <c r="B142">
        <v>868999</v>
      </c>
      <c r="C142" t="s">
        <v>1</v>
      </c>
      <c r="D142">
        <v>13.71</v>
      </c>
      <c r="E142">
        <v>11.97</v>
      </c>
      <c r="F142">
        <v>61.24</v>
      </c>
      <c r="G142">
        <v>288.5</v>
      </c>
      <c r="H142">
        <v>9.2499999999999999E-2</v>
      </c>
      <c r="I142">
        <v>4.1020000000000001E-2</v>
      </c>
      <c r="J142">
        <v>0</v>
      </c>
      <c r="K142">
        <v>0</v>
      </c>
      <c r="L142">
        <v>0.1903</v>
      </c>
      <c r="M142">
        <v>6.4219999999999999E-2</v>
      </c>
      <c r="N142">
        <v>0.1988</v>
      </c>
      <c r="O142">
        <v>0.496</v>
      </c>
      <c r="P142">
        <v>1.218</v>
      </c>
      <c r="Q142">
        <v>12.26</v>
      </c>
      <c r="R142">
        <v>6.0400000000000002E-3</v>
      </c>
      <c r="S142">
        <v>5.6559999999999996E-3</v>
      </c>
      <c r="T142">
        <v>0</v>
      </c>
      <c r="U142">
        <v>0</v>
      </c>
      <c r="V142">
        <v>2.2769999999999999E-2</v>
      </c>
      <c r="W142">
        <v>3.2200000000000002E-3</v>
      </c>
      <c r="X142">
        <v>10.62</v>
      </c>
      <c r="Y142">
        <v>14.1</v>
      </c>
      <c r="Z142">
        <v>66.53</v>
      </c>
      <c r="AA142">
        <v>342.9</v>
      </c>
      <c r="AB142">
        <v>0.1234</v>
      </c>
      <c r="AC142">
        <v>7.2040000000000007E-2</v>
      </c>
      <c r="AD142">
        <v>0</v>
      </c>
      <c r="AE142">
        <v>0</v>
      </c>
      <c r="AF142">
        <v>0.3105</v>
      </c>
      <c r="AG142">
        <v>8.1509999999999999E-2</v>
      </c>
    </row>
    <row r="143" spans="1:33">
      <c r="A143">
        <v>142</v>
      </c>
      <c r="B143">
        <v>869104</v>
      </c>
      <c r="C143" t="s">
        <v>0</v>
      </c>
      <c r="D143">
        <v>13.71</v>
      </c>
      <c r="E143">
        <v>18.05</v>
      </c>
      <c r="F143">
        <v>105.1</v>
      </c>
      <c r="G143">
        <v>813</v>
      </c>
      <c r="H143">
        <v>9.7210000000000005E-2</v>
      </c>
      <c r="I143">
        <v>0.1137</v>
      </c>
      <c r="J143">
        <v>9.4469999999999998E-2</v>
      </c>
      <c r="K143">
        <v>5.9429999999999997E-2</v>
      </c>
      <c r="L143">
        <v>0.18609999999999999</v>
      </c>
      <c r="M143">
        <v>6.2480000000000001E-2</v>
      </c>
      <c r="N143">
        <v>0.70489999999999997</v>
      </c>
      <c r="O143">
        <v>1.3320000000000001</v>
      </c>
      <c r="P143">
        <v>4.5330000000000004</v>
      </c>
      <c r="Q143">
        <v>74.08</v>
      </c>
      <c r="R143">
        <v>6.77E-3</v>
      </c>
      <c r="S143">
        <v>1.9380000000000001E-2</v>
      </c>
      <c r="T143">
        <v>3.0669999999999999E-2</v>
      </c>
      <c r="U143">
        <v>1.167E-2</v>
      </c>
      <c r="V143">
        <v>1.8749999999999999E-2</v>
      </c>
      <c r="W143">
        <v>3.434E-3</v>
      </c>
      <c r="X143">
        <v>19.920000000000002</v>
      </c>
      <c r="Y143">
        <v>25.27</v>
      </c>
      <c r="Z143">
        <v>129</v>
      </c>
      <c r="AA143">
        <v>1233</v>
      </c>
      <c r="AB143">
        <v>0.13139999999999999</v>
      </c>
      <c r="AC143">
        <v>0.22359999999999999</v>
      </c>
      <c r="AD143">
        <v>0.2802</v>
      </c>
      <c r="AE143">
        <v>0.1216</v>
      </c>
      <c r="AF143">
        <v>0.2792</v>
      </c>
      <c r="AG143">
        <v>8.158E-2</v>
      </c>
    </row>
    <row r="144" spans="1:33">
      <c r="A144">
        <v>143</v>
      </c>
      <c r="B144">
        <v>869218</v>
      </c>
      <c r="C144" t="s">
        <v>1</v>
      </c>
      <c r="D144">
        <v>13.71</v>
      </c>
      <c r="E144">
        <v>17.309999999999999</v>
      </c>
      <c r="F144">
        <v>73.66</v>
      </c>
      <c r="G144">
        <v>398</v>
      </c>
      <c r="H144">
        <v>0.10920000000000001</v>
      </c>
      <c r="I144">
        <v>9.486E-2</v>
      </c>
      <c r="J144">
        <v>2.0310000000000002E-2</v>
      </c>
      <c r="K144">
        <v>1.8610000000000002E-2</v>
      </c>
      <c r="L144">
        <v>0.16450000000000001</v>
      </c>
      <c r="M144">
        <v>6.5619999999999998E-2</v>
      </c>
      <c r="N144">
        <v>0.2843</v>
      </c>
      <c r="O144">
        <v>1.9079999999999999</v>
      </c>
      <c r="P144">
        <v>1.9370000000000001</v>
      </c>
      <c r="Q144">
        <v>21.38</v>
      </c>
      <c r="R144">
        <v>6.6639999999999998E-3</v>
      </c>
      <c r="S144">
        <v>1.7350000000000001E-2</v>
      </c>
      <c r="T144">
        <v>1.158E-2</v>
      </c>
      <c r="U144">
        <v>9.5200000000000007E-3</v>
      </c>
      <c r="V144">
        <v>2.282E-2</v>
      </c>
      <c r="W144">
        <v>3.5260000000000001E-3</v>
      </c>
      <c r="X144">
        <v>12.78</v>
      </c>
      <c r="Y144">
        <v>26.76</v>
      </c>
      <c r="Z144">
        <v>82.66</v>
      </c>
      <c r="AA144">
        <v>503</v>
      </c>
      <c r="AB144">
        <v>0.14130000000000001</v>
      </c>
      <c r="AC144">
        <v>0.1792</v>
      </c>
      <c r="AD144">
        <v>7.7079999999999996E-2</v>
      </c>
      <c r="AE144">
        <v>6.4019999999999994E-2</v>
      </c>
      <c r="AF144">
        <v>0.25840000000000002</v>
      </c>
      <c r="AG144">
        <v>8.0960000000000004E-2</v>
      </c>
    </row>
    <row r="145" spans="1:33">
      <c r="A145">
        <v>144</v>
      </c>
      <c r="B145">
        <v>869224</v>
      </c>
      <c r="C145" t="s">
        <v>1</v>
      </c>
      <c r="D145">
        <v>13.71</v>
      </c>
      <c r="E145">
        <v>15.92</v>
      </c>
      <c r="F145">
        <v>83.74</v>
      </c>
      <c r="G145">
        <v>512.20000000000005</v>
      </c>
      <c r="H145">
        <v>8.677E-2</v>
      </c>
      <c r="I145">
        <v>9.5089999999999994E-2</v>
      </c>
      <c r="J145">
        <v>4.8939999999999997E-2</v>
      </c>
      <c r="K145">
        <v>3.0880000000000001E-2</v>
      </c>
      <c r="L145">
        <v>0.17780000000000001</v>
      </c>
      <c r="M145">
        <v>6.2350000000000003E-2</v>
      </c>
      <c r="N145">
        <v>0.21429999999999999</v>
      </c>
      <c r="O145">
        <v>0.7712</v>
      </c>
      <c r="P145">
        <v>1.6890000000000001</v>
      </c>
      <c r="Q145">
        <v>16.64</v>
      </c>
      <c r="R145">
        <v>5.3239999999999997E-3</v>
      </c>
      <c r="S145">
        <v>1.5630000000000002E-2</v>
      </c>
      <c r="T145">
        <v>1.5100000000000001E-2</v>
      </c>
      <c r="U145">
        <v>7.5839999999999996E-3</v>
      </c>
      <c r="V145">
        <v>2.104E-2</v>
      </c>
      <c r="W145">
        <v>1.887E-3</v>
      </c>
      <c r="X145">
        <v>14.48</v>
      </c>
      <c r="Y145">
        <v>21.82</v>
      </c>
      <c r="Z145">
        <v>97.17</v>
      </c>
      <c r="AA145">
        <v>643.79999999999995</v>
      </c>
      <c r="AB145">
        <v>0.13120000000000001</v>
      </c>
      <c r="AC145">
        <v>0.25480000000000003</v>
      </c>
      <c r="AD145">
        <v>0.20899999999999999</v>
      </c>
      <c r="AE145">
        <v>0.1012</v>
      </c>
      <c r="AF145">
        <v>0.35489999999999999</v>
      </c>
      <c r="AG145">
        <v>8.1180000000000002E-2</v>
      </c>
    </row>
    <row r="146" spans="1:33">
      <c r="A146">
        <v>145</v>
      </c>
      <c r="B146">
        <v>869254</v>
      </c>
      <c r="C146" t="s">
        <v>1</v>
      </c>
      <c r="D146">
        <v>13.71</v>
      </c>
      <c r="E146">
        <v>14.97</v>
      </c>
      <c r="F146">
        <v>68.260000000000005</v>
      </c>
      <c r="G146">
        <v>355.3</v>
      </c>
      <c r="H146">
        <v>7.7929999999999999E-2</v>
      </c>
      <c r="I146">
        <v>5.1389999999999998E-2</v>
      </c>
      <c r="J146">
        <v>2.2509999999999999E-2</v>
      </c>
      <c r="K146">
        <v>7.8750000000000001E-3</v>
      </c>
      <c r="L146">
        <v>0.1399</v>
      </c>
      <c r="M146">
        <v>5.688E-2</v>
      </c>
      <c r="N146">
        <v>0.2525</v>
      </c>
      <c r="O146">
        <v>1.2390000000000001</v>
      </c>
      <c r="P146">
        <v>1.806</v>
      </c>
      <c r="Q146">
        <v>17.739999999999998</v>
      </c>
      <c r="R146">
        <v>6.5469999999999999E-3</v>
      </c>
      <c r="S146">
        <v>1.7809999999999999E-2</v>
      </c>
      <c r="T146">
        <v>2.018E-2</v>
      </c>
      <c r="U146">
        <v>5.6119999999999998E-3</v>
      </c>
      <c r="V146">
        <v>1.6709999999999999E-2</v>
      </c>
      <c r="W146">
        <v>2.3600000000000001E-3</v>
      </c>
      <c r="X146">
        <v>11.95</v>
      </c>
      <c r="Y146">
        <v>20.72</v>
      </c>
      <c r="Z146">
        <v>77.790000000000006</v>
      </c>
      <c r="AA146">
        <v>441.2</v>
      </c>
      <c r="AB146">
        <v>0.1076</v>
      </c>
      <c r="AC146">
        <v>0.12230000000000001</v>
      </c>
      <c r="AD146">
        <v>9.7549999999999998E-2</v>
      </c>
      <c r="AE146">
        <v>3.4130000000000001E-2</v>
      </c>
      <c r="AF146">
        <v>0.23</v>
      </c>
      <c r="AG146">
        <v>6.769E-2</v>
      </c>
    </row>
    <row r="147" spans="1:33">
      <c r="A147">
        <v>146</v>
      </c>
      <c r="B147">
        <v>869476</v>
      </c>
      <c r="C147" t="s">
        <v>1</v>
      </c>
      <c r="D147">
        <v>13.71</v>
      </c>
      <c r="E147">
        <v>14.65</v>
      </c>
      <c r="F147">
        <v>78.11</v>
      </c>
      <c r="G147">
        <v>432.8</v>
      </c>
      <c r="H147">
        <v>0.1152</v>
      </c>
      <c r="I147">
        <v>0.12959999999999999</v>
      </c>
      <c r="J147">
        <v>3.7100000000000001E-2</v>
      </c>
      <c r="K147">
        <v>3.0030000000000001E-2</v>
      </c>
      <c r="L147">
        <v>0.19950000000000001</v>
      </c>
      <c r="M147">
        <v>7.8390000000000001E-2</v>
      </c>
      <c r="N147">
        <v>0.3962</v>
      </c>
      <c r="O147">
        <v>0.65380000000000005</v>
      </c>
      <c r="P147">
        <v>3.0209999999999999</v>
      </c>
      <c r="Q147">
        <v>25.03</v>
      </c>
      <c r="R147">
        <v>1.017E-2</v>
      </c>
      <c r="S147">
        <v>4.7410000000000001E-2</v>
      </c>
      <c r="T147">
        <v>2.7890000000000002E-2</v>
      </c>
      <c r="U147">
        <v>1.11E-2</v>
      </c>
      <c r="V147">
        <v>3.1269999999999999E-2</v>
      </c>
      <c r="W147">
        <v>9.4230000000000008E-3</v>
      </c>
      <c r="X147">
        <v>13.15</v>
      </c>
      <c r="Y147">
        <v>16.510000000000002</v>
      </c>
      <c r="Z147">
        <v>86.26</v>
      </c>
      <c r="AA147">
        <v>509.6</v>
      </c>
      <c r="AB147">
        <v>0.1424</v>
      </c>
      <c r="AC147">
        <v>0.25169999999999998</v>
      </c>
      <c r="AD147">
        <v>9.4200000000000006E-2</v>
      </c>
      <c r="AE147">
        <v>6.0420000000000001E-2</v>
      </c>
      <c r="AF147">
        <v>0.2727</v>
      </c>
      <c r="AG147">
        <v>0.1036</v>
      </c>
    </row>
    <row r="148" spans="1:33">
      <c r="A148">
        <v>147</v>
      </c>
      <c r="B148">
        <v>869691</v>
      </c>
      <c r="C148" t="s">
        <v>0</v>
      </c>
      <c r="D148">
        <v>13.71</v>
      </c>
      <c r="E148">
        <v>16.579999999999998</v>
      </c>
      <c r="F148">
        <v>78.989999999999995</v>
      </c>
      <c r="G148">
        <v>432</v>
      </c>
      <c r="H148">
        <v>0.1091</v>
      </c>
      <c r="I148">
        <v>0.17</v>
      </c>
      <c r="J148">
        <v>0.16589999999999999</v>
      </c>
      <c r="K148">
        <v>7.4149999999999994E-2</v>
      </c>
      <c r="L148">
        <v>0.26779999999999998</v>
      </c>
      <c r="M148">
        <v>7.3709999999999998E-2</v>
      </c>
      <c r="N148">
        <v>0.31969999999999998</v>
      </c>
      <c r="O148">
        <v>1.4259999999999999</v>
      </c>
      <c r="P148">
        <v>2.2810000000000001</v>
      </c>
      <c r="Q148">
        <v>24.72</v>
      </c>
      <c r="R148">
        <v>5.4270000000000004E-3</v>
      </c>
      <c r="S148">
        <v>3.6330000000000001E-2</v>
      </c>
      <c r="T148">
        <v>4.6489999999999997E-2</v>
      </c>
      <c r="U148">
        <v>1.8429999999999998E-2</v>
      </c>
      <c r="V148">
        <v>5.6279999999999997E-2</v>
      </c>
      <c r="W148">
        <v>4.6350000000000002E-3</v>
      </c>
      <c r="X148">
        <v>13.74</v>
      </c>
      <c r="Y148">
        <v>26.38</v>
      </c>
      <c r="Z148">
        <v>91.93</v>
      </c>
      <c r="AA148">
        <v>591.70000000000005</v>
      </c>
      <c r="AB148">
        <v>0.13850000000000001</v>
      </c>
      <c r="AC148">
        <v>0.40920000000000001</v>
      </c>
      <c r="AD148">
        <v>0.45040000000000002</v>
      </c>
      <c r="AE148">
        <v>0.1865</v>
      </c>
      <c r="AF148">
        <v>0.57740000000000002</v>
      </c>
      <c r="AG148">
        <v>0.10299999999999999</v>
      </c>
    </row>
    <row r="149" spans="1:33">
      <c r="A149">
        <v>148</v>
      </c>
      <c r="B149">
        <v>86973701</v>
      </c>
      <c r="C149" t="s">
        <v>1</v>
      </c>
      <c r="D149">
        <v>13.71</v>
      </c>
      <c r="E149">
        <v>18.77</v>
      </c>
      <c r="F149">
        <v>97.84</v>
      </c>
      <c r="G149">
        <v>689.5</v>
      </c>
      <c r="H149">
        <v>8.1379999999999994E-2</v>
      </c>
      <c r="I149">
        <v>0.1167</v>
      </c>
      <c r="J149">
        <v>9.0499999999999997E-2</v>
      </c>
      <c r="K149">
        <v>3.5619999999999999E-2</v>
      </c>
      <c r="L149">
        <v>0.1744</v>
      </c>
      <c r="M149">
        <v>6.4930000000000002E-2</v>
      </c>
      <c r="N149">
        <v>0.42199999999999999</v>
      </c>
      <c r="O149">
        <v>1.909</v>
      </c>
      <c r="P149">
        <v>3.2709999999999999</v>
      </c>
      <c r="Q149">
        <v>39.43</v>
      </c>
      <c r="R149">
        <v>5.79E-3</v>
      </c>
      <c r="S149">
        <v>4.8770000000000001E-2</v>
      </c>
      <c r="T149">
        <v>5.3030000000000001E-2</v>
      </c>
      <c r="U149">
        <v>1.5270000000000001E-2</v>
      </c>
      <c r="V149">
        <v>3.356E-2</v>
      </c>
      <c r="W149">
        <v>9.3679999999999996E-3</v>
      </c>
      <c r="X149">
        <v>16.25</v>
      </c>
      <c r="Y149">
        <v>25.47</v>
      </c>
      <c r="Z149">
        <v>107.1</v>
      </c>
      <c r="AA149">
        <v>809.7</v>
      </c>
      <c r="AB149">
        <v>9.9699999999999997E-2</v>
      </c>
      <c r="AC149">
        <v>0.25209999999999999</v>
      </c>
      <c r="AD149">
        <v>0.25</v>
      </c>
      <c r="AE149">
        <v>8.405E-2</v>
      </c>
      <c r="AF149">
        <v>0.28520000000000001</v>
      </c>
      <c r="AG149">
        <v>9.2179999999999998E-2</v>
      </c>
    </row>
    <row r="150" spans="1:33">
      <c r="A150">
        <v>149</v>
      </c>
      <c r="B150">
        <v>86973702</v>
      </c>
      <c r="C150" t="s">
        <v>1</v>
      </c>
      <c r="D150">
        <v>13.71</v>
      </c>
      <c r="E150">
        <v>15.18</v>
      </c>
      <c r="F150">
        <v>93.97</v>
      </c>
      <c r="G150">
        <v>640.1</v>
      </c>
      <c r="H150">
        <v>9.9699999999999997E-2</v>
      </c>
      <c r="I150">
        <v>0.1021</v>
      </c>
      <c r="J150">
        <v>8.4870000000000001E-2</v>
      </c>
      <c r="K150">
        <v>5.5320000000000001E-2</v>
      </c>
      <c r="L150">
        <v>0.1724</v>
      </c>
      <c r="M150">
        <v>6.0810000000000003E-2</v>
      </c>
      <c r="N150">
        <v>0.24060000000000001</v>
      </c>
      <c r="O150">
        <v>0.73939999999999995</v>
      </c>
      <c r="P150">
        <v>2.12</v>
      </c>
      <c r="Q150">
        <v>21.2</v>
      </c>
      <c r="R150">
        <v>5.7060000000000001E-3</v>
      </c>
      <c r="S150">
        <v>2.2970000000000001E-2</v>
      </c>
      <c r="T150">
        <v>3.1140000000000001E-2</v>
      </c>
      <c r="U150">
        <v>1.4930000000000001E-2</v>
      </c>
      <c r="V150">
        <v>1.4540000000000001E-2</v>
      </c>
      <c r="W150">
        <v>2.5279999999999999E-3</v>
      </c>
      <c r="X150">
        <v>15.85</v>
      </c>
      <c r="Y150">
        <v>19.850000000000001</v>
      </c>
      <c r="Z150">
        <v>108.6</v>
      </c>
      <c r="AA150">
        <v>766.9</v>
      </c>
      <c r="AB150">
        <v>0.13159999999999999</v>
      </c>
      <c r="AC150">
        <v>0.27350000000000002</v>
      </c>
      <c r="AD150">
        <v>0.31030000000000002</v>
      </c>
      <c r="AE150">
        <v>0.15989999999999999</v>
      </c>
      <c r="AF150">
        <v>0.26910000000000001</v>
      </c>
      <c r="AG150">
        <v>7.6829999999999996E-2</v>
      </c>
    </row>
    <row r="151" spans="1:33">
      <c r="A151">
        <v>150</v>
      </c>
      <c r="B151">
        <v>869931</v>
      </c>
      <c r="C151" t="s">
        <v>1</v>
      </c>
      <c r="D151">
        <v>13.71</v>
      </c>
      <c r="E151">
        <v>17.91</v>
      </c>
      <c r="F151">
        <v>88.12</v>
      </c>
      <c r="G151">
        <v>585</v>
      </c>
      <c r="H151">
        <v>7.9439999999999997E-2</v>
      </c>
      <c r="I151">
        <v>6.3759999999999997E-2</v>
      </c>
      <c r="J151">
        <v>2.8809999999999999E-2</v>
      </c>
      <c r="K151">
        <v>1.329E-2</v>
      </c>
      <c r="L151">
        <v>0.14729999999999999</v>
      </c>
      <c r="M151">
        <v>5.5800000000000002E-2</v>
      </c>
      <c r="N151">
        <v>0.25</v>
      </c>
      <c r="O151">
        <v>0.75739999999999996</v>
      </c>
      <c r="P151">
        <v>1.573</v>
      </c>
      <c r="Q151">
        <v>21.47</v>
      </c>
      <c r="R151">
        <v>2.8379999999999998E-3</v>
      </c>
      <c r="S151">
        <v>1.592E-2</v>
      </c>
      <c r="T151">
        <v>1.78E-2</v>
      </c>
      <c r="U151">
        <v>5.8279999999999998E-3</v>
      </c>
      <c r="V151">
        <v>1.329E-2</v>
      </c>
      <c r="W151">
        <v>1.9759999999999999E-3</v>
      </c>
      <c r="X151">
        <v>15.34</v>
      </c>
      <c r="Y151">
        <v>22.46</v>
      </c>
      <c r="Z151">
        <v>97.19</v>
      </c>
      <c r="AA151">
        <v>725.9</v>
      </c>
      <c r="AB151">
        <v>9.7110000000000002E-2</v>
      </c>
      <c r="AC151">
        <v>0.18240000000000001</v>
      </c>
      <c r="AD151">
        <v>0.15640000000000001</v>
      </c>
      <c r="AE151">
        <v>6.019E-2</v>
      </c>
      <c r="AF151">
        <v>0.23499999999999999</v>
      </c>
      <c r="AG151">
        <v>7.0139999999999994E-2</v>
      </c>
    </row>
    <row r="152" spans="1:33">
      <c r="A152">
        <v>151</v>
      </c>
      <c r="B152">
        <v>871001501</v>
      </c>
      <c r="C152" t="s">
        <v>1</v>
      </c>
      <c r="D152">
        <v>13.71</v>
      </c>
      <c r="E152">
        <v>20.78</v>
      </c>
      <c r="F152">
        <v>83.51</v>
      </c>
      <c r="G152">
        <v>519.4</v>
      </c>
      <c r="H152">
        <v>0.1135</v>
      </c>
      <c r="I152">
        <v>7.5889999999999999E-2</v>
      </c>
      <c r="J152">
        <v>3.1359999999999999E-2</v>
      </c>
      <c r="K152">
        <v>2.6450000000000001E-2</v>
      </c>
      <c r="L152">
        <v>0.254</v>
      </c>
      <c r="M152">
        <v>6.087E-2</v>
      </c>
      <c r="N152">
        <v>0.42020000000000002</v>
      </c>
      <c r="O152">
        <v>1.3220000000000001</v>
      </c>
      <c r="P152">
        <v>2.8730000000000002</v>
      </c>
      <c r="Q152">
        <v>34.78</v>
      </c>
      <c r="R152">
        <v>7.0169999999999998E-3</v>
      </c>
      <c r="S152">
        <v>1.142E-2</v>
      </c>
      <c r="T152">
        <v>1.949E-2</v>
      </c>
      <c r="U152">
        <v>1.153E-2</v>
      </c>
      <c r="V152">
        <v>2.9510000000000002E-2</v>
      </c>
      <c r="W152">
        <v>1.5330000000000001E-3</v>
      </c>
      <c r="X152">
        <v>14.16</v>
      </c>
      <c r="Y152">
        <v>24.11</v>
      </c>
      <c r="Z152">
        <v>90.82</v>
      </c>
      <c r="AA152">
        <v>616.70000000000005</v>
      </c>
      <c r="AB152">
        <v>0.12970000000000001</v>
      </c>
      <c r="AC152">
        <v>0.1105</v>
      </c>
      <c r="AD152">
        <v>8.1119999999999998E-2</v>
      </c>
      <c r="AE152">
        <v>6.2960000000000002E-2</v>
      </c>
      <c r="AF152">
        <v>0.3196</v>
      </c>
      <c r="AG152">
        <v>6.4350000000000004E-2</v>
      </c>
    </row>
    <row r="153" spans="1:33">
      <c r="A153">
        <v>152</v>
      </c>
      <c r="B153">
        <v>871001502</v>
      </c>
      <c r="C153" t="s">
        <v>1</v>
      </c>
      <c r="D153">
        <v>13.71</v>
      </c>
      <c r="E153">
        <v>20.7</v>
      </c>
      <c r="F153">
        <v>53.27</v>
      </c>
      <c r="G153">
        <v>203.9</v>
      </c>
      <c r="H153">
        <v>9.4049999999999995E-2</v>
      </c>
      <c r="I153">
        <v>0.1305</v>
      </c>
      <c r="J153">
        <v>0.1321</v>
      </c>
      <c r="K153">
        <v>2.1680000000000001E-2</v>
      </c>
      <c r="L153">
        <v>0.22220000000000001</v>
      </c>
      <c r="M153">
        <v>8.2610000000000003E-2</v>
      </c>
      <c r="N153">
        <v>0.19350000000000001</v>
      </c>
      <c r="O153">
        <v>1.962</v>
      </c>
      <c r="P153">
        <v>1.2430000000000001</v>
      </c>
      <c r="Q153">
        <v>10.210000000000001</v>
      </c>
      <c r="R153">
        <v>1.243E-2</v>
      </c>
      <c r="S153">
        <v>5.416E-2</v>
      </c>
      <c r="T153">
        <v>7.7530000000000002E-2</v>
      </c>
      <c r="U153">
        <v>1.022E-2</v>
      </c>
      <c r="V153">
        <v>2.3089999999999999E-2</v>
      </c>
      <c r="W153">
        <v>1.1780000000000001E-2</v>
      </c>
      <c r="X153">
        <v>9.0920000000000005</v>
      </c>
      <c r="Y153">
        <v>29.72</v>
      </c>
      <c r="Z153">
        <v>58.08</v>
      </c>
      <c r="AA153">
        <v>249.8</v>
      </c>
      <c r="AB153">
        <v>0.16300000000000001</v>
      </c>
      <c r="AC153">
        <v>0.43099999999999999</v>
      </c>
      <c r="AD153">
        <v>0.53810000000000002</v>
      </c>
      <c r="AE153">
        <v>7.8789999999999999E-2</v>
      </c>
      <c r="AF153">
        <v>0.3322</v>
      </c>
      <c r="AG153">
        <v>0.14860000000000001</v>
      </c>
    </row>
    <row r="154" spans="1:33">
      <c r="A154">
        <v>153</v>
      </c>
      <c r="B154">
        <v>8710441</v>
      </c>
      <c r="C154" t="s">
        <v>1</v>
      </c>
      <c r="D154">
        <v>13.71</v>
      </c>
      <c r="E154">
        <v>15.34</v>
      </c>
      <c r="F154">
        <v>63.78</v>
      </c>
      <c r="G154">
        <v>300.2</v>
      </c>
      <c r="H154">
        <v>0.1072</v>
      </c>
      <c r="I154">
        <v>0.15989999999999999</v>
      </c>
      <c r="J154">
        <v>0.4108</v>
      </c>
      <c r="K154">
        <v>7.8570000000000001E-2</v>
      </c>
      <c r="L154">
        <v>0.25480000000000003</v>
      </c>
      <c r="M154">
        <v>9.2960000000000001E-2</v>
      </c>
      <c r="N154">
        <v>0.82450000000000001</v>
      </c>
      <c r="O154">
        <v>2.6640000000000001</v>
      </c>
      <c r="P154">
        <v>4.0730000000000004</v>
      </c>
      <c r="Q154">
        <v>49.85</v>
      </c>
      <c r="R154">
        <v>1.0970000000000001E-2</v>
      </c>
      <c r="S154">
        <v>9.5860000000000001E-2</v>
      </c>
      <c r="T154">
        <v>0.39600000000000002</v>
      </c>
      <c r="U154">
        <v>5.2789999999999997E-2</v>
      </c>
      <c r="V154">
        <v>3.5459999999999998E-2</v>
      </c>
      <c r="W154">
        <v>2.9839999999999998E-2</v>
      </c>
      <c r="X154">
        <v>11.02</v>
      </c>
      <c r="Y154">
        <v>19.489999999999998</v>
      </c>
      <c r="Z154">
        <v>71.040000000000006</v>
      </c>
      <c r="AA154">
        <v>380.5</v>
      </c>
      <c r="AB154">
        <v>0.12920000000000001</v>
      </c>
      <c r="AC154">
        <v>0.2772</v>
      </c>
      <c r="AD154">
        <v>0.8216</v>
      </c>
      <c r="AE154">
        <v>0.15709999999999999</v>
      </c>
      <c r="AF154">
        <v>0.31080000000000002</v>
      </c>
      <c r="AG154">
        <v>0.12590000000000001</v>
      </c>
    </row>
    <row r="155" spans="1:33">
      <c r="A155">
        <v>154</v>
      </c>
      <c r="B155">
        <v>87106</v>
      </c>
      <c r="C155" t="s">
        <v>1</v>
      </c>
      <c r="D155">
        <v>13.71</v>
      </c>
      <c r="E155">
        <v>13.08</v>
      </c>
      <c r="F155">
        <v>70.87</v>
      </c>
      <c r="G155">
        <v>381.9</v>
      </c>
      <c r="H155">
        <v>9.7540000000000002E-2</v>
      </c>
      <c r="I155">
        <v>5.1130000000000002E-2</v>
      </c>
      <c r="J155">
        <v>1.9820000000000001E-2</v>
      </c>
      <c r="K155">
        <v>1.7860000000000001E-2</v>
      </c>
      <c r="L155">
        <v>0.183</v>
      </c>
      <c r="M155">
        <v>6.105E-2</v>
      </c>
      <c r="N155">
        <v>0.22509999999999999</v>
      </c>
      <c r="O155">
        <v>0.78149999999999997</v>
      </c>
      <c r="P155">
        <v>1.429</v>
      </c>
      <c r="Q155">
        <v>15.48</v>
      </c>
      <c r="R155">
        <v>9.0189999999999992E-3</v>
      </c>
      <c r="S155">
        <v>8.9849999999999999E-3</v>
      </c>
      <c r="T155">
        <v>1.196E-2</v>
      </c>
      <c r="U155">
        <v>8.2319999999999997E-3</v>
      </c>
      <c r="V155">
        <v>2.3879999999999998E-2</v>
      </c>
      <c r="W155">
        <v>1.619E-3</v>
      </c>
      <c r="X155">
        <v>11.99</v>
      </c>
      <c r="Y155">
        <v>16.3</v>
      </c>
      <c r="Z155">
        <v>76.25</v>
      </c>
      <c r="AA155">
        <v>440.8</v>
      </c>
      <c r="AB155">
        <v>0.1341</v>
      </c>
      <c r="AC155">
        <v>8.9709999999999998E-2</v>
      </c>
      <c r="AD155">
        <v>7.1160000000000001E-2</v>
      </c>
      <c r="AE155">
        <v>5.5059999999999998E-2</v>
      </c>
      <c r="AF155">
        <v>0.28589999999999999</v>
      </c>
      <c r="AG155">
        <v>6.7720000000000002E-2</v>
      </c>
    </row>
    <row r="156" spans="1:33">
      <c r="A156">
        <v>155</v>
      </c>
      <c r="B156">
        <v>8711002</v>
      </c>
      <c r="C156" t="s">
        <v>1</v>
      </c>
      <c r="D156">
        <v>13.71</v>
      </c>
      <c r="E156">
        <v>15.34</v>
      </c>
      <c r="F156">
        <v>85.31</v>
      </c>
      <c r="G156">
        <v>538.9</v>
      </c>
      <c r="H156">
        <v>9.3840000000000007E-2</v>
      </c>
      <c r="I156">
        <v>8.498E-2</v>
      </c>
      <c r="J156">
        <v>9.2929999999999999E-2</v>
      </c>
      <c r="K156">
        <v>3.483E-2</v>
      </c>
      <c r="L156">
        <v>0.1822</v>
      </c>
      <c r="M156">
        <v>6.207E-2</v>
      </c>
      <c r="N156">
        <v>0.27100000000000002</v>
      </c>
      <c r="O156">
        <v>0.79269999999999996</v>
      </c>
      <c r="P156">
        <v>1.819</v>
      </c>
      <c r="Q156">
        <v>22.79</v>
      </c>
      <c r="R156">
        <v>8.5839999999999996E-3</v>
      </c>
      <c r="S156">
        <v>2.017E-2</v>
      </c>
      <c r="T156">
        <v>3.0470000000000001E-2</v>
      </c>
      <c r="U156">
        <v>9.5359999999999993E-3</v>
      </c>
      <c r="V156">
        <v>2.7689999999999999E-2</v>
      </c>
      <c r="W156">
        <v>3.4789999999999999E-3</v>
      </c>
      <c r="X156">
        <v>14.77</v>
      </c>
      <c r="Y156">
        <v>20.5</v>
      </c>
      <c r="Z156">
        <v>97.67</v>
      </c>
      <c r="AA156">
        <v>677.3</v>
      </c>
      <c r="AB156">
        <v>0.14779999999999999</v>
      </c>
      <c r="AC156">
        <v>0.22559999999999999</v>
      </c>
      <c r="AD156">
        <v>0.3009</v>
      </c>
      <c r="AE156">
        <v>9.7220000000000001E-2</v>
      </c>
      <c r="AF156">
        <v>0.38490000000000002</v>
      </c>
      <c r="AG156">
        <v>8.6330000000000004E-2</v>
      </c>
    </row>
    <row r="157" spans="1:33">
      <c r="A157">
        <v>156</v>
      </c>
      <c r="B157">
        <v>8711003</v>
      </c>
      <c r="C157" t="s">
        <v>1</v>
      </c>
      <c r="D157">
        <v>13.71</v>
      </c>
      <c r="E157">
        <v>17.940000000000001</v>
      </c>
      <c r="F157">
        <v>78.27</v>
      </c>
      <c r="G157">
        <v>460.3</v>
      </c>
      <c r="H157">
        <v>8.6540000000000006E-2</v>
      </c>
      <c r="I157">
        <v>6.6790000000000002E-2</v>
      </c>
      <c r="J157">
        <v>3.8850000000000003E-2</v>
      </c>
      <c r="K157">
        <v>2.3310000000000001E-2</v>
      </c>
      <c r="L157">
        <v>0.19700000000000001</v>
      </c>
      <c r="M157">
        <v>6.2280000000000002E-2</v>
      </c>
      <c r="N157">
        <v>0.22</v>
      </c>
      <c r="O157">
        <v>0.98229999999999995</v>
      </c>
      <c r="P157">
        <v>1.484</v>
      </c>
      <c r="Q157">
        <v>16.510000000000002</v>
      </c>
      <c r="R157">
        <v>5.5180000000000003E-3</v>
      </c>
      <c r="S157">
        <v>1.562E-2</v>
      </c>
      <c r="T157">
        <v>1.9939999999999999E-2</v>
      </c>
      <c r="U157">
        <v>7.9240000000000005E-3</v>
      </c>
      <c r="V157">
        <v>1.7989999999999999E-2</v>
      </c>
      <c r="W157">
        <v>2.4840000000000001E-3</v>
      </c>
      <c r="X157">
        <v>13.59</v>
      </c>
      <c r="Y157">
        <v>25.22</v>
      </c>
      <c r="Z157">
        <v>86.6</v>
      </c>
      <c r="AA157">
        <v>564.20000000000005</v>
      </c>
      <c r="AB157">
        <v>0.1217</v>
      </c>
      <c r="AC157">
        <v>0.17879999999999999</v>
      </c>
      <c r="AD157">
        <v>0.1943</v>
      </c>
      <c r="AE157">
        <v>8.2110000000000002E-2</v>
      </c>
      <c r="AF157">
        <v>0.31130000000000002</v>
      </c>
      <c r="AG157">
        <v>8.1320000000000003E-2</v>
      </c>
    </row>
    <row r="158" spans="1:33">
      <c r="A158">
        <v>157</v>
      </c>
      <c r="B158">
        <v>8711202</v>
      </c>
      <c r="C158" t="s">
        <v>0</v>
      </c>
      <c r="D158">
        <v>13.71</v>
      </c>
      <c r="E158">
        <v>20.74</v>
      </c>
      <c r="F158">
        <v>117.4</v>
      </c>
      <c r="G158">
        <v>963.7</v>
      </c>
      <c r="H158">
        <v>0.1115</v>
      </c>
      <c r="I158">
        <v>0.16650000000000001</v>
      </c>
      <c r="J158">
        <v>0.1855</v>
      </c>
      <c r="K158">
        <v>0.10539999999999999</v>
      </c>
      <c r="L158">
        <v>0.1971</v>
      </c>
      <c r="M158">
        <v>6.166E-2</v>
      </c>
      <c r="N158">
        <v>0.81130000000000002</v>
      </c>
      <c r="O158">
        <v>1.4</v>
      </c>
      <c r="P158">
        <v>5.54</v>
      </c>
      <c r="Q158">
        <v>93.91</v>
      </c>
      <c r="R158">
        <v>9.0369999999999999E-3</v>
      </c>
      <c r="S158">
        <v>4.9540000000000001E-2</v>
      </c>
      <c r="T158">
        <v>5.2060000000000002E-2</v>
      </c>
      <c r="U158">
        <v>1.8409999999999999E-2</v>
      </c>
      <c r="V158">
        <v>1.7780000000000001E-2</v>
      </c>
      <c r="W158">
        <v>4.9680000000000002E-3</v>
      </c>
      <c r="X158">
        <v>20.47</v>
      </c>
      <c r="Y158">
        <v>25.11</v>
      </c>
      <c r="Z158">
        <v>132.9</v>
      </c>
      <c r="AA158">
        <v>1302</v>
      </c>
      <c r="AB158">
        <v>0.14180000000000001</v>
      </c>
      <c r="AC158">
        <v>0.3498</v>
      </c>
      <c r="AD158">
        <v>0.35830000000000001</v>
      </c>
      <c r="AE158">
        <v>0.1515</v>
      </c>
      <c r="AF158">
        <v>0.24629999999999999</v>
      </c>
      <c r="AG158">
        <v>7.7380000000000004E-2</v>
      </c>
    </row>
    <row r="159" spans="1:33">
      <c r="A159">
        <v>158</v>
      </c>
      <c r="B159">
        <v>8711216</v>
      </c>
      <c r="C159" t="s">
        <v>1</v>
      </c>
      <c r="D159">
        <v>13.71</v>
      </c>
      <c r="E159">
        <v>19.46</v>
      </c>
      <c r="F159">
        <v>108.4</v>
      </c>
      <c r="G159">
        <v>880.2</v>
      </c>
      <c r="H159">
        <v>7.4450000000000002E-2</v>
      </c>
      <c r="I159">
        <v>7.2230000000000003E-2</v>
      </c>
      <c r="J159">
        <v>5.1499999999999997E-2</v>
      </c>
      <c r="K159">
        <v>2.7709999999999999E-2</v>
      </c>
      <c r="L159">
        <v>0.18440000000000001</v>
      </c>
      <c r="M159">
        <v>5.2679999999999998E-2</v>
      </c>
      <c r="N159">
        <v>0.47889999999999999</v>
      </c>
      <c r="O159">
        <v>2.06</v>
      </c>
      <c r="P159">
        <v>3.4790000000000001</v>
      </c>
      <c r="Q159">
        <v>46.61</v>
      </c>
      <c r="R159">
        <v>3.4429999999999999E-3</v>
      </c>
      <c r="S159">
        <v>2.6610000000000002E-2</v>
      </c>
      <c r="T159">
        <v>3.056E-2</v>
      </c>
      <c r="U159">
        <v>1.11E-2</v>
      </c>
      <c r="V159">
        <v>1.52E-2</v>
      </c>
      <c r="W159">
        <v>1.519E-3</v>
      </c>
      <c r="X159">
        <v>18.22</v>
      </c>
      <c r="Y159">
        <v>28.07</v>
      </c>
      <c r="Z159">
        <v>120.3</v>
      </c>
      <c r="AA159">
        <v>1032</v>
      </c>
      <c r="AB159">
        <v>8.7739999999999999E-2</v>
      </c>
      <c r="AC159">
        <v>0.17100000000000001</v>
      </c>
      <c r="AD159">
        <v>0.18820000000000001</v>
      </c>
      <c r="AE159">
        <v>8.4360000000000004E-2</v>
      </c>
      <c r="AF159">
        <v>0.25269999999999998</v>
      </c>
      <c r="AG159">
        <v>5.9720000000000002E-2</v>
      </c>
    </row>
    <row r="160" spans="1:33">
      <c r="A160">
        <v>159</v>
      </c>
      <c r="B160">
        <v>871122</v>
      </c>
      <c r="C160" t="s">
        <v>1</v>
      </c>
      <c r="D160">
        <v>13.71</v>
      </c>
      <c r="E160">
        <v>12.74</v>
      </c>
      <c r="F160">
        <v>76.84</v>
      </c>
      <c r="G160">
        <v>448.6</v>
      </c>
      <c r="H160">
        <v>9.3109999999999998E-2</v>
      </c>
      <c r="I160">
        <v>5.2409999999999998E-2</v>
      </c>
      <c r="J160">
        <v>1.9720000000000001E-2</v>
      </c>
      <c r="K160">
        <v>1.9630000000000002E-2</v>
      </c>
      <c r="L160">
        <v>0.159</v>
      </c>
      <c r="M160">
        <v>5.9069999999999998E-2</v>
      </c>
      <c r="N160">
        <v>0.1822</v>
      </c>
      <c r="O160">
        <v>0.72850000000000004</v>
      </c>
      <c r="P160">
        <v>1.171</v>
      </c>
      <c r="Q160">
        <v>13.25</v>
      </c>
      <c r="R160">
        <v>5.5279999999999999E-3</v>
      </c>
      <c r="S160">
        <v>9.7890000000000008E-3</v>
      </c>
      <c r="T160">
        <v>8.3420000000000005E-3</v>
      </c>
      <c r="U160">
        <v>6.2729999999999999E-3</v>
      </c>
      <c r="V160">
        <v>1.465E-2</v>
      </c>
      <c r="W160">
        <v>2.5300000000000001E-3</v>
      </c>
      <c r="X160">
        <v>13.14</v>
      </c>
      <c r="Y160">
        <v>18.41</v>
      </c>
      <c r="Z160">
        <v>84.08</v>
      </c>
      <c r="AA160">
        <v>532.79999999999995</v>
      </c>
      <c r="AB160">
        <v>0.1275</v>
      </c>
      <c r="AC160">
        <v>0.1232</v>
      </c>
      <c r="AD160">
        <v>8.6360000000000006E-2</v>
      </c>
      <c r="AE160">
        <v>7.0250000000000007E-2</v>
      </c>
      <c r="AF160">
        <v>0.25140000000000001</v>
      </c>
      <c r="AG160">
        <v>7.8979999999999995E-2</v>
      </c>
    </row>
    <row r="161" spans="1:33">
      <c r="A161">
        <v>160</v>
      </c>
      <c r="B161">
        <v>871149</v>
      </c>
      <c r="C161" t="s">
        <v>1</v>
      </c>
      <c r="D161">
        <v>13.71</v>
      </c>
      <c r="E161">
        <v>12.96</v>
      </c>
      <c r="F161">
        <v>68.69</v>
      </c>
      <c r="G161">
        <v>366.8</v>
      </c>
      <c r="H161">
        <v>7.5149999999999995E-2</v>
      </c>
      <c r="I161">
        <v>3.7179999999999998E-2</v>
      </c>
      <c r="J161">
        <v>3.0899999999999999E-3</v>
      </c>
      <c r="K161">
        <v>6.5880000000000001E-3</v>
      </c>
      <c r="L161">
        <v>0.14419999999999999</v>
      </c>
      <c r="M161">
        <v>5.7430000000000002E-2</v>
      </c>
      <c r="N161">
        <v>0.28179999999999999</v>
      </c>
      <c r="O161">
        <v>0.76139999999999997</v>
      </c>
      <c r="P161">
        <v>1.8080000000000001</v>
      </c>
      <c r="Q161">
        <v>18.54</v>
      </c>
      <c r="R161">
        <v>6.1419999999999999E-3</v>
      </c>
      <c r="S161">
        <v>6.1339999999999997E-3</v>
      </c>
      <c r="T161">
        <v>1.835E-3</v>
      </c>
      <c r="U161">
        <v>3.5760000000000002E-3</v>
      </c>
      <c r="V161">
        <v>1.6369999999999999E-2</v>
      </c>
      <c r="W161">
        <v>2.6649999999999998E-3</v>
      </c>
      <c r="X161">
        <v>12.36</v>
      </c>
      <c r="Y161">
        <v>18.2</v>
      </c>
      <c r="Z161">
        <v>78.069999999999993</v>
      </c>
      <c r="AA161">
        <v>470</v>
      </c>
      <c r="AB161">
        <v>0.1171</v>
      </c>
      <c r="AC161">
        <v>8.294E-2</v>
      </c>
      <c r="AD161">
        <v>1.8540000000000001E-2</v>
      </c>
      <c r="AE161">
        <v>3.9530000000000003E-2</v>
      </c>
      <c r="AF161">
        <v>0.27379999999999999</v>
      </c>
      <c r="AG161">
        <v>7.6850000000000002E-2</v>
      </c>
    </row>
    <row r="162" spans="1:33">
      <c r="A162">
        <v>161</v>
      </c>
      <c r="B162">
        <v>8711561</v>
      </c>
      <c r="C162" t="s">
        <v>1</v>
      </c>
      <c r="D162">
        <v>13.71</v>
      </c>
      <c r="E162">
        <v>20.18</v>
      </c>
      <c r="F162">
        <v>76.099999999999994</v>
      </c>
      <c r="G162">
        <v>419.8</v>
      </c>
      <c r="H162">
        <v>0.1089</v>
      </c>
      <c r="I162">
        <v>0.11409999999999999</v>
      </c>
      <c r="J162">
        <v>6.8430000000000005E-2</v>
      </c>
      <c r="K162">
        <v>3.7379999999999997E-2</v>
      </c>
      <c r="L162">
        <v>0.1993</v>
      </c>
      <c r="M162">
        <v>6.4530000000000004E-2</v>
      </c>
      <c r="N162">
        <v>0.50180000000000002</v>
      </c>
      <c r="O162">
        <v>1.6930000000000001</v>
      </c>
      <c r="P162">
        <v>3.9260000000000002</v>
      </c>
      <c r="Q162">
        <v>38.340000000000003</v>
      </c>
      <c r="R162">
        <v>9.4330000000000004E-3</v>
      </c>
      <c r="S162">
        <v>2.4049999999999998E-2</v>
      </c>
      <c r="T162">
        <v>4.1669999999999999E-2</v>
      </c>
      <c r="U162">
        <v>1.1520000000000001E-2</v>
      </c>
      <c r="V162">
        <v>3.397E-2</v>
      </c>
      <c r="W162">
        <v>5.0610000000000004E-3</v>
      </c>
      <c r="X162">
        <v>13.32</v>
      </c>
      <c r="Y162">
        <v>26.21</v>
      </c>
      <c r="Z162">
        <v>88.91</v>
      </c>
      <c r="AA162">
        <v>543.9</v>
      </c>
      <c r="AB162">
        <v>0.1358</v>
      </c>
      <c r="AC162">
        <v>0.18920000000000001</v>
      </c>
      <c r="AD162">
        <v>0.1956</v>
      </c>
      <c r="AE162">
        <v>7.9089999999999994E-2</v>
      </c>
      <c r="AF162">
        <v>0.31680000000000003</v>
      </c>
      <c r="AG162">
        <v>7.9869999999999997E-2</v>
      </c>
    </row>
    <row r="163" spans="1:33">
      <c r="A163">
        <v>162</v>
      </c>
      <c r="B163">
        <v>8711803</v>
      </c>
      <c r="C163" t="s">
        <v>0</v>
      </c>
      <c r="D163">
        <v>13.71</v>
      </c>
      <c r="E163">
        <v>15.94</v>
      </c>
      <c r="F163">
        <v>126.3</v>
      </c>
      <c r="G163">
        <v>1157</v>
      </c>
      <c r="H163">
        <v>8.6940000000000003E-2</v>
      </c>
      <c r="I163">
        <v>0.11849999999999999</v>
      </c>
      <c r="J163">
        <v>0.1193</v>
      </c>
      <c r="K163">
        <v>9.6670000000000006E-2</v>
      </c>
      <c r="L163">
        <v>0.1741</v>
      </c>
      <c r="M163">
        <v>5.176E-2</v>
      </c>
      <c r="N163">
        <v>1</v>
      </c>
      <c r="O163">
        <v>0.63360000000000005</v>
      </c>
      <c r="P163">
        <v>6.9710000000000001</v>
      </c>
      <c r="Q163">
        <v>119.3</v>
      </c>
      <c r="R163">
        <v>9.4059999999999994E-3</v>
      </c>
      <c r="S163">
        <v>3.0550000000000001E-2</v>
      </c>
      <c r="T163">
        <v>4.3439999999999999E-2</v>
      </c>
      <c r="U163">
        <v>2.794E-2</v>
      </c>
      <c r="V163">
        <v>3.1559999999999998E-2</v>
      </c>
      <c r="W163">
        <v>3.362E-3</v>
      </c>
      <c r="X163">
        <v>22.03</v>
      </c>
      <c r="Y163">
        <v>17.809999999999999</v>
      </c>
      <c r="Z163">
        <v>146.6</v>
      </c>
      <c r="AA163">
        <v>1495</v>
      </c>
      <c r="AB163">
        <v>0.1124</v>
      </c>
      <c r="AC163">
        <v>0.2016</v>
      </c>
      <c r="AD163">
        <v>0.22639999999999999</v>
      </c>
      <c r="AE163">
        <v>0.1777</v>
      </c>
      <c r="AF163">
        <v>0.24429999999999999</v>
      </c>
      <c r="AG163">
        <v>6.2509999999999996E-2</v>
      </c>
    </row>
    <row r="164" spans="1:33">
      <c r="A164">
        <v>163</v>
      </c>
      <c r="B164">
        <v>871201</v>
      </c>
      <c r="C164" t="s">
        <v>0</v>
      </c>
      <c r="D164">
        <v>13.71</v>
      </c>
      <c r="E164">
        <v>18.149999999999999</v>
      </c>
      <c r="F164">
        <v>130.69999999999999</v>
      </c>
      <c r="G164">
        <v>1214</v>
      </c>
      <c r="H164">
        <v>0.112</v>
      </c>
      <c r="I164">
        <v>0.1666</v>
      </c>
      <c r="J164">
        <v>0.25080000000000002</v>
      </c>
      <c r="K164">
        <v>0.12859999999999999</v>
      </c>
      <c r="L164">
        <v>0.20269999999999999</v>
      </c>
      <c r="M164">
        <v>6.0819999999999999E-2</v>
      </c>
      <c r="N164">
        <v>0.73640000000000005</v>
      </c>
      <c r="O164">
        <v>1.048</v>
      </c>
      <c r="P164">
        <v>4.7919999999999998</v>
      </c>
      <c r="Q164">
        <v>97.07</v>
      </c>
      <c r="R164">
        <v>4.0569999999999998E-3</v>
      </c>
      <c r="S164">
        <v>2.2769999999999999E-2</v>
      </c>
      <c r="T164">
        <v>4.0289999999999999E-2</v>
      </c>
      <c r="U164">
        <v>1.303E-2</v>
      </c>
      <c r="V164">
        <v>1.686E-2</v>
      </c>
      <c r="W164">
        <v>3.3180000000000002E-3</v>
      </c>
      <c r="X164">
        <v>26.73</v>
      </c>
      <c r="Y164">
        <v>26.39</v>
      </c>
      <c r="Z164">
        <v>174.9</v>
      </c>
      <c r="AA164">
        <v>2232</v>
      </c>
      <c r="AB164">
        <v>0.14380000000000001</v>
      </c>
      <c r="AC164">
        <v>0.3846</v>
      </c>
      <c r="AD164">
        <v>0.68100000000000005</v>
      </c>
      <c r="AE164">
        <v>0.22470000000000001</v>
      </c>
      <c r="AF164">
        <v>0.36430000000000001</v>
      </c>
      <c r="AG164">
        <v>9.2230000000000006E-2</v>
      </c>
    </row>
    <row r="165" spans="1:33">
      <c r="A165">
        <v>164</v>
      </c>
      <c r="B165">
        <v>8712064</v>
      </c>
      <c r="C165" t="s">
        <v>1</v>
      </c>
      <c r="D165">
        <v>13.71</v>
      </c>
      <c r="E165">
        <v>22.22</v>
      </c>
      <c r="F165">
        <v>79.849999999999994</v>
      </c>
      <c r="G165">
        <v>464.5</v>
      </c>
      <c r="H165">
        <v>0.1012</v>
      </c>
      <c r="I165">
        <v>0.10150000000000001</v>
      </c>
      <c r="J165">
        <v>5.3699999999999998E-2</v>
      </c>
      <c r="K165">
        <v>2.8219999999999999E-2</v>
      </c>
      <c r="L165">
        <v>0.15509999999999999</v>
      </c>
      <c r="M165">
        <v>6.7610000000000003E-2</v>
      </c>
      <c r="N165">
        <v>0.2949</v>
      </c>
      <c r="O165">
        <v>1.6559999999999999</v>
      </c>
      <c r="P165">
        <v>1.9550000000000001</v>
      </c>
      <c r="Q165">
        <v>21.55</v>
      </c>
      <c r="R165">
        <v>1.1339999999999999E-2</v>
      </c>
      <c r="S165">
        <v>3.175E-2</v>
      </c>
      <c r="T165">
        <v>3.125E-2</v>
      </c>
      <c r="U165">
        <v>1.1350000000000001E-2</v>
      </c>
      <c r="V165">
        <v>1.8790000000000001E-2</v>
      </c>
      <c r="W165">
        <v>5.3480000000000003E-3</v>
      </c>
      <c r="X165">
        <v>13.58</v>
      </c>
      <c r="Y165">
        <v>28.68</v>
      </c>
      <c r="Z165">
        <v>87.36</v>
      </c>
      <c r="AA165">
        <v>553</v>
      </c>
      <c r="AB165">
        <v>0.1452</v>
      </c>
      <c r="AC165">
        <v>0.23380000000000001</v>
      </c>
      <c r="AD165">
        <v>0.16880000000000001</v>
      </c>
      <c r="AE165">
        <v>8.1939999999999999E-2</v>
      </c>
      <c r="AF165">
        <v>0.2268</v>
      </c>
      <c r="AG165">
        <v>9.0819999999999998E-2</v>
      </c>
    </row>
    <row r="166" spans="1:33">
      <c r="A166">
        <v>165</v>
      </c>
      <c r="B166">
        <v>8712289</v>
      </c>
      <c r="C166" t="s">
        <v>0</v>
      </c>
      <c r="D166">
        <v>13.71</v>
      </c>
      <c r="E166">
        <v>22.04</v>
      </c>
      <c r="F166">
        <v>152.1</v>
      </c>
      <c r="G166">
        <v>1686</v>
      </c>
      <c r="H166">
        <v>8.4390000000000007E-2</v>
      </c>
      <c r="I166">
        <v>0.1145</v>
      </c>
      <c r="J166">
        <v>0.13239999999999999</v>
      </c>
      <c r="K166">
        <v>9.7019999999999995E-2</v>
      </c>
      <c r="L166">
        <v>0.18010000000000001</v>
      </c>
      <c r="M166">
        <v>5.5530000000000003E-2</v>
      </c>
      <c r="N166">
        <v>0.66420000000000001</v>
      </c>
      <c r="O166">
        <v>0.85609999999999997</v>
      </c>
      <c r="P166">
        <v>4.6029999999999998</v>
      </c>
      <c r="Q166">
        <v>97.85</v>
      </c>
      <c r="R166">
        <v>4.9100000000000003E-3</v>
      </c>
      <c r="S166">
        <v>2.5440000000000001E-2</v>
      </c>
      <c r="T166">
        <v>2.8219999999999999E-2</v>
      </c>
      <c r="U166">
        <v>1.6230000000000001E-2</v>
      </c>
      <c r="V166">
        <v>1.9560000000000001E-2</v>
      </c>
      <c r="W166">
        <v>3.7399999999999998E-3</v>
      </c>
      <c r="X166">
        <v>28.01</v>
      </c>
      <c r="Y166">
        <v>28.22</v>
      </c>
      <c r="Z166">
        <v>184.2</v>
      </c>
      <c r="AA166">
        <v>2403</v>
      </c>
      <c r="AB166">
        <v>0.12280000000000001</v>
      </c>
      <c r="AC166">
        <v>0.35830000000000001</v>
      </c>
      <c r="AD166">
        <v>0.39479999999999998</v>
      </c>
      <c r="AE166">
        <v>0.2346</v>
      </c>
      <c r="AF166">
        <v>0.3589</v>
      </c>
      <c r="AG166">
        <v>9.1869999999999993E-2</v>
      </c>
    </row>
    <row r="167" spans="1:33">
      <c r="A167">
        <v>166</v>
      </c>
      <c r="B167">
        <v>8712291</v>
      </c>
      <c r="C167" t="s">
        <v>1</v>
      </c>
      <c r="D167">
        <v>13.71</v>
      </c>
      <c r="E167">
        <v>19.760000000000002</v>
      </c>
      <c r="F167">
        <v>95.5</v>
      </c>
      <c r="G167">
        <v>690.2</v>
      </c>
      <c r="H167">
        <v>8.4209999999999993E-2</v>
      </c>
      <c r="I167">
        <v>5.3519999999999998E-2</v>
      </c>
      <c r="J167">
        <v>1.9470000000000001E-2</v>
      </c>
      <c r="K167">
        <v>1.9390000000000001E-2</v>
      </c>
      <c r="L167">
        <v>0.1515</v>
      </c>
      <c r="M167">
        <v>5.2659999999999998E-2</v>
      </c>
      <c r="N167">
        <v>0.184</v>
      </c>
      <c r="O167">
        <v>1.0649999999999999</v>
      </c>
      <c r="P167">
        <v>1.286</v>
      </c>
      <c r="Q167">
        <v>16.64</v>
      </c>
      <c r="R167">
        <v>3.6340000000000001E-3</v>
      </c>
      <c r="S167">
        <v>7.9830000000000005E-3</v>
      </c>
      <c r="T167">
        <v>8.2679999999999993E-3</v>
      </c>
      <c r="U167">
        <v>6.4320000000000002E-3</v>
      </c>
      <c r="V167">
        <v>1.924E-2</v>
      </c>
      <c r="W167">
        <v>1.5200000000000001E-3</v>
      </c>
      <c r="X167">
        <v>15.98</v>
      </c>
      <c r="Y167">
        <v>25.82</v>
      </c>
      <c r="Z167">
        <v>102.3</v>
      </c>
      <c r="AA167">
        <v>782.1</v>
      </c>
      <c r="AB167">
        <v>0.1045</v>
      </c>
      <c r="AC167">
        <v>9.9949999999999997E-2</v>
      </c>
      <c r="AD167">
        <v>7.7499999999999999E-2</v>
      </c>
      <c r="AE167">
        <v>5.7540000000000001E-2</v>
      </c>
      <c r="AF167">
        <v>0.2646</v>
      </c>
      <c r="AG167">
        <v>6.0850000000000001E-2</v>
      </c>
    </row>
    <row r="168" spans="1:33">
      <c r="A168">
        <v>167</v>
      </c>
      <c r="B168">
        <v>87127</v>
      </c>
      <c r="C168" t="s">
        <v>1</v>
      </c>
      <c r="D168">
        <v>13.71</v>
      </c>
      <c r="E168">
        <v>9.7100000000000009</v>
      </c>
      <c r="F168">
        <v>68.77</v>
      </c>
      <c r="G168">
        <v>357.6</v>
      </c>
      <c r="H168">
        <v>9.5939999999999998E-2</v>
      </c>
      <c r="I168">
        <v>5.7360000000000001E-2</v>
      </c>
      <c r="J168">
        <v>2.5309999999999999E-2</v>
      </c>
      <c r="K168">
        <v>1.6979999999999999E-2</v>
      </c>
      <c r="L168">
        <v>0.1381</v>
      </c>
      <c r="M168">
        <v>6.4000000000000001E-2</v>
      </c>
      <c r="N168">
        <v>0.17280000000000001</v>
      </c>
      <c r="O168">
        <v>0.40639999999999998</v>
      </c>
      <c r="P168">
        <v>1.1259999999999999</v>
      </c>
      <c r="Q168">
        <v>11.48</v>
      </c>
      <c r="R168">
        <v>7.809E-3</v>
      </c>
      <c r="S168">
        <v>9.8160000000000001E-3</v>
      </c>
      <c r="T168">
        <v>1.099E-2</v>
      </c>
      <c r="U168">
        <v>5.3439999999999998E-3</v>
      </c>
      <c r="V168">
        <v>1.2540000000000001E-2</v>
      </c>
      <c r="W168">
        <v>2.1199999999999999E-3</v>
      </c>
      <c r="X168">
        <v>11.6</v>
      </c>
      <c r="Y168">
        <v>12.02</v>
      </c>
      <c r="Z168">
        <v>73.66</v>
      </c>
      <c r="AA168">
        <v>414</v>
      </c>
      <c r="AB168">
        <v>0.14360000000000001</v>
      </c>
      <c r="AC168">
        <v>0.12570000000000001</v>
      </c>
      <c r="AD168">
        <v>0.1047</v>
      </c>
      <c r="AE168">
        <v>4.6030000000000001E-2</v>
      </c>
      <c r="AF168">
        <v>0.20899999999999999</v>
      </c>
      <c r="AG168">
        <v>7.6990000000000003E-2</v>
      </c>
    </row>
    <row r="169" spans="1:33">
      <c r="A169">
        <v>168</v>
      </c>
      <c r="B169">
        <v>8712729</v>
      </c>
      <c r="C169" t="s">
        <v>0</v>
      </c>
      <c r="D169">
        <v>13.71</v>
      </c>
      <c r="E169">
        <v>18.8</v>
      </c>
      <c r="F169">
        <v>109.3</v>
      </c>
      <c r="G169">
        <v>886.3</v>
      </c>
      <c r="H169">
        <v>8.8650000000000007E-2</v>
      </c>
      <c r="I169">
        <v>9.1819999999999999E-2</v>
      </c>
      <c r="J169">
        <v>8.4220000000000003E-2</v>
      </c>
      <c r="K169">
        <v>6.5759999999999999E-2</v>
      </c>
      <c r="L169">
        <v>0.1893</v>
      </c>
      <c r="M169">
        <v>5.534E-2</v>
      </c>
      <c r="N169">
        <v>0.59899999999999998</v>
      </c>
      <c r="O169">
        <v>1.391</v>
      </c>
      <c r="P169">
        <v>4.1289999999999996</v>
      </c>
      <c r="Q169">
        <v>67.34</v>
      </c>
      <c r="R169">
        <v>6.123E-3</v>
      </c>
      <c r="S169">
        <v>2.47E-2</v>
      </c>
      <c r="T169">
        <v>2.6259999999999999E-2</v>
      </c>
      <c r="U169">
        <v>1.6039999999999999E-2</v>
      </c>
      <c r="V169">
        <v>2.0910000000000002E-2</v>
      </c>
      <c r="W169">
        <v>3.493E-3</v>
      </c>
      <c r="X169">
        <v>20.05</v>
      </c>
      <c r="Y169">
        <v>26.3</v>
      </c>
      <c r="Z169">
        <v>130.69999999999999</v>
      </c>
      <c r="AA169">
        <v>1260</v>
      </c>
      <c r="AB169">
        <v>0.1168</v>
      </c>
      <c r="AC169">
        <v>0.21190000000000001</v>
      </c>
      <c r="AD169">
        <v>0.23180000000000001</v>
      </c>
      <c r="AE169">
        <v>0.1474</v>
      </c>
      <c r="AF169">
        <v>0.28100000000000003</v>
      </c>
      <c r="AG169">
        <v>7.2279999999999997E-2</v>
      </c>
    </row>
    <row r="170" spans="1:33">
      <c r="A170">
        <v>169</v>
      </c>
      <c r="B170">
        <v>8712766</v>
      </c>
      <c r="C170" t="s">
        <v>0</v>
      </c>
      <c r="D170">
        <v>13.71</v>
      </c>
      <c r="E170">
        <v>24.68</v>
      </c>
      <c r="F170">
        <v>116.1</v>
      </c>
      <c r="G170">
        <v>984.6</v>
      </c>
      <c r="H170">
        <v>0.10489999999999999</v>
      </c>
      <c r="I170">
        <v>0.1603</v>
      </c>
      <c r="J170">
        <v>0.21590000000000001</v>
      </c>
      <c r="K170">
        <v>0.1043</v>
      </c>
      <c r="L170">
        <v>0.15379999999999999</v>
      </c>
      <c r="M170">
        <v>6.3649999999999998E-2</v>
      </c>
      <c r="N170">
        <v>1.0880000000000001</v>
      </c>
      <c r="O170">
        <v>1.41</v>
      </c>
      <c r="P170">
        <v>7.3369999999999997</v>
      </c>
      <c r="Q170">
        <v>122.3</v>
      </c>
      <c r="R170">
        <v>6.1739999999999998E-3</v>
      </c>
      <c r="S170">
        <v>3.6339999999999997E-2</v>
      </c>
      <c r="T170">
        <v>4.6440000000000002E-2</v>
      </c>
      <c r="U170">
        <v>1.5689999999999999E-2</v>
      </c>
      <c r="V170">
        <v>1.145E-2</v>
      </c>
      <c r="W170">
        <v>5.1200000000000004E-3</v>
      </c>
      <c r="X170">
        <v>23.14</v>
      </c>
      <c r="Y170">
        <v>32.33</v>
      </c>
      <c r="Z170">
        <v>155.30000000000001</v>
      </c>
      <c r="AA170">
        <v>1660</v>
      </c>
      <c r="AB170">
        <v>0.1376</v>
      </c>
      <c r="AC170">
        <v>0.38300000000000001</v>
      </c>
      <c r="AD170">
        <v>0.48899999999999999</v>
      </c>
      <c r="AE170">
        <v>0.1721</v>
      </c>
      <c r="AF170">
        <v>0.216</v>
      </c>
      <c r="AG170">
        <v>9.2999999999999999E-2</v>
      </c>
    </row>
    <row r="171" spans="1:33">
      <c r="A171">
        <v>170</v>
      </c>
      <c r="B171">
        <v>8712853</v>
      </c>
      <c r="C171" t="s">
        <v>1</v>
      </c>
      <c r="D171">
        <v>13.71</v>
      </c>
      <c r="E171">
        <v>16.95</v>
      </c>
      <c r="F171">
        <v>96.22</v>
      </c>
      <c r="G171">
        <v>685.9</v>
      </c>
      <c r="H171">
        <v>9.8549999999999999E-2</v>
      </c>
      <c r="I171">
        <v>7.8850000000000003E-2</v>
      </c>
      <c r="J171">
        <v>2.6020000000000001E-2</v>
      </c>
      <c r="K171">
        <v>3.7810000000000003E-2</v>
      </c>
      <c r="L171">
        <v>0.17799999999999999</v>
      </c>
      <c r="M171">
        <v>5.6500000000000002E-2</v>
      </c>
      <c r="N171">
        <v>0.27129999999999999</v>
      </c>
      <c r="O171">
        <v>1.2170000000000001</v>
      </c>
      <c r="P171">
        <v>1.893</v>
      </c>
      <c r="Q171">
        <v>24.28</v>
      </c>
      <c r="R171">
        <v>5.0800000000000003E-3</v>
      </c>
      <c r="S171">
        <v>1.37E-2</v>
      </c>
      <c r="T171">
        <v>7.2760000000000003E-3</v>
      </c>
      <c r="U171">
        <v>9.0729999999999995E-3</v>
      </c>
      <c r="V171">
        <v>1.35E-2</v>
      </c>
      <c r="W171">
        <v>1.7060000000000001E-3</v>
      </c>
      <c r="X171">
        <v>16.11</v>
      </c>
      <c r="Y171">
        <v>23</v>
      </c>
      <c r="Z171">
        <v>104.6</v>
      </c>
      <c r="AA171">
        <v>793.7</v>
      </c>
      <c r="AB171">
        <v>0.1216</v>
      </c>
      <c r="AC171">
        <v>0.16370000000000001</v>
      </c>
      <c r="AD171">
        <v>6.6479999999999997E-2</v>
      </c>
      <c r="AE171">
        <v>8.4849999999999995E-2</v>
      </c>
      <c r="AF171">
        <v>0.2404</v>
      </c>
      <c r="AG171">
        <v>6.4280000000000004E-2</v>
      </c>
    </row>
    <row r="172" spans="1:33">
      <c r="A172">
        <v>171</v>
      </c>
      <c r="B172">
        <v>87139402</v>
      </c>
      <c r="C172" t="s">
        <v>1</v>
      </c>
      <c r="D172">
        <v>13.71</v>
      </c>
      <c r="E172">
        <v>12.39</v>
      </c>
      <c r="F172">
        <v>78.849999999999994</v>
      </c>
      <c r="G172">
        <v>464.1</v>
      </c>
      <c r="H172">
        <v>0.1028</v>
      </c>
      <c r="I172">
        <v>6.9809999999999997E-2</v>
      </c>
      <c r="J172">
        <v>3.9870000000000003E-2</v>
      </c>
      <c r="K172">
        <v>3.6999999999999998E-2</v>
      </c>
      <c r="L172">
        <v>0.19589999999999999</v>
      </c>
      <c r="M172">
        <v>5.9549999999999999E-2</v>
      </c>
      <c r="N172">
        <v>0.23599999999999999</v>
      </c>
      <c r="O172">
        <v>0.66559999999999997</v>
      </c>
      <c r="P172">
        <v>1.67</v>
      </c>
      <c r="Q172">
        <v>17.43</v>
      </c>
      <c r="R172">
        <v>8.0450000000000001E-3</v>
      </c>
      <c r="S172">
        <v>1.18E-2</v>
      </c>
      <c r="T172">
        <v>1.6830000000000001E-2</v>
      </c>
      <c r="U172">
        <v>1.2409999999999999E-2</v>
      </c>
      <c r="V172">
        <v>1.924E-2</v>
      </c>
      <c r="W172">
        <v>2.248E-3</v>
      </c>
      <c r="X172">
        <v>13.5</v>
      </c>
      <c r="Y172">
        <v>15.64</v>
      </c>
      <c r="Z172">
        <v>86.97</v>
      </c>
      <c r="AA172">
        <v>549.1</v>
      </c>
      <c r="AB172">
        <v>0.13850000000000001</v>
      </c>
      <c r="AC172">
        <v>0.12659999999999999</v>
      </c>
      <c r="AD172">
        <v>0.1242</v>
      </c>
      <c r="AE172">
        <v>9.3909999999999993E-2</v>
      </c>
      <c r="AF172">
        <v>0.28270000000000001</v>
      </c>
      <c r="AG172">
        <v>6.7710000000000006E-2</v>
      </c>
    </row>
    <row r="173" spans="1:33">
      <c r="A173">
        <v>172</v>
      </c>
      <c r="B173">
        <v>87163</v>
      </c>
      <c r="C173" t="s">
        <v>0</v>
      </c>
      <c r="D173">
        <v>13.71</v>
      </c>
      <c r="E173">
        <v>19.63</v>
      </c>
      <c r="F173">
        <v>85.84</v>
      </c>
      <c r="G173">
        <v>565.4</v>
      </c>
      <c r="H173">
        <v>9.0480000000000005E-2</v>
      </c>
      <c r="I173">
        <v>6.2880000000000005E-2</v>
      </c>
      <c r="J173">
        <v>5.858E-2</v>
      </c>
      <c r="K173">
        <v>3.4380000000000001E-2</v>
      </c>
      <c r="L173">
        <v>0.1598</v>
      </c>
      <c r="M173">
        <v>5.6710000000000003E-2</v>
      </c>
      <c r="N173">
        <v>0.46970000000000001</v>
      </c>
      <c r="O173">
        <v>1.147</v>
      </c>
      <c r="P173">
        <v>3.1419999999999999</v>
      </c>
      <c r="Q173">
        <v>43.4</v>
      </c>
      <c r="R173">
        <v>6.0029999999999997E-3</v>
      </c>
      <c r="S173">
        <v>1.0630000000000001E-2</v>
      </c>
      <c r="T173">
        <v>2.1510000000000001E-2</v>
      </c>
      <c r="U173">
        <v>9.443E-3</v>
      </c>
      <c r="V173">
        <v>1.52E-2</v>
      </c>
      <c r="W173">
        <v>1.8680000000000001E-3</v>
      </c>
      <c r="X173">
        <v>17.98</v>
      </c>
      <c r="Y173">
        <v>29.87</v>
      </c>
      <c r="Z173">
        <v>116.6</v>
      </c>
      <c r="AA173">
        <v>993.6</v>
      </c>
      <c r="AB173">
        <v>0.1401</v>
      </c>
      <c r="AC173">
        <v>0.15459999999999999</v>
      </c>
      <c r="AD173">
        <v>0.26440000000000002</v>
      </c>
      <c r="AE173">
        <v>0.11600000000000001</v>
      </c>
      <c r="AF173">
        <v>0.28839999999999999</v>
      </c>
      <c r="AG173">
        <v>7.3709999999999998E-2</v>
      </c>
    </row>
    <row r="174" spans="1:33">
      <c r="A174">
        <v>173</v>
      </c>
      <c r="B174">
        <v>87164</v>
      </c>
      <c r="C174" t="s">
        <v>0</v>
      </c>
      <c r="D174">
        <v>13.71</v>
      </c>
      <c r="E174">
        <v>11.89</v>
      </c>
      <c r="F174">
        <v>102.5</v>
      </c>
      <c r="G174">
        <v>736.9</v>
      </c>
      <c r="H174">
        <v>0.12570000000000001</v>
      </c>
      <c r="I174">
        <v>0.1555</v>
      </c>
      <c r="J174">
        <v>0.20319999999999999</v>
      </c>
      <c r="K174">
        <v>0.10970000000000001</v>
      </c>
      <c r="L174">
        <v>0.1966</v>
      </c>
      <c r="M174">
        <v>7.0690000000000003E-2</v>
      </c>
      <c r="N174">
        <v>0.4209</v>
      </c>
      <c r="O174">
        <v>0.6583</v>
      </c>
      <c r="P174">
        <v>2.8050000000000002</v>
      </c>
      <c r="Q174">
        <v>44.64</v>
      </c>
      <c r="R174">
        <v>5.3930000000000002E-3</v>
      </c>
      <c r="S174">
        <v>2.3210000000000001E-2</v>
      </c>
      <c r="T174">
        <v>4.3029999999999999E-2</v>
      </c>
      <c r="U174">
        <v>1.32E-2</v>
      </c>
      <c r="V174">
        <v>1.7919999999999998E-2</v>
      </c>
      <c r="W174">
        <v>4.1679999999999998E-3</v>
      </c>
      <c r="X174">
        <v>18.79</v>
      </c>
      <c r="Y174">
        <v>17.04</v>
      </c>
      <c r="Z174">
        <v>125</v>
      </c>
      <c r="AA174">
        <v>1102</v>
      </c>
      <c r="AB174">
        <v>0.15310000000000001</v>
      </c>
      <c r="AC174">
        <v>0.35830000000000001</v>
      </c>
      <c r="AD174">
        <v>0.58299999999999996</v>
      </c>
      <c r="AE174">
        <v>0.1827</v>
      </c>
      <c r="AF174">
        <v>0.3216</v>
      </c>
      <c r="AG174">
        <v>0.10100000000000001</v>
      </c>
    </row>
    <row r="175" spans="1:33">
      <c r="A175">
        <v>174</v>
      </c>
      <c r="B175">
        <v>871641</v>
      </c>
      <c r="C175" t="s">
        <v>1</v>
      </c>
      <c r="D175">
        <v>13.71</v>
      </c>
      <c r="E175">
        <v>14.71</v>
      </c>
      <c r="F175">
        <v>70.209999999999994</v>
      </c>
      <c r="G175">
        <v>372.7</v>
      </c>
      <c r="H175">
        <v>0.10059999999999999</v>
      </c>
      <c r="I175">
        <v>5.7430000000000002E-2</v>
      </c>
      <c r="J175">
        <v>2.3630000000000002E-2</v>
      </c>
      <c r="K175">
        <v>2.5829999999999999E-2</v>
      </c>
      <c r="L175">
        <v>0.15659999999999999</v>
      </c>
      <c r="M175">
        <v>6.6689999999999999E-2</v>
      </c>
      <c r="N175">
        <v>0.20730000000000001</v>
      </c>
      <c r="O175">
        <v>1.8049999999999999</v>
      </c>
      <c r="P175">
        <v>1.377</v>
      </c>
      <c r="Q175">
        <v>19.079999999999998</v>
      </c>
      <c r="R175">
        <v>1.4959999999999999E-2</v>
      </c>
      <c r="S175">
        <v>2.121E-2</v>
      </c>
      <c r="T175">
        <v>1.453E-2</v>
      </c>
      <c r="U175">
        <v>1.583E-2</v>
      </c>
      <c r="V175">
        <v>3.082E-2</v>
      </c>
      <c r="W175">
        <v>4.7850000000000002E-3</v>
      </c>
      <c r="X175">
        <v>11.35</v>
      </c>
      <c r="Y175">
        <v>16.82</v>
      </c>
      <c r="Z175">
        <v>72.010000000000005</v>
      </c>
      <c r="AA175">
        <v>396.5</v>
      </c>
      <c r="AB175">
        <v>0.1216</v>
      </c>
      <c r="AC175">
        <v>8.2400000000000001E-2</v>
      </c>
      <c r="AD175">
        <v>3.9379999999999998E-2</v>
      </c>
      <c r="AE175">
        <v>4.3060000000000001E-2</v>
      </c>
      <c r="AF175">
        <v>0.19020000000000001</v>
      </c>
      <c r="AG175">
        <v>7.3130000000000001E-2</v>
      </c>
    </row>
    <row r="176" spans="1:33">
      <c r="A176">
        <v>175</v>
      </c>
      <c r="B176">
        <v>871642</v>
      </c>
      <c r="C176" t="s">
        <v>1</v>
      </c>
      <c r="D176">
        <v>13.71</v>
      </c>
      <c r="E176">
        <v>15.15</v>
      </c>
      <c r="F176">
        <v>67.489999999999995</v>
      </c>
      <c r="G176">
        <v>349.6</v>
      </c>
      <c r="H176">
        <v>8.7919999999999998E-2</v>
      </c>
      <c r="I176">
        <v>4.3020000000000003E-2</v>
      </c>
      <c r="J176">
        <v>0</v>
      </c>
      <c r="K176">
        <v>0</v>
      </c>
      <c r="L176">
        <v>0.1928</v>
      </c>
      <c r="M176">
        <v>5.9749999999999998E-2</v>
      </c>
      <c r="N176">
        <v>0.33090000000000003</v>
      </c>
      <c r="O176">
        <v>1.925</v>
      </c>
      <c r="P176">
        <v>2.1549999999999998</v>
      </c>
      <c r="Q176">
        <v>21.98</v>
      </c>
      <c r="R176">
        <v>8.7130000000000003E-3</v>
      </c>
      <c r="S176">
        <v>1.017E-2</v>
      </c>
      <c r="T176">
        <v>0</v>
      </c>
      <c r="U176">
        <v>0</v>
      </c>
      <c r="V176">
        <v>3.2649999999999998E-2</v>
      </c>
      <c r="W176">
        <v>1.0020000000000001E-3</v>
      </c>
      <c r="X176">
        <v>11.54</v>
      </c>
      <c r="Y176">
        <v>19.2</v>
      </c>
      <c r="Z176">
        <v>73.2</v>
      </c>
      <c r="AA176">
        <v>408.3</v>
      </c>
      <c r="AB176">
        <v>0.1076</v>
      </c>
      <c r="AC176">
        <v>6.7909999999999998E-2</v>
      </c>
      <c r="AD176">
        <v>0</v>
      </c>
      <c r="AE176">
        <v>0</v>
      </c>
      <c r="AF176">
        <v>0.27100000000000002</v>
      </c>
      <c r="AG176">
        <v>6.164E-2</v>
      </c>
    </row>
    <row r="177" spans="1:33">
      <c r="A177">
        <v>176</v>
      </c>
      <c r="B177">
        <v>872113</v>
      </c>
      <c r="C177" t="s">
        <v>1</v>
      </c>
      <c r="D177">
        <v>13.71</v>
      </c>
      <c r="E177">
        <v>14.45</v>
      </c>
      <c r="F177">
        <v>54.42</v>
      </c>
      <c r="G177">
        <v>227.2</v>
      </c>
      <c r="H177">
        <v>9.1380000000000003E-2</v>
      </c>
      <c r="I177">
        <v>4.2759999999999999E-2</v>
      </c>
      <c r="J177">
        <v>0</v>
      </c>
      <c r="K177">
        <v>0</v>
      </c>
      <c r="L177">
        <v>0.17219999999999999</v>
      </c>
      <c r="M177">
        <v>6.7239999999999994E-2</v>
      </c>
      <c r="N177">
        <v>0.22040000000000001</v>
      </c>
      <c r="O177">
        <v>0.7873</v>
      </c>
      <c r="P177">
        <v>1.4350000000000001</v>
      </c>
      <c r="Q177">
        <v>11.36</v>
      </c>
      <c r="R177">
        <v>9.1719999999999996E-3</v>
      </c>
      <c r="S177">
        <v>8.0070000000000002E-3</v>
      </c>
      <c r="T177">
        <v>0</v>
      </c>
      <c r="U177">
        <v>0</v>
      </c>
      <c r="V177">
        <v>2.7109999999999999E-2</v>
      </c>
      <c r="W177">
        <v>3.3990000000000001E-3</v>
      </c>
      <c r="X177">
        <v>9.2620000000000005</v>
      </c>
      <c r="Y177">
        <v>17.04</v>
      </c>
      <c r="Z177">
        <v>58.36</v>
      </c>
      <c r="AA177">
        <v>259.2</v>
      </c>
      <c r="AB177">
        <v>0.1162</v>
      </c>
      <c r="AC177">
        <v>7.0569999999999994E-2</v>
      </c>
      <c r="AD177">
        <v>0</v>
      </c>
      <c r="AE177">
        <v>0</v>
      </c>
      <c r="AF177">
        <v>0.25919999999999999</v>
      </c>
      <c r="AG177">
        <v>7.8479999999999994E-2</v>
      </c>
    </row>
    <row r="178" spans="1:33">
      <c r="A178">
        <v>177</v>
      </c>
      <c r="B178">
        <v>872608</v>
      </c>
      <c r="C178" t="s">
        <v>1</v>
      </c>
      <c r="D178">
        <v>13.71</v>
      </c>
      <c r="E178">
        <v>18.059999999999999</v>
      </c>
      <c r="F178">
        <v>64.599999999999994</v>
      </c>
      <c r="G178">
        <v>302.39999999999998</v>
      </c>
      <c r="H178">
        <v>9.6990000000000007E-2</v>
      </c>
      <c r="I178">
        <v>0.12939999999999999</v>
      </c>
      <c r="J178">
        <v>0.13070000000000001</v>
      </c>
      <c r="K178">
        <v>3.7159999999999999E-2</v>
      </c>
      <c r="L178">
        <v>0.16689999999999999</v>
      </c>
      <c r="M178">
        <v>8.1159999999999996E-2</v>
      </c>
      <c r="N178">
        <v>0.43109999999999998</v>
      </c>
      <c r="O178">
        <v>2.2610000000000001</v>
      </c>
      <c r="P178">
        <v>3.1320000000000001</v>
      </c>
      <c r="Q178">
        <v>27.48</v>
      </c>
      <c r="R178">
        <v>1.286E-2</v>
      </c>
      <c r="S178">
        <v>8.8080000000000006E-2</v>
      </c>
      <c r="T178">
        <v>0.1197</v>
      </c>
      <c r="U178">
        <v>2.46E-2</v>
      </c>
      <c r="V178">
        <v>3.8800000000000001E-2</v>
      </c>
      <c r="W178">
        <v>1.7919999999999998E-2</v>
      </c>
      <c r="X178">
        <v>11.26</v>
      </c>
      <c r="Y178">
        <v>24.39</v>
      </c>
      <c r="Z178">
        <v>73.069999999999993</v>
      </c>
      <c r="AA178">
        <v>390.2</v>
      </c>
      <c r="AB178">
        <v>0.13009999999999999</v>
      </c>
      <c r="AC178">
        <v>0.29499999999999998</v>
      </c>
      <c r="AD178">
        <v>0.34860000000000002</v>
      </c>
      <c r="AE178">
        <v>9.9099999999999994E-2</v>
      </c>
      <c r="AF178">
        <v>0.26140000000000002</v>
      </c>
      <c r="AG178">
        <v>0.1162</v>
      </c>
    </row>
    <row r="179" spans="1:33">
      <c r="A179">
        <v>178</v>
      </c>
      <c r="B179">
        <v>87281702</v>
      </c>
      <c r="C179" t="s">
        <v>0</v>
      </c>
      <c r="D179">
        <v>13.71</v>
      </c>
      <c r="E179">
        <v>20.11</v>
      </c>
      <c r="F179">
        <v>109.3</v>
      </c>
      <c r="G179">
        <v>832.9</v>
      </c>
      <c r="H179">
        <v>9.8309999999999995E-2</v>
      </c>
      <c r="I179">
        <v>0.15559999999999999</v>
      </c>
      <c r="J179">
        <v>0.17929999999999999</v>
      </c>
      <c r="K179">
        <v>8.8660000000000003E-2</v>
      </c>
      <c r="L179">
        <v>0.1794</v>
      </c>
      <c r="M179">
        <v>6.3229999999999995E-2</v>
      </c>
      <c r="N179">
        <v>0.30370000000000003</v>
      </c>
      <c r="O179">
        <v>1.284</v>
      </c>
      <c r="P179">
        <v>2.4820000000000002</v>
      </c>
      <c r="Q179">
        <v>31.59</v>
      </c>
      <c r="R179">
        <v>6.6270000000000001E-3</v>
      </c>
      <c r="S179">
        <v>4.0939999999999997E-2</v>
      </c>
      <c r="T179">
        <v>5.3710000000000001E-2</v>
      </c>
      <c r="U179">
        <v>1.813E-2</v>
      </c>
      <c r="V179">
        <v>1.6820000000000002E-2</v>
      </c>
      <c r="W179">
        <v>4.5840000000000004E-3</v>
      </c>
      <c r="X179">
        <v>17.79</v>
      </c>
      <c r="Y179">
        <v>28.45</v>
      </c>
      <c r="Z179">
        <v>123.5</v>
      </c>
      <c r="AA179">
        <v>981.2</v>
      </c>
      <c r="AB179">
        <v>0.14149999999999999</v>
      </c>
      <c r="AC179">
        <v>0.4667</v>
      </c>
      <c r="AD179">
        <v>0.58620000000000005</v>
      </c>
      <c r="AE179">
        <v>0.20349999999999999</v>
      </c>
      <c r="AF179">
        <v>0.3054</v>
      </c>
      <c r="AG179">
        <v>9.5189999999999997E-2</v>
      </c>
    </row>
    <row r="180" spans="1:33">
      <c r="A180">
        <v>179</v>
      </c>
      <c r="B180">
        <v>873357</v>
      </c>
      <c r="C180" t="s">
        <v>1</v>
      </c>
      <c r="D180">
        <v>13.71</v>
      </c>
      <c r="E180">
        <v>22.22</v>
      </c>
      <c r="F180">
        <v>82.01</v>
      </c>
      <c r="G180">
        <v>526.4</v>
      </c>
      <c r="H180">
        <v>6.2509999999999996E-2</v>
      </c>
      <c r="I180">
        <v>1.9380000000000001E-2</v>
      </c>
      <c r="J180">
        <v>1.5950000000000001E-3</v>
      </c>
      <c r="K180">
        <v>1.8519999999999999E-3</v>
      </c>
      <c r="L180">
        <v>0.13950000000000001</v>
      </c>
      <c r="M180">
        <v>5.2339999999999998E-2</v>
      </c>
      <c r="N180">
        <v>0.1731</v>
      </c>
      <c r="O180">
        <v>1.1419999999999999</v>
      </c>
      <c r="P180">
        <v>1.101</v>
      </c>
      <c r="Q180">
        <v>14.34</v>
      </c>
      <c r="R180">
        <v>3.418E-3</v>
      </c>
      <c r="S180">
        <v>2.2520000000000001E-3</v>
      </c>
      <c r="T180">
        <v>1.5950000000000001E-3</v>
      </c>
      <c r="U180">
        <v>1.8519999999999999E-3</v>
      </c>
      <c r="V180">
        <v>1.6129999999999999E-2</v>
      </c>
      <c r="W180">
        <v>9.6829999999999996E-4</v>
      </c>
      <c r="X180">
        <v>14</v>
      </c>
      <c r="Y180">
        <v>29.02</v>
      </c>
      <c r="Z180">
        <v>88.18</v>
      </c>
      <c r="AA180">
        <v>608.79999999999995</v>
      </c>
      <c r="AB180">
        <v>8.1250000000000003E-2</v>
      </c>
      <c r="AC180">
        <v>3.4320000000000003E-2</v>
      </c>
      <c r="AD180">
        <v>7.9769999999999997E-3</v>
      </c>
      <c r="AE180">
        <v>9.2589999999999999E-3</v>
      </c>
      <c r="AF180">
        <v>0.22950000000000001</v>
      </c>
      <c r="AG180">
        <v>5.8430000000000003E-2</v>
      </c>
    </row>
    <row r="181" spans="1:33">
      <c r="A181">
        <v>180</v>
      </c>
      <c r="B181">
        <v>873586</v>
      </c>
      <c r="C181" t="s">
        <v>1</v>
      </c>
      <c r="D181">
        <v>13.71</v>
      </c>
      <c r="E181">
        <v>13.06</v>
      </c>
      <c r="F181">
        <v>81.290000000000006</v>
      </c>
      <c r="G181">
        <v>508.8</v>
      </c>
      <c r="H181">
        <v>8.7389999999999995E-2</v>
      </c>
      <c r="I181">
        <v>3.7740000000000003E-2</v>
      </c>
      <c r="J181">
        <v>9.1929999999999998E-3</v>
      </c>
      <c r="K181">
        <v>1.3299999999999999E-2</v>
      </c>
      <c r="L181">
        <v>0.14660000000000001</v>
      </c>
      <c r="M181">
        <v>6.1330000000000003E-2</v>
      </c>
      <c r="N181">
        <v>0.28889999999999999</v>
      </c>
      <c r="O181">
        <v>0.9899</v>
      </c>
      <c r="P181">
        <v>1.778</v>
      </c>
      <c r="Q181">
        <v>21.79</v>
      </c>
      <c r="R181">
        <v>8.5339999999999999E-3</v>
      </c>
      <c r="S181">
        <v>6.3639999999999999E-3</v>
      </c>
      <c r="T181">
        <v>6.1799999999999997E-3</v>
      </c>
      <c r="U181">
        <v>7.4079999999999997E-3</v>
      </c>
      <c r="V181">
        <v>1.065E-2</v>
      </c>
      <c r="W181">
        <v>3.3509999999999998E-3</v>
      </c>
      <c r="X181">
        <v>13.63</v>
      </c>
      <c r="Y181">
        <v>16.149999999999999</v>
      </c>
      <c r="Z181">
        <v>86.7</v>
      </c>
      <c r="AA181">
        <v>570.70000000000005</v>
      </c>
      <c r="AB181">
        <v>0.1162</v>
      </c>
      <c r="AC181">
        <v>5.4449999999999998E-2</v>
      </c>
      <c r="AD181">
        <v>2.758E-2</v>
      </c>
      <c r="AE181">
        <v>3.9899999999999998E-2</v>
      </c>
      <c r="AF181">
        <v>0.17829999999999999</v>
      </c>
      <c r="AG181">
        <v>7.3190000000000005E-2</v>
      </c>
    </row>
    <row r="182" spans="1:33">
      <c r="A182">
        <v>181</v>
      </c>
      <c r="B182">
        <v>873592</v>
      </c>
      <c r="C182" t="s">
        <v>0</v>
      </c>
      <c r="D182">
        <v>13.71</v>
      </c>
      <c r="E182">
        <v>21.87</v>
      </c>
      <c r="F182">
        <v>182.1</v>
      </c>
      <c r="G182">
        <v>2250</v>
      </c>
      <c r="H182">
        <v>0.1094</v>
      </c>
      <c r="I182">
        <v>0.19139999999999999</v>
      </c>
      <c r="J182">
        <v>0.28710000000000002</v>
      </c>
      <c r="K182">
        <v>0.18779999999999999</v>
      </c>
      <c r="L182">
        <v>0.18</v>
      </c>
      <c r="M182">
        <v>5.7700000000000001E-2</v>
      </c>
      <c r="N182">
        <v>0.83609999999999995</v>
      </c>
      <c r="O182">
        <v>1.4810000000000001</v>
      </c>
      <c r="P182">
        <v>5.82</v>
      </c>
      <c r="Q182">
        <v>128.69999999999999</v>
      </c>
      <c r="R182">
        <v>4.6309999999999997E-3</v>
      </c>
      <c r="S182">
        <v>2.537E-2</v>
      </c>
      <c r="T182">
        <v>3.109E-2</v>
      </c>
      <c r="U182">
        <v>1.2409999999999999E-2</v>
      </c>
      <c r="V182">
        <v>1.575E-2</v>
      </c>
      <c r="W182">
        <v>2.7469999999999999E-3</v>
      </c>
      <c r="X182">
        <v>33.119999999999997</v>
      </c>
      <c r="Y182">
        <v>32.85</v>
      </c>
      <c r="Z182">
        <v>220.8</v>
      </c>
      <c r="AA182">
        <v>3216</v>
      </c>
      <c r="AB182">
        <v>0.1472</v>
      </c>
      <c r="AC182">
        <v>0.40339999999999998</v>
      </c>
      <c r="AD182">
        <v>0.53400000000000003</v>
      </c>
      <c r="AE182">
        <v>0.26879999999999998</v>
      </c>
      <c r="AF182">
        <v>0.28560000000000002</v>
      </c>
      <c r="AG182">
        <v>8.0820000000000003E-2</v>
      </c>
    </row>
    <row r="183" spans="1:33">
      <c r="A183">
        <v>182</v>
      </c>
      <c r="B183">
        <v>873593</v>
      </c>
      <c r="C183" t="s">
        <v>0</v>
      </c>
      <c r="D183">
        <v>13.71</v>
      </c>
      <c r="E183">
        <v>26.57</v>
      </c>
      <c r="F183">
        <v>142.69999999999999</v>
      </c>
      <c r="G183">
        <v>1311</v>
      </c>
      <c r="H183">
        <v>0.11409999999999999</v>
      </c>
      <c r="I183">
        <v>0.28320000000000001</v>
      </c>
      <c r="J183">
        <v>0.2487</v>
      </c>
      <c r="K183">
        <v>0.14960000000000001</v>
      </c>
      <c r="L183">
        <v>0.23949999999999999</v>
      </c>
      <c r="M183">
        <v>7.3980000000000004E-2</v>
      </c>
      <c r="N183">
        <v>0.62980000000000003</v>
      </c>
      <c r="O183">
        <v>0.76290000000000002</v>
      </c>
      <c r="P183">
        <v>4.4139999999999997</v>
      </c>
      <c r="Q183">
        <v>81.459999999999994</v>
      </c>
      <c r="R183">
        <v>4.2529999999999998E-3</v>
      </c>
      <c r="S183">
        <v>4.759E-2</v>
      </c>
      <c r="T183">
        <v>3.8719999999999997E-2</v>
      </c>
      <c r="U183">
        <v>1.567E-2</v>
      </c>
      <c r="V183">
        <v>1.7979999999999999E-2</v>
      </c>
      <c r="W183">
        <v>5.2950000000000002E-3</v>
      </c>
      <c r="X183">
        <v>26.68</v>
      </c>
      <c r="Y183">
        <v>33.479999999999997</v>
      </c>
      <c r="Z183">
        <v>176.5</v>
      </c>
      <c r="AA183">
        <v>2089</v>
      </c>
      <c r="AB183">
        <v>0.14910000000000001</v>
      </c>
      <c r="AC183">
        <v>0.75839999999999996</v>
      </c>
      <c r="AD183">
        <v>0.67800000000000005</v>
      </c>
      <c r="AE183">
        <v>0.2903</v>
      </c>
      <c r="AF183">
        <v>0.4098</v>
      </c>
      <c r="AG183">
        <v>0.12839999999999999</v>
      </c>
    </row>
    <row r="184" spans="1:33">
      <c r="A184">
        <v>183</v>
      </c>
      <c r="B184">
        <v>873701</v>
      </c>
      <c r="C184" t="s">
        <v>0</v>
      </c>
      <c r="D184">
        <v>13.71</v>
      </c>
      <c r="E184">
        <v>20.309999999999999</v>
      </c>
      <c r="F184">
        <v>101.2</v>
      </c>
      <c r="G184">
        <v>766.6</v>
      </c>
      <c r="H184">
        <v>9.597E-2</v>
      </c>
      <c r="I184">
        <v>8.7989999999999999E-2</v>
      </c>
      <c r="J184">
        <v>6.5930000000000002E-2</v>
      </c>
      <c r="K184">
        <v>5.1889999999999999E-2</v>
      </c>
      <c r="L184">
        <v>0.1618</v>
      </c>
      <c r="M184">
        <v>5.5489999999999998E-2</v>
      </c>
      <c r="N184">
        <v>0.36990000000000001</v>
      </c>
      <c r="O184">
        <v>1.1499999999999999</v>
      </c>
      <c r="P184">
        <v>2.4060000000000001</v>
      </c>
      <c r="Q184">
        <v>40.98</v>
      </c>
      <c r="R184">
        <v>4.6259999999999999E-3</v>
      </c>
      <c r="S184">
        <v>2.2630000000000001E-2</v>
      </c>
      <c r="T184">
        <v>1.9539999999999998E-2</v>
      </c>
      <c r="U184">
        <v>9.7669999999999996E-3</v>
      </c>
      <c r="V184">
        <v>1.5469999999999999E-2</v>
      </c>
      <c r="W184">
        <v>2.4299999999999999E-3</v>
      </c>
      <c r="X184">
        <v>20.11</v>
      </c>
      <c r="Y184">
        <v>32.82</v>
      </c>
      <c r="Z184">
        <v>129.30000000000001</v>
      </c>
      <c r="AA184">
        <v>1269</v>
      </c>
      <c r="AB184">
        <v>0.1414</v>
      </c>
      <c r="AC184">
        <v>0.35470000000000002</v>
      </c>
      <c r="AD184">
        <v>0.29020000000000001</v>
      </c>
      <c r="AE184">
        <v>0.15409999999999999</v>
      </c>
      <c r="AF184">
        <v>0.34370000000000001</v>
      </c>
      <c r="AG184">
        <v>8.6309999999999998E-2</v>
      </c>
    </row>
    <row r="185" spans="1:33">
      <c r="A185">
        <v>184</v>
      </c>
      <c r="B185">
        <v>873843</v>
      </c>
      <c r="C185" t="s">
        <v>1</v>
      </c>
      <c r="D185">
        <v>13.71</v>
      </c>
      <c r="E185">
        <v>14.92</v>
      </c>
      <c r="F185">
        <v>73.53</v>
      </c>
      <c r="G185">
        <v>402</v>
      </c>
      <c r="H185">
        <v>9.0590000000000004E-2</v>
      </c>
      <c r="I185">
        <v>8.1549999999999997E-2</v>
      </c>
      <c r="J185">
        <v>6.1809999999999997E-2</v>
      </c>
      <c r="K185">
        <v>2.3609999999999999E-2</v>
      </c>
      <c r="L185">
        <v>0.1167</v>
      </c>
      <c r="M185">
        <v>6.2170000000000003E-2</v>
      </c>
      <c r="N185">
        <v>0.33439999999999998</v>
      </c>
      <c r="O185">
        <v>1.1080000000000001</v>
      </c>
      <c r="P185">
        <v>1.9019999999999999</v>
      </c>
      <c r="Q185">
        <v>22.77</v>
      </c>
      <c r="R185">
        <v>7.3559999999999997E-3</v>
      </c>
      <c r="S185">
        <v>3.7280000000000001E-2</v>
      </c>
      <c r="T185">
        <v>5.9150000000000001E-2</v>
      </c>
      <c r="U185">
        <v>1.712E-2</v>
      </c>
      <c r="V185">
        <v>2.1649999999999999E-2</v>
      </c>
      <c r="W185">
        <v>4.7840000000000001E-3</v>
      </c>
      <c r="X185">
        <v>12.37</v>
      </c>
      <c r="Y185">
        <v>17.7</v>
      </c>
      <c r="Z185">
        <v>79.12</v>
      </c>
      <c r="AA185">
        <v>467.2</v>
      </c>
      <c r="AB185">
        <v>0.11210000000000001</v>
      </c>
      <c r="AC185">
        <v>0.161</v>
      </c>
      <c r="AD185">
        <v>0.1648</v>
      </c>
      <c r="AE185">
        <v>6.2960000000000002E-2</v>
      </c>
      <c r="AF185">
        <v>0.18110000000000001</v>
      </c>
      <c r="AG185">
        <v>7.4270000000000003E-2</v>
      </c>
    </row>
    <row r="186" spans="1:33">
      <c r="A186">
        <v>185</v>
      </c>
      <c r="B186">
        <v>873885</v>
      </c>
      <c r="C186" t="s">
        <v>0</v>
      </c>
      <c r="D186">
        <v>13.71</v>
      </c>
      <c r="E186">
        <v>22.41</v>
      </c>
      <c r="F186">
        <v>98.92</v>
      </c>
      <c r="G186">
        <v>710.6</v>
      </c>
      <c r="H186">
        <v>9.0569999999999998E-2</v>
      </c>
      <c r="I186">
        <v>0.1052</v>
      </c>
      <c r="J186">
        <v>5.3749999999999999E-2</v>
      </c>
      <c r="K186">
        <v>3.2629999999999999E-2</v>
      </c>
      <c r="L186">
        <v>0.17269999999999999</v>
      </c>
      <c r="M186">
        <v>6.3170000000000004E-2</v>
      </c>
      <c r="N186">
        <v>0.2054</v>
      </c>
      <c r="O186">
        <v>0.49559999999999998</v>
      </c>
      <c r="P186">
        <v>1.3440000000000001</v>
      </c>
      <c r="Q186">
        <v>19.53</v>
      </c>
      <c r="R186">
        <v>3.29E-3</v>
      </c>
      <c r="S186">
        <v>1.3950000000000001E-2</v>
      </c>
      <c r="T186">
        <v>1.7739999999999999E-2</v>
      </c>
      <c r="U186">
        <v>6.0089999999999996E-3</v>
      </c>
      <c r="V186">
        <v>1.172E-2</v>
      </c>
      <c r="W186">
        <v>2.575E-3</v>
      </c>
      <c r="X186">
        <v>17.8</v>
      </c>
      <c r="Y186">
        <v>28.03</v>
      </c>
      <c r="Z186">
        <v>113.8</v>
      </c>
      <c r="AA186">
        <v>973.1</v>
      </c>
      <c r="AB186">
        <v>0.13009999999999999</v>
      </c>
      <c r="AC186">
        <v>0.32990000000000003</v>
      </c>
      <c r="AD186">
        <v>0.36299999999999999</v>
      </c>
      <c r="AE186">
        <v>0.1226</v>
      </c>
      <c r="AF186">
        <v>0.3175</v>
      </c>
      <c r="AG186">
        <v>9.7720000000000001E-2</v>
      </c>
    </row>
    <row r="187" spans="1:33">
      <c r="A187">
        <v>186</v>
      </c>
      <c r="B187">
        <v>874158</v>
      </c>
      <c r="C187" t="s">
        <v>1</v>
      </c>
      <c r="D187">
        <v>13.71</v>
      </c>
      <c r="E187">
        <v>15.11</v>
      </c>
      <c r="F187">
        <v>63.76</v>
      </c>
      <c r="G187">
        <v>317.5</v>
      </c>
      <c r="H187">
        <v>9.2670000000000002E-2</v>
      </c>
      <c r="I187">
        <v>4.6949999999999999E-2</v>
      </c>
      <c r="J187">
        <v>1.5969999999999999E-3</v>
      </c>
      <c r="K187">
        <v>2.4039999999999999E-3</v>
      </c>
      <c r="L187">
        <v>0.17030000000000001</v>
      </c>
      <c r="M187">
        <v>6.0479999999999999E-2</v>
      </c>
      <c r="N187">
        <v>0.42449999999999999</v>
      </c>
      <c r="O187">
        <v>1.268</v>
      </c>
      <c r="P187">
        <v>2.68</v>
      </c>
      <c r="Q187">
        <v>26.43</v>
      </c>
      <c r="R187">
        <v>1.439E-2</v>
      </c>
      <c r="S187">
        <v>1.2E-2</v>
      </c>
      <c r="T187">
        <v>1.5969999999999999E-3</v>
      </c>
      <c r="U187">
        <v>2.4039999999999999E-3</v>
      </c>
      <c r="V187">
        <v>2.538E-2</v>
      </c>
      <c r="W187">
        <v>3.47E-3</v>
      </c>
      <c r="X187">
        <v>11.87</v>
      </c>
      <c r="Y187">
        <v>21.18</v>
      </c>
      <c r="Z187">
        <v>75.39</v>
      </c>
      <c r="AA187">
        <v>437</v>
      </c>
      <c r="AB187">
        <v>0.15210000000000001</v>
      </c>
      <c r="AC187">
        <v>0.1019</v>
      </c>
      <c r="AD187">
        <v>6.9199999999999999E-3</v>
      </c>
      <c r="AE187">
        <v>1.042E-2</v>
      </c>
      <c r="AF187">
        <v>0.29330000000000001</v>
      </c>
      <c r="AG187">
        <v>7.6969999999999997E-2</v>
      </c>
    </row>
    <row r="188" spans="1:33">
      <c r="A188">
        <v>187</v>
      </c>
      <c r="B188">
        <v>874217</v>
      </c>
      <c r="C188" t="s">
        <v>0</v>
      </c>
      <c r="D188">
        <v>13.71</v>
      </c>
      <c r="E188">
        <v>18.579999999999998</v>
      </c>
      <c r="F188">
        <v>118.6</v>
      </c>
      <c r="G188">
        <v>1041</v>
      </c>
      <c r="H188">
        <v>8.5879999999999998E-2</v>
      </c>
      <c r="I188">
        <v>8.4680000000000005E-2</v>
      </c>
      <c r="J188">
        <v>8.1689999999999999E-2</v>
      </c>
      <c r="K188">
        <v>5.8139999999999997E-2</v>
      </c>
      <c r="L188">
        <v>0.16209999999999999</v>
      </c>
      <c r="M188">
        <v>5.425E-2</v>
      </c>
      <c r="N188">
        <v>0.25769999999999998</v>
      </c>
      <c r="O188">
        <v>0.47570000000000001</v>
      </c>
      <c r="P188">
        <v>1.8169999999999999</v>
      </c>
      <c r="Q188">
        <v>28.92</v>
      </c>
      <c r="R188">
        <v>2.8660000000000001E-3</v>
      </c>
      <c r="S188">
        <v>9.1809999999999999E-3</v>
      </c>
      <c r="T188">
        <v>1.4120000000000001E-2</v>
      </c>
      <c r="U188">
        <v>6.7190000000000001E-3</v>
      </c>
      <c r="V188">
        <v>1.069E-2</v>
      </c>
      <c r="W188">
        <v>1.0870000000000001E-3</v>
      </c>
      <c r="X188">
        <v>21.31</v>
      </c>
      <c r="Y188">
        <v>26.36</v>
      </c>
      <c r="Z188">
        <v>139.19999999999999</v>
      </c>
      <c r="AA188">
        <v>1410</v>
      </c>
      <c r="AB188">
        <v>0.1234</v>
      </c>
      <c r="AC188">
        <v>0.2445</v>
      </c>
      <c r="AD188">
        <v>0.3538</v>
      </c>
      <c r="AE188">
        <v>0.15709999999999999</v>
      </c>
      <c r="AF188">
        <v>0.3206</v>
      </c>
      <c r="AG188">
        <v>6.9379999999999997E-2</v>
      </c>
    </row>
    <row r="189" spans="1:33">
      <c r="A189">
        <v>188</v>
      </c>
      <c r="B189">
        <v>874373</v>
      </c>
      <c r="C189" t="s">
        <v>1</v>
      </c>
      <c r="D189">
        <v>13.71</v>
      </c>
      <c r="E189">
        <v>17.190000000000001</v>
      </c>
      <c r="F189">
        <v>74.680000000000007</v>
      </c>
      <c r="G189">
        <v>420.3</v>
      </c>
      <c r="H189">
        <v>9.7739999999999994E-2</v>
      </c>
      <c r="I189">
        <v>6.1409999999999999E-2</v>
      </c>
      <c r="J189">
        <v>3.8089999999999999E-2</v>
      </c>
      <c r="K189">
        <v>3.2390000000000002E-2</v>
      </c>
      <c r="L189">
        <v>0.15160000000000001</v>
      </c>
      <c r="M189">
        <v>6.0949999999999997E-2</v>
      </c>
      <c r="N189">
        <v>0.24510000000000001</v>
      </c>
      <c r="O189">
        <v>0.76549999999999996</v>
      </c>
      <c r="P189">
        <v>1.742</v>
      </c>
      <c r="Q189">
        <v>17.86</v>
      </c>
      <c r="R189">
        <v>6.9049999999999997E-3</v>
      </c>
      <c r="S189">
        <v>8.7039999999999999E-3</v>
      </c>
      <c r="T189">
        <v>1.9779999999999999E-2</v>
      </c>
      <c r="U189">
        <v>1.1849999999999999E-2</v>
      </c>
      <c r="V189">
        <v>1.8970000000000001E-2</v>
      </c>
      <c r="W189">
        <v>1.671E-3</v>
      </c>
      <c r="X189">
        <v>13.01</v>
      </c>
      <c r="Y189">
        <v>21.39</v>
      </c>
      <c r="Z189">
        <v>84.42</v>
      </c>
      <c r="AA189">
        <v>521.5</v>
      </c>
      <c r="AB189">
        <v>0.1323</v>
      </c>
      <c r="AC189">
        <v>0.104</v>
      </c>
      <c r="AD189">
        <v>0.15210000000000001</v>
      </c>
      <c r="AE189">
        <v>0.1099</v>
      </c>
      <c r="AF189">
        <v>0.25719999999999998</v>
      </c>
      <c r="AG189">
        <v>7.0970000000000005E-2</v>
      </c>
    </row>
    <row r="190" spans="1:33">
      <c r="A190">
        <v>189</v>
      </c>
      <c r="B190">
        <v>874662</v>
      </c>
      <c r="C190" t="s">
        <v>1</v>
      </c>
      <c r="D190">
        <v>13.71</v>
      </c>
      <c r="E190">
        <v>17.39</v>
      </c>
      <c r="F190">
        <v>75.27</v>
      </c>
      <c r="G190">
        <v>428.9</v>
      </c>
      <c r="H190">
        <v>0.1007</v>
      </c>
      <c r="I190">
        <v>5.5620000000000003E-2</v>
      </c>
      <c r="J190">
        <v>2.3529999999999999E-2</v>
      </c>
      <c r="K190">
        <v>1.553E-2</v>
      </c>
      <c r="L190">
        <v>0.17180000000000001</v>
      </c>
      <c r="M190">
        <v>5.7799999999999997E-2</v>
      </c>
      <c r="N190">
        <v>0.18590000000000001</v>
      </c>
      <c r="O190">
        <v>1.9259999999999999</v>
      </c>
      <c r="P190">
        <v>1.0109999999999999</v>
      </c>
      <c r="Q190">
        <v>14.47</v>
      </c>
      <c r="R190">
        <v>7.8309999999999994E-3</v>
      </c>
      <c r="S190">
        <v>8.7760000000000008E-3</v>
      </c>
      <c r="T190">
        <v>1.5559999999999999E-2</v>
      </c>
      <c r="U190">
        <v>6.2399999999999999E-3</v>
      </c>
      <c r="V190">
        <v>3.1390000000000001E-2</v>
      </c>
      <c r="W190">
        <v>1.9880000000000002E-3</v>
      </c>
      <c r="X190">
        <v>12.57</v>
      </c>
      <c r="Y190">
        <v>26.48</v>
      </c>
      <c r="Z190">
        <v>79.569999999999993</v>
      </c>
      <c r="AA190">
        <v>489.5</v>
      </c>
      <c r="AB190">
        <v>0.1356</v>
      </c>
      <c r="AC190">
        <v>0.1</v>
      </c>
      <c r="AD190">
        <v>8.8029999999999997E-2</v>
      </c>
      <c r="AE190">
        <v>4.3060000000000001E-2</v>
      </c>
      <c r="AF190">
        <v>0.32</v>
      </c>
      <c r="AG190">
        <v>6.5759999999999999E-2</v>
      </c>
    </row>
    <row r="191" spans="1:33">
      <c r="A191">
        <v>190</v>
      </c>
      <c r="B191">
        <v>874839</v>
      </c>
      <c r="C191" t="s">
        <v>1</v>
      </c>
      <c r="D191">
        <v>13.71</v>
      </c>
      <c r="E191">
        <v>15.9</v>
      </c>
      <c r="F191">
        <v>78.83</v>
      </c>
      <c r="G191">
        <v>463.7</v>
      </c>
      <c r="H191">
        <v>8.0799999999999997E-2</v>
      </c>
      <c r="I191">
        <v>7.2529999999999997E-2</v>
      </c>
      <c r="J191">
        <v>3.8440000000000002E-2</v>
      </c>
      <c r="K191">
        <v>1.6539999999999999E-2</v>
      </c>
      <c r="L191">
        <v>0.16669999999999999</v>
      </c>
      <c r="M191">
        <v>5.4739999999999997E-2</v>
      </c>
      <c r="N191">
        <v>0.2382</v>
      </c>
      <c r="O191">
        <v>0.83550000000000002</v>
      </c>
      <c r="P191">
        <v>1.6870000000000001</v>
      </c>
      <c r="Q191">
        <v>18.32</v>
      </c>
      <c r="R191">
        <v>5.9959999999999996E-3</v>
      </c>
      <c r="S191">
        <v>2.2120000000000001E-2</v>
      </c>
      <c r="T191">
        <v>2.1170000000000001E-2</v>
      </c>
      <c r="U191">
        <v>6.4330000000000003E-3</v>
      </c>
      <c r="V191">
        <v>2.0250000000000001E-2</v>
      </c>
      <c r="W191">
        <v>1.725E-3</v>
      </c>
      <c r="X191">
        <v>13.35</v>
      </c>
      <c r="Y191">
        <v>19.59</v>
      </c>
      <c r="Z191">
        <v>86.65</v>
      </c>
      <c r="AA191">
        <v>546.70000000000005</v>
      </c>
      <c r="AB191">
        <v>0.1096</v>
      </c>
      <c r="AC191">
        <v>0.16500000000000001</v>
      </c>
      <c r="AD191">
        <v>0.14230000000000001</v>
      </c>
      <c r="AE191">
        <v>4.8149999999999998E-2</v>
      </c>
      <c r="AF191">
        <v>0.2482</v>
      </c>
      <c r="AG191">
        <v>6.3060000000000005E-2</v>
      </c>
    </row>
    <row r="192" spans="1:33">
      <c r="A192">
        <v>191</v>
      </c>
      <c r="B192">
        <v>874858</v>
      </c>
      <c r="C192" t="s">
        <v>0</v>
      </c>
      <c r="D192">
        <v>13.71</v>
      </c>
      <c r="E192">
        <v>23.12</v>
      </c>
      <c r="F192">
        <v>94.37</v>
      </c>
      <c r="G192">
        <v>609.9</v>
      </c>
      <c r="H192">
        <v>0.1075</v>
      </c>
      <c r="I192">
        <v>0.24129999999999999</v>
      </c>
      <c r="J192">
        <v>0.1981</v>
      </c>
      <c r="K192">
        <v>6.6180000000000003E-2</v>
      </c>
      <c r="L192">
        <v>0.2384</v>
      </c>
      <c r="M192">
        <v>7.5420000000000001E-2</v>
      </c>
      <c r="N192">
        <v>0.28599999999999998</v>
      </c>
      <c r="O192">
        <v>2.11</v>
      </c>
      <c r="P192">
        <v>2.1120000000000001</v>
      </c>
      <c r="Q192">
        <v>31.72</v>
      </c>
      <c r="R192">
        <v>7.9699999999999997E-3</v>
      </c>
      <c r="S192">
        <v>0.13539999999999999</v>
      </c>
      <c r="T192">
        <v>0.1166</v>
      </c>
      <c r="U192">
        <v>1.6660000000000001E-2</v>
      </c>
      <c r="V192">
        <v>5.1130000000000002E-2</v>
      </c>
      <c r="W192">
        <v>1.172E-2</v>
      </c>
      <c r="X192">
        <v>15.74</v>
      </c>
      <c r="Y192">
        <v>37.18</v>
      </c>
      <c r="Z192">
        <v>106.4</v>
      </c>
      <c r="AA192">
        <v>762.4</v>
      </c>
      <c r="AB192">
        <v>0.15329999999999999</v>
      </c>
      <c r="AC192">
        <v>0.93269999999999997</v>
      </c>
      <c r="AD192">
        <v>0.8488</v>
      </c>
      <c r="AE192">
        <v>0.1772</v>
      </c>
      <c r="AF192">
        <v>0.51659999999999995</v>
      </c>
      <c r="AG192">
        <v>0.14460000000000001</v>
      </c>
    </row>
    <row r="193" spans="1:33">
      <c r="A193">
        <v>192</v>
      </c>
      <c r="B193">
        <v>875093</v>
      </c>
      <c r="C193" t="s">
        <v>1</v>
      </c>
      <c r="D193">
        <v>13.71</v>
      </c>
      <c r="E193">
        <v>21.41</v>
      </c>
      <c r="F193">
        <v>82.02</v>
      </c>
      <c r="G193">
        <v>507.4</v>
      </c>
      <c r="H193">
        <v>8.7489999999999998E-2</v>
      </c>
      <c r="I193">
        <v>6.6009999999999999E-2</v>
      </c>
      <c r="J193">
        <v>3.1119999999999998E-2</v>
      </c>
      <c r="K193">
        <v>2.8639999999999999E-2</v>
      </c>
      <c r="L193">
        <v>0.1694</v>
      </c>
      <c r="M193">
        <v>6.2869999999999995E-2</v>
      </c>
      <c r="N193">
        <v>0.73109999999999997</v>
      </c>
      <c r="O193">
        <v>1.748</v>
      </c>
      <c r="P193">
        <v>5.1180000000000003</v>
      </c>
      <c r="Q193">
        <v>53.65</v>
      </c>
      <c r="R193">
        <v>4.5710000000000004E-3</v>
      </c>
      <c r="S193">
        <v>1.7899999999999999E-2</v>
      </c>
      <c r="T193">
        <v>2.1760000000000002E-2</v>
      </c>
      <c r="U193">
        <v>1.7569999999999999E-2</v>
      </c>
      <c r="V193">
        <v>3.3730000000000003E-2</v>
      </c>
      <c r="W193">
        <v>5.875E-3</v>
      </c>
      <c r="X193">
        <v>13.75</v>
      </c>
      <c r="Y193">
        <v>23.5</v>
      </c>
      <c r="Z193">
        <v>89.04</v>
      </c>
      <c r="AA193">
        <v>579.5</v>
      </c>
      <c r="AB193">
        <v>9.3880000000000005E-2</v>
      </c>
      <c r="AC193">
        <v>8.9779999999999999E-2</v>
      </c>
      <c r="AD193">
        <v>5.1860000000000003E-2</v>
      </c>
      <c r="AE193">
        <v>4.7730000000000002E-2</v>
      </c>
      <c r="AF193">
        <v>0.21790000000000001</v>
      </c>
      <c r="AG193">
        <v>6.8709999999999993E-2</v>
      </c>
    </row>
    <row r="194" spans="1:33">
      <c r="A194">
        <v>193</v>
      </c>
      <c r="B194">
        <v>875099</v>
      </c>
      <c r="C194" t="s">
        <v>1</v>
      </c>
      <c r="D194">
        <v>13.71</v>
      </c>
      <c r="E194">
        <v>18.22</v>
      </c>
      <c r="F194">
        <v>60.73</v>
      </c>
      <c r="G194">
        <v>288.10000000000002</v>
      </c>
      <c r="H194">
        <v>6.9500000000000006E-2</v>
      </c>
      <c r="I194">
        <v>2.3439999999999999E-2</v>
      </c>
      <c r="J194">
        <v>0</v>
      </c>
      <c r="K194">
        <v>0</v>
      </c>
      <c r="L194">
        <v>0.1653</v>
      </c>
      <c r="M194">
        <v>6.447E-2</v>
      </c>
      <c r="N194">
        <v>0.35389999999999999</v>
      </c>
      <c r="O194">
        <v>4.8849999999999998</v>
      </c>
      <c r="P194">
        <v>2.23</v>
      </c>
      <c r="Q194">
        <v>21.69</v>
      </c>
      <c r="R194">
        <v>1.7129999999999999E-3</v>
      </c>
      <c r="S194">
        <v>6.7359999999999998E-3</v>
      </c>
      <c r="T194">
        <v>0</v>
      </c>
      <c r="U194">
        <v>0</v>
      </c>
      <c r="V194">
        <v>3.7990000000000003E-2</v>
      </c>
      <c r="W194">
        <v>1.688E-3</v>
      </c>
      <c r="X194">
        <v>9.968</v>
      </c>
      <c r="Y194">
        <v>20.83</v>
      </c>
      <c r="Z194">
        <v>62.25</v>
      </c>
      <c r="AA194">
        <v>303.8</v>
      </c>
      <c r="AB194">
        <v>7.1169999999999997E-2</v>
      </c>
      <c r="AC194">
        <v>2.7289999999999998E-2</v>
      </c>
      <c r="AD194">
        <v>0</v>
      </c>
      <c r="AE194">
        <v>0</v>
      </c>
      <c r="AF194">
        <v>0.19089999999999999</v>
      </c>
      <c r="AG194">
        <v>6.5589999999999996E-2</v>
      </c>
    </row>
    <row r="195" spans="1:33">
      <c r="A195">
        <v>194</v>
      </c>
      <c r="B195">
        <v>875263</v>
      </c>
      <c r="C195" t="s">
        <v>0</v>
      </c>
      <c r="D195">
        <v>13.71</v>
      </c>
      <c r="E195">
        <v>26.86</v>
      </c>
      <c r="F195">
        <v>81.150000000000006</v>
      </c>
      <c r="G195">
        <v>477.4</v>
      </c>
      <c r="H195">
        <v>0.10340000000000001</v>
      </c>
      <c r="I195">
        <v>0.1353</v>
      </c>
      <c r="J195">
        <v>0.1085</v>
      </c>
      <c r="K195">
        <v>4.5620000000000001E-2</v>
      </c>
      <c r="L195">
        <v>0.1943</v>
      </c>
      <c r="M195">
        <v>6.9370000000000001E-2</v>
      </c>
      <c r="N195">
        <v>0.40529999999999999</v>
      </c>
      <c r="O195">
        <v>1.8089999999999999</v>
      </c>
      <c r="P195">
        <v>2.6419999999999999</v>
      </c>
      <c r="Q195">
        <v>34.44</v>
      </c>
      <c r="R195">
        <v>9.0980000000000002E-3</v>
      </c>
      <c r="S195">
        <v>3.8449999999999998E-2</v>
      </c>
      <c r="T195">
        <v>3.7629999999999997E-2</v>
      </c>
      <c r="U195">
        <v>1.321E-2</v>
      </c>
      <c r="V195">
        <v>1.8780000000000002E-2</v>
      </c>
      <c r="W195">
        <v>5.672E-3</v>
      </c>
      <c r="X195">
        <v>15.65</v>
      </c>
      <c r="Y195">
        <v>39.340000000000003</v>
      </c>
      <c r="Z195">
        <v>101.7</v>
      </c>
      <c r="AA195">
        <v>768.9</v>
      </c>
      <c r="AB195">
        <v>0.17849999999999999</v>
      </c>
      <c r="AC195">
        <v>0.47060000000000002</v>
      </c>
      <c r="AD195">
        <v>0.4425</v>
      </c>
      <c r="AE195">
        <v>0.1459</v>
      </c>
      <c r="AF195">
        <v>0.32150000000000001</v>
      </c>
      <c r="AG195">
        <v>0.1205</v>
      </c>
    </row>
    <row r="196" spans="1:33">
      <c r="A196">
        <v>195</v>
      </c>
      <c r="B196">
        <v>87556202</v>
      </c>
      <c r="C196" t="s">
        <v>0</v>
      </c>
      <c r="D196">
        <v>13.71</v>
      </c>
      <c r="E196">
        <v>23.21</v>
      </c>
      <c r="F196">
        <v>100.4</v>
      </c>
      <c r="G196">
        <v>671.4</v>
      </c>
      <c r="H196">
        <v>0.10440000000000001</v>
      </c>
      <c r="I196">
        <v>0.19800000000000001</v>
      </c>
      <c r="J196">
        <v>0.16969999999999999</v>
      </c>
      <c r="K196">
        <v>8.8779999999999998E-2</v>
      </c>
      <c r="L196">
        <v>0.17369999999999999</v>
      </c>
      <c r="M196">
        <v>6.6720000000000002E-2</v>
      </c>
      <c r="N196">
        <v>0.27960000000000002</v>
      </c>
      <c r="O196">
        <v>0.96220000000000006</v>
      </c>
      <c r="P196">
        <v>3.5910000000000002</v>
      </c>
      <c r="Q196">
        <v>25.2</v>
      </c>
      <c r="R196">
        <v>8.0809999999999996E-3</v>
      </c>
      <c r="S196">
        <v>5.1220000000000002E-2</v>
      </c>
      <c r="T196">
        <v>5.5509999999999997E-2</v>
      </c>
      <c r="U196">
        <v>1.883E-2</v>
      </c>
      <c r="V196">
        <v>2.545E-2</v>
      </c>
      <c r="W196">
        <v>4.3119999999999999E-3</v>
      </c>
      <c r="X196">
        <v>16.079999999999998</v>
      </c>
      <c r="Y196">
        <v>27.78</v>
      </c>
      <c r="Z196">
        <v>118.6</v>
      </c>
      <c r="AA196">
        <v>784.7</v>
      </c>
      <c r="AB196">
        <v>0.13159999999999999</v>
      </c>
      <c r="AC196">
        <v>0.46479999999999999</v>
      </c>
      <c r="AD196">
        <v>0.45889999999999997</v>
      </c>
      <c r="AE196">
        <v>0.17269999999999999</v>
      </c>
      <c r="AF196">
        <v>0.3</v>
      </c>
      <c r="AG196">
        <v>8.7010000000000004E-2</v>
      </c>
    </row>
    <row r="197" spans="1:33">
      <c r="A197">
        <v>196</v>
      </c>
      <c r="B197">
        <v>875878</v>
      </c>
      <c r="C197" t="s">
        <v>1</v>
      </c>
      <c r="D197">
        <v>13.71</v>
      </c>
      <c r="E197">
        <v>16.329999999999998</v>
      </c>
      <c r="F197">
        <v>82.53</v>
      </c>
      <c r="G197">
        <v>516.4</v>
      </c>
      <c r="H197">
        <v>7.9409999999999994E-2</v>
      </c>
      <c r="I197">
        <v>5.3659999999999999E-2</v>
      </c>
      <c r="J197">
        <v>3.8730000000000001E-2</v>
      </c>
      <c r="K197">
        <v>2.3769999999999999E-2</v>
      </c>
      <c r="L197">
        <v>0.18290000000000001</v>
      </c>
      <c r="M197">
        <v>5.6669999999999998E-2</v>
      </c>
      <c r="N197">
        <v>0.19420000000000001</v>
      </c>
      <c r="O197">
        <v>0.90859999999999996</v>
      </c>
      <c r="P197">
        <v>1.4930000000000001</v>
      </c>
      <c r="Q197">
        <v>15.75</v>
      </c>
      <c r="R197">
        <v>5.2979999999999998E-3</v>
      </c>
      <c r="S197">
        <v>1.5869999999999999E-2</v>
      </c>
      <c r="T197">
        <v>2.3210000000000001E-2</v>
      </c>
      <c r="U197">
        <v>8.4200000000000004E-3</v>
      </c>
      <c r="V197">
        <v>1.8530000000000001E-2</v>
      </c>
      <c r="W197">
        <v>2.1519999999999998E-3</v>
      </c>
      <c r="X197">
        <v>13.88</v>
      </c>
      <c r="Y197">
        <v>22</v>
      </c>
      <c r="Z197">
        <v>90.81</v>
      </c>
      <c r="AA197">
        <v>600.6</v>
      </c>
      <c r="AB197">
        <v>0.10970000000000001</v>
      </c>
      <c r="AC197">
        <v>0.15060000000000001</v>
      </c>
      <c r="AD197">
        <v>0.1764</v>
      </c>
      <c r="AE197">
        <v>8.2350000000000007E-2</v>
      </c>
      <c r="AF197">
        <v>0.3024</v>
      </c>
      <c r="AG197">
        <v>6.9489999999999996E-2</v>
      </c>
    </row>
    <row r="198" spans="1:33">
      <c r="A198">
        <v>197</v>
      </c>
      <c r="B198">
        <v>875938</v>
      </c>
      <c r="C198" t="s">
        <v>0</v>
      </c>
      <c r="D198">
        <v>13.71</v>
      </c>
      <c r="E198">
        <v>22.29</v>
      </c>
      <c r="F198">
        <v>90.63</v>
      </c>
      <c r="G198">
        <v>588.9</v>
      </c>
      <c r="H198">
        <v>0.12</v>
      </c>
      <c r="I198">
        <v>0.12670000000000001</v>
      </c>
      <c r="J198">
        <v>0.13850000000000001</v>
      </c>
      <c r="K198">
        <v>6.5259999999999999E-2</v>
      </c>
      <c r="L198">
        <v>0.18340000000000001</v>
      </c>
      <c r="M198">
        <v>6.8769999999999998E-2</v>
      </c>
      <c r="N198">
        <v>0.61909999999999998</v>
      </c>
      <c r="O198">
        <v>2.1120000000000001</v>
      </c>
      <c r="P198">
        <v>4.9059999999999997</v>
      </c>
      <c r="Q198">
        <v>49.7</v>
      </c>
      <c r="R198">
        <v>1.38E-2</v>
      </c>
      <c r="S198">
        <v>3.3480000000000003E-2</v>
      </c>
      <c r="T198">
        <v>4.6649999999999997E-2</v>
      </c>
      <c r="U198">
        <v>2.06E-2</v>
      </c>
      <c r="V198">
        <v>2.6890000000000001E-2</v>
      </c>
      <c r="W198">
        <v>4.3059999999999999E-3</v>
      </c>
      <c r="X198">
        <v>16.39</v>
      </c>
      <c r="Y198">
        <v>34.01</v>
      </c>
      <c r="Z198">
        <v>111.6</v>
      </c>
      <c r="AA198">
        <v>806.9</v>
      </c>
      <c r="AB198">
        <v>0.17369999999999999</v>
      </c>
      <c r="AC198">
        <v>0.31219999999999998</v>
      </c>
      <c r="AD198">
        <v>0.38090000000000002</v>
      </c>
      <c r="AE198">
        <v>0.1673</v>
      </c>
      <c r="AF198">
        <v>0.308</v>
      </c>
      <c r="AG198">
        <v>9.3329999999999996E-2</v>
      </c>
    </row>
    <row r="199" spans="1:33">
      <c r="A199">
        <v>198</v>
      </c>
      <c r="B199">
        <v>877159</v>
      </c>
      <c r="C199" t="s">
        <v>0</v>
      </c>
      <c r="D199">
        <v>13.71</v>
      </c>
      <c r="E199">
        <v>21.84</v>
      </c>
      <c r="F199">
        <v>117.4</v>
      </c>
      <c r="G199">
        <v>1024</v>
      </c>
      <c r="H199">
        <v>7.3709999999999998E-2</v>
      </c>
      <c r="I199">
        <v>8.6419999999999997E-2</v>
      </c>
      <c r="J199">
        <v>0.1103</v>
      </c>
      <c r="K199">
        <v>5.7779999999999998E-2</v>
      </c>
      <c r="L199">
        <v>0.17699999999999999</v>
      </c>
      <c r="M199">
        <v>5.3400000000000003E-2</v>
      </c>
      <c r="N199">
        <v>0.63619999999999999</v>
      </c>
      <c r="O199">
        <v>1.3049999999999999</v>
      </c>
      <c r="P199">
        <v>4.3120000000000003</v>
      </c>
      <c r="Q199">
        <v>76.36</v>
      </c>
      <c r="R199">
        <v>5.5300000000000002E-3</v>
      </c>
      <c r="S199">
        <v>5.296E-2</v>
      </c>
      <c r="T199">
        <v>6.1100000000000002E-2</v>
      </c>
      <c r="U199">
        <v>1.444E-2</v>
      </c>
      <c r="V199">
        <v>2.1399999999999999E-2</v>
      </c>
      <c r="W199">
        <v>5.0359999999999997E-3</v>
      </c>
      <c r="X199">
        <v>19.760000000000002</v>
      </c>
      <c r="Y199">
        <v>24.7</v>
      </c>
      <c r="Z199">
        <v>129.1</v>
      </c>
      <c r="AA199">
        <v>1228</v>
      </c>
      <c r="AB199">
        <v>8.8220000000000007E-2</v>
      </c>
      <c r="AC199">
        <v>0.1963</v>
      </c>
      <c r="AD199">
        <v>0.2535</v>
      </c>
      <c r="AE199">
        <v>9.1810000000000003E-2</v>
      </c>
      <c r="AF199">
        <v>0.2369</v>
      </c>
      <c r="AG199">
        <v>6.5579999999999999E-2</v>
      </c>
    </row>
    <row r="200" spans="1:33">
      <c r="A200">
        <v>199</v>
      </c>
      <c r="B200">
        <v>877486</v>
      </c>
      <c r="C200" t="s">
        <v>0</v>
      </c>
      <c r="D200">
        <v>13.71</v>
      </c>
      <c r="E200">
        <v>22.49</v>
      </c>
      <c r="F200">
        <v>127.5</v>
      </c>
      <c r="G200">
        <v>1148</v>
      </c>
      <c r="H200">
        <v>8.523E-2</v>
      </c>
      <c r="I200">
        <v>0.14280000000000001</v>
      </c>
      <c r="J200">
        <v>0.1114</v>
      </c>
      <c r="K200">
        <v>6.7720000000000002E-2</v>
      </c>
      <c r="L200">
        <v>0.1767</v>
      </c>
      <c r="M200">
        <v>5.5289999999999999E-2</v>
      </c>
      <c r="N200">
        <v>0.43569999999999998</v>
      </c>
      <c r="O200">
        <v>1.073</v>
      </c>
      <c r="P200">
        <v>3.8330000000000002</v>
      </c>
      <c r="Q200">
        <v>54.22</v>
      </c>
      <c r="R200">
        <v>5.5240000000000003E-3</v>
      </c>
      <c r="S200">
        <v>3.6979999999999999E-2</v>
      </c>
      <c r="T200">
        <v>2.7060000000000001E-2</v>
      </c>
      <c r="U200">
        <v>1.221E-2</v>
      </c>
      <c r="V200">
        <v>1.4149999999999999E-2</v>
      </c>
      <c r="W200">
        <v>3.3969999999999998E-3</v>
      </c>
      <c r="X200">
        <v>23.36</v>
      </c>
      <c r="Y200">
        <v>32.06</v>
      </c>
      <c r="Z200">
        <v>166.4</v>
      </c>
      <c r="AA200">
        <v>1688</v>
      </c>
      <c r="AB200">
        <v>0.13220000000000001</v>
      </c>
      <c r="AC200">
        <v>0.56010000000000004</v>
      </c>
      <c r="AD200">
        <v>0.38650000000000001</v>
      </c>
      <c r="AE200">
        <v>0.17080000000000001</v>
      </c>
      <c r="AF200">
        <v>0.31929999999999997</v>
      </c>
      <c r="AG200">
        <v>9.221E-2</v>
      </c>
    </row>
    <row r="201" spans="1:33">
      <c r="A201">
        <v>200</v>
      </c>
      <c r="B201">
        <v>877500</v>
      </c>
      <c r="C201" t="s">
        <v>0</v>
      </c>
      <c r="D201">
        <v>13.71</v>
      </c>
      <c r="E201">
        <v>20.22</v>
      </c>
      <c r="F201">
        <v>94.49</v>
      </c>
      <c r="G201">
        <v>642.70000000000005</v>
      </c>
      <c r="H201">
        <v>9.8720000000000002E-2</v>
      </c>
      <c r="I201">
        <v>0.1206</v>
      </c>
      <c r="J201">
        <v>0.11799999999999999</v>
      </c>
      <c r="K201">
        <v>5.9799999999999999E-2</v>
      </c>
      <c r="L201">
        <v>0.19500000000000001</v>
      </c>
      <c r="M201">
        <v>6.4659999999999995E-2</v>
      </c>
      <c r="N201">
        <v>0.2092</v>
      </c>
      <c r="O201">
        <v>0.65090000000000003</v>
      </c>
      <c r="P201">
        <v>1.446</v>
      </c>
      <c r="Q201">
        <v>19.420000000000002</v>
      </c>
      <c r="R201">
        <v>4.0439999999999999E-3</v>
      </c>
      <c r="S201">
        <v>1.5970000000000002E-2</v>
      </c>
      <c r="T201">
        <v>0.02</v>
      </c>
      <c r="U201">
        <v>7.3029999999999996E-3</v>
      </c>
      <c r="V201">
        <v>1.5219999999999999E-2</v>
      </c>
      <c r="W201">
        <v>1.9759999999999999E-3</v>
      </c>
      <c r="X201">
        <v>18.329999999999998</v>
      </c>
      <c r="Y201">
        <v>30.12</v>
      </c>
      <c r="Z201">
        <v>117.9</v>
      </c>
      <c r="AA201">
        <v>1044</v>
      </c>
      <c r="AB201">
        <v>0.1552</v>
      </c>
      <c r="AC201">
        <v>0.40560000000000002</v>
      </c>
      <c r="AD201">
        <v>0.49669999999999997</v>
      </c>
      <c r="AE201">
        <v>0.18379999999999999</v>
      </c>
      <c r="AF201">
        <v>0.4753</v>
      </c>
      <c r="AG201">
        <v>0.1013</v>
      </c>
    </row>
    <row r="202" spans="1:33">
      <c r="A202">
        <v>201</v>
      </c>
      <c r="B202">
        <v>877501</v>
      </c>
      <c r="C202" t="s">
        <v>1</v>
      </c>
      <c r="D202">
        <v>13.71</v>
      </c>
      <c r="E202">
        <v>19.559999999999999</v>
      </c>
      <c r="F202">
        <v>78.540000000000006</v>
      </c>
      <c r="G202">
        <v>461</v>
      </c>
      <c r="H202">
        <v>9.5860000000000001E-2</v>
      </c>
      <c r="I202">
        <v>8.0869999999999997E-2</v>
      </c>
      <c r="J202">
        <v>4.1869999999999997E-2</v>
      </c>
      <c r="K202">
        <v>4.1070000000000002E-2</v>
      </c>
      <c r="L202">
        <v>0.19789999999999999</v>
      </c>
      <c r="M202">
        <v>6.0130000000000003E-2</v>
      </c>
      <c r="N202">
        <v>0.35339999999999999</v>
      </c>
      <c r="O202">
        <v>1.3260000000000001</v>
      </c>
      <c r="P202">
        <v>2.3079999999999998</v>
      </c>
      <c r="Q202">
        <v>27.24</v>
      </c>
      <c r="R202">
        <v>7.5139999999999998E-3</v>
      </c>
      <c r="S202">
        <v>1.779E-2</v>
      </c>
      <c r="T202">
        <v>1.401E-2</v>
      </c>
      <c r="U202">
        <v>1.14E-2</v>
      </c>
      <c r="V202">
        <v>1.503E-2</v>
      </c>
      <c r="W202">
        <v>3.3379999999999998E-3</v>
      </c>
      <c r="X202">
        <v>14.44</v>
      </c>
      <c r="Y202">
        <v>28.36</v>
      </c>
      <c r="Z202">
        <v>92.15</v>
      </c>
      <c r="AA202">
        <v>638.4</v>
      </c>
      <c r="AB202">
        <v>0.1429</v>
      </c>
      <c r="AC202">
        <v>0.20419999999999999</v>
      </c>
      <c r="AD202">
        <v>0.13769999999999999</v>
      </c>
      <c r="AE202">
        <v>0.108</v>
      </c>
      <c r="AF202">
        <v>0.26679999999999998</v>
      </c>
      <c r="AG202">
        <v>8.1739999999999993E-2</v>
      </c>
    </row>
    <row r="203" spans="1:33">
      <c r="A203">
        <v>202</v>
      </c>
      <c r="B203">
        <v>877989</v>
      </c>
      <c r="C203" t="s">
        <v>0</v>
      </c>
      <c r="D203">
        <v>13.71</v>
      </c>
      <c r="E203">
        <v>19.32</v>
      </c>
      <c r="F203">
        <v>115.1</v>
      </c>
      <c r="G203">
        <v>951.6</v>
      </c>
      <c r="H203">
        <v>8.9679999999999996E-2</v>
      </c>
      <c r="I203">
        <v>0.1198</v>
      </c>
      <c r="J203">
        <v>0.1036</v>
      </c>
      <c r="K203">
        <v>7.4880000000000002E-2</v>
      </c>
      <c r="L203">
        <v>0.15060000000000001</v>
      </c>
      <c r="M203">
        <v>5.491E-2</v>
      </c>
      <c r="N203">
        <v>0.39710000000000001</v>
      </c>
      <c r="O203">
        <v>0.82820000000000005</v>
      </c>
      <c r="P203">
        <v>3.0880000000000001</v>
      </c>
      <c r="Q203">
        <v>40.729999999999997</v>
      </c>
      <c r="R203">
        <v>6.0899999999999999E-3</v>
      </c>
      <c r="S203">
        <v>2.5690000000000001E-2</v>
      </c>
      <c r="T203">
        <v>2.7130000000000001E-2</v>
      </c>
      <c r="U203">
        <v>1.345E-2</v>
      </c>
      <c r="V203">
        <v>1.5939999999999999E-2</v>
      </c>
      <c r="W203">
        <v>2.6580000000000002E-3</v>
      </c>
      <c r="X203">
        <v>20.420000000000002</v>
      </c>
      <c r="Y203">
        <v>25.84</v>
      </c>
      <c r="Z203">
        <v>139.5</v>
      </c>
      <c r="AA203">
        <v>1239</v>
      </c>
      <c r="AB203">
        <v>0.1381</v>
      </c>
      <c r="AC203">
        <v>0.34200000000000003</v>
      </c>
      <c r="AD203">
        <v>0.3508</v>
      </c>
      <c r="AE203">
        <v>0.19389999999999999</v>
      </c>
      <c r="AF203">
        <v>0.2928</v>
      </c>
      <c r="AG203">
        <v>7.8670000000000004E-2</v>
      </c>
    </row>
    <row r="204" spans="1:33">
      <c r="A204">
        <v>203</v>
      </c>
      <c r="B204">
        <v>878796</v>
      </c>
      <c r="C204" t="s">
        <v>0</v>
      </c>
      <c r="D204">
        <v>13.71</v>
      </c>
      <c r="E204">
        <v>26.67</v>
      </c>
      <c r="F204">
        <v>158.9</v>
      </c>
      <c r="G204">
        <v>1685</v>
      </c>
      <c r="H204">
        <v>0.11409999999999999</v>
      </c>
      <c r="I204">
        <v>0.2084</v>
      </c>
      <c r="J204">
        <v>0.3523</v>
      </c>
      <c r="K204">
        <v>0.16200000000000001</v>
      </c>
      <c r="L204">
        <v>0.22</v>
      </c>
      <c r="M204">
        <v>6.2289999999999998E-2</v>
      </c>
      <c r="N204">
        <v>0.55389999999999995</v>
      </c>
      <c r="O204">
        <v>1.56</v>
      </c>
      <c r="P204">
        <v>4.6669999999999998</v>
      </c>
      <c r="Q204">
        <v>83.16</v>
      </c>
      <c r="R204">
        <v>9.3270000000000002E-3</v>
      </c>
      <c r="S204">
        <v>5.1209999999999999E-2</v>
      </c>
      <c r="T204">
        <v>8.9580000000000007E-2</v>
      </c>
      <c r="U204">
        <v>2.4649999999999998E-2</v>
      </c>
      <c r="V204">
        <v>2.1749999999999999E-2</v>
      </c>
      <c r="W204">
        <v>5.195E-3</v>
      </c>
      <c r="X204">
        <v>25.12</v>
      </c>
      <c r="Y204">
        <v>32.68</v>
      </c>
      <c r="Z204">
        <v>177</v>
      </c>
      <c r="AA204">
        <v>1986</v>
      </c>
      <c r="AB204">
        <v>0.15359999999999999</v>
      </c>
      <c r="AC204">
        <v>0.41670000000000001</v>
      </c>
      <c r="AD204">
        <v>0.78920000000000001</v>
      </c>
      <c r="AE204">
        <v>0.27329999999999999</v>
      </c>
      <c r="AF204">
        <v>0.31979999999999997</v>
      </c>
      <c r="AG204">
        <v>8.7620000000000003E-2</v>
      </c>
    </row>
    <row r="205" spans="1:33">
      <c r="A205">
        <v>204</v>
      </c>
      <c r="B205">
        <v>87880</v>
      </c>
      <c r="C205" t="s">
        <v>0</v>
      </c>
      <c r="D205">
        <v>13.71</v>
      </c>
      <c r="E205">
        <v>23.75</v>
      </c>
      <c r="F205">
        <v>91.56</v>
      </c>
      <c r="G205">
        <v>597.79999999999995</v>
      </c>
      <c r="H205">
        <v>0.1323</v>
      </c>
      <c r="I205">
        <v>0.17680000000000001</v>
      </c>
      <c r="J205">
        <v>0.15579999999999999</v>
      </c>
      <c r="K205">
        <v>9.1759999999999994E-2</v>
      </c>
      <c r="L205">
        <v>0.22509999999999999</v>
      </c>
      <c r="M205">
        <v>7.4209999999999998E-2</v>
      </c>
      <c r="N205">
        <v>0.56479999999999997</v>
      </c>
      <c r="O205">
        <v>1.93</v>
      </c>
      <c r="P205">
        <v>3.9089999999999998</v>
      </c>
      <c r="Q205">
        <v>52.72</v>
      </c>
      <c r="R205">
        <v>8.8240000000000002E-3</v>
      </c>
      <c r="S205">
        <v>3.108E-2</v>
      </c>
      <c r="T205">
        <v>3.1119999999999998E-2</v>
      </c>
      <c r="U205">
        <v>1.291E-2</v>
      </c>
      <c r="V205">
        <v>1.9980000000000001E-2</v>
      </c>
      <c r="W205">
        <v>4.5059999999999996E-3</v>
      </c>
      <c r="X205">
        <v>19.2</v>
      </c>
      <c r="Y205">
        <v>41.85</v>
      </c>
      <c r="Z205">
        <v>128.5</v>
      </c>
      <c r="AA205">
        <v>1153</v>
      </c>
      <c r="AB205">
        <v>0.22259999999999999</v>
      </c>
      <c r="AC205">
        <v>0.52090000000000003</v>
      </c>
      <c r="AD205">
        <v>0.46460000000000001</v>
      </c>
      <c r="AE205">
        <v>0.20130000000000001</v>
      </c>
      <c r="AF205">
        <v>0.44319999999999998</v>
      </c>
      <c r="AG205">
        <v>0.1086</v>
      </c>
    </row>
    <row r="206" spans="1:33">
      <c r="A206">
        <v>205</v>
      </c>
      <c r="B206">
        <v>87930</v>
      </c>
      <c r="C206" t="s">
        <v>1</v>
      </c>
      <c r="D206">
        <v>13.71</v>
      </c>
      <c r="E206">
        <v>18.600000000000001</v>
      </c>
      <c r="F206">
        <v>81.09</v>
      </c>
      <c r="G206">
        <v>481.9</v>
      </c>
      <c r="H206">
        <v>9.9650000000000002E-2</v>
      </c>
      <c r="I206">
        <v>0.10580000000000001</v>
      </c>
      <c r="J206">
        <v>8.0049999999999996E-2</v>
      </c>
      <c r="K206">
        <v>3.8210000000000001E-2</v>
      </c>
      <c r="L206">
        <v>0.1925</v>
      </c>
      <c r="M206">
        <v>6.3729999999999995E-2</v>
      </c>
      <c r="N206">
        <v>0.39610000000000001</v>
      </c>
      <c r="O206">
        <v>1.044</v>
      </c>
      <c r="P206">
        <v>2.4969999999999999</v>
      </c>
      <c r="Q206">
        <v>30.29</v>
      </c>
      <c r="R206">
        <v>6.953E-3</v>
      </c>
      <c r="S206">
        <v>1.9109999999999999E-2</v>
      </c>
      <c r="T206">
        <v>2.7009999999999999E-2</v>
      </c>
      <c r="U206">
        <v>1.0370000000000001E-2</v>
      </c>
      <c r="V206">
        <v>1.7819999999999999E-2</v>
      </c>
      <c r="W206">
        <v>3.5860000000000002E-3</v>
      </c>
      <c r="X206">
        <v>14.97</v>
      </c>
      <c r="Y206">
        <v>24.64</v>
      </c>
      <c r="Z206">
        <v>96.05</v>
      </c>
      <c r="AA206">
        <v>677.9</v>
      </c>
      <c r="AB206">
        <v>0.1426</v>
      </c>
      <c r="AC206">
        <v>0.23780000000000001</v>
      </c>
      <c r="AD206">
        <v>0.2671</v>
      </c>
      <c r="AE206">
        <v>0.10150000000000001</v>
      </c>
      <c r="AF206">
        <v>0.3014</v>
      </c>
      <c r="AG206">
        <v>8.7499999999999994E-2</v>
      </c>
    </row>
    <row r="207" spans="1:33">
      <c r="A207">
        <v>206</v>
      </c>
      <c r="B207">
        <v>879523</v>
      </c>
      <c r="C207" t="s">
        <v>0</v>
      </c>
      <c r="D207">
        <v>13.71</v>
      </c>
      <c r="E207">
        <v>16.68</v>
      </c>
      <c r="F207">
        <v>98.78</v>
      </c>
      <c r="G207">
        <v>716.6</v>
      </c>
      <c r="H207">
        <v>8.8760000000000006E-2</v>
      </c>
      <c r="I207">
        <v>9.5880000000000007E-2</v>
      </c>
      <c r="J207">
        <v>7.5499999999999998E-2</v>
      </c>
      <c r="K207">
        <v>4.079E-2</v>
      </c>
      <c r="L207">
        <v>0.15939999999999999</v>
      </c>
      <c r="M207">
        <v>5.9859999999999997E-2</v>
      </c>
      <c r="N207">
        <v>0.27110000000000001</v>
      </c>
      <c r="O207">
        <v>0.36209999999999998</v>
      </c>
      <c r="P207">
        <v>1.974</v>
      </c>
      <c r="Q207">
        <v>26.44</v>
      </c>
      <c r="R207">
        <v>5.4720000000000003E-3</v>
      </c>
      <c r="S207">
        <v>1.9189999999999999E-2</v>
      </c>
      <c r="T207">
        <v>2.0389999999999998E-2</v>
      </c>
      <c r="U207">
        <v>8.26E-3</v>
      </c>
      <c r="V207">
        <v>1.523E-2</v>
      </c>
      <c r="W207">
        <v>2.8809999999999999E-3</v>
      </c>
      <c r="X207">
        <v>17.77</v>
      </c>
      <c r="Y207">
        <v>20.239999999999998</v>
      </c>
      <c r="Z207">
        <v>117.7</v>
      </c>
      <c r="AA207">
        <v>989.5</v>
      </c>
      <c r="AB207">
        <v>0.14910000000000001</v>
      </c>
      <c r="AC207">
        <v>0.33310000000000001</v>
      </c>
      <c r="AD207">
        <v>0.3327</v>
      </c>
      <c r="AE207">
        <v>0.12520000000000001</v>
      </c>
      <c r="AF207">
        <v>0.34150000000000003</v>
      </c>
      <c r="AG207">
        <v>9.74E-2</v>
      </c>
    </row>
    <row r="208" spans="1:33">
      <c r="A208">
        <v>207</v>
      </c>
      <c r="B208">
        <v>879804</v>
      </c>
      <c r="C208" t="s">
        <v>1</v>
      </c>
      <c r="D208">
        <v>13.71</v>
      </c>
      <c r="E208">
        <v>17.27</v>
      </c>
      <c r="F208">
        <v>62.92</v>
      </c>
      <c r="G208">
        <v>295.39999999999998</v>
      </c>
      <c r="H208">
        <v>0.1089</v>
      </c>
      <c r="I208">
        <v>7.2319999999999995E-2</v>
      </c>
      <c r="J208">
        <v>1.7559999999999999E-2</v>
      </c>
      <c r="K208">
        <v>1.9519999999999999E-2</v>
      </c>
      <c r="L208">
        <v>0.19339999999999999</v>
      </c>
      <c r="M208">
        <v>6.2850000000000003E-2</v>
      </c>
      <c r="N208">
        <v>0.2137</v>
      </c>
      <c r="O208">
        <v>1.3420000000000001</v>
      </c>
      <c r="P208">
        <v>1.5169999999999999</v>
      </c>
      <c r="Q208">
        <v>12.33</v>
      </c>
      <c r="R208">
        <v>9.7190000000000002E-3</v>
      </c>
      <c r="S208">
        <v>1.2489999999999999E-2</v>
      </c>
      <c r="T208">
        <v>7.9749999999999995E-3</v>
      </c>
      <c r="U208">
        <v>7.5269999999999998E-3</v>
      </c>
      <c r="V208">
        <v>2.2100000000000002E-2</v>
      </c>
      <c r="W208">
        <v>2.4719999999999998E-3</v>
      </c>
      <c r="X208">
        <v>10.42</v>
      </c>
      <c r="Y208">
        <v>23.22</v>
      </c>
      <c r="Z208">
        <v>67.08</v>
      </c>
      <c r="AA208">
        <v>331.6</v>
      </c>
      <c r="AB208">
        <v>0.14149999999999999</v>
      </c>
      <c r="AC208">
        <v>0.12470000000000001</v>
      </c>
      <c r="AD208">
        <v>6.2129999999999998E-2</v>
      </c>
      <c r="AE208">
        <v>5.5879999999999999E-2</v>
      </c>
      <c r="AF208">
        <v>0.2989</v>
      </c>
      <c r="AG208">
        <v>7.3800000000000004E-2</v>
      </c>
    </row>
    <row r="209" spans="1:33">
      <c r="A209">
        <v>208</v>
      </c>
      <c r="B209">
        <v>879830</v>
      </c>
      <c r="C209" t="s">
        <v>0</v>
      </c>
      <c r="D209">
        <v>13.71</v>
      </c>
      <c r="E209">
        <v>20.260000000000002</v>
      </c>
      <c r="F209">
        <v>109.7</v>
      </c>
      <c r="G209">
        <v>904.3</v>
      </c>
      <c r="H209">
        <v>8.7720000000000006E-2</v>
      </c>
      <c r="I209">
        <v>7.3039999999999994E-2</v>
      </c>
      <c r="J209">
        <v>6.9500000000000006E-2</v>
      </c>
      <c r="K209">
        <v>5.3900000000000003E-2</v>
      </c>
      <c r="L209">
        <v>0.2026</v>
      </c>
      <c r="M209">
        <v>5.2229999999999999E-2</v>
      </c>
      <c r="N209">
        <v>0.58579999999999999</v>
      </c>
      <c r="O209">
        <v>0.85540000000000005</v>
      </c>
      <c r="P209">
        <v>4.1059999999999999</v>
      </c>
      <c r="Q209">
        <v>68.459999999999994</v>
      </c>
      <c r="R209">
        <v>5.0379999999999999E-3</v>
      </c>
      <c r="S209">
        <v>1.503E-2</v>
      </c>
      <c r="T209">
        <v>1.9460000000000002E-2</v>
      </c>
      <c r="U209">
        <v>1.123E-2</v>
      </c>
      <c r="V209">
        <v>2.2939999999999999E-2</v>
      </c>
      <c r="W209">
        <v>2.581E-3</v>
      </c>
      <c r="X209">
        <v>19.8</v>
      </c>
      <c r="Y209">
        <v>25.05</v>
      </c>
      <c r="Z209">
        <v>130</v>
      </c>
      <c r="AA209">
        <v>1210</v>
      </c>
      <c r="AB209">
        <v>0.1111</v>
      </c>
      <c r="AC209">
        <v>0.14860000000000001</v>
      </c>
      <c r="AD209">
        <v>0.19320000000000001</v>
      </c>
      <c r="AE209">
        <v>0.1096</v>
      </c>
      <c r="AF209">
        <v>0.32750000000000001</v>
      </c>
      <c r="AG209">
        <v>6.4689999999999998E-2</v>
      </c>
    </row>
    <row r="210" spans="1:33">
      <c r="A210">
        <v>209</v>
      </c>
      <c r="B210">
        <v>8810158</v>
      </c>
      <c r="C210" t="s">
        <v>1</v>
      </c>
      <c r="D210">
        <v>13.71</v>
      </c>
      <c r="E210">
        <v>22.54</v>
      </c>
      <c r="F210">
        <v>87.02</v>
      </c>
      <c r="G210">
        <v>529.4</v>
      </c>
      <c r="H210">
        <v>0.1002</v>
      </c>
      <c r="I210">
        <v>0.14829999999999999</v>
      </c>
      <c r="J210">
        <v>8.7050000000000002E-2</v>
      </c>
      <c r="K210">
        <v>5.1020000000000003E-2</v>
      </c>
      <c r="L210">
        <v>0.185</v>
      </c>
      <c r="M210">
        <v>7.3099999999999998E-2</v>
      </c>
      <c r="N210">
        <v>0.19309999999999999</v>
      </c>
      <c r="O210">
        <v>0.92230000000000001</v>
      </c>
      <c r="P210">
        <v>1.4910000000000001</v>
      </c>
      <c r="Q210">
        <v>15.09</v>
      </c>
      <c r="R210">
        <v>5.2509999999999996E-3</v>
      </c>
      <c r="S210">
        <v>3.041E-2</v>
      </c>
      <c r="T210">
        <v>2.5260000000000001E-2</v>
      </c>
      <c r="U210">
        <v>8.3040000000000006E-3</v>
      </c>
      <c r="V210">
        <v>2.5139999999999999E-2</v>
      </c>
      <c r="W210">
        <v>4.1980000000000003E-3</v>
      </c>
      <c r="X210">
        <v>14.55</v>
      </c>
      <c r="Y210">
        <v>29.16</v>
      </c>
      <c r="Z210">
        <v>99.48</v>
      </c>
      <c r="AA210">
        <v>639.29999999999995</v>
      </c>
      <c r="AB210">
        <v>0.13489999999999999</v>
      </c>
      <c r="AC210">
        <v>0.44019999999999998</v>
      </c>
      <c r="AD210">
        <v>0.31619999999999998</v>
      </c>
      <c r="AE210">
        <v>0.11260000000000001</v>
      </c>
      <c r="AF210">
        <v>0.4128</v>
      </c>
      <c r="AG210">
        <v>0.1076</v>
      </c>
    </row>
    <row r="211" spans="1:33">
      <c r="A211">
        <v>210</v>
      </c>
      <c r="B211">
        <v>8810436</v>
      </c>
      <c r="C211" t="s">
        <v>1</v>
      </c>
      <c r="D211">
        <v>13.71</v>
      </c>
      <c r="E211">
        <v>12.91</v>
      </c>
      <c r="F211">
        <v>98.17</v>
      </c>
      <c r="G211">
        <v>725.5</v>
      </c>
      <c r="H211">
        <v>8.1820000000000004E-2</v>
      </c>
      <c r="I211">
        <v>6.2300000000000001E-2</v>
      </c>
      <c r="J211">
        <v>5.892E-2</v>
      </c>
      <c r="K211">
        <v>3.1570000000000001E-2</v>
      </c>
      <c r="L211">
        <v>0.13589999999999999</v>
      </c>
      <c r="M211">
        <v>5.5259999999999997E-2</v>
      </c>
      <c r="N211">
        <v>0.21340000000000001</v>
      </c>
      <c r="O211">
        <v>0.36280000000000001</v>
      </c>
      <c r="P211">
        <v>1.5249999999999999</v>
      </c>
      <c r="Q211">
        <v>20</v>
      </c>
      <c r="R211">
        <v>4.2909999999999997E-3</v>
      </c>
      <c r="S211">
        <v>1.2359999999999999E-2</v>
      </c>
      <c r="T211">
        <v>1.8409999999999999E-2</v>
      </c>
      <c r="U211">
        <v>7.3730000000000002E-3</v>
      </c>
      <c r="V211">
        <v>9.5390000000000006E-3</v>
      </c>
      <c r="W211">
        <v>1.6559999999999999E-3</v>
      </c>
      <c r="X211">
        <v>17.38</v>
      </c>
      <c r="Y211">
        <v>15.92</v>
      </c>
      <c r="Z211">
        <v>113.7</v>
      </c>
      <c r="AA211">
        <v>932.7</v>
      </c>
      <c r="AB211">
        <v>0.1222</v>
      </c>
      <c r="AC211">
        <v>0.21859999999999999</v>
      </c>
      <c r="AD211">
        <v>0.29620000000000002</v>
      </c>
      <c r="AE211">
        <v>0.10349999999999999</v>
      </c>
      <c r="AF211">
        <v>0.23200000000000001</v>
      </c>
      <c r="AG211">
        <v>7.4740000000000001E-2</v>
      </c>
    </row>
    <row r="212" spans="1:33">
      <c r="A212">
        <v>211</v>
      </c>
      <c r="B212">
        <v>881046502</v>
      </c>
      <c r="C212" t="s">
        <v>0</v>
      </c>
      <c r="D212">
        <v>13.71</v>
      </c>
      <c r="E212">
        <v>22.14</v>
      </c>
      <c r="F212">
        <v>134.69999999999999</v>
      </c>
      <c r="G212">
        <v>1290</v>
      </c>
      <c r="H212">
        <v>9.0899999999999995E-2</v>
      </c>
      <c r="I212">
        <v>0.1348</v>
      </c>
      <c r="J212">
        <v>0.16400000000000001</v>
      </c>
      <c r="K212">
        <v>9.5610000000000001E-2</v>
      </c>
      <c r="L212">
        <v>0.17649999999999999</v>
      </c>
      <c r="M212">
        <v>5.024E-2</v>
      </c>
      <c r="N212">
        <v>0.86009999999999998</v>
      </c>
      <c r="O212">
        <v>1.48</v>
      </c>
      <c r="P212">
        <v>7.0289999999999999</v>
      </c>
      <c r="Q212">
        <v>111.7</v>
      </c>
      <c r="R212">
        <v>8.1239999999999993E-3</v>
      </c>
      <c r="S212">
        <v>3.6110000000000003E-2</v>
      </c>
      <c r="T212">
        <v>5.4890000000000001E-2</v>
      </c>
      <c r="U212">
        <v>2.7650000000000001E-2</v>
      </c>
      <c r="V212">
        <v>3.1759999999999997E-2</v>
      </c>
      <c r="W212">
        <v>2.3649999999999999E-3</v>
      </c>
      <c r="X212">
        <v>23.24</v>
      </c>
      <c r="Y212">
        <v>27.84</v>
      </c>
      <c r="Z212">
        <v>158.30000000000001</v>
      </c>
      <c r="AA212">
        <v>1656</v>
      </c>
      <c r="AB212">
        <v>0.1178</v>
      </c>
      <c r="AC212">
        <v>0.29199999999999998</v>
      </c>
      <c r="AD212">
        <v>0.3861</v>
      </c>
      <c r="AE212">
        <v>0.192</v>
      </c>
      <c r="AF212">
        <v>0.29089999999999999</v>
      </c>
      <c r="AG212">
        <v>5.8650000000000001E-2</v>
      </c>
    </row>
    <row r="213" spans="1:33">
      <c r="A213">
        <v>212</v>
      </c>
      <c r="B213">
        <v>8810528</v>
      </c>
      <c r="C213" t="s">
        <v>1</v>
      </c>
      <c r="D213">
        <v>13.71</v>
      </c>
      <c r="E213">
        <v>18.940000000000001</v>
      </c>
      <c r="F213">
        <v>75.510000000000005</v>
      </c>
      <c r="G213">
        <v>428</v>
      </c>
      <c r="H213">
        <v>8.8709999999999997E-2</v>
      </c>
      <c r="I213">
        <v>6.9000000000000006E-2</v>
      </c>
      <c r="J213">
        <v>2.6689999999999998E-2</v>
      </c>
      <c r="K213">
        <v>1.393E-2</v>
      </c>
      <c r="L213">
        <v>0.15329999999999999</v>
      </c>
      <c r="M213">
        <v>6.0569999999999999E-2</v>
      </c>
      <c r="N213">
        <v>0.22220000000000001</v>
      </c>
      <c r="O213">
        <v>0.86519999999999997</v>
      </c>
      <c r="P213">
        <v>1.444</v>
      </c>
      <c r="Q213">
        <v>17.12</v>
      </c>
      <c r="R213">
        <v>5.5170000000000002E-3</v>
      </c>
      <c r="S213">
        <v>1.7270000000000001E-2</v>
      </c>
      <c r="T213">
        <v>2.0449999999999999E-2</v>
      </c>
      <c r="U213">
        <v>6.7470000000000004E-3</v>
      </c>
      <c r="V213">
        <v>1.6160000000000001E-2</v>
      </c>
      <c r="W213">
        <v>2.9220000000000001E-3</v>
      </c>
      <c r="X213">
        <v>13.3</v>
      </c>
      <c r="Y213">
        <v>24.99</v>
      </c>
      <c r="Z213">
        <v>85.22</v>
      </c>
      <c r="AA213">
        <v>546.29999999999995</v>
      </c>
      <c r="AB213">
        <v>0.128</v>
      </c>
      <c r="AC213">
        <v>0.188</v>
      </c>
      <c r="AD213">
        <v>0.14710000000000001</v>
      </c>
      <c r="AE213">
        <v>6.9129999999999997E-2</v>
      </c>
      <c r="AF213">
        <v>0.2535</v>
      </c>
      <c r="AG213">
        <v>7.9930000000000001E-2</v>
      </c>
    </row>
    <row r="214" spans="1:33">
      <c r="A214">
        <v>213</v>
      </c>
      <c r="B214">
        <v>8810703</v>
      </c>
      <c r="C214" t="s">
        <v>0</v>
      </c>
      <c r="D214">
        <v>13.71</v>
      </c>
      <c r="E214">
        <v>18.47</v>
      </c>
      <c r="F214">
        <v>188.5</v>
      </c>
      <c r="G214">
        <v>2499</v>
      </c>
      <c r="H214">
        <v>0.1142</v>
      </c>
      <c r="I214">
        <v>0.15160000000000001</v>
      </c>
      <c r="J214">
        <v>0.3201</v>
      </c>
      <c r="K214">
        <v>0.1595</v>
      </c>
      <c r="L214">
        <v>0.1648</v>
      </c>
      <c r="M214">
        <v>5.525E-2</v>
      </c>
      <c r="N214">
        <v>2.8730000000000002</v>
      </c>
      <c r="O214">
        <v>1.476</v>
      </c>
      <c r="P214">
        <v>21.98</v>
      </c>
      <c r="Q214">
        <v>525.6</v>
      </c>
      <c r="R214">
        <v>1.345E-2</v>
      </c>
      <c r="S214">
        <v>2.7720000000000002E-2</v>
      </c>
      <c r="T214">
        <v>6.3890000000000002E-2</v>
      </c>
      <c r="U214">
        <v>1.4069999999999999E-2</v>
      </c>
      <c r="V214">
        <v>4.7829999999999998E-2</v>
      </c>
      <c r="W214">
        <v>4.4759999999999999E-3</v>
      </c>
      <c r="X214">
        <v>28.11</v>
      </c>
      <c r="Y214">
        <v>18.47</v>
      </c>
      <c r="Z214">
        <v>188.5</v>
      </c>
      <c r="AA214">
        <v>2499</v>
      </c>
      <c r="AB214">
        <v>0.1142</v>
      </c>
      <c r="AC214">
        <v>0.15160000000000001</v>
      </c>
      <c r="AD214">
        <v>0.3201</v>
      </c>
      <c r="AE214">
        <v>0.1595</v>
      </c>
      <c r="AF214">
        <v>0.1648</v>
      </c>
      <c r="AG214">
        <v>5.525E-2</v>
      </c>
    </row>
    <row r="215" spans="1:33">
      <c r="A215">
        <v>214</v>
      </c>
      <c r="B215">
        <v>881094802</v>
      </c>
      <c r="C215" t="s">
        <v>0</v>
      </c>
      <c r="D215">
        <v>13.71</v>
      </c>
      <c r="E215">
        <v>25.56</v>
      </c>
      <c r="F215">
        <v>114.5</v>
      </c>
      <c r="G215">
        <v>948</v>
      </c>
      <c r="H215">
        <v>0.10059999999999999</v>
      </c>
      <c r="I215">
        <v>0.11459999999999999</v>
      </c>
      <c r="J215">
        <v>0.16819999999999999</v>
      </c>
      <c r="K215">
        <v>6.5970000000000001E-2</v>
      </c>
      <c r="L215">
        <v>0.1308</v>
      </c>
      <c r="M215">
        <v>5.8659999999999997E-2</v>
      </c>
      <c r="N215">
        <v>0.52959999999999996</v>
      </c>
      <c r="O215">
        <v>1.667</v>
      </c>
      <c r="P215">
        <v>3.7669999999999999</v>
      </c>
      <c r="Q215">
        <v>58.53</v>
      </c>
      <c r="R215">
        <v>3.1130000000000001E-2</v>
      </c>
      <c r="S215">
        <v>8.5550000000000001E-2</v>
      </c>
      <c r="T215">
        <v>0.14380000000000001</v>
      </c>
      <c r="U215">
        <v>3.9269999999999999E-2</v>
      </c>
      <c r="V215">
        <v>2.1749999999999999E-2</v>
      </c>
      <c r="W215">
        <v>1.256E-2</v>
      </c>
      <c r="X215">
        <v>18.07</v>
      </c>
      <c r="Y215">
        <v>28.07</v>
      </c>
      <c r="Z215">
        <v>120.4</v>
      </c>
      <c r="AA215">
        <v>1021</v>
      </c>
      <c r="AB215">
        <v>0.12429999999999999</v>
      </c>
      <c r="AC215">
        <v>0.17929999999999999</v>
      </c>
      <c r="AD215">
        <v>0.28029999999999999</v>
      </c>
      <c r="AE215">
        <v>0.1099</v>
      </c>
      <c r="AF215">
        <v>0.1603</v>
      </c>
      <c r="AG215">
        <v>6.8180000000000004E-2</v>
      </c>
    </row>
    <row r="216" spans="1:33">
      <c r="A216">
        <v>215</v>
      </c>
      <c r="B216">
        <v>8810955</v>
      </c>
      <c r="C216" t="s">
        <v>0</v>
      </c>
      <c r="D216">
        <v>13.71</v>
      </c>
      <c r="E216">
        <v>23.81</v>
      </c>
      <c r="F216">
        <v>92.87</v>
      </c>
      <c r="G216">
        <v>610.70000000000005</v>
      </c>
      <c r="H216">
        <v>9.4630000000000006E-2</v>
      </c>
      <c r="I216">
        <v>0.13059999999999999</v>
      </c>
      <c r="J216">
        <v>0.1115</v>
      </c>
      <c r="K216">
        <v>6.4619999999999997E-2</v>
      </c>
      <c r="L216">
        <v>0.2235</v>
      </c>
      <c r="M216">
        <v>6.4329999999999998E-2</v>
      </c>
      <c r="N216">
        <v>0.42070000000000002</v>
      </c>
      <c r="O216">
        <v>1.845</v>
      </c>
      <c r="P216">
        <v>3.5339999999999998</v>
      </c>
      <c r="Q216">
        <v>31</v>
      </c>
      <c r="R216">
        <v>1.0880000000000001E-2</v>
      </c>
      <c r="S216">
        <v>3.7100000000000001E-2</v>
      </c>
      <c r="T216">
        <v>3.6880000000000003E-2</v>
      </c>
      <c r="U216">
        <v>1.627E-2</v>
      </c>
      <c r="V216">
        <v>4.4990000000000002E-2</v>
      </c>
      <c r="W216">
        <v>4.7679999999999997E-3</v>
      </c>
      <c r="X216">
        <v>16.86</v>
      </c>
      <c r="Y216">
        <v>34.85</v>
      </c>
      <c r="Z216">
        <v>115</v>
      </c>
      <c r="AA216">
        <v>811.3</v>
      </c>
      <c r="AB216">
        <v>0.15590000000000001</v>
      </c>
      <c r="AC216">
        <v>0.40589999999999998</v>
      </c>
      <c r="AD216">
        <v>0.37440000000000001</v>
      </c>
      <c r="AE216">
        <v>0.1772</v>
      </c>
      <c r="AF216">
        <v>0.47239999999999999</v>
      </c>
      <c r="AG216">
        <v>0.1026</v>
      </c>
    </row>
    <row r="217" spans="1:33">
      <c r="A217">
        <v>216</v>
      </c>
      <c r="B217">
        <v>8810987</v>
      </c>
      <c r="C217" t="s">
        <v>0</v>
      </c>
      <c r="D217">
        <v>13.71</v>
      </c>
      <c r="E217">
        <v>16.93</v>
      </c>
      <c r="F217">
        <v>90.96</v>
      </c>
      <c r="G217">
        <v>578.9</v>
      </c>
      <c r="H217">
        <v>0.1026</v>
      </c>
      <c r="I217">
        <v>0.1517</v>
      </c>
      <c r="J217">
        <v>9.9010000000000001E-2</v>
      </c>
      <c r="K217">
        <v>5.602E-2</v>
      </c>
      <c r="L217">
        <v>0.21060000000000001</v>
      </c>
      <c r="M217">
        <v>6.9159999999999999E-2</v>
      </c>
      <c r="N217">
        <v>0.25629999999999997</v>
      </c>
      <c r="O217">
        <v>1.194</v>
      </c>
      <c r="P217">
        <v>1.9330000000000001</v>
      </c>
      <c r="Q217">
        <v>22.69</v>
      </c>
      <c r="R217">
        <v>5.96E-3</v>
      </c>
      <c r="S217">
        <v>3.4380000000000001E-2</v>
      </c>
      <c r="T217">
        <v>3.909E-2</v>
      </c>
      <c r="U217">
        <v>1.435E-2</v>
      </c>
      <c r="V217">
        <v>1.9390000000000001E-2</v>
      </c>
      <c r="W217">
        <v>4.5599999999999998E-3</v>
      </c>
      <c r="X217">
        <v>15.75</v>
      </c>
      <c r="Y217">
        <v>26.93</v>
      </c>
      <c r="Z217">
        <v>104.4</v>
      </c>
      <c r="AA217">
        <v>750.1</v>
      </c>
      <c r="AB217">
        <v>0.14599999999999999</v>
      </c>
      <c r="AC217">
        <v>0.437</v>
      </c>
      <c r="AD217">
        <v>0.46360000000000001</v>
      </c>
      <c r="AE217">
        <v>0.16539999999999999</v>
      </c>
      <c r="AF217">
        <v>0.36299999999999999</v>
      </c>
      <c r="AG217">
        <v>0.10589999999999999</v>
      </c>
    </row>
    <row r="218" spans="1:33">
      <c r="A218">
        <v>217</v>
      </c>
      <c r="B218">
        <v>8811523</v>
      </c>
      <c r="C218" t="s">
        <v>1</v>
      </c>
      <c r="D218">
        <v>13.71</v>
      </c>
      <c r="E218">
        <v>18.350000000000001</v>
      </c>
      <c r="F218">
        <v>77.319999999999993</v>
      </c>
      <c r="G218">
        <v>432.2</v>
      </c>
      <c r="H218">
        <v>9.3630000000000005E-2</v>
      </c>
      <c r="I218">
        <v>0.1154</v>
      </c>
      <c r="J218">
        <v>6.6360000000000002E-2</v>
      </c>
      <c r="K218">
        <v>3.1419999999999997E-2</v>
      </c>
      <c r="L218">
        <v>0.19670000000000001</v>
      </c>
      <c r="M218">
        <v>6.3140000000000002E-2</v>
      </c>
      <c r="N218">
        <v>0.29630000000000001</v>
      </c>
      <c r="O218">
        <v>1.5629999999999999</v>
      </c>
      <c r="P218">
        <v>2.0870000000000002</v>
      </c>
      <c r="Q218">
        <v>21.46</v>
      </c>
      <c r="R218">
        <v>8.8719999999999997E-3</v>
      </c>
      <c r="S218">
        <v>4.1919999999999999E-2</v>
      </c>
      <c r="T218">
        <v>5.9459999999999999E-2</v>
      </c>
      <c r="U218">
        <v>1.7850000000000001E-2</v>
      </c>
      <c r="V218">
        <v>2.793E-2</v>
      </c>
      <c r="W218">
        <v>4.7749999999999997E-3</v>
      </c>
      <c r="X218">
        <v>13.25</v>
      </c>
      <c r="Y218">
        <v>27.1</v>
      </c>
      <c r="Z218">
        <v>86.2</v>
      </c>
      <c r="AA218">
        <v>531.20000000000005</v>
      </c>
      <c r="AB218">
        <v>0.14050000000000001</v>
      </c>
      <c r="AC218">
        <v>0.30459999999999998</v>
      </c>
      <c r="AD218">
        <v>0.28060000000000002</v>
      </c>
      <c r="AE218">
        <v>0.1138</v>
      </c>
      <c r="AF218">
        <v>0.3397</v>
      </c>
      <c r="AG218">
        <v>8.3650000000000002E-2</v>
      </c>
    </row>
    <row r="219" spans="1:33">
      <c r="A219">
        <v>218</v>
      </c>
      <c r="B219">
        <v>8811779</v>
      </c>
      <c r="C219" t="s">
        <v>1</v>
      </c>
      <c r="D219">
        <v>13.71</v>
      </c>
      <c r="E219">
        <v>17.48</v>
      </c>
      <c r="F219">
        <v>65.05</v>
      </c>
      <c r="G219">
        <v>321.2</v>
      </c>
      <c r="H219">
        <v>8.054E-2</v>
      </c>
      <c r="I219">
        <v>5.9069999999999998E-2</v>
      </c>
      <c r="J219">
        <v>5.774E-2</v>
      </c>
      <c r="K219">
        <v>1.0710000000000001E-2</v>
      </c>
      <c r="L219">
        <v>0.19639999999999999</v>
      </c>
      <c r="M219">
        <v>6.3149999999999998E-2</v>
      </c>
      <c r="N219">
        <v>0.35670000000000002</v>
      </c>
      <c r="O219">
        <v>1.9219999999999999</v>
      </c>
      <c r="P219">
        <v>2.7469999999999999</v>
      </c>
      <c r="Q219">
        <v>22.79</v>
      </c>
      <c r="R219">
        <v>4.6800000000000001E-3</v>
      </c>
      <c r="S219">
        <v>3.1199999999999999E-2</v>
      </c>
      <c r="T219">
        <v>5.774E-2</v>
      </c>
      <c r="U219">
        <v>1.0710000000000001E-2</v>
      </c>
      <c r="V219">
        <v>2.5600000000000001E-2</v>
      </c>
      <c r="W219">
        <v>4.6129999999999999E-3</v>
      </c>
      <c r="X219">
        <v>11.48</v>
      </c>
      <c r="Y219">
        <v>24.47</v>
      </c>
      <c r="Z219">
        <v>75.400000000000006</v>
      </c>
      <c r="AA219">
        <v>403.7</v>
      </c>
      <c r="AB219">
        <v>9.5269999999999994E-2</v>
      </c>
      <c r="AC219">
        <v>0.13969999999999999</v>
      </c>
      <c r="AD219">
        <v>0.1925</v>
      </c>
      <c r="AE219">
        <v>3.5709999999999999E-2</v>
      </c>
      <c r="AF219">
        <v>0.2868</v>
      </c>
      <c r="AG219">
        <v>7.8090000000000007E-2</v>
      </c>
    </row>
    <row r="220" spans="1:33">
      <c r="A220">
        <v>219</v>
      </c>
      <c r="B220">
        <v>8811842</v>
      </c>
      <c r="C220" t="s">
        <v>0</v>
      </c>
      <c r="D220">
        <v>13.71</v>
      </c>
      <c r="E220">
        <v>21.56</v>
      </c>
      <c r="F220">
        <v>129.69999999999999</v>
      </c>
      <c r="G220">
        <v>1230</v>
      </c>
      <c r="H220">
        <v>9.3829999999999997E-2</v>
      </c>
      <c r="I220">
        <v>0.13059999999999999</v>
      </c>
      <c r="J220">
        <v>0.12720000000000001</v>
      </c>
      <c r="K220">
        <v>8.6910000000000001E-2</v>
      </c>
      <c r="L220">
        <v>0.2094</v>
      </c>
      <c r="M220">
        <v>5.5809999999999998E-2</v>
      </c>
      <c r="N220">
        <v>0.95530000000000004</v>
      </c>
      <c r="O220">
        <v>1.1859999999999999</v>
      </c>
      <c r="P220">
        <v>6.4870000000000001</v>
      </c>
      <c r="Q220">
        <v>124.4</v>
      </c>
      <c r="R220">
        <v>6.8040000000000002E-3</v>
      </c>
      <c r="S220">
        <v>3.1690000000000003E-2</v>
      </c>
      <c r="T220">
        <v>3.4459999999999998E-2</v>
      </c>
      <c r="U220">
        <v>1.712E-2</v>
      </c>
      <c r="V220">
        <v>1.8970000000000001E-2</v>
      </c>
      <c r="W220">
        <v>4.045E-3</v>
      </c>
      <c r="X220">
        <v>25.73</v>
      </c>
      <c r="Y220">
        <v>28.64</v>
      </c>
      <c r="Z220">
        <v>170.3</v>
      </c>
      <c r="AA220">
        <v>2009</v>
      </c>
      <c r="AB220">
        <v>0.1353</v>
      </c>
      <c r="AC220">
        <v>0.32350000000000001</v>
      </c>
      <c r="AD220">
        <v>0.36170000000000002</v>
      </c>
      <c r="AE220">
        <v>0.182</v>
      </c>
      <c r="AF220">
        <v>0.307</v>
      </c>
      <c r="AG220">
        <v>8.2549999999999998E-2</v>
      </c>
    </row>
    <row r="221" spans="1:33">
      <c r="A221">
        <v>220</v>
      </c>
      <c r="B221">
        <v>88119002</v>
      </c>
      <c r="C221" t="s">
        <v>0</v>
      </c>
      <c r="D221">
        <v>13.71</v>
      </c>
      <c r="E221">
        <v>32.47</v>
      </c>
      <c r="F221">
        <v>128</v>
      </c>
      <c r="G221">
        <v>1223</v>
      </c>
      <c r="H221">
        <v>8.4199999999999997E-2</v>
      </c>
      <c r="I221">
        <v>0.113</v>
      </c>
      <c r="J221">
        <v>0.1145</v>
      </c>
      <c r="K221">
        <v>6.6369999999999998E-2</v>
      </c>
      <c r="L221">
        <v>0.14280000000000001</v>
      </c>
      <c r="M221">
        <v>5.3129999999999997E-2</v>
      </c>
      <c r="N221">
        <v>0.73919999999999997</v>
      </c>
      <c r="O221">
        <v>1.321</v>
      </c>
      <c r="P221">
        <v>4.7220000000000004</v>
      </c>
      <c r="Q221">
        <v>109.9</v>
      </c>
      <c r="R221">
        <v>5.5389999999999997E-3</v>
      </c>
      <c r="S221">
        <v>2.6440000000000002E-2</v>
      </c>
      <c r="T221">
        <v>2.664E-2</v>
      </c>
      <c r="U221">
        <v>1.078E-2</v>
      </c>
      <c r="V221">
        <v>1.332E-2</v>
      </c>
      <c r="W221">
        <v>2.2560000000000002E-3</v>
      </c>
      <c r="X221">
        <v>27.9</v>
      </c>
      <c r="Y221">
        <v>45.41</v>
      </c>
      <c r="Z221">
        <v>180.2</v>
      </c>
      <c r="AA221">
        <v>2477</v>
      </c>
      <c r="AB221">
        <v>0.14080000000000001</v>
      </c>
      <c r="AC221">
        <v>0.40970000000000001</v>
      </c>
      <c r="AD221">
        <v>0.39950000000000002</v>
      </c>
      <c r="AE221">
        <v>0.16250000000000001</v>
      </c>
      <c r="AF221">
        <v>0.27129999999999999</v>
      </c>
      <c r="AG221">
        <v>7.5679999999999997E-2</v>
      </c>
    </row>
    <row r="222" spans="1:33">
      <c r="A222">
        <v>221</v>
      </c>
      <c r="B222">
        <v>8812816</v>
      </c>
      <c r="C222" t="s">
        <v>1</v>
      </c>
      <c r="D222">
        <v>13.71</v>
      </c>
      <c r="E222">
        <v>13.16</v>
      </c>
      <c r="F222">
        <v>87.88</v>
      </c>
      <c r="G222">
        <v>568.9</v>
      </c>
      <c r="H222">
        <v>9.6460000000000004E-2</v>
      </c>
      <c r="I222">
        <v>8.7110000000000007E-2</v>
      </c>
      <c r="J222">
        <v>3.8879999999999998E-2</v>
      </c>
      <c r="K222">
        <v>2.563E-2</v>
      </c>
      <c r="L222">
        <v>0.13600000000000001</v>
      </c>
      <c r="M222">
        <v>6.3439999999999996E-2</v>
      </c>
      <c r="N222">
        <v>0.2102</v>
      </c>
      <c r="O222">
        <v>0.43359999999999999</v>
      </c>
      <c r="P222">
        <v>1.391</v>
      </c>
      <c r="Q222">
        <v>17.399999999999999</v>
      </c>
      <c r="R222">
        <v>4.1330000000000004E-3</v>
      </c>
      <c r="S222">
        <v>1.695E-2</v>
      </c>
      <c r="T222">
        <v>1.652E-2</v>
      </c>
      <c r="U222">
        <v>6.659E-3</v>
      </c>
      <c r="V222">
        <v>1.371E-2</v>
      </c>
      <c r="W222">
        <v>2.735E-3</v>
      </c>
      <c r="X222">
        <v>15.34</v>
      </c>
      <c r="Y222">
        <v>16.350000000000001</v>
      </c>
      <c r="Z222">
        <v>99.71</v>
      </c>
      <c r="AA222">
        <v>706.2</v>
      </c>
      <c r="AB222">
        <v>0.13109999999999999</v>
      </c>
      <c r="AC222">
        <v>0.24740000000000001</v>
      </c>
      <c r="AD222">
        <v>0.1759</v>
      </c>
      <c r="AE222">
        <v>8.0560000000000007E-2</v>
      </c>
      <c r="AF222">
        <v>0.23799999999999999</v>
      </c>
      <c r="AG222">
        <v>8.7179999999999994E-2</v>
      </c>
    </row>
    <row r="223" spans="1:33">
      <c r="A223">
        <v>222</v>
      </c>
      <c r="B223">
        <v>8812818</v>
      </c>
      <c r="C223" t="s">
        <v>1</v>
      </c>
      <c r="D223">
        <v>13.71</v>
      </c>
      <c r="E223">
        <v>13.9</v>
      </c>
      <c r="F223">
        <v>88.59</v>
      </c>
      <c r="G223">
        <v>561.29999999999995</v>
      </c>
      <c r="H223">
        <v>0.1051</v>
      </c>
      <c r="I223">
        <v>0.1192</v>
      </c>
      <c r="J223">
        <v>7.8600000000000003E-2</v>
      </c>
      <c r="K223">
        <v>4.4510000000000001E-2</v>
      </c>
      <c r="L223">
        <v>0.19620000000000001</v>
      </c>
      <c r="M223">
        <v>6.3030000000000003E-2</v>
      </c>
      <c r="N223">
        <v>0.25690000000000002</v>
      </c>
      <c r="O223">
        <v>0.49809999999999999</v>
      </c>
      <c r="P223">
        <v>2.0110000000000001</v>
      </c>
      <c r="Q223">
        <v>21.03</v>
      </c>
      <c r="R223">
        <v>5.8510000000000003E-3</v>
      </c>
      <c r="S223">
        <v>2.3140000000000001E-2</v>
      </c>
      <c r="T223">
        <v>2.5440000000000001E-2</v>
      </c>
      <c r="U223">
        <v>8.3599999999999994E-3</v>
      </c>
      <c r="V223">
        <v>1.8419999999999999E-2</v>
      </c>
      <c r="W223">
        <v>2.918E-3</v>
      </c>
      <c r="X223">
        <v>14.98</v>
      </c>
      <c r="Y223">
        <v>17.13</v>
      </c>
      <c r="Z223">
        <v>101.1</v>
      </c>
      <c r="AA223">
        <v>686.6</v>
      </c>
      <c r="AB223">
        <v>0.1376</v>
      </c>
      <c r="AC223">
        <v>0.26979999999999998</v>
      </c>
      <c r="AD223">
        <v>0.25769999999999998</v>
      </c>
      <c r="AE223">
        <v>9.0899999999999995E-2</v>
      </c>
      <c r="AF223">
        <v>0.30649999999999999</v>
      </c>
      <c r="AG223">
        <v>8.1769999999999995E-2</v>
      </c>
    </row>
    <row r="224" spans="1:33">
      <c r="A224">
        <v>223</v>
      </c>
      <c r="B224">
        <v>8812844</v>
      </c>
      <c r="C224" t="s">
        <v>1</v>
      </c>
      <c r="D224">
        <v>13.71</v>
      </c>
      <c r="E224">
        <v>17.53</v>
      </c>
      <c r="F224">
        <v>65.12</v>
      </c>
      <c r="G224">
        <v>313.10000000000002</v>
      </c>
      <c r="H224">
        <v>0.1061</v>
      </c>
      <c r="I224">
        <v>8.5019999999999998E-2</v>
      </c>
      <c r="J224">
        <v>1.7680000000000001E-2</v>
      </c>
      <c r="K224">
        <v>1.915E-2</v>
      </c>
      <c r="L224">
        <v>0.191</v>
      </c>
      <c r="M224">
        <v>6.9080000000000003E-2</v>
      </c>
      <c r="N224">
        <v>0.2467</v>
      </c>
      <c r="O224">
        <v>1.2170000000000001</v>
      </c>
      <c r="P224">
        <v>1.641</v>
      </c>
      <c r="Q224">
        <v>15.05</v>
      </c>
      <c r="R224">
        <v>7.8989999999999998E-3</v>
      </c>
      <c r="S224">
        <v>1.4E-2</v>
      </c>
      <c r="T224">
        <v>8.5339999999999999E-3</v>
      </c>
      <c r="U224">
        <v>7.6239999999999997E-3</v>
      </c>
      <c r="V224">
        <v>2.6370000000000001E-2</v>
      </c>
      <c r="W224">
        <v>3.761E-3</v>
      </c>
      <c r="X224">
        <v>11.17</v>
      </c>
      <c r="Y224">
        <v>22.84</v>
      </c>
      <c r="Z224">
        <v>71.94</v>
      </c>
      <c r="AA224">
        <v>375.6</v>
      </c>
      <c r="AB224">
        <v>0.1406</v>
      </c>
      <c r="AC224">
        <v>0.14399999999999999</v>
      </c>
      <c r="AD224">
        <v>6.5720000000000001E-2</v>
      </c>
      <c r="AE224">
        <v>5.5750000000000001E-2</v>
      </c>
      <c r="AF224">
        <v>0.30549999999999999</v>
      </c>
      <c r="AG224">
        <v>8.7970000000000007E-2</v>
      </c>
    </row>
    <row r="225" spans="1:33">
      <c r="A225">
        <v>224</v>
      </c>
      <c r="B225">
        <v>8812877</v>
      </c>
      <c r="C225" t="s">
        <v>0</v>
      </c>
      <c r="D225">
        <v>13.71</v>
      </c>
      <c r="E225">
        <v>20.25</v>
      </c>
      <c r="F225">
        <v>102.6</v>
      </c>
      <c r="G225">
        <v>761.3</v>
      </c>
      <c r="H225">
        <v>0.10249999999999999</v>
      </c>
      <c r="I225">
        <v>0.12039999999999999</v>
      </c>
      <c r="J225">
        <v>0.1147</v>
      </c>
      <c r="K225">
        <v>6.4619999999999997E-2</v>
      </c>
      <c r="L225">
        <v>0.19350000000000001</v>
      </c>
      <c r="M225">
        <v>6.3030000000000003E-2</v>
      </c>
      <c r="N225">
        <v>0.3473</v>
      </c>
      <c r="O225">
        <v>0.92090000000000005</v>
      </c>
      <c r="P225">
        <v>2.2440000000000002</v>
      </c>
      <c r="Q225">
        <v>32.19</v>
      </c>
      <c r="R225">
        <v>4.7660000000000003E-3</v>
      </c>
      <c r="S225">
        <v>2.3740000000000001E-2</v>
      </c>
      <c r="T225">
        <v>2.384E-2</v>
      </c>
      <c r="U225">
        <v>8.6370000000000006E-3</v>
      </c>
      <c r="V225">
        <v>1.772E-2</v>
      </c>
      <c r="W225">
        <v>3.1310000000000001E-3</v>
      </c>
      <c r="X225">
        <v>19.559999999999999</v>
      </c>
      <c r="Y225">
        <v>30.29</v>
      </c>
      <c r="Z225">
        <v>125.9</v>
      </c>
      <c r="AA225">
        <v>1088</v>
      </c>
      <c r="AB225">
        <v>0.1552</v>
      </c>
      <c r="AC225">
        <v>0.44800000000000001</v>
      </c>
      <c r="AD225">
        <v>0.39760000000000001</v>
      </c>
      <c r="AE225">
        <v>0.1479</v>
      </c>
      <c r="AF225">
        <v>0.39929999999999999</v>
      </c>
      <c r="AG225">
        <v>0.10639999999999999</v>
      </c>
    </row>
    <row r="226" spans="1:33">
      <c r="A226">
        <v>225</v>
      </c>
      <c r="B226">
        <v>8813129</v>
      </c>
      <c r="C226" t="s">
        <v>1</v>
      </c>
      <c r="D226">
        <v>13.71</v>
      </c>
      <c r="E226">
        <v>17.02</v>
      </c>
      <c r="F226">
        <v>84.55</v>
      </c>
      <c r="G226">
        <v>546.4</v>
      </c>
      <c r="H226">
        <v>8.4449999999999997E-2</v>
      </c>
      <c r="I226">
        <v>4.9939999999999998E-2</v>
      </c>
      <c r="J226">
        <v>3.5540000000000002E-2</v>
      </c>
      <c r="K226">
        <v>2.4559999999999998E-2</v>
      </c>
      <c r="L226">
        <v>0.14960000000000001</v>
      </c>
      <c r="M226">
        <v>5.6739999999999999E-2</v>
      </c>
      <c r="N226">
        <v>0.29270000000000002</v>
      </c>
      <c r="O226">
        <v>0.89070000000000005</v>
      </c>
      <c r="P226">
        <v>2.044</v>
      </c>
      <c r="Q226">
        <v>24.68</v>
      </c>
      <c r="R226">
        <v>6.032E-3</v>
      </c>
      <c r="S226">
        <v>1.1039999999999999E-2</v>
      </c>
      <c r="T226">
        <v>2.2589999999999999E-2</v>
      </c>
      <c r="U226">
        <v>9.0570000000000008E-3</v>
      </c>
      <c r="V226">
        <v>1.482E-2</v>
      </c>
      <c r="W226">
        <v>2.496E-3</v>
      </c>
      <c r="X226">
        <v>15.14</v>
      </c>
      <c r="Y226">
        <v>23.6</v>
      </c>
      <c r="Z226">
        <v>98.84</v>
      </c>
      <c r="AA226">
        <v>708.8</v>
      </c>
      <c r="AB226">
        <v>0.12759999999999999</v>
      </c>
      <c r="AC226">
        <v>0.13109999999999999</v>
      </c>
      <c r="AD226">
        <v>0.17860000000000001</v>
      </c>
      <c r="AE226">
        <v>9.6780000000000005E-2</v>
      </c>
      <c r="AF226">
        <v>0.25059999999999999</v>
      </c>
      <c r="AG226">
        <v>7.6230000000000006E-2</v>
      </c>
    </row>
    <row r="227" spans="1:33">
      <c r="A227">
        <v>226</v>
      </c>
      <c r="B227">
        <v>88143502</v>
      </c>
      <c r="C227" t="s">
        <v>1</v>
      </c>
      <c r="D227">
        <v>13.71</v>
      </c>
      <c r="E227">
        <v>13.47</v>
      </c>
      <c r="F227">
        <v>92.51</v>
      </c>
      <c r="G227">
        <v>641.20000000000005</v>
      </c>
      <c r="H227">
        <v>9.9059999999999995E-2</v>
      </c>
      <c r="I227">
        <v>7.6240000000000002E-2</v>
      </c>
      <c r="J227">
        <v>5.7239999999999999E-2</v>
      </c>
      <c r="K227">
        <v>4.6030000000000001E-2</v>
      </c>
      <c r="L227">
        <v>0.20749999999999999</v>
      </c>
      <c r="M227">
        <v>5.4480000000000001E-2</v>
      </c>
      <c r="N227">
        <v>0.52200000000000002</v>
      </c>
      <c r="O227">
        <v>0.81210000000000004</v>
      </c>
      <c r="P227">
        <v>3.7629999999999999</v>
      </c>
      <c r="Q227">
        <v>48.29</v>
      </c>
      <c r="R227">
        <v>7.0889999999999998E-3</v>
      </c>
      <c r="S227">
        <v>1.4279999999999999E-2</v>
      </c>
      <c r="T227">
        <v>2.3599999999999999E-2</v>
      </c>
      <c r="U227">
        <v>1.286E-2</v>
      </c>
      <c r="V227">
        <v>2.266E-2</v>
      </c>
      <c r="W227">
        <v>1.4630000000000001E-3</v>
      </c>
      <c r="X227">
        <v>16.77</v>
      </c>
      <c r="Y227">
        <v>16.899999999999999</v>
      </c>
      <c r="Z227">
        <v>110.4</v>
      </c>
      <c r="AA227">
        <v>873.2</v>
      </c>
      <c r="AB227">
        <v>0.12970000000000001</v>
      </c>
      <c r="AC227">
        <v>0.1525</v>
      </c>
      <c r="AD227">
        <v>0.16320000000000001</v>
      </c>
      <c r="AE227">
        <v>0.1087</v>
      </c>
      <c r="AF227">
        <v>0.30620000000000003</v>
      </c>
      <c r="AG227">
        <v>6.0720000000000003E-2</v>
      </c>
    </row>
    <row r="228" spans="1:33">
      <c r="A228">
        <v>227</v>
      </c>
      <c r="B228">
        <v>88147101</v>
      </c>
      <c r="C228" t="s">
        <v>1</v>
      </c>
      <c r="D228">
        <v>13.71</v>
      </c>
      <c r="E228">
        <v>15.46</v>
      </c>
      <c r="F228">
        <v>66.62</v>
      </c>
      <c r="G228">
        <v>329.6</v>
      </c>
      <c r="H228">
        <v>0.1053</v>
      </c>
      <c r="I228">
        <v>7.7219999999999997E-2</v>
      </c>
      <c r="J228">
        <v>6.6429999999999996E-3</v>
      </c>
      <c r="K228">
        <v>1.2160000000000001E-2</v>
      </c>
      <c r="L228">
        <v>0.17879999999999999</v>
      </c>
      <c r="M228">
        <v>6.4500000000000002E-2</v>
      </c>
      <c r="N228">
        <v>0.1913</v>
      </c>
      <c r="O228">
        <v>0.90269999999999995</v>
      </c>
      <c r="P228">
        <v>1.208</v>
      </c>
      <c r="Q228">
        <v>11.86</v>
      </c>
      <c r="R228">
        <v>6.5129999999999997E-3</v>
      </c>
      <c r="S228">
        <v>8.0610000000000005E-3</v>
      </c>
      <c r="T228">
        <v>2.8170000000000001E-3</v>
      </c>
      <c r="U228">
        <v>4.9719999999999999E-3</v>
      </c>
      <c r="V228">
        <v>1.502E-2</v>
      </c>
      <c r="W228">
        <v>2.8210000000000002E-3</v>
      </c>
      <c r="X228">
        <v>11.52</v>
      </c>
      <c r="Y228">
        <v>19.8</v>
      </c>
      <c r="Z228">
        <v>73.47</v>
      </c>
      <c r="AA228">
        <v>395.4</v>
      </c>
      <c r="AB228">
        <v>0.1341</v>
      </c>
      <c r="AC228">
        <v>0.1153</v>
      </c>
      <c r="AD228">
        <v>2.639E-2</v>
      </c>
      <c r="AE228">
        <v>4.4639999999999999E-2</v>
      </c>
      <c r="AF228">
        <v>0.26150000000000001</v>
      </c>
      <c r="AG228">
        <v>8.269E-2</v>
      </c>
    </row>
    <row r="229" spans="1:33">
      <c r="A229">
        <v>228</v>
      </c>
      <c r="B229">
        <v>88147102</v>
      </c>
      <c r="C229" t="s">
        <v>1</v>
      </c>
      <c r="D229">
        <v>13.71</v>
      </c>
      <c r="E229">
        <v>15.51</v>
      </c>
      <c r="F229">
        <v>97.45</v>
      </c>
      <c r="G229">
        <v>684.5</v>
      </c>
      <c r="H229">
        <v>8.3710000000000007E-2</v>
      </c>
      <c r="I229">
        <v>0.1096</v>
      </c>
      <c r="J229">
        <v>6.5049999999999997E-2</v>
      </c>
      <c r="K229">
        <v>3.78E-2</v>
      </c>
      <c r="L229">
        <v>0.18809999999999999</v>
      </c>
      <c r="M229">
        <v>5.9069999999999998E-2</v>
      </c>
      <c r="N229">
        <v>0.23180000000000001</v>
      </c>
      <c r="O229">
        <v>0.49659999999999999</v>
      </c>
      <c r="P229">
        <v>2.2759999999999998</v>
      </c>
      <c r="Q229">
        <v>19.88</v>
      </c>
      <c r="R229">
        <v>4.1190000000000003E-3</v>
      </c>
      <c r="S229">
        <v>3.2070000000000001E-2</v>
      </c>
      <c r="T229">
        <v>3.644E-2</v>
      </c>
      <c r="U229">
        <v>1.155E-2</v>
      </c>
      <c r="V229">
        <v>1.391E-2</v>
      </c>
      <c r="W229">
        <v>3.2039999999999998E-3</v>
      </c>
      <c r="X229">
        <v>16.41</v>
      </c>
      <c r="Y229">
        <v>19.309999999999999</v>
      </c>
      <c r="Z229">
        <v>114.2</v>
      </c>
      <c r="AA229">
        <v>808.2</v>
      </c>
      <c r="AB229">
        <v>0.11360000000000001</v>
      </c>
      <c r="AC229">
        <v>0.36270000000000002</v>
      </c>
      <c r="AD229">
        <v>0.3402</v>
      </c>
      <c r="AE229">
        <v>0.13789999999999999</v>
      </c>
      <c r="AF229">
        <v>0.2954</v>
      </c>
      <c r="AG229">
        <v>8.362E-2</v>
      </c>
    </row>
    <row r="230" spans="1:33">
      <c r="A230">
        <v>229</v>
      </c>
      <c r="B230">
        <v>88147202</v>
      </c>
      <c r="C230" t="s">
        <v>1</v>
      </c>
      <c r="D230">
        <v>13.71</v>
      </c>
      <c r="E230">
        <v>23.97</v>
      </c>
      <c r="F230">
        <v>81.349999999999994</v>
      </c>
      <c r="G230">
        <v>496.4</v>
      </c>
      <c r="H230">
        <v>7.9030000000000003E-2</v>
      </c>
      <c r="I230">
        <v>7.5289999999999996E-2</v>
      </c>
      <c r="J230">
        <v>5.4379999999999998E-2</v>
      </c>
      <c r="K230">
        <v>2.036E-2</v>
      </c>
      <c r="L230">
        <v>0.15140000000000001</v>
      </c>
      <c r="M230">
        <v>6.019E-2</v>
      </c>
      <c r="N230">
        <v>0.24490000000000001</v>
      </c>
      <c r="O230">
        <v>1.0660000000000001</v>
      </c>
      <c r="P230">
        <v>1.4450000000000001</v>
      </c>
      <c r="Q230">
        <v>18.510000000000002</v>
      </c>
      <c r="R230">
        <v>5.169E-3</v>
      </c>
      <c r="S230">
        <v>2.2939999999999999E-2</v>
      </c>
      <c r="T230">
        <v>3.0159999999999999E-2</v>
      </c>
      <c r="U230">
        <v>8.6910000000000008E-3</v>
      </c>
      <c r="V230">
        <v>1.3650000000000001E-2</v>
      </c>
      <c r="W230">
        <v>3.4069999999999999E-3</v>
      </c>
      <c r="X230">
        <v>14.2</v>
      </c>
      <c r="Y230">
        <v>31.31</v>
      </c>
      <c r="Z230">
        <v>90.67</v>
      </c>
      <c r="AA230">
        <v>624</v>
      </c>
      <c r="AB230">
        <v>0.1227</v>
      </c>
      <c r="AC230">
        <v>0.34539999999999998</v>
      </c>
      <c r="AD230">
        <v>0.3911</v>
      </c>
      <c r="AE230">
        <v>0.11799999999999999</v>
      </c>
      <c r="AF230">
        <v>0.28260000000000002</v>
      </c>
      <c r="AG230">
        <v>9.5850000000000005E-2</v>
      </c>
    </row>
    <row r="231" spans="1:33">
      <c r="A231">
        <v>230</v>
      </c>
      <c r="B231">
        <v>881861</v>
      </c>
      <c r="C231" t="s">
        <v>0</v>
      </c>
      <c r="D231">
        <v>13.71</v>
      </c>
      <c r="E231">
        <v>22.33</v>
      </c>
      <c r="F231">
        <v>85.26</v>
      </c>
      <c r="G231">
        <v>503.2</v>
      </c>
      <c r="H231">
        <v>0.10879999999999999</v>
      </c>
      <c r="I231">
        <v>0.1799</v>
      </c>
      <c r="J231">
        <v>0.16950000000000001</v>
      </c>
      <c r="K231">
        <v>6.8610000000000004E-2</v>
      </c>
      <c r="L231">
        <v>0.21229999999999999</v>
      </c>
      <c r="M231">
        <v>7.2539999999999993E-2</v>
      </c>
      <c r="N231">
        <v>0.30609999999999998</v>
      </c>
      <c r="O231">
        <v>1.069</v>
      </c>
      <c r="P231">
        <v>2.2570000000000001</v>
      </c>
      <c r="Q231">
        <v>25.13</v>
      </c>
      <c r="R231">
        <v>6.9829999999999996E-3</v>
      </c>
      <c r="S231">
        <v>3.8580000000000003E-2</v>
      </c>
      <c r="T231">
        <v>4.6829999999999997E-2</v>
      </c>
      <c r="U231">
        <v>1.499E-2</v>
      </c>
      <c r="V231">
        <v>1.6799999999999999E-2</v>
      </c>
      <c r="W231">
        <v>5.6169999999999996E-3</v>
      </c>
      <c r="X231">
        <v>15.2</v>
      </c>
      <c r="Y231">
        <v>30.15</v>
      </c>
      <c r="Z231">
        <v>105.3</v>
      </c>
      <c r="AA231">
        <v>706</v>
      </c>
      <c r="AB231">
        <v>0.1777</v>
      </c>
      <c r="AC231">
        <v>0.5343</v>
      </c>
      <c r="AD231">
        <v>0.62819999999999998</v>
      </c>
      <c r="AE231">
        <v>0.19769999999999999</v>
      </c>
      <c r="AF231">
        <v>0.3407</v>
      </c>
      <c r="AG231">
        <v>0.12429999999999999</v>
      </c>
    </row>
    <row r="232" spans="1:33">
      <c r="A232">
        <v>231</v>
      </c>
      <c r="B232">
        <v>881972</v>
      </c>
      <c r="C232" t="s">
        <v>0</v>
      </c>
      <c r="D232">
        <v>13.71</v>
      </c>
      <c r="E232">
        <v>19.079999999999998</v>
      </c>
      <c r="F232">
        <v>113.4</v>
      </c>
      <c r="G232">
        <v>895</v>
      </c>
      <c r="H232">
        <v>0.11409999999999999</v>
      </c>
      <c r="I232">
        <v>0.15720000000000001</v>
      </c>
      <c r="J232">
        <v>0.191</v>
      </c>
      <c r="K232">
        <v>0.109</v>
      </c>
      <c r="L232">
        <v>0.21310000000000001</v>
      </c>
      <c r="M232">
        <v>6.3250000000000001E-2</v>
      </c>
      <c r="N232">
        <v>0.2959</v>
      </c>
      <c r="O232">
        <v>0.67900000000000005</v>
      </c>
      <c r="P232">
        <v>2.153</v>
      </c>
      <c r="Q232">
        <v>31.98</v>
      </c>
      <c r="R232">
        <v>5.5319999999999996E-3</v>
      </c>
      <c r="S232">
        <v>2.0080000000000001E-2</v>
      </c>
      <c r="T232">
        <v>3.0550000000000001E-2</v>
      </c>
      <c r="U232">
        <v>1.384E-2</v>
      </c>
      <c r="V232">
        <v>1.1769999999999999E-2</v>
      </c>
      <c r="W232">
        <v>2.336E-3</v>
      </c>
      <c r="X232">
        <v>19.59</v>
      </c>
      <c r="Y232">
        <v>24.89</v>
      </c>
      <c r="Z232">
        <v>133.5</v>
      </c>
      <c r="AA232">
        <v>1189</v>
      </c>
      <c r="AB232">
        <v>0.17030000000000001</v>
      </c>
      <c r="AC232">
        <v>0.39340000000000003</v>
      </c>
      <c r="AD232">
        <v>0.50180000000000002</v>
      </c>
      <c r="AE232">
        <v>0.25430000000000003</v>
      </c>
      <c r="AF232">
        <v>0.31090000000000001</v>
      </c>
      <c r="AG232">
        <v>9.0609999999999996E-2</v>
      </c>
    </row>
    <row r="233" spans="1:33">
      <c r="A233">
        <v>232</v>
      </c>
      <c r="B233">
        <v>88199202</v>
      </c>
      <c r="C233" t="s">
        <v>1</v>
      </c>
      <c r="D233">
        <v>13.71</v>
      </c>
      <c r="E233">
        <v>27.08</v>
      </c>
      <c r="F233">
        <v>71.760000000000005</v>
      </c>
      <c r="G233">
        <v>395.7</v>
      </c>
      <c r="H233">
        <v>6.8830000000000002E-2</v>
      </c>
      <c r="I233">
        <v>3.8129999999999997E-2</v>
      </c>
      <c r="J233">
        <v>1.6330000000000001E-2</v>
      </c>
      <c r="K233">
        <v>3.1250000000000002E-3</v>
      </c>
      <c r="L233">
        <v>0.18690000000000001</v>
      </c>
      <c r="M233">
        <v>5.6279999999999997E-2</v>
      </c>
      <c r="N233">
        <v>0.121</v>
      </c>
      <c r="O233">
        <v>0.89270000000000005</v>
      </c>
      <c r="P233">
        <v>1.0589999999999999</v>
      </c>
      <c r="Q233">
        <v>8.6050000000000004</v>
      </c>
      <c r="R233">
        <v>3.653E-3</v>
      </c>
      <c r="S233">
        <v>1.6469999999999999E-2</v>
      </c>
      <c r="T233">
        <v>1.6330000000000001E-2</v>
      </c>
      <c r="U233">
        <v>3.1250000000000002E-3</v>
      </c>
      <c r="V233">
        <v>1.537E-2</v>
      </c>
      <c r="W233">
        <v>2.052E-3</v>
      </c>
      <c r="X233">
        <v>12.08</v>
      </c>
      <c r="Y233">
        <v>33.75</v>
      </c>
      <c r="Z233">
        <v>79.819999999999993</v>
      </c>
      <c r="AA233">
        <v>452.3</v>
      </c>
      <c r="AB233">
        <v>9.2030000000000001E-2</v>
      </c>
      <c r="AC233">
        <v>0.14319999999999999</v>
      </c>
      <c r="AD233">
        <v>0.1089</v>
      </c>
      <c r="AE233">
        <v>2.0830000000000001E-2</v>
      </c>
      <c r="AF233">
        <v>0.28489999999999999</v>
      </c>
      <c r="AG233">
        <v>7.0870000000000002E-2</v>
      </c>
    </row>
    <row r="234" spans="1:33">
      <c r="A234">
        <v>233</v>
      </c>
      <c r="B234">
        <v>88203002</v>
      </c>
      <c r="C234" t="s">
        <v>1</v>
      </c>
      <c r="D234">
        <v>13.71</v>
      </c>
      <c r="E234">
        <v>33.81</v>
      </c>
      <c r="F234">
        <v>70.790000000000006</v>
      </c>
      <c r="G234">
        <v>386.8</v>
      </c>
      <c r="H234">
        <v>7.7799999999999994E-2</v>
      </c>
      <c r="I234">
        <v>3.5740000000000001E-2</v>
      </c>
      <c r="J234">
        <v>4.9670000000000001E-3</v>
      </c>
      <c r="K234">
        <v>6.4339999999999996E-3</v>
      </c>
      <c r="L234">
        <v>0.1845</v>
      </c>
      <c r="M234">
        <v>5.8279999999999998E-2</v>
      </c>
      <c r="N234">
        <v>0.22389999999999999</v>
      </c>
      <c r="O234">
        <v>1.647</v>
      </c>
      <c r="P234">
        <v>1.4890000000000001</v>
      </c>
      <c r="Q234">
        <v>15.46</v>
      </c>
      <c r="R234">
        <v>4.359E-3</v>
      </c>
      <c r="S234">
        <v>6.8129999999999996E-3</v>
      </c>
      <c r="T234">
        <v>3.2230000000000002E-3</v>
      </c>
      <c r="U234">
        <v>3.4190000000000002E-3</v>
      </c>
      <c r="V234">
        <v>1.916E-2</v>
      </c>
      <c r="W234">
        <v>2.5339999999999998E-3</v>
      </c>
      <c r="X234">
        <v>12.36</v>
      </c>
      <c r="Y234">
        <v>41.78</v>
      </c>
      <c r="Z234">
        <v>78.44</v>
      </c>
      <c r="AA234">
        <v>470.9</v>
      </c>
      <c r="AB234">
        <v>9.9940000000000001E-2</v>
      </c>
      <c r="AC234">
        <v>6.8849999999999995E-2</v>
      </c>
      <c r="AD234">
        <v>2.3179999999999999E-2</v>
      </c>
      <c r="AE234">
        <v>3.0020000000000002E-2</v>
      </c>
      <c r="AF234">
        <v>0.29110000000000003</v>
      </c>
      <c r="AG234">
        <v>7.3069999999999996E-2</v>
      </c>
    </row>
    <row r="235" spans="1:33">
      <c r="A235">
        <v>234</v>
      </c>
      <c r="B235">
        <v>88206102</v>
      </c>
      <c r="C235" t="s">
        <v>0</v>
      </c>
      <c r="D235">
        <v>13.71</v>
      </c>
      <c r="E235">
        <v>27.81</v>
      </c>
      <c r="F235">
        <v>134.4</v>
      </c>
      <c r="G235">
        <v>1319</v>
      </c>
      <c r="H235">
        <v>9.1590000000000005E-2</v>
      </c>
      <c r="I235">
        <v>0.1074</v>
      </c>
      <c r="J235">
        <v>0.15540000000000001</v>
      </c>
      <c r="K235">
        <v>8.3400000000000002E-2</v>
      </c>
      <c r="L235">
        <v>0.14480000000000001</v>
      </c>
      <c r="M235">
        <v>5.5919999999999997E-2</v>
      </c>
      <c r="N235">
        <v>0.52400000000000002</v>
      </c>
      <c r="O235">
        <v>1.1890000000000001</v>
      </c>
      <c r="P235">
        <v>3.7669999999999999</v>
      </c>
      <c r="Q235">
        <v>70.010000000000005</v>
      </c>
      <c r="R235">
        <v>5.0200000000000002E-3</v>
      </c>
      <c r="S235">
        <v>2.0619999999999999E-2</v>
      </c>
      <c r="T235">
        <v>3.4569999999999997E-2</v>
      </c>
      <c r="U235">
        <v>1.091E-2</v>
      </c>
      <c r="V235">
        <v>1.298E-2</v>
      </c>
      <c r="W235">
        <v>2.8869999999999998E-3</v>
      </c>
      <c r="X235">
        <v>24.47</v>
      </c>
      <c r="Y235">
        <v>37.380000000000003</v>
      </c>
      <c r="Z235">
        <v>162.69999999999999</v>
      </c>
      <c r="AA235">
        <v>1872</v>
      </c>
      <c r="AB235">
        <v>0.12230000000000001</v>
      </c>
      <c r="AC235">
        <v>0.27610000000000001</v>
      </c>
      <c r="AD235">
        <v>0.41460000000000002</v>
      </c>
      <c r="AE235">
        <v>0.15629999999999999</v>
      </c>
      <c r="AF235">
        <v>0.2437</v>
      </c>
      <c r="AG235">
        <v>8.3280000000000007E-2</v>
      </c>
    </row>
    <row r="236" spans="1:33">
      <c r="A236">
        <v>235</v>
      </c>
      <c r="B236">
        <v>882488</v>
      </c>
      <c r="C236" t="s">
        <v>1</v>
      </c>
      <c r="D236">
        <v>13.71</v>
      </c>
      <c r="E236">
        <v>15.91</v>
      </c>
      <c r="F236">
        <v>60.21</v>
      </c>
      <c r="G236">
        <v>279.60000000000002</v>
      </c>
      <c r="H236">
        <v>8.4640000000000007E-2</v>
      </c>
      <c r="I236">
        <v>4.0869999999999997E-2</v>
      </c>
      <c r="J236">
        <v>1.652E-2</v>
      </c>
      <c r="K236">
        <v>1.6670000000000001E-2</v>
      </c>
      <c r="L236">
        <v>0.15509999999999999</v>
      </c>
      <c r="M236">
        <v>6.4030000000000004E-2</v>
      </c>
      <c r="N236">
        <v>0.2152</v>
      </c>
      <c r="O236">
        <v>0.83009999999999995</v>
      </c>
      <c r="P236">
        <v>1.2150000000000001</v>
      </c>
      <c r="Q236">
        <v>12.64</v>
      </c>
      <c r="R236">
        <v>1.1639999999999999E-2</v>
      </c>
      <c r="S236">
        <v>1.04E-2</v>
      </c>
      <c r="T236">
        <v>1.1860000000000001E-2</v>
      </c>
      <c r="U236">
        <v>9.6229999999999996E-3</v>
      </c>
      <c r="V236">
        <v>2.383E-2</v>
      </c>
      <c r="W236">
        <v>3.5400000000000002E-3</v>
      </c>
      <c r="X236">
        <v>10.51</v>
      </c>
      <c r="Y236">
        <v>19.16</v>
      </c>
      <c r="Z236">
        <v>65.739999999999995</v>
      </c>
      <c r="AA236">
        <v>335.9</v>
      </c>
      <c r="AB236">
        <v>0.15040000000000001</v>
      </c>
      <c r="AC236">
        <v>9.5149999999999998E-2</v>
      </c>
      <c r="AD236">
        <v>7.1609999999999993E-2</v>
      </c>
      <c r="AE236">
        <v>7.2220000000000006E-2</v>
      </c>
      <c r="AF236">
        <v>0.2757</v>
      </c>
      <c r="AG236">
        <v>8.1780000000000005E-2</v>
      </c>
    </row>
    <row r="237" spans="1:33">
      <c r="A237">
        <v>236</v>
      </c>
      <c r="B237">
        <v>88249602</v>
      </c>
      <c r="C237" t="s">
        <v>1</v>
      </c>
      <c r="D237">
        <v>13.71</v>
      </c>
      <c r="E237">
        <v>21.25</v>
      </c>
      <c r="F237">
        <v>89.79</v>
      </c>
      <c r="G237">
        <v>603.4</v>
      </c>
      <c r="H237">
        <v>9.0700000000000003E-2</v>
      </c>
      <c r="I237">
        <v>6.9449999999999998E-2</v>
      </c>
      <c r="J237">
        <v>1.4619999999999999E-2</v>
      </c>
      <c r="K237">
        <v>1.8960000000000001E-2</v>
      </c>
      <c r="L237">
        <v>0.1517</v>
      </c>
      <c r="M237">
        <v>5.8349999999999999E-2</v>
      </c>
      <c r="N237">
        <v>0.25890000000000002</v>
      </c>
      <c r="O237">
        <v>1.5029999999999999</v>
      </c>
      <c r="P237">
        <v>1.667</v>
      </c>
      <c r="Q237">
        <v>22.07</v>
      </c>
      <c r="R237">
        <v>7.3889999999999997E-3</v>
      </c>
      <c r="S237">
        <v>1.383E-2</v>
      </c>
      <c r="T237">
        <v>7.3020000000000003E-3</v>
      </c>
      <c r="U237">
        <v>1.004E-2</v>
      </c>
      <c r="V237">
        <v>1.2630000000000001E-2</v>
      </c>
      <c r="W237">
        <v>2.9250000000000001E-3</v>
      </c>
      <c r="X237">
        <v>15.33</v>
      </c>
      <c r="Y237">
        <v>30.28</v>
      </c>
      <c r="Z237">
        <v>98.27</v>
      </c>
      <c r="AA237">
        <v>715.5</v>
      </c>
      <c r="AB237">
        <v>0.12870000000000001</v>
      </c>
      <c r="AC237">
        <v>0.15129999999999999</v>
      </c>
      <c r="AD237">
        <v>6.2309999999999997E-2</v>
      </c>
      <c r="AE237">
        <v>7.9630000000000006E-2</v>
      </c>
      <c r="AF237">
        <v>0.22259999999999999</v>
      </c>
      <c r="AG237">
        <v>7.6170000000000002E-2</v>
      </c>
    </row>
    <row r="238" spans="1:33">
      <c r="A238">
        <v>237</v>
      </c>
      <c r="B238">
        <v>88299702</v>
      </c>
      <c r="C238" t="s">
        <v>0</v>
      </c>
      <c r="D238">
        <v>13.71</v>
      </c>
      <c r="E238">
        <v>26.97</v>
      </c>
      <c r="F238">
        <v>153.5</v>
      </c>
      <c r="G238">
        <v>1670</v>
      </c>
      <c r="H238">
        <v>9.5089999999999994E-2</v>
      </c>
      <c r="I238">
        <v>0.16819999999999999</v>
      </c>
      <c r="J238">
        <v>0.19500000000000001</v>
      </c>
      <c r="K238">
        <v>0.1237</v>
      </c>
      <c r="L238">
        <v>0.19089999999999999</v>
      </c>
      <c r="M238">
        <v>6.3089999999999993E-2</v>
      </c>
      <c r="N238">
        <v>1.0580000000000001</v>
      </c>
      <c r="O238">
        <v>0.96350000000000002</v>
      </c>
      <c r="P238">
        <v>7.2469999999999999</v>
      </c>
      <c r="Q238">
        <v>155.80000000000001</v>
      </c>
      <c r="R238">
        <v>6.4279999999999997E-3</v>
      </c>
      <c r="S238">
        <v>2.8629999999999999E-2</v>
      </c>
      <c r="T238">
        <v>4.4970000000000003E-2</v>
      </c>
      <c r="U238">
        <v>1.7160000000000002E-2</v>
      </c>
      <c r="V238">
        <v>1.5900000000000001E-2</v>
      </c>
      <c r="W238">
        <v>3.0530000000000002E-3</v>
      </c>
      <c r="X238">
        <v>31.01</v>
      </c>
      <c r="Y238">
        <v>34.51</v>
      </c>
      <c r="Z238">
        <v>206</v>
      </c>
      <c r="AA238">
        <v>2944</v>
      </c>
      <c r="AB238">
        <v>0.14810000000000001</v>
      </c>
      <c r="AC238">
        <v>0.41260000000000002</v>
      </c>
      <c r="AD238">
        <v>0.58199999999999996</v>
      </c>
      <c r="AE238">
        <v>0.25929999999999997</v>
      </c>
      <c r="AF238">
        <v>0.31030000000000002</v>
      </c>
      <c r="AG238">
        <v>8.677E-2</v>
      </c>
    </row>
    <row r="239" spans="1:33">
      <c r="A239">
        <v>238</v>
      </c>
      <c r="B239">
        <v>883263</v>
      </c>
      <c r="C239" t="s">
        <v>0</v>
      </c>
      <c r="D239">
        <v>13.71</v>
      </c>
      <c r="E239">
        <v>21.46</v>
      </c>
      <c r="F239">
        <v>132.5</v>
      </c>
      <c r="G239">
        <v>1306</v>
      </c>
      <c r="H239">
        <v>8.3549999999999999E-2</v>
      </c>
      <c r="I239">
        <v>8.3479999999999999E-2</v>
      </c>
      <c r="J239">
        <v>9.042E-2</v>
      </c>
      <c r="K239">
        <v>6.0220000000000003E-2</v>
      </c>
      <c r="L239">
        <v>0.1467</v>
      </c>
      <c r="M239">
        <v>5.1769999999999997E-2</v>
      </c>
      <c r="N239">
        <v>0.68740000000000001</v>
      </c>
      <c r="O239">
        <v>1.0409999999999999</v>
      </c>
      <c r="P239">
        <v>5.1440000000000001</v>
      </c>
      <c r="Q239">
        <v>83.5</v>
      </c>
      <c r="R239">
        <v>7.9590000000000008E-3</v>
      </c>
      <c r="S239">
        <v>3.1329999999999997E-2</v>
      </c>
      <c r="T239">
        <v>4.2569999999999997E-2</v>
      </c>
      <c r="U239">
        <v>1.6709999999999999E-2</v>
      </c>
      <c r="V239">
        <v>1.341E-2</v>
      </c>
      <c r="W239">
        <v>3.9329999999999999E-3</v>
      </c>
      <c r="X239">
        <v>24.22</v>
      </c>
      <c r="Y239">
        <v>26.17</v>
      </c>
      <c r="Z239">
        <v>161.69999999999999</v>
      </c>
      <c r="AA239">
        <v>1750</v>
      </c>
      <c r="AB239">
        <v>0.12280000000000001</v>
      </c>
      <c r="AC239">
        <v>0.2311</v>
      </c>
      <c r="AD239">
        <v>0.31580000000000003</v>
      </c>
      <c r="AE239">
        <v>0.14449999999999999</v>
      </c>
      <c r="AF239">
        <v>0.2238</v>
      </c>
      <c r="AG239">
        <v>7.127E-2</v>
      </c>
    </row>
    <row r="240" spans="1:33">
      <c r="A240">
        <v>239</v>
      </c>
      <c r="B240">
        <v>883270</v>
      </c>
      <c r="C240" t="s">
        <v>1</v>
      </c>
      <c r="D240">
        <v>13.71</v>
      </c>
      <c r="E240">
        <v>27.85</v>
      </c>
      <c r="F240">
        <v>92.55</v>
      </c>
      <c r="G240">
        <v>623.9</v>
      </c>
      <c r="H240">
        <v>8.2229999999999998E-2</v>
      </c>
      <c r="I240">
        <v>0.10390000000000001</v>
      </c>
      <c r="J240">
        <v>0.1103</v>
      </c>
      <c r="K240">
        <v>4.4080000000000001E-2</v>
      </c>
      <c r="L240">
        <v>0.13420000000000001</v>
      </c>
      <c r="M240">
        <v>6.1289999999999997E-2</v>
      </c>
      <c r="N240">
        <v>0.33539999999999998</v>
      </c>
      <c r="O240">
        <v>2.3239999999999998</v>
      </c>
      <c r="P240">
        <v>2.105</v>
      </c>
      <c r="Q240">
        <v>29.96</v>
      </c>
      <c r="R240">
        <v>6.3070000000000001E-3</v>
      </c>
      <c r="S240">
        <v>2.845E-2</v>
      </c>
      <c r="T240">
        <v>3.85E-2</v>
      </c>
      <c r="U240">
        <v>1.0109999999999999E-2</v>
      </c>
      <c r="V240">
        <v>1.1849999999999999E-2</v>
      </c>
      <c r="W240">
        <v>3.5890000000000002E-3</v>
      </c>
      <c r="X240">
        <v>15.75</v>
      </c>
      <c r="Y240">
        <v>40.54</v>
      </c>
      <c r="Z240">
        <v>102.5</v>
      </c>
      <c r="AA240">
        <v>764</v>
      </c>
      <c r="AB240">
        <v>0.1081</v>
      </c>
      <c r="AC240">
        <v>0.24260000000000001</v>
      </c>
      <c r="AD240">
        <v>0.30640000000000001</v>
      </c>
      <c r="AE240">
        <v>8.2189999999999999E-2</v>
      </c>
      <c r="AF240">
        <v>0.189</v>
      </c>
      <c r="AG240">
        <v>7.7960000000000002E-2</v>
      </c>
    </row>
    <row r="241" spans="1:33">
      <c r="A241">
        <v>240</v>
      </c>
      <c r="B241">
        <v>88330202</v>
      </c>
      <c r="C241" t="s">
        <v>0</v>
      </c>
      <c r="D241">
        <v>13.71</v>
      </c>
      <c r="E241">
        <v>39.28</v>
      </c>
      <c r="F241">
        <v>113.4</v>
      </c>
      <c r="G241">
        <v>920.6</v>
      </c>
      <c r="H241">
        <v>9.8119999999999999E-2</v>
      </c>
      <c r="I241">
        <v>0.1298</v>
      </c>
      <c r="J241">
        <v>0.14169999999999999</v>
      </c>
      <c r="K241">
        <v>8.8109999999999994E-2</v>
      </c>
      <c r="L241">
        <v>0.18090000000000001</v>
      </c>
      <c r="M241">
        <v>5.9659999999999998E-2</v>
      </c>
      <c r="N241">
        <v>0.53659999999999997</v>
      </c>
      <c r="O241">
        <v>0.85609999999999997</v>
      </c>
      <c r="P241">
        <v>3.0019999999999998</v>
      </c>
      <c r="Q241">
        <v>49</v>
      </c>
      <c r="R241">
        <v>4.8599999999999997E-3</v>
      </c>
      <c r="S241">
        <v>2.785E-2</v>
      </c>
      <c r="T241">
        <v>2.6020000000000001E-2</v>
      </c>
      <c r="U241">
        <v>1.374E-2</v>
      </c>
      <c r="V241">
        <v>1.226E-2</v>
      </c>
      <c r="W241">
        <v>2.7590000000000002E-3</v>
      </c>
      <c r="X241">
        <v>22.51</v>
      </c>
      <c r="Y241">
        <v>44.87</v>
      </c>
      <c r="Z241">
        <v>141.19999999999999</v>
      </c>
      <c r="AA241">
        <v>1408</v>
      </c>
      <c r="AB241">
        <v>0.13650000000000001</v>
      </c>
      <c r="AC241">
        <v>0.3735</v>
      </c>
      <c r="AD241">
        <v>0.3241</v>
      </c>
      <c r="AE241">
        <v>0.20660000000000001</v>
      </c>
      <c r="AF241">
        <v>0.2853</v>
      </c>
      <c r="AG241">
        <v>8.4959999999999994E-2</v>
      </c>
    </row>
    <row r="242" spans="1:33">
      <c r="A242">
        <v>241</v>
      </c>
      <c r="B242">
        <v>88350402</v>
      </c>
      <c r="C242" t="s">
        <v>1</v>
      </c>
      <c r="D242">
        <v>13.71</v>
      </c>
      <c r="E242">
        <v>15.6</v>
      </c>
      <c r="F242">
        <v>87.38</v>
      </c>
      <c r="G242">
        <v>575.29999999999995</v>
      </c>
      <c r="H242">
        <v>9.4229999999999994E-2</v>
      </c>
      <c r="I242">
        <v>6.6299999999999998E-2</v>
      </c>
      <c r="J242">
        <v>4.7050000000000002E-2</v>
      </c>
      <c r="K242">
        <v>3.7310000000000003E-2</v>
      </c>
      <c r="L242">
        <v>0.17169999999999999</v>
      </c>
      <c r="M242">
        <v>5.6599999999999998E-2</v>
      </c>
      <c r="N242">
        <v>0.32419999999999999</v>
      </c>
      <c r="O242">
        <v>0.66120000000000001</v>
      </c>
      <c r="P242">
        <v>1.996</v>
      </c>
      <c r="Q242">
        <v>27.19</v>
      </c>
      <c r="R242">
        <v>6.4700000000000001E-3</v>
      </c>
      <c r="S242">
        <v>1.248E-2</v>
      </c>
      <c r="T242">
        <v>1.8100000000000002E-2</v>
      </c>
      <c r="U242">
        <v>1.103E-2</v>
      </c>
      <c r="V242">
        <v>1.898E-2</v>
      </c>
      <c r="W242">
        <v>1.794E-3</v>
      </c>
      <c r="X242">
        <v>14.85</v>
      </c>
      <c r="Y242">
        <v>19.05</v>
      </c>
      <c r="Z242">
        <v>94.11</v>
      </c>
      <c r="AA242">
        <v>683.4</v>
      </c>
      <c r="AB242">
        <v>0.1278</v>
      </c>
      <c r="AC242">
        <v>0.12909999999999999</v>
      </c>
      <c r="AD242">
        <v>0.15329999999999999</v>
      </c>
      <c r="AE242">
        <v>9.2219999999999996E-2</v>
      </c>
      <c r="AF242">
        <v>0.253</v>
      </c>
      <c r="AG242">
        <v>6.5100000000000005E-2</v>
      </c>
    </row>
    <row r="243" spans="1:33">
      <c r="A243">
        <v>242</v>
      </c>
      <c r="B243">
        <v>883539</v>
      </c>
      <c r="C243" t="s">
        <v>1</v>
      </c>
      <c r="D243">
        <v>13.71</v>
      </c>
      <c r="E243">
        <v>15.04</v>
      </c>
      <c r="F243">
        <v>78.61</v>
      </c>
      <c r="G243">
        <v>476.5</v>
      </c>
      <c r="H243">
        <v>7.9259999999999997E-2</v>
      </c>
      <c r="I243">
        <v>3.3930000000000002E-2</v>
      </c>
      <c r="J243">
        <v>1.0529999999999999E-2</v>
      </c>
      <c r="K243">
        <v>1.108E-2</v>
      </c>
      <c r="L243">
        <v>0.15459999999999999</v>
      </c>
      <c r="M243">
        <v>5.7540000000000001E-2</v>
      </c>
      <c r="N243">
        <v>0.1153</v>
      </c>
      <c r="O243">
        <v>0.67449999999999999</v>
      </c>
      <c r="P243">
        <v>0.75700000000000001</v>
      </c>
      <c r="Q243">
        <v>9.0060000000000002</v>
      </c>
      <c r="R243">
        <v>3.2650000000000001E-3</v>
      </c>
      <c r="S243">
        <v>4.9300000000000004E-3</v>
      </c>
      <c r="T243">
        <v>6.4929999999999996E-3</v>
      </c>
      <c r="U243">
        <v>3.7620000000000002E-3</v>
      </c>
      <c r="V243">
        <v>1.72E-2</v>
      </c>
      <c r="W243">
        <v>1.3600000000000001E-3</v>
      </c>
      <c r="X243">
        <v>13.2</v>
      </c>
      <c r="Y243">
        <v>20.37</v>
      </c>
      <c r="Z243">
        <v>83.85</v>
      </c>
      <c r="AA243">
        <v>543.4</v>
      </c>
      <c r="AB243">
        <v>0.1037</v>
      </c>
      <c r="AC243">
        <v>7.7759999999999996E-2</v>
      </c>
      <c r="AD243">
        <v>6.2429999999999999E-2</v>
      </c>
      <c r="AE243">
        <v>4.052E-2</v>
      </c>
      <c r="AF243">
        <v>0.29010000000000002</v>
      </c>
      <c r="AG243">
        <v>6.7830000000000001E-2</v>
      </c>
    </row>
    <row r="244" spans="1:33">
      <c r="A244">
        <v>243</v>
      </c>
      <c r="B244">
        <v>883852</v>
      </c>
      <c r="C244" t="s">
        <v>1</v>
      </c>
      <c r="D244">
        <v>13.71</v>
      </c>
      <c r="E244">
        <v>18.190000000000001</v>
      </c>
      <c r="F244">
        <v>73.930000000000007</v>
      </c>
      <c r="G244">
        <v>389.4</v>
      </c>
      <c r="H244">
        <v>9.5920000000000005E-2</v>
      </c>
      <c r="I244">
        <v>0.13250000000000001</v>
      </c>
      <c r="J244">
        <v>0.15479999999999999</v>
      </c>
      <c r="K244">
        <v>2.8539999999999999E-2</v>
      </c>
      <c r="L244">
        <v>0.2054</v>
      </c>
      <c r="M244">
        <v>7.6689999999999994E-2</v>
      </c>
      <c r="N244">
        <v>0.24279999999999999</v>
      </c>
      <c r="O244">
        <v>1.6419999999999999</v>
      </c>
      <c r="P244">
        <v>2.3690000000000002</v>
      </c>
      <c r="Q244">
        <v>16.39</v>
      </c>
      <c r="R244">
        <v>6.6629999999999997E-3</v>
      </c>
      <c r="S244">
        <v>5.9139999999999998E-2</v>
      </c>
      <c r="T244">
        <v>8.8800000000000004E-2</v>
      </c>
      <c r="U244">
        <v>1.3140000000000001E-2</v>
      </c>
      <c r="V244">
        <v>1.9949999999999999E-2</v>
      </c>
      <c r="W244">
        <v>8.6750000000000004E-3</v>
      </c>
      <c r="X244">
        <v>12.58</v>
      </c>
      <c r="Y244">
        <v>27.96</v>
      </c>
      <c r="Z244">
        <v>87.16</v>
      </c>
      <c r="AA244">
        <v>472.9</v>
      </c>
      <c r="AB244">
        <v>0.13469999999999999</v>
      </c>
      <c r="AC244">
        <v>0.48480000000000001</v>
      </c>
      <c r="AD244">
        <v>0.74360000000000004</v>
      </c>
      <c r="AE244">
        <v>0.12180000000000001</v>
      </c>
      <c r="AF244">
        <v>0.33079999999999998</v>
      </c>
      <c r="AG244">
        <v>0.12970000000000001</v>
      </c>
    </row>
    <row r="245" spans="1:33">
      <c r="A245">
        <v>244</v>
      </c>
      <c r="B245">
        <v>88411702</v>
      </c>
      <c r="C245" t="s">
        <v>1</v>
      </c>
      <c r="D245">
        <v>13.71</v>
      </c>
      <c r="E245">
        <v>23.77</v>
      </c>
      <c r="F245">
        <v>88.54</v>
      </c>
      <c r="G245">
        <v>590</v>
      </c>
      <c r="H245">
        <v>8.0430000000000001E-2</v>
      </c>
      <c r="I245">
        <v>6.8070000000000006E-2</v>
      </c>
      <c r="J245">
        <v>4.6969999999999998E-2</v>
      </c>
      <c r="K245">
        <v>2.3439999999999999E-2</v>
      </c>
      <c r="L245">
        <v>0.17730000000000001</v>
      </c>
      <c r="M245">
        <v>5.4289999999999998E-2</v>
      </c>
      <c r="N245">
        <v>0.43469999999999998</v>
      </c>
      <c r="O245">
        <v>1.0569999999999999</v>
      </c>
      <c r="P245">
        <v>2.8290000000000002</v>
      </c>
      <c r="Q245">
        <v>39.93</v>
      </c>
      <c r="R245">
        <v>4.3509999999999998E-3</v>
      </c>
      <c r="S245">
        <v>2.6669999999999999E-2</v>
      </c>
      <c r="T245">
        <v>3.3709999999999997E-2</v>
      </c>
      <c r="U245">
        <v>1.0070000000000001E-2</v>
      </c>
      <c r="V245">
        <v>2.598E-2</v>
      </c>
      <c r="W245">
        <v>3.0869999999999999E-3</v>
      </c>
      <c r="X245">
        <v>15.01</v>
      </c>
      <c r="Y245">
        <v>26.34</v>
      </c>
      <c r="Z245">
        <v>98</v>
      </c>
      <c r="AA245">
        <v>706</v>
      </c>
      <c r="AB245">
        <v>9.3679999999999999E-2</v>
      </c>
      <c r="AC245">
        <v>0.14419999999999999</v>
      </c>
      <c r="AD245">
        <v>0.13589999999999999</v>
      </c>
      <c r="AE245">
        <v>6.1060000000000003E-2</v>
      </c>
      <c r="AF245">
        <v>0.26629999999999998</v>
      </c>
      <c r="AG245">
        <v>6.3210000000000002E-2</v>
      </c>
    </row>
    <row r="246" spans="1:33">
      <c r="A246">
        <v>245</v>
      </c>
      <c r="B246">
        <v>884180</v>
      </c>
      <c r="C246" t="s">
        <v>0</v>
      </c>
      <c r="D246">
        <v>13.71</v>
      </c>
      <c r="E246">
        <v>23.5</v>
      </c>
      <c r="F246">
        <v>129.1</v>
      </c>
      <c r="G246">
        <v>1155</v>
      </c>
      <c r="H246">
        <v>0.1027</v>
      </c>
      <c r="I246">
        <v>0.15579999999999999</v>
      </c>
      <c r="J246">
        <v>0.2049</v>
      </c>
      <c r="K246">
        <v>8.8859999999999995E-2</v>
      </c>
      <c r="L246">
        <v>0.1978</v>
      </c>
      <c r="M246">
        <v>0.06</v>
      </c>
      <c r="N246">
        <v>0.52429999999999999</v>
      </c>
      <c r="O246">
        <v>1.802</v>
      </c>
      <c r="P246">
        <v>4.0369999999999999</v>
      </c>
      <c r="Q246">
        <v>60.41</v>
      </c>
      <c r="R246">
        <v>1.061E-2</v>
      </c>
      <c r="S246">
        <v>3.252E-2</v>
      </c>
      <c r="T246">
        <v>3.9149999999999997E-2</v>
      </c>
      <c r="U246">
        <v>1.559E-2</v>
      </c>
      <c r="V246">
        <v>2.1860000000000001E-2</v>
      </c>
      <c r="W246">
        <v>3.9490000000000003E-3</v>
      </c>
      <c r="X246">
        <v>21.65</v>
      </c>
      <c r="Y246">
        <v>30.53</v>
      </c>
      <c r="Z246">
        <v>144.9</v>
      </c>
      <c r="AA246">
        <v>1417</v>
      </c>
      <c r="AB246">
        <v>0.14630000000000001</v>
      </c>
      <c r="AC246">
        <v>0.29680000000000001</v>
      </c>
      <c r="AD246">
        <v>0.3458</v>
      </c>
      <c r="AE246">
        <v>0.15640000000000001</v>
      </c>
      <c r="AF246">
        <v>0.29199999999999998</v>
      </c>
      <c r="AG246">
        <v>7.6139999999999999E-2</v>
      </c>
    </row>
    <row r="247" spans="1:33">
      <c r="A247">
        <v>246</v>
      </c>
      <c r="B247">
        <v>884437</v>
      </c>
      <c r="C247" t="s">
        <v>1</v>
      </c>
      <c r="D247">
        <v>13.71</v>
      </c>
      <c r="E247">
        <v>19.86</v>
      </c>
      <c r="F247">
        <v>66.72</v>
      </c>
      <c r="G247">
        <v>337.7</v>
      </c>
      <c r="H247">
        <v>0.107</v>
      </c>
      <c r="I247">
        <v>5.9709999999999999E-2</v>
      </c>
      <c r="J247">
        <v>4.8309999999999999E-2</v>
      </c>
      <c r="K247">
        <v>3.0700000000000002E-2</v>
      </c>
      <c r="L247">
        <v>0.17369999999999999</v>
      </c>
      <c r="M247">
        <v>6.4399999999999999E-2</v>
      </c>
      <c r="N247">
        <v>0.37190000000000001</v>
      </c>
      <c r="O247">
        <v>2.6120000000000001</v>
      </c>
      <c r="P247">
        <v>2.5169999999999999</v>
      </c>
      <c r="Q247">
        <v>23.22</v>
      </c>
      <c r="R247">
        <v>1.6039999999999999E-2</v>
      </c>
      <c r="S247">
        <v>1.3860000000000001E-2</v>
      </c>
      <c r="T247">
        <v>1.865E-2</v>
      </c>
      <c r="U247">
        <v>1.133E-2</v>
      </c>
      <c r="V247">
        <v>3.4759999999999999E-2</v>
      </c>
      <c r="W247">
        <v>3.5599999999999998E-3</v>
      </c>
      <c r="X247">
        <v>11.48</v>
      </c>
      <c r="Y247">
        <v>29.46</v>
      </c>
      <c r="Z247">
        <v>73.680000000000007</v>
      </c>
      <c r="AA247">
        <v>402.8</v>
      </c>
      <c r="AB247">
        <v>0.1515</v>
      </c>
      <c r="AC247">
        <v>0.1026</v>
      </c>
      <c r="AD247">
        <v>0.1181</v>
      </c>
      <c r="AE247">
        <v>6.7360000000000003E-2</v>
      </c>
      <c r="AF247">
        <v>0.2883</v>
      </c>
      <c r="AG247">
        <v>7.7479999999999993E-2</v>
      </c>
    </row>
    <row r="248" spans="1:33">
      <c r="A248">
        <v>247</v>
      </c>
      <c r="B248">
        <v>884448</v>
      </c>
      <c r="C248" t="s">
        <v>1</v>
      </c>
      <c r="D248">
        <v>13.71</v>
      </c>
      <c r="E248">
        <v>17.43</v>
      </c>
      <c r="F248">
        <v>84.13</v>
      </c>
      <c r="G248">
        <v>541.6</v>
      </c>
      <c r="H248">
        <v>7.2150000000000006E-2</v>
      </c>
      <c r="I248">
        <v>4.5240000000000002E-2</v>
      </c>
      <c r="J248">
        <v>4.3360000000000003E-2</v>
      </c>
      <c r="K248">
        <v>1.1050000000000001E-2</v>
      </c>
      <c r="L248">
        <v>0.1487</v>
      </c>
      <c r="M248">
        <v>5.6349999999999997E-2</v>
      </c>
      <c r="N248">
        <v>0.16300000000000001</v>
      </c>
      <c r="O248">
        <v>1.601</v>
      </c>
      <c r="P248">
        <v>0.873</v>
      </c>
      <c r="Q248">
        <v>13.56</v>
      </c>
      <c r="R248">
        <v>6.2610000000000001E-3</v>
      </c>
      <c r="S248">
        <v>1.5689999999999999E-2</v>
      </c>
      <c r="T248">
        <v>3.0790000000000001E-2</v>
      </c>
      <c r="U248">
        <v>5.3829999999999998E-3</v>
      </c>
      <c r="V248">
        <v>1.9619999999999999E-2</v>
      </c>
      <c r="W248">
        <v>2.2499999999999998E-3</v>
      </c>
      <c r="X248">
        <v>13.94</v>
      </c>
      <c r="Y248">
        <v>27.82</v>
      </c>
      <c r="Z248">
        <v>88.28</v>
      </c>
      <c r="AA248">
        <v>602</v>
      </c>
      <c r="AB248">
        <v>0.1101</v>
      </c>
      <c r="AC248">
        <v>0.15079999999999999</v>
      </c>
      <c r="AD248">
        <v>0.2298</v>
      </c>
      <c r="AE248">
        <v>4.9700000000000001E-2</v>
      </c>
      <c r="AF248">
        <v>0.2767</v>
      </c>
      <c r="AG248">
        <v>7.1980000000000002E-2</v>
      </c>
    </row>
    <row r="249" spans="1:33">
      <c r="A249">
        <v>248</v>
      </c>
      <c r="B249">
        <v>884626</v>
      </c>
      <c r="C249" t="s">
        <v>1</v>
      </c>
      <c r="D249">
        <v>13.71</v>
      </c>
      <c r="E249">
        <v>14.11</v>
      </c>
      <c r="F249">
        <v>84.95</v>
      </c>
      <c r="G249">
        <v>512.20000000000005</v>
      </c>
      <c r="H249">
        <v>8.7599999999999997E-2</v>
      </c>
      <c r="I249">
        <v>0.1346</v>
      </c>
      <c r="J249">
        <v>0.13739999999999999</v>
      </c>
      <c r="K249">
        <v>3.9800000000000002E-2</v>
      </c>
      <c r="L249">
        <v>0.15959999999999999</v>
      </c>
      <c r="M249">
        <v>6.4089999999999994E-2</v>
      </c>
      <c r="N249">
        <v>0.20250000000000001</v>
      </c>
      <c r="O249">
        <v>0.44019999999999998</v>
      </c>
      <c r="P249">
        <v>2.3929999999999998</v>
      </c>
      <c r="Q249">
        <v>16.350000000000001</v>
      </c>
      <c r="R249">
        <v>5.5009999999999998E-3</v>
      </c>
      <c r="S249">
        <v>5.5919999999999997E-2</v>
      </c>
      <c r="T249">
        <v>8.158E-2</v>
      </c>
      <c r="U249">
        <v>1.37E-2</v>
      </c>
      <c r="V249">
        <v>1.2659999999999999E-2</v>
      </c>
      <c r="W249">
        <v>7.5550000000000001E-3</v>
      </c>
      <c r="X249">
        <v>14.39</v>
      </c>
      <c r="Y249">
        <v>17.7</v>
      </c>
      <c r="Z249">
        <v>105</v>
      </c>
      <c r="AA249">
        <v>639.1</v>
      </c>
      <c r="AB249">
        <v>0.12540000000000001</v>
      </c>
      <c r="AC249">
        <v>0.58489999999999998</v>
      </c>
      <c r="AD249">
        <v>0.77270000000000005</v>
      </c>
      <c r="AE249">
        <v>0.15609999999999999</v>
      </c>
      <c r="AF249">
        <v>0.26390000000000002</v>
      </c>
      <c r="AG249">
        <v>0.1178</v>
      </c>
    </row>
    <row r="250" spans="1:33">
      <c r="A250">
        <v>249</v>
      </c>
      <c r="B250">
        <v>88466802</v>
      </c>
      <c r="C250" t="s">
        <v>1</v>
      </c>
      <c r="D250">
        <v>13.71</v>
      </c>
      <c r="E250">
        <v>25.22</v>
      </c>
      <c r="F250">
        <v>68.010000000000005</v>
      </c>
      <c r="G250">
        <v>347</v>
      </c>
      <c r="H250">
        <v>9.6570000000000003E-2</v>
      </c>
      <c r="I250">
        <v>7.2340000000000002E-2</v>
      </c>
      <c r="J250">
        <v>2.3789999999999999E-2</v>
      </c>
      <c r="K250">
        <v>1.6150000000000001E-2</v>
      </c>
      <c r="L250">
        <v>0.18970000000000001</v>
      </c>
      <c r="M250">
        <v>6.3289999999999999E-2</v>
      </c>
      <c r="N250">
        <v>0.24970000000000001</v>
      </c>
      <c r="O250">
        <v>1.4930000000000001</v>
      </c>
      <c r="P250">
        <v>1.4970000000000001</v>
      </c>
      <c r="Q250">
        <v>16.64</v>
      </c>
      <c r="R250">
        <v>7.1890000000000001E-3</v>
      </c>
      <c r="S250">
        <v>1.035E-2</v>
      </c>
      <c r="T250">
        <v>1.081E-2</v>
      </c>
      <c r="U250">
        <v>6.2449999999999997E-3</v>
      </c>
      <c r="V250">
        <v>2.1579999999999998E-2</v>
      </c>
      <c r="W250">
        <v>2.6189999999999998E-3</v>
      </c>
      <c r="X250">
        <v>12.25</v>
      </c>
      <c r="Y250">
        <v>35.19</v>
      </c>
      <c r="Z250">
        <v>77.98</v>
      </c>
      <c r="AA250">
        <v>455.7</v>
      </c>
      <c r="AB250">
        <v>0.14990000000000001</v>
      </c>
      <c r="AC250">
        <v>0.13980000000000001</v>
      </c>
      <c r="AD250">
        <v>0.1125</v>
      </c>
      <c r="AE250">
        <v>6.1359999999999998E-2</v>
      </c>
      <c r="AF250">
        <v>0.34089999999999998</v>
      </c>
      <c r="AG250">
        <v>8.1470000000000001E-2</v>
      </c>
    </row>
    <row r="251" spans="1:33">
      <c r="A251">
        <v>250</v>
      </c>
      <c r="B251">
        <v>884689</v>
      </c>
      <c r="C251" t="s">
        <v>1</v>
      </c>
      <c r="D251">
        <v>13.71</v>
      </c>
      <c r="E251">
        <v>14.93</v>
      </c>
      <c r="F251">
        <v>73.87</v>
      </c>
      <c r="G251">
        <v>406.3</v>
      </c>
      <c r="H251">
        <v>0.1013</v>
      </c>
      <c r="I251">
        <v>7.8079999999999997E-2</v>
      </c>
      <c r="J251">
        <v>4.3279999999999999E-2</v>
      </c>
      <c r="K251">
        <v>2.929E-2</v>
      </c>
      <c r="L251">
        <v>0.1883</v>
      </c>
      <c r="M251">
        <v>6.1679999999999999E-2</v>
      </c>
      <c r="N251">
        <v>0.25619999999999998</v>
      </c>
      <c r="O251">
        <v>1.038</v>
      </c>
      <c r="P251">
        <v>1.6859999999999999</v>
      </c>
      <c r="Q251">
        <v>18.62</v>
      </c>
      <c r="R251">
        <v>6.6620000000000004E-3</v>
      </c>
      <c r="S251">
        <v>1.2279999999999999E-2</v>
      </c>
      <c r="T251">
        <v>2.1049999999999999E-2</v>
      </c>
      <c r="U251">
        <v>1.0059999999999999E-2</v>
      </c>
      <c r="V251">
        <v>1.677E-2</v>
      </c>
      <c r="W251">
        <v>2.784E-3</v>
      </c>
      <c r="X251">
        <v>12.65</v>
      </c>
      <c r="Y251">
        <v>21.19</v>
      </c>
      <c r="Z251">
        <v>80.88</v>
      </c>
      <c r="AA251">
        <v>491.8</v>
      </c>
      <c r="AB251">
        <v>0.1389</v>
      </c>
      <c r="AC251">
        <v>0.15820000000000001</v>
      </c>
      <c r="AD251">
        <v>0.1804</v>
      </c>
      <c r="AE251">
        <v>9.6079999999999999E-2</v>
      </c>
      <c r="AF251">
        <v>0.26640000000000003</v>
      </c>
      <c r="AG251">
        <v>7.8090000000000007E-2</v>
      </c>
    </row>
    <row r="252" spans="1:33">
      <c r="A252">
        <v>251</v>
      </c>
      <c r="B252">
        <v>884948</v>
      </c>
      <c r="C252" t="s">
        <v>0</v>
      </c>
      <c r="D252">
        <v>13.71</v>
      </c>
      <c r="E252">
        <v>23.56</v>
      </c>
      <c r="F252">
        <v>138.9</v>
      </c>
      <c r="G252">
        <v>1364</v>
      </c>
      <c r="H252">
        <v>0.1007</v>
      </c>
      <c r="I252">
        <v>0.16059999999999999</v>
      </c>
      <c r="J252">
        <v>0.2712</v>
      </c>
      <c r="K252">
        <v>0.13100000000000001</v>
      </c>
      <c r="L252">
        <v>0.2205</v>
      </c>
      <c r="M252">
        <v>5.8979999999999998E-2</v>
      </c>
      <c r="N252">
        <v>1.004</v>
      </c>
      <c r="O252">
        <v>0.82079999999999997</v>
      </c>
      <c r="P252">
        <v>6.3719999999999999</v>
      </c>
      <c r="Q252">
        <v>137.9</v>
      </c>
      <c r="R252">
        <v>5.2830000000000004E-3</v>
      </c>
      <c r="S252">
        <v>3.9079999999999997E-2</v>
      </c>
      <c r="T252">
        <v>9.5180000000000001E-2</v>
      </c>
      <c r="U252">
        <v>1.864E-2</v>
      </c>
      <c r="V252">
        <v>2.401E-2</v>
      </c>
      <c r="W252">
        <v>5.0020000000000004E-3</v>
      </c>
      <c r="X252">
        <v>25.58</v>
      </c>
      <c r="Y252">
        <v>27</v>
      </c>
      <c r="Z252">
        <v>165.3</v>
      </c>
      <c r="AA252">
        <v>2010</v>
      </c>
      <c r="AB252">
        <v>0.1211</v>
      </c>
      <c r="AC252">
        <v>0.31719999999999998</v>
      </c>
      <c r="AD252">
        <v>0.69910000000000005</v>
      </c>
      <c r="AE252">
        <v>0.21049999999999999</v>
      </c>
      <c r="AF252">
        <v>0.31259999999999999</v>
      </c>
      <c r="AG252">
        <v>7.8490000000000004E-2</v>
      </c>
    </row>
    <row r="253" spans="1:33">
      <c r="A253">
        <v>252</v>
      </c>
      <c r="B253">
        <v>88518501</v>
      </c>
      <c r="C253" t="s">
        <v>1</v>
      </c>
      <c r="D253">
        <v>13.71</v>
      </c>
      <c r="E253">
        <v>18.45</v>
      </c>
      <c r="F253">
        <v>73.28</v>
      </c>
      <c r="G253">
        <v>407.4</v>
      </c>
      <c r="H253">
        <v>9.3450000000000005E-2</v>
      </c>
      <c r="I253">
        <v>5.9909999999999998E-2</v>
      </c>
      <c r="J253">
        <v>2.6380000000000001E-2</v>
      </c>
      <c r="K253">
        <v>2.069E-2</v>
      </c>
      <c r="L253">
        <v>0.18340000000000001</v>
      </c>
      <c r="M253">
        <v>5.9339999999999997E-2</v>
      </c>
      <c r="N253">
        <v>0.39269999999999999</v>
      </c>
      <c r="O253">
        <v>0.84289999999999998</v>
      </c>
      <c r="P253">
        <v>2.6840000000000002</v>
      </c>
      <c r="Q253">
        <v>26.99</v>
      </c>
      <c r="R253">
        <v>6.3800000000000003E-3</v>
      </c>
      <c r="S253">
        <v>1.065E-2</v>
      </c>
      <c r="T253">
        <v>1.2449999999999999E-2</v>
      </c>
      <c r="U253">
        <v>9.1750000000000009E-3</v>
      </c>
      <c r="V253">
        <v>2.2919999999999999E-2</v>
      </c>
      <c r="W253">
        <v>1.4610000000000001E-3</v>
      </c>
      <c r="X253">
        <v>12.97</v>
      </c>
      <c r="Y253">
        <v>22.46</v>
      </c>
      <c r="Z253">
        <v>83.12</v>
      </c>
      <c r="AA253">
        <v>508.9</v>
      </c>
      <c r="AB253">
        <v>0.1183</v>
      </c>
      <c r="AC253">
        <v>0.10489999999999999</v>
      </c>
      <c r="AD253">
        <v>8.1049999999999997E-2</v>
      </c>
      <c r="AE253">
        <v>6.5439999999999998E-2</v>
      </c>
      <c r="AF253">
        <v>0.27400000000000002</v>
      </c>
      <c r="AG253">
        <v>6.4869999999999997E-2</v>
      </c>
    </row>
    <row r="254" spans="1:33">
      <c r="A254">
        <v>253</v>
      </c>
      <c r="B254">
        <v>885429</v>
      </c>
      <c r="C254" t="s">
        <v>0</v>
      </c>
      <c r="D254">
        <v>13.71</v>
      </c>
      <c r="E254">
        <v>19.82</v>
      </c>
      <c r="F254">
        <v>130.69999999999999</v>
      </c>
      <c r="G254">
        <v>1206</v>
      </c>
      <c r="H254">
        <v>0.1062</v>
      </c>
      <c r="I254">
        <v>0.18490000000000001</v>
      </c>
      <c r="J254">
        <v>0.2417</v>
      </c>
      <c r="K254">
        <v>9.74E-2</v>
      </c>
      <c r="L254">
        <v>0.17330000000000001</v>
      </c>
      <c r="M254">
        <v>6.6970000000000002E-2</v>
      </c>
      <c r="N254">
        <v>0.7661</v>
      </c>
      <c r="O254">
        <v>0.78</v>
      </c>
      <c r="P254">
        <v>4.1150000000000002</v>
      </c>
      <c r="Q254">
        <v>92.81</v>
      </c>
      <c r="R254">
        <v>8.482E-3</v>
      </c>
      <c r="S254">
        <v>5.0569999999999997E-2</v>
      </c>
      <c r="T254">
        <v>6.8000000000000005E-2</v>
      </c>
      <c r="U254">
        <v>1.9709999999999998E-2</v>
      </c>
      <c r="V254">
        <v>1.4670000000000001E-2</v>
      </c>
      <c r="W254">
        <v>7.2589999999999998E-3</v>
      </c>
      <c r="X254">
        <v>25.28</v>
      </c>
      <c r="Y254">
        <v>25.59</v>
      </c>
      <c r="Z254">
        <v>159.80000000000001</v>
      </c>
      <c r="AA254">
        <v>1933</v>
      </c>
      <c r="AB254">
        <v>0.17100000000000001</v>
      </c>
      <c r="AC254">
        <v>0.59550000000000003</v>
      </c>
      <c r="AD254">
        <v>0.84889999999999999</v>
      </c>
      <c r="AE254">
        <v>0.25069999999999998</v>
      </c>
      <c r="AF254">
        <v>0.27489999999999998</v>
      </c>
      <c r="AG254">
        <v>0.12970000000000001</v>
      </c>
    </row>
    <row r="255" spans="1:33">
      <c r="A255">
        <v>254</v>
      </c>
      <c r="B255">
        <v>8860702</v>
      </c>
      <c r="C255" t="s">
        <v>0</v>
      </c>
      <c r="D255">
        <v>13.71</v>
      </c>
      <c r="E255">
        <v>17.079999999999998</v>
      </c>
      <c r="F255">
        <v>113</v>
      </c>
      <c r="G255">
        <v>928.2</v>
      </c>
      <c r="H255">
        <v>0.1008</v>
      </c>
      <c r="I255">
        <v>0.1041</v>
      </c>
      <c r="J255">
        <v>0.12659999999999999</v>
      </c>
      <c r="K255">
        <v>8.3529999999999993E-2</v>
      </c>
      <c r="L255">
        <v>0.18129999999999999</v>
      </c>
      <c r="M255">
        <v>5.6129999999999999E-2</v>
      </c>
      <c r="N255">
        <v>0.30930000000000002</v>
      </c>
      <c r="O255">
        <v>0.85680000000000001</v>
      </c>
      <c r="P255">
        <v>2.1930000000000001</v>
      </c>
      <c r="Q255">
        <v>33.630000000000003</v>
      </c>
      <c r="R255">
        <v>4.7569999999999999E-3</v>
      </c>
      <c r="S255">
        <v>1.503E-2</v>
      </c>
      <c r="T255">
        <v>2.332E-2</v>
      </c>
      <c r="U255">
        <v>1.2619999999999999E-2</v>
      </c>
      <c r="V255">
        <v>1.3939999999999999E-2</v>
      </c>
      <c r="W255">
        <v>2.362E-3</v>
      </c>
      <c r="X255">
        <v>19.850000000000001</v>
      </c>
      <c r="Y255">
        <v>25.09</v>
      </c>
      <c r="Z255">
        <v>130.9</v>
      </c>
      <c r="AA255">
        <v>1222</v>
      </c>
      <c r="AB255">
        <v>0.1416</v>
      </c>
      <c r="AC255">
        <v>0.24049999999999999</v>
      </c>
      <c r="AD255">
        <v>0.33779999999999999</v>
      </c>
      <c r="AE255">
        <v>0.1857</v>
      </c>
      <c r="AF255">
        <v>0.31380000000000002</v>
      </c>
      <c r="AG255">
        <v>8.1129999999999994E-2</v>
      </c>
    </row>
    <row r="256" spans="1:33">
      <c r="A256">
        <v>255</v>
      </c>
      <c r="B256">
        <v>886226</v>
      </c>
      <c r="C256" t="s">
        <v>0</v>
      </c>
      <c r="D256">
        <v>13.71</v>
      </c>
      <c r="E256">
        <v>19.329999999999998</v>
      </c>
      <c r="F256">
        <v>126.5</v>
      </c>
      <c r="G256">
        <v>1169</v>
      </c>
      <c r="H256">
        <v>0.10349999999999999</v>
      </c>
      <c r="I256">
        <v>0.1188</v>
      </c>
      <c r="J256">
        <v>0.13789999999999999</v>
      </c>
      <c r="K256">
        <v>8.591E-2</v>
      </c>
      <c r="L256">
        <v>0.17760000000000001</v>
      </c>
      <c r="M256">
        <v>5.6469999999999999E-2</v>
      </c>
      <c r="N256">
        <v>0.59589999999999999</v>
      </c>
      <c r="O256">
        <v>0.63419999999999999</v>
      </c>
      <c r="P256">
        <v>3.7970000000000002</v>
      </c>
      <c r="Q256">
        <v>71</v>
      </c>
      <c r="R256">
        <v>4.6490000000000004E-3</v>
      </c>
      <c r="S256">
        <v>1.7999999999999999E-2</v>
      </c>
      <c r="T256">
        <v>2.7490000000000001E-2</v>
      </c>
      <c r="U256">
        <v>1.2670000000000001E-2</v>
      </c>
      <c r="V256">
        <v>1.3650000000000001E-2</v>
      </c>
      <c r="W256">
        <v>2.5500000000000002E-3</v>
      </c>
      <c r="X256">
        <v>25.7</v>
      </c>
      <c r="Y256">
        <v>24.57</v>
      </c>
      <c r="Z256">
        <v>163.1</v>
      </c>
      <c r="AA256">
        <v>1972</v>
      </c>
      <c r="AB256">
        <v>0.1497</v>
      </c>
      <c r="AC256">
        <v>0.31609999999999999</v>
      </c>
      <c r="AD256">
        <v>0.43169999999999997</v>
      </c>
      <c r="AE256">
        <v>0.19989999999999999</v>
      </c>
      <c r="AF256">
        <v>0.33789999999999998</v>
      </c>
      <c r="AG256">
        <v>8.9499999999999996E-2</v>
      </c>
    </row>
    <row r="257" spans="1:33">
      <c r="A257">
        <v>256</v>
      </c>
      <c r="B257">
        <v>886452</v>
      </c>
      <c r="C257" t="s">
        <v>0</v>
      </c>
      <c r="D257">
        <v>13.71</v>
      </c>
      <c r="E257">
        <v>17.05</v>
      </c>
      <c r="F257">
        <v>91.43</v>
      </c>
      <c r="G257">
        <v>602.4</v>
      </c>
      <c r="H257">
        <v>0.1096</v>
      </c>
      <c r="I257">
        <v>0.12790000000000001</v>
      </c>
      <c r="J257">
        <v>9.7890000000000005E-2</v>
      </c>
      <c r="K257">
        <v>5.246E-2</v>
      </c>
      <c r="L257">
        <v>0.1908</v>
      </c>
      <c r="M257">
        <v>6.13E-2</v>
      </c>
      <c r="N257">
        <v>0.42499999999999999</v>
      </c>
      <c r="O257">
        <v>0.80979999999999996</v>
      </c>
      <c r="P257">
        <v>2.5630000000000002</v>
      </c>
      <c r="Q257">
        <v>35.74</v>
      </c>
      <c r="R257">
        <v>6.3509999999999999E-3</v>
      </c>
      <c r="S257">
        <v>2.6790000000000001E-2</v>
      </c>
      <c r="T257">
        <v>3.1189999999999999E-2</v>
      </c>
      <c r="U257">
        <v>1.342E-2</v>
      </c>
      <c r="V257">
        <v>2.0619999999999999E-2</v>
      </c>
      <c r="W257">
        <v>2.6949999999999999E-3</v>
      </c>
      <c r="X257">
        <v>16.39</v>
      </c>
      <c r="Y257">
        <v>22.07</v>
      </c>
      <c r="Z257">
        <v>108.1</v>
      </c>
      <c r="AA257">
        <v>826</v>
      </c>
      <c r="AB257">
        <v>0.1512</v>
      </c>
      <c r="AC257">
        <v>0.32619999999999999</v>
      </c>
      <c r="AD257">
        <v>0.32090000000000002</v>
      </c>
      <c r="AE257">
        <v>0.13739999999999999</v>
      </c>
      <c r="AF257">
        <v>0.30680000000000002</v>
      </c>
      <c r="AG257">
        <v>7.9570000000000002E-2</v>
      </c>
    </row>
    <row r="258" spans="1:33">
      <c r="A258">
        <v>257</v>
      </c>
      <c r="B258">
        <v>88649001</v>
      </c>
      <c r="C258" t="s">
        <v>0</v>
      </c>
      <c r="D258">
        <v>13.71</v>
      </c>
      <c r="E258">
        <v>28.77</v>
      </c>
      <c r="F258">
        <v>133.6</v>
      </c>
      <c r="G258">
        <v>1207</v>
      </c>
      <c r="H258">
        <v>9.2600000000000002E-2</v>
      </c>
      <c r="I258">
        <v>0.20630000000000001</v>
      </c>
      <c r="J258">
        <v>0.1784</v>
      </c>
      <c r="K258">
        <v>0.1144</v>
      </c>
      <c r="L258">
        <v>0.1893</v>
      </c>
      <c r="M258">
        <v>6.232E-2</v>
      </c>
      <c r="N258">
        <v>0.84260000000000002</v>
      </c>
      <c r="O258">
        <v>1.1990000000000001</v>
      </c>
      <c r="P258">
        <v>7.1580000000000004</v>
      </c>
      <c r="Q258">
        <v>106.4</v>
      </c>
      <c r="R258">
        <v>6.3559999999999997E-3</v>
      </c>
      <c r="S258">
        <v>4.7649999999999998E-2</v>
      </c>
      <c r="T258">
        <v>3.8629999999999998E-2</v>
      </c>
      <c r="U258">
        <v>1.519E-2</v>
      </c>
      <c r="V258">
        <v>1.9359999999999999E-2</v>
      </c>
      <c r="W258">
        <v>5.2519999999999997E-3</v>
      </c>
      <c r="X258">
        <v>25.05</v>
      </c>
      <c r="Y258">
        <v>36.270000000000003</v>
      </c>
      <c r="Z258">
        <v>178.6</v>
      </c>
      <c r="AA258">
        <v>1926</v>
      </c>
      <c r="AB258">
        <v>0.12809999999999999</v>
      </c>
      <c r="AC258">
        <v>0.53290000000000004</v>
      </c>
      <c r="AD258">
        <v>0.42509999999999998</v>
      </c>
      <c r="AE258">
        <v>0.19409999999999999</v>
      </c>
      <c r="AF258">
        <v>0.28179999999999999</v>
      </c>
      <c r="AG258">
        <v>0.10050000000000001</v>
      </c>
    </row>
    <row r="259" spans="1:33">
      <c r="A259">
        <v>258</v>
      </c>
      <c r="B259">
        <v>886776</v>
      </c>
      <c r="C259" t="s">
        <v>0</v>
      </c>
      <c r="D259">
        <v>13.71</v>
      </c>
      <c r="E259">
        <v>17.27</v>
      </c>
      <c r="F259">
        <v>103.2</v>
      </c>
      <c r="G259">
        <v>713.3</v>
      </c>
      <c r="H259">
        <v>0.13350000000000001</v>
      </c>
      <c r="I259">
        <v>0.22839999999999999</v>
      </c>
      <c r="J259">
        <v>0.24479999999999999</v>
      </c>
      <c r="K259">
        <v>0.1242</v>
      </c>
      <c r="L259">
        <v>0.23980000000000001</v>
      </c>
      <c r="M259">
        <v>7.596E-2</v>
      </c>
      <c r="N259">
        <v>0.65920000000000001</v>
      </c>
      <c r="O259">
        <v>1.0589999999999999</v>
      </c>
      <c r="P259">
        <v>4.0609999999999999</v>
      </c>
      <c r="Q259">
        <v>59.46</v>
      </c>
      <c r="R259">
        <v>1.0149999999999999E-2</v>
      </c>
      <c r="S259">
        <v>4.5879999999999997E-2</v>
      </c>
      <c r="T259">
        <v>4.9829999999999999E-2</v>
      </c>
      <c r="U259">
        <v>2.1270000000000001E-2</v>
      </c>
      <c r="V259">
        <v>1.8839999999999999E-2</v>
      </c>
      <c r="W259">
        <v>8.6599999999999993E-3</v>
      </c>
      <c r="X259">
        <v>17.73</v>
      </c>
      <c r="Y259">
        <v>22.66</v>
      </c>
      <c r="Z259">
        <v>119.8</v>
      </c>
      <c r="AA259">
        <v>928.8</v>
      </c>
      <c r="AB259">
        <v>0.17649999999999999</v>
      </c>
      <c r="AC259">
        <v>0.45029999999999998</v>
      </c>
      <c r="AD259">
        <v>0.44290000000000002</v>
      </c>
      <c r="AE259">
        <v>0.22289999999999999</v>
      </c>
      <c r="AF259">
        <v>0.32579999999999998</v>
      </c>
      <c r="AG259">
        <v>0.1191</v>
      </c>
    </row>
    <row r="260" spans="1:33">
      <c r="A260">
        <v>259</v>
      </c>
      <c r="B260">
        <v>887181</v>
      </c>
      <c r="C260" t="s">
        <v>0</v>
      </c>
      <c r="D260">
        <v>13.71</v>
      </c>
      <c r="E260">
        <v>23.2</v>
      </c>
      <c r="F260">
        <v>110.2</v>
      </c>
      <c r="G260">
        <v>773.5</v>
      </c>
      <c r="H260">
        <v>0.1109</v>
      </c>
      <c r="I260">
        <v>0.31140000000000001</v>
      </c>
      <c r="J260">
        <v>0.31759999999999999</v>
      </c>
      <c r="K260">
        <v>0.13769999999999999</v>
      </c>
      <c r="L260">
        <v>0.2495</v>
      </c>
      <c r="M260">
        <v>8.1040000000000001E-2</v>
      </c>
      <c r="N260">
        <v>1.292</v>
      </c>
      <c r="O260">
        <v>2.4540000000000002</v>
      </c>
      <c r="P260">
        <v>10.119999999999999</v>
      </c>
      <c r="Q260">
        <v>138.5</v>
      </c>
      <c r="R260">
        <v>1.2359999999999999E-2</v>
      </c>
      <c r="S260">
        <v>5.9950000000000003E-2</v>
      </c>
      <c r="T260">
        <v>8.2320000000000004E-2</v>
      </c>
      <c r="U260">
        <v>3.024E-2</v>
      </c>
      <c r="V260">
        <v>2.3369999999999998E-2</v>
      </c>
      <c r="W260">
        <v>6.0419999999999996E-3</v>
      </c>
      <c r="X260">
        <v>19.850000000000001</v>
      </c>
      <c r="Y260">
        <v>31.64</v>
      </c>
      <c r="Z260">
        <v>143.69999999999999</v>
      </c>
      <c r="AA260">
        <v>1226</v>
      </c>
      <c r="AB260">
        <v>0.15040000000000001</v>
      </c>
      <c r="AC260">
        <v>0.51719999999999999</v>
      </c>
      <c r="AD260">
        <v>0.61809999999999998</v>
      </c>
      <c r="AE260">
        <v>0.2462</v>
      </c>
      <c r="AF260">
        <v>0.32769999999999999</v>
      </c>
      <c r="AG260">
        <v>0.1019</v>
      </c>
    </row>
    <row r="261" spans="1:33">
      <c r="A261">
        <v>260</v>
      </c>
      <c r="B261">
        <v>88725602</v>
      </c>
      <c r="C261" t="s">
        <v>0</v>
      </c>
      <c r="D261">
        <v>13.71</v>
      </c>
      <c r="E261">
        <v>33.56</v>
      </c>
      <c r="F261">
        <v>103.7</v>
      </c>
      <c r="G261">
        <v>744.9</v>
      </c>
      <c r="H261">
        <v>0.10630000000000001</v>
      </c>
      <c r="I261">
        <v>0.16389999999999999</v>
      </c>
      <c r="J261">
        <v>0.17510000000000001</v>
      </c>
      <c r="K261">
        <v>8.3989999999999995E-2</v>
      </c>
      <c r="L261">
        <v>0.20910000000000001</v>
      </c>
      <c r="M261">
        <v>6.6500000000000004E-2</v>
      </c>
      <c r="N261">
        <v>0.2419</v>
      </c>
      <c r="O261">
        <v>1.278</v>
      </c>
      <c r="P261">
        <v>1.903</v>
      </c>
      <c r="Q261">
        <v>23.02</v>
      </c>
      <c r="R261">
        <v>5.3449999999999999E-3</v>
      </c>
      <c r="S261">
        <v>2.5559999999999999E-2</v>
      </c>
      <c r="T261">
        <v>2.8889999999999999E-2</v>
      </c>
      <c r="U261">
        <v>1.022E-2</v>
      </c>
      <c r="V261">
        <v>9.9469999999999992E-3</v>
      </c>
      <c r="W261">
        <v>3.359E-3</v>
      </c>
      <c r="X261">
        <v>18.489999999999998</v>
      </c>
      <c r="Y261">
        <v>49.54</v>
      </c>
      <c r="Z261">
        <v>126.3</v>
      </c>
      <c r="AA261">
        <v>1035</v>
      </c>
      <c r="AB261">
        <v>0.1883</v>
      </c>
      <c r="AC261">
        <v>0.55640000000000001</v>
      </c>
      <c r="AD261">
        <v>0.57030000000000003</v>
      </c>
      <c r="AE261">
        <v>0.2014</v>
      </c>
      <c r="AF261">
        <v>0.35120000000000001</v>
      </c>
      <c r="AG261">
        <v>0.12039999999999999</v>
      </c>
    </row>
    <row r="262" spans="1:33">
      <c r="A262">
        <v>261</v>
      </c>
      <c r="B262">
        <v>887549</v>
      </c>
      <c r="C262" t="s">
        <v>0</v>
      </c>
      <c r="D262">
        <v>13.71</v>
      </c>
      <c r="E262">
        <v>27.06</v>
      </c>
      <c r="F262">
        <v>132.9</v>
      </c>
      <c r="G262">
        <v>1288</v>
      </c>
      <c r="H262">
        <v>0.1</v>
      </c>
      <c r="I262">
        <v>0.10879999999999999</v>
      </c>
      <c r="J262">
        <v>0.15190000000000001</v>
      </c>
      <c r="K262">
        <v>9.3329999999999996E-2</v>
      </c>
      <c r="L262">
        <v>0.18140000000000001</v>
      </c>
      <c r="M262">
        <v>5.5719999999999999E-2</v>
      </c>
      <c r="N262">
        <v>0.3977</v>
      </c>
      <c r="O262">
        <v>1.0329999999999999</v>
      </c>
      <c r="P262">
        <v>2.5870000000000002</v>
      </c>
      <c r="Q262">
        <v>52.34</v>
      </c>
      <c r="R262">
        <v>5.0429999999999997E-3</v>
      </c>
      <c r="S262">
        <v>1.5779999999999999E-2</v>
      </c>
      <c r="T262">
        <v>2.1170000000000001E-2</v>
      </c>
      <c r="U262">
        <v>8.1849999999999996E-3</v>
      </c>
      <c r="V262">
        <v>1.282E-2</v>
      </c>
      <c r="W262">
        <v>1.892E-3</v>
      </c>
      <c r="X262">
        <v>24.33</v>
      </c>
      <c r="Y262">
        <v>39.159999999999997</v>
      </c>
      <c r="Z262">
        <v>162.30000000000001</v>
      </c>
      <c r="AA262">
        <v>1844</v>
      </c>
      <c r="AB262">
        <v>0.1522</v>
      </c>
      <c r="AC262">
        <v>0.29449999999999998</v>
      </c>
      <c r="AD262">
        <v>0.37880000000000003</v>
      </c>
      <c r="AE262">
        <v>0.16969999999999999</v>
      </c>
      <c r="AF262">
        <v>0.31509999999999999</v>
      </c>
      <c r="AG262">
        <v>7.9990000000000006E-2</v>
      </c>
    </row>
    <row r="263" spans="1:33">
      <c r="A263">
        <v>262</v>
      </c>
      <c r="B263">
        <v>888264</v>
      </c>
      <c r="C263" t="s">
        <v>0</v>
      </c>
      <c r="D263">
        <v>13.71</v>
      </c>
      <c r="E263">
        <v>23.06</v>
      </c>
      <c r="F263">
        <v>111</v>
      </c>
      <c r="G263">
        <v>933.1</v>
      </c>
      <c r="H263">
        <v>8.6620000000000003E-2</v>
      </c>
      <c r="I263">
        <v>6.2899999999999998E-2</v>
      </c>
      <c r="J263">
        <v>2.8910000000000002E-2</v>
      </c>
      <c r="K263">
        <v>2.8369999999999999E-2</v>
      </c>
      <c r="L263">
        <v>0.15640000000000001</v>
      </c>
      <c r="M263">
        <v>5.3069999999999999E-2</v>
      </c>
      <c r="N263">
        <v>0.4007</v>
      </c>
      <c r="O263">
        <v>1.3169999999999999</v>
      </c>
      <c r="P263">
        <v>2.577</v>
      </c>
      <c r="Q263">
        <v>44.41</v>
      </c>
      <c r="R263">
        <v>5.7260000000000002E-3</v>
      </c>
      <c r="S263">
        <v>1.106E-2</v>
      </c>
      <c r="T263">
        <v>1.2460000000000001E-2</v>
      </c>
      <c r="U263">
        <v>7.6709999999999999E-3</v>
      </c>
      <c r="V263">
        <v>1.4109999999999999E-2</v>
      </c>
      <c r="W263">
        <v>1.578E-3</v>
      </c>
      <c r="X263">
        <v>19.850000000000001</v>
      </c>
      <c r="Y263">
        <v>31.47</v>
      </c>
      <c r="Z263">
        <v>128.19999999999999</v>
      </c>
      <c r="AA263">
        <v>1218</v>
      </c>
      <c r="AB263">
        <v>0.124</v>
      </c>
      <c r="AC263">
        <v>0.14860000000000001</v>
      </c>
      <c r="AD263">
        <v>0.1211</v>
      </c>
      <c r="AE263">
        <v>8.2350000000000007E-2</v>
      </c>
      <c r="AF263">
        <v>0.2452</v>
      </c>
      <c r="AG263">
        <v>6.515E-2</v>
      </c>
    </row>
    <row r="264" spans="1:33">
      <c r="A264">
        <v>263</v>
      </c>
      <c r="B264">
        <v>888570</v>
      </c>
      <c r="C264" t="s">
        <v>0</v>
      </c>
      <c r="D264">
        <v>13.71</v>
      </c>
      <c r="E264">
        <v>22.13</v>
      </c>
      <c r="F264">
        <v>114.4</v>
      </c>
      <c r="G264">
        <v>947.8</v>
      </c>
      <c r="H264">
        <v>8.9990000000000001E-2</v>
      </c>
      <c r="I264">
        <v>0.1273</v>
      </c>
      <c r="J264">
        <v>9.6970000000000001E-2</v>
      </c>
      <c r="K264">
        <v>7.5069999999999998E-2</v>
      </c>
      <c r="L264">
        <v>0.21079999999999999</v>
      </c>
      <c r="M264">
        <v>5.4640000000000001E-2</v>
      </c>
      <c r="N264">
        <v>0.83479999999999999</v>
      </c>
      <c r="O264">
        <v>1.633</v>
      </c>
      <c r="P264">
        <v>6.1459999999999999</v>
      </c>
      <c r="Q264">
        <v>90.94</v>
      </c>
      <c r="R264">
        <v>6.7169999999999999E-3</v>
      </c>
      <c r="S264">
        <v>5.9810000000000002E-2</v>
      </c>
      <c r="T264">
        <v>4.6379999999999998E-2</v>
      </c>
      <c r="U264">
        <v>2.1489999999999999E-2</v>
      </c>
      <c r="V264">
        <v>2.7470000000000001E-2</v>
      </c>
      <c r="W264">
        <v>5.8380000000000003E-3</v>
      </c>
      <c r="X264">
        <v>20.39</v>
      </c>
      <c r="Y264">
        <v>27.24</v>
      </c>
      <c r="Z264">
        <v>137.9</v>
      </c>
      <c r="AA264">
        <v>1295</v>
      </c>
      <c r="AB264">
        <v>0.1134</v>
      </c>
      <c r="AC264">
        <v>0.28670000000000001</v>
      </c>
      <c r="AD264">
        <v>0.2298</v>
      </c>
      <c r="AE264">
        <v>0.15279999999999999</v>
      </c>
      <c r="AF264">
        <v>0.30669999999999997</v>
      </c>
      <c r="AG264">
        <v>7.4840000000000004E-2</v>
      </c>
    </row>
    <row r="265" spans="1:33">
      <c r="A265">
        <v>264</v>
      </c>
      <c r="B265">
        <v>889403</v>
      </c>
      <c r="C265" t="s">
        <v>0</v>
      </c>
      <c r="D265">
        <v>13.71</v>
      </c>
      <c r="E265">
        <v>19.38</v>
      </c>
      <c r="F265">
        <v>100</v>
      </c>
      <c r="G265">
        <v>758.6</v>
      </c>
      <c r="H265">
        <v>7.8399999999999997E-2</v>
      </c>
      <c r="I265">
        <v>5.6160000000000002E-2</v>
      </c>
      <c r="J265">
        <v>4.2090000000000002E-2</v>
      </c>
      <c r="K265">
        <v>2.8469999999999999E-2</v>
      </c>
      <c r="L265">
        <v>0.1547</v>
      </c>
      <c r="M265">
        <v>5.4429999999999999E-2</v>
      </c>
      <c r="N265">
        <v>0.2298</v>
      </c>
      <c r="O265">
        <v>0.99880000000000002</v>
      </c>
      <c r="P265">
        <v>1.534</v>
      </c>
      <c r="Q265">
        <v>22.18</v>
      </c>
      <c r="R265">
        <v>2.826E-3</v>
      </c>
      <c r="S265">
        <v>9.1050000000000002E-3</v>
      </c>
      <c r="T265">
        <v>1.311E-2</v>
      </c>
      <c r="U265">
        <v>5.1739999999999998E-3</v>
      </c>
      <c r="V265">
        <v>1.013E-2</v>
      </c>
      <c r="W265">
        <v>1.3450000000000001E-3</v>
      </c>
      <c r="X265">
        <v>17.91</v>
      </c>
      <c r="Y265">
        <v>31.67</v>
      </c>
      <c r="Z265">
        <v>115.9</v>
      </c>
      <c r="AA265">
        <v>988.6</v>
      </c>
      <c r="AB265">
        <v>0.1084</v>
      </c>
      <c r="AC265">
        <v>0.1807</v>
      </c>
      <c r="AD265">
        <v>0.22600000000000001</v>
      </c>
      <c r="AE265">
        <v>8.5680000000000006E-2</v>
      </c>
      <c r="AF265">
        <v>0.26829999999999998</v>
      </c>
      <c r="AG265">
        <v>6.8290000000000003E-2</v>
      </c>
    </row>
    <row r="266" spans="1:33">
      <c r="A266">
        <v>265</v>
      </c>
      <c r="B266">
        <v>889719</v>
      </c>
      <c r="C266" t="s">
        <v>0</v>
      </c>
      <c r="D266">
        <v>13.71</v>
      </c>
      <c r="E266">
        <v>22.07</v>
      </c>
      <c r="F266">
        <v>111.6</v>
      </c>
      <c r="G266">
        <v>928.3</v>
      </c>
      <c r="H266">
        <v>9.7259999999999999E-2</v>
      </c>
      <c r="I266">
        <v>8.9950000000000002E-2</v>
      </c>
      <c r="J266">
        <v>9.0609999999999996E-2</v>
      </c>
      <c r="K266">
        <v>6.5269999999999995E-2</v>
      </c>
      <c r="L266">
        <v>0.1867</v>
      </c>
      <c r="M266">
        <v>5.5800000000000002E-2</v>
      </c>
      <c r="N266">
        <v>0.42030000000000001</v>
      </c>
      <c r="O266">
        <v>0.73829999999999996</v>
      </c>
      <c r="P266">
        <v>2.819</v>
      </c>
      <c r="Q266">
        <v>45.42</v>
      </c>
      <c r="R266">
        <v>4.4929999999999996E-3</v>
      </c>
      <c r="S266">
        <v>1.206E-2</v>
      </c>
      <c r="T266">
        <v>2.0480000000000002E-2</v>
      </c>
      <c r="U266">
        <v>9.8750000000000001E-3</v>
      </c>
      <c r="V266">
        <v>1.1440000000000001E-2</v>
      </c>
      <c r="W266">
        <v>1.575E-3</v>
      </c>
      <c r="X266">
        <v>21.58</v>
      </c>
      <c r="Y266">
        <v>29.33</v>
      </c>
      <c r="Z266">
        <v>140.5</v>
      </c>
      <c r="AA266">
        <v>1436</v>
      </c>
      <c r="AB266">
        <v>0.15579999999999999</v>
      </c>
      <c r="AC266">
        <v>0.25669999999999998</v>
      </c>
      <c r="AD266">
        <v>0.38890000000000002</v>
      </c>
      <c r="AE266">
        <v>0.19839999999999999</v>
      </c>
      <c r="AF266">
        <v>0.3216</v>
      </c>
      <c r="AG266">
        <v>7.5700000000000003E-2</v>
      </c>
    </row>
    <row r="267" spans="1:33">
      <c r="A267">
        <v>266</v>
      </c>
      <c r="B267">
        <v>88995002</v>
      </c>
      <c r="C267" t="s">
        <v>0</v>
      </c>
      <c r="D267">
        <v>13.71</v>
      </c>
      <c r="E267">
        <v>31.12</v>
      </c>
      <c r="F267">
        <v>135.69999999999999</v>
      </c>
      <c r="G267">
        <v>1419</v>
      </c>
      <c r="H267">
        <v>9.4689999999999996E-2</v>
      </c>
      <c r="I267">
        <v>0.1143</v>
      </c>
      <c r="J267">
        <v>0.13669999999999999</v>
      </c>
      <c r="K267">
        <v>8.6459999999999995E-2</v>
      </c>
      <c r="L267">
        <v>0.1769</v>
      </c>
      <c r="M267">
        <v>5.6739999999999999E-2</v>
      </c>
      <c r="N267">
        <v>1.1719999999999999</v>
      </c>
      <c r="O267">
        <v>1.617</v>
      </c>
      <c r="P267">
        <v>7.7489999999999997</v>
      </c>
      <c r="Q267">
        <v>199.7</v>
      </c>
      <c r="R267">
        <v>4.5510000000000004E-3</v>
      </c>
      <c r="S267">
        <v>1.478E-2</v>
      </c>
      <c r="T267">
        <v>2.1430000000000001E-2</v>
      </c>
      <c r="U267">
        <v>9.2800000000000001E-3</v>
      </c>
      <c r="V267">
        <v>1.367E-2</v>
      </c>
      <c r="W267">
        <v>2.2989999999999998E-3</v>
      </c>
      <c r="X267">
        <v>32.49</v>
      </c>
      <c r="Y267">
        <v>47.16</v>
      </c>
      <c r="Z267">
        <v>214</v>
      </c>
      <c r="AA267">
        <v>3432</v>
      </c>
      <c r="AB267">
        <v>0.1401</v>
      </c>
      <c r="AC267">
        <v>0.26440000000000002</v>
      </c>
      <c r="AD267">
        <v>0.34420000000000001</v>
      </c>
      <c r="AE267">
        <v>0.16589999999999999</v>
      </c>
      <c r="AF267">
        <v>0.2868</v>
      </c>
      <c r="AG267">
        <v>8.2180000000000003E-2</v>
      </c>
    </row>
    <row r="268" spans="1:33">
      <c r="A268">
        <v>267</v>
      </c>
      <c r="B268">
        <v>8910251</v>
      </c>
      <c r="C268" t="s">
        <v>1</v>
      </c>
      <c r="D268">
        <v>13.71</v>
      </c>
      <c r="E268">
        <v>18.95</v>
      </c>
      <c r="F268">
        <v>69.28</v>
      </c>
      <c r="G268">
        <v>346.4</v>
      </c>
      <c r="H268">
        <v>9.6879999999999994E-2</v>
      </c>
      <c r="I268">
        <v>0.1147</v>
      </c>
      <c r="J268">
        <v>6.3869999999999996E-2</v>
      </c>
      <c r="K268">
        <v>2.6419999999999999E-2</v>
      </c>
      <c r="L268">
        <v>0.19220000000000001</v>
      </c>
      <c r="M268">
        <v>6.4909999999999995E-2</v>
      </c>
      <c r="N268">
        <v>0.45050000000000001</v>
      </c>
      <c r="O268">
        <v>1.1970000000000001</v>
      </c>
      <c r="P268">
        <v>3.43</v>
      </c>
      <c r="Q268">
        <v>27.1</v>
      </c>
      <c r="R268">
        <v>7.4700000000000001E-3</v>
      </c>
      <c r="S268">
        <v>3.5810000000000002E-2</v>
      </c>
      <c r="T268">
        <v>3.354E-2</v>
      </c>
      <c r="U268">
        <v>1.3650000000000001E-2</v>
      </c>
      <c r="V268">
        <v>3.5040000000000002E-2</v>
      </c>
      <c r="W268">
        <v>3.3180000000000002E-3</v>
      </c>
      <c r="X268">
        <v>11.88</v>
      </c>
      <c r="Y268">
        <v>22.94</v>
      </c>
      <c r="Z268">
        <v>78.28</v>
      </c>
      <c r="AA268">
        <v>424.8</v>
      </c>
      <c r="AB268">
        <v>0.12130000000000001</v>
      </c>
      <c r="AC268">
        <v>0.2515</v>
      </c>
      <c r="AD268">
        <v>0.19159999999999999</v>
      </c>
      <c r="AE268">
        <v>7.9259999999999997E-2</v>
      </c>
      <c r="AF268">
        <v>0.29399999999999998</v>
      </c>
      <c r="AG268">
        <v>7.5870000000000007E-2</v>
      </c>
    </row>
    <row r="269" spans="1:33">
      <c r="A269">
        <v>268</v>
      </c>
      <c r="B269">
        <v>8910499</v>
      </c>
      <c r="C269" t="s">
        <v>1</v>
      </c>
      <c r="D269">
        <v>13.71</v>
      </c>
      <c r="E269">
        <v>21.84</v>
      </c>
      <c r="F269">
        <v>87.16</v>
      </c>
      <c r="G269">
        <v>561</v>
      </c>
      <c r="H269">
        <v>7.9560000000000006E-2</v>
      </c>
      <c r="I269">
        <v>8.2589999999999997E-2</v>
      </c>
      <c r="J269">
        <v>4.0719999999999999E-2</v>
      </c>
      <c r="K269">
        <v>2.1420000000000002E-2</v>
      </c>
      <c r="L269">
        <v>0.16350000000000001</v>
      </c>
      <c r="M269">
        <v>5.8590000000000003E-2</v>
      </c>
      <c r="N269">
        <v>0.33800000000000002</v>
      </c>
      <c r="O269">
        <v>1.9159999999999999</v>
      </c>
      <c r="P269">
        <v>2.5910000000000002</v>
      </c>
      <c r="Q269">
        <v>26.76</v>
      </c>
      <c r="R269">
        <v>5.4359999999999999E-3</v>
      </c>
      <c r="S269">
        <v>2.4060000000000002E-2</v>
      </c>
      <c r="T269">
        <v>3.099E-2</v>
      </c>
      <c r="U269">
        <v>9.9190000000000007E-3</v>
      </c>
      <c r="V269">
        <v>2.0299999999999999E-2</v>
      </c>
      <c r="W269">
        <v>3.009E-3</v>
      </c>
      <c r="X269">
        <v>14.8</v>
      </c>
      <c r="Y269">
        <v>30.04</v>
      </c>
      <c r="Z269">
        <v>97.66</v>
      </c>
      <c r="AA269">
        <v>661.5</v>
      </c>
      <c r="AB269">
        <v>0.10050000000000001</v>
      </c>
      <c r="AC269">
        <v>0.17299999999999999</v>
      </c>
      <c r="AD269">
        <v>0.14530000000000001</v>
      </c>
      <c r="AE269">
        <v>6.1890000000000001E-2</v>
      </c>
      <c r="AF269">
        <v>0.24460000000000001</v>
      </c>
      <c r="AG269">
        <v>7.0239999999999997E-2</v>
      </c>
    </row>
    <row r="270" spans="1:33">
      <c r="A270">
        <v>269</v>
      </c>
      <c r="B270">
        <v>8910506</v>
      </c>
      <c r="C270" t="s">
        <v>1</v>
      </c>
      <c r="D270">
        <v>13.71</v>
      </c>
      <c r="E270">
        <v>16.21</v>
      </c>
      <c r="F270">
        <v>82.38</v>
      </c>
      <c r="G270">
        <v>512.20000000000005</v>
      </c>
      <c r="H270">
        <v>9.425E-2</v>
      </c>
      <c r="I270">
        <v>6.2190000000000002E-2</v>
      </c>
      <c r="J270">
        <v>3.9E-2</v>
      </c>
      <c r="K270">
        <v>1.6150000000000001E-2</v>
      </c>
      <c r="L270">
        <v>0.20100000000000001</v>
      </c>
      <c r="M270">
        <v>5.7689999999999998E-2</v>
      </c>
      <c r="N270">
        <v>0.23449999999999999</v>
      </c>
      <c r="O270">
        <v>1.2190000000000001</v>
      </c>
      <c r="P270">
        <v>1.546</v>
      </c>
      <c r="Q270">
        <v>18.239999999999998</v>
      </c>
      <c r="R270">
        <v>5.5180000000000003E-3</v>
      </c>
      <c r="S270">
        <v>2.1780000000000001E-2</v>
      </c>
      <c r="T270">
        <v>2.589E-2</v>
      </c>
      <c r="U270">
        <v>6.3299999999999997E-3</v>
      </c>
      <c r="V270">
        <v>2.5930000000000002E-2</v>
      </c>
      <c r="W270">
        <v>2.1570000000000001E-3</v>
      </c>
      <c r="X270">
        <v>13.9</v>
      </c>
      <c r="Y270">
        <v>23.64</v>
      </c>
      <c r="Z270">
        <v>89.27</v>
      </c>
      <c r="AA270">
        <v>597.5</v>
      </c>
      <c r="AB270">
        <v>0.12559999999999999</v>
      </c>
      <c r="AC270">
        <v>0.18079999999999999</v>
      </c>
      <c r="AD270">
        <v>0.19919999999999999</v>
      </c>
      <c r="AE270">
        <v>5.7799999999999997E-2</v>
      </c>
      <c r="AF270">
        <v>0.3604</v>
      </c>
      <c r="AG270">
        <v>7.0620000000000002E-2</v>
      </c>
    </row>
    <row r="271" spans="1:33">
      <c r="A271">
        <v>270</v>
      </c>
      <c r="B271">
        <v>8910720</v>
      </c>
      <c r="C271" t="s">
        <v>1</v>
      </c>
      <c r="D271">
        <v>13.71</v>
      </c>
      <c r="E271">
        <v>20.39</v>
      </c>
      <c r="F271">
        <v>69.5</v>
      </c>
      <c r="G271">
        <v>344.9</v>
      </c>
      <c r="H271">
        <v>0.1082</v>
      </c>
      <c r="I271">
        <v>0.12889999999999999</v>
      </c>
      <c r="J271">
        <v>8.448E-2</v>
      </c>
      <c r="K271">
        <v>2.8670000000000001E-2</v>
      </c>
      <c r="L271">
        <v>0.1668</v>
      </c>
      <c r="M271">
        <v>6.862E-2</v>
      </c>
      <c r="N271">
        <v>0.31979999999999997</v>
      </c>
      <c r="O271">
        <v>1.4890000000000001</v>
      </c>
      <c r="P271">
        <v>2.23</v>
      </c>
      <c r="Q271">
        <v>20.74</v>
      </c>
      <c r="R271">
        <v>8.9020000000000002E-3</v>
      </c>
      <c r="S271">
        <v>4.7849999999999997E-2</v>
      </c>
      <c r="T271">
        <v>7.3389999999999997E-2</v>
      </c>
      <c r="U271">
        <v>1.745E-2</v>
      </c>
      <c r="V271">
        <v>2.7279999999999999E-2</v>
      </c>
      <c r="W271">
        <v>7.6099999999999996E-3</v>
      </c>
      <c r="X271">
        <v>11.69</v>
      </c>
      <c r="Y271">
        <v>25.21</v>
      </c>
      <c r="Z271">
        <v>76.510000000000005</v>
      </c>
      <c r="AA271">
        <v>410.4</v>
      </c>
      <c r="AB271">
        <v>0.13350000000000001</v>
      </c>
      <c r="AC271">
        <v>0.255</v>
      </c>
      <c r="AD271">
        <v>0.25340000000000001</v>
      </c>
      <c r="AE271">
        <v>8.5999999999999993E-2</v>
      </c>
      <c r="AF271">
        <v>0.26050000000000001</v>
      </c>
      <c r="AG271">
        <v>8.7010000000000004E-2</v>
      </c>
    </row>
    <row r="272" spans="1:33">
      <c r="A272">
        <v>271</v>
      </c>
      <c r="B272">
        <v>8910721</v>
      </c>
      <c r="C272" t="s">
        <v>1</v>
      </c>
      <c r="D272">
        <v>13.71</v>
      </c>
      <c r="E272">
        <v>16.82</v>
      </c>
      <c r="F272">
        <v>90.3</v>
      </c>
      <c r="G272">
        <v>632.6</v>
      </c>
      <c r="H272">
        <v>6.429E-2</v>
      </c>
      <c r="I272">
        <v>2.6749999999999999E-2</v>
      </c>
      <c r="J272">
        <v>7.2500000000000004E-3</v>
      </c>
      <c r="K272">
        <v>6.2500000000000003E-3</v>
      </c>
      <c r="L272">
        <v>0.15079999999999999</v>
      </c>
      <c r="M272">
        <v>5.3760000000000002E-2</v>
      </c>
      <c r="N272">
        <v>0.13020000000000001</v>
      </c>
      <c r="O272">
        <v>0.7198</v>
      </c>
      <c r="P272">
        <v>0.84389999999999998</v>
      </c>
      <c r="Q272">
        <v>10.77</v>
      </c>
      <c r="R272">
        <v>3.4919999999999999E-3</v>
      </c>
      <c r="S272">
        <v>3.7100000000000002E-3</v>
      </c>
      <c r="T272">
        <v>4.8260000000000004E-3</v>
      </c>
      <c r="U272">
        <v>3.6080000000000001E-3</v>
      </c>
      <c r="V272">
        <v>1.536E-2</v>
      </c>
      <c r="W272">
        <v>1.3810000000000001E-3</v>
      </c>
      <c r="X272">
        <v>14.91</v>
      </c>
      <c r="Y272">
        <v>20.65</v>
      </c>
      <c r="Z272">
        <v>94.44</v>
      </c>
      <c r="AA272">
        <v>684.6</v>
      </c>
      <c r="AB272">
        <v>8.5669999999999996E-2</v>
      </c>
      <c r="AC272">
        <v>5.0360000000000002E-2</v>
      </c>
      <c r="AD272">
        <v>3.866E-2</v>
      </c>
      <c r="AE272">
        <v>3.3329999999999999E-2</v>
      </c>
      <c r="AF272">
        <v>0.24579999999999999</v>
      </c>
      <c r="AG272">
        <v>6.1199999999999997E-2</v>
      </c>
    </row>
    <row r="273" spans="1:33">
      <c r="A273">
        <v>272</v>
      </c>
      <c r="B273">
        <v>8910748</v>
      </c>
      <c r="C273" t="s">
        <v>1</v>
      </c>
      <c r="D273">
        <v>13.71</v>
      </c>
      <c r="E273">
        <v>13.04</v>
      </c>
      <c r="F273">
        <v>72.23</v>
      </c>
      <c r="G273">
        <v>388</v>
      </c>
      <c r="H273">
        <v>9.8339999999999997E-2</v>
      </c>
      <c r="I273">
        <v>7.6079999999999995E-2</v>
      </c>
      <c r="J273">
        <v>3.2649999999999998E-2</v>
      </c>
      <c r="K273">
        <v>2.7550000000000002E-2</v>
      </c>
      <c r="L273">
        <v>0.1769</v>
      </c>
      <c r="M273">
        <v>6.2700000000000006E-2</v>
      </c>
      <c r="N273">
        <v>0.19040000000000001</v>
      </c>
      <c r="O273">
        <v>0.52929999999999999</v>
      </c>
      <c r="P273">
        <v>1.1639999999999999</v>
      </c>
      <c r="Q273">
        <v>13.17</v>
      </c>
      <c r="R273">
        <v>6.4720000000000003E-3</v>
      </c>
      <c r="S273">
        <v>1.1220000000000001E-2</v>
      </c>
      <c r="T273">
        <v>1.282E-2</v>
      </c>
      <c r="U273">
        <v>8.8489999999999992E-3</v>
      </c>
      <c r="V273">
        <v>1.6920000000000001E-2</v>
      </c>
      <c r="W273">
        <v>2.8170000000000001E-3</v>
      </c>
      <c r="X273">
        <v>12.32</v>
      </c>
      <c r="Y273">
        <v>16.18</v>
      </c>
      <c r="Z273">
        <v>78.27</v>
      </c>
      <c r="AA273">
        <v>457.5</v>
      </c>
      <c r="AB273">
        <v>0.1358</v>
      </c>
      <c r="AC273">
        <v>0.1507</v>
      </c>
      <c r="AD273">
        <v>0.1275</v>
      </c>
      <c r="AE273">
        <v>8.7499999999999994E-2</v>
      </c>
      <c r="AF273">
        <v>0.27329999999999999</v>
      </c>
      <c r="AG273">
        <v>8.022E-2</v>
      </c>
    </row>
    <row r="274" spans="1:33">
      <c r="A274">
        <v>273</v>
      </c>
      <c r="B274">
        <v>8910988</v>
      </c>
      <c r="C274" t="s">
        <v>0</v>
      </c>
      <c r="D274">
        <v>13.71</v>
      </c>
      <c r="E274">
        <v>20.99</v>
      </c>
      <c r="F274">
        <v>147.30000000000001</v>
      </c>
      <c r="G274">
        <v>1491</v>
      </c>
      <c r="H274">
        <v>9.4009999999999996E-2</v>
      </c>
      <c r="I274">
        <v>0.1961</v>
      </c>
      <c r="J274">
        <v>0.2195</v>
      </c>
      <c r="K274">
        <v>0.10879999999999999</v>
      </c>
      <c r="L274">
        <v>0.1721</v>
      </c>
      <c r="M274">
        <v>6.1940000000000002E-2</v>
      </c>
      <c r="N274">
        <v>1.167</v>
      </c>
      <c r="O274">
        <v>1.3520000000000001</v>
      </c>
      <c r="P274">
        <v>8.8670000000000009</v>
      </c>
      <c r="Q274">
        <v>156.80000000000001</v>
      </c>
      <c r="R274">
        <v>5.6870000000000002E-3</v>
      </c>
      <c r="S274">
        <v>4.9599999999999998E-2</v>
      </c>
      <c r="T274">
        <v>6.3289999999999999E-2</v>
      </c>
      <c r="U274">
        <v>1.5610000000000001E-2</v>
      </c>
      <c r="V274">
        <v>1.924E-2</v>
      </c>
      <c r="W274">
        <v>4.614E-3</v>
      </c>
      <c r="X274">
        <v>28.19</v>
      </c>
      <c r="Y274">
        <v>28.18</v>
      </c>
      <c r="Z274">
        <v>195.9</v>
      </c>
      <c r="AA274">
        <v>2384</v>
      </c>
      <c r="AB274">
        <v>0.12720000000000001</v>
      </c>
      <c r="AC274">
        <v>0.47249999999999998</v>
      </c>
      <c r="AD274">
        <v>0.58069999999999999</v>
      </c>
      <c r="AE274">
        <v>0.18410000000000001</v>
      </c>
      <c r="AF274">
        <v>0.2833</v>
      </c>
      <c r="AG274">
        <v>8.8580000000000006E-2</v>
      </c>
    </row>
    <row r="275" spans="1:33">
      <c r="A275">
        <v>274</v>
      </c>
      <c r="B275">
        <v>8910996</v>
      </c>
      <c r="C275" t="s">
        <v>1</v>
      </c>
      <c r="D275">
        <v>13.71</v>
      </c>
      <c r="E275">
        <v>15.67</v>
      </c>
      <c r="F275">
        <v>61.5</v>
      </c>
      <c r="G275">
        <v>289.89999999999998</v>
      </c>
      <c r="H275">
        <v>9.0370000000000006E-2</v>
      </c>
      <c r="I275">
        <v>4.6890000000000001E-2</v>
      </c>
      <c r="J275">
        <v>1.103E-2</v>
      </c>
      <c r="K275">
        <v>1.4069999999999999E-2</v>
      </c>
      <c r="L275">
        <v>0.20810000000000001</v>
      </c>
      <c r="M275">
        <v>6.3119999999999996E-2</v>
      </c>
      <c r="N275">
        <v>0.26840000000000003</v>
      </c>
      <c r="O275">
        <v>1.409</v>
      </c>
      <c r="P275">
        <v>1.75</v>
      </c>
      <c r="Q275">
        <v>16.39</v>
      </c>
      <c r="R275">
        <v>1.38E-2</v>
      </c>
      <c r="S275">
        <v>1.0670000000000001E-2</v>
      </c>
      <c r="T275">
        <v>8.3470000000000003E-3</v>
      </c>
      <c r="U275">
        <v>9.4719999999999995E-3</v>
      </c>
      <c r="V275">
        <v>1.7979999999999999E-2</v>
      </c>
      <c r="W275">
        <v>4.261E-3</v>
      </c>
      <c r="X275">
        <v>10.75</v>
      </c>
      <c r="Y275">
        <v>20.88</v>
      </c>
      <c r="Z275">
        <v>68.09</v>
      </c>
      <c r="AA275">
        <v>355.2</v>
      </c>
      <c r="AB275">
        <v>0.1467</v>
      </c>
      <c r="AC275">
        <v>9.3700000000000006E-2</v>
      </c>
      <c r="AD275">
        <v>4.0430000000000001E-2</v>
      </c>
      <c r="AE275">
        <v>5.1589999999999997E-2</v>
      </c>
      <c r="AF275">
        <v>0.28410000000000002</v>
      </c>
      <c r="AG275">
        <v>8.1750000000000003E-2</v>
      </c>
    </row>
    <row r="276" spans="1:33">
      <c r="A276">
        <v>275</v>
      </c>
      <c r="B276">
        <v>8911163</v>
      </c>
      <c r="C276" t="s">
        <v>0</v>
      </c>
      <c r="D276">
        <v>13.71</v>
      </c>
      <c r="E276">
        <v>24.48</v>
      </c>
      <c r="F276">
        <v>115.2</v>
      </c>
      <c r="G276">
        <v>998.9</v>
      </c>
      <c r="H276">
        <v>8.8550000000000004E-2</v>
      </c>
      <c r="I276">
        <v>7.0269999999999999E-2</v>
      </c>
      <c r="J276">
        <v>5.6989999999999999E-2</v>
      </c>
      <c r="K276">
        <v>4.7440000000000003E-2</v>
      </c>
      <c r="L276">
        <v>0.15379999999999999</v>
      </c>
      <c r="M276">
        <v>5.5100000000000003E-2</v>
      </c>
      <c r="N276">
        <v>0.42120000000000002</v>
      </c>
      <c r="O276">
        <v>1.4330000000000001</v>
      </c>
      <c r="P276">
        <v>2.7650000000000001</v>
      </c>
      <c r="Q276">
        <v>45.81</v>
      </c>
      <c r="R276">
        <v>5.4440000000000001E-3</v>
      </c>
      <c r="S276">
        <v>1.1690000000000001E-2</v>
      </c>
      <c r="T276">
        <v>1.6219999999999998E-2</v>
      </c>
      <c r="U276">
        <v>8.5220000000000001E-3</v>
      </c>
      <c r="V276">
        <v>1.4189999999999999E-2</v>
      </c>
      <c r="W276">
        <v>2.751E-3</v>
      </c>
      <c r="X276">
        <v>20.92</v>
      </c>
      <c r="Y276">
        <v>34.69</v>
      </c>
      <c r="Z276">
        <v>135.1</v>
      </c>
      <c r="AA276">
        <v>1320</v>
      </c>
      <c r="AB276">
        <v>0.13150000000000001</v>
      </c>
      <c r="AC276">
        <v>0.18060000000000001</v>
      </c>
      <c r="AD276">
        <v>0.20799999999999999</v>
      </c>
      <c r="AE276">
        <v>0.11360000000000001</v>
      </c>
      <c r="AF276">
        <v>0.25040000000000001</v>
      </c>
      <c r="AG276">
        <v>7.9479999999999995E-2</v>
      </c>
    </row>
    <row r="277" spans="1:33">
      <c r="A277">
        <v>276</v>
      </c>
      <c r="B277">
        <v>8911164</v>
      </c>
      <c r="C277" t="s">
        <v>1</v>
      </c>
      <c r="D277">
        <v>13.71</v>
      </c>
      <c r="E277">
        <v>17.36</v>
      </c>
      <c r="F277">
        <v>76.2</v>
      </c>
      <c r="G277">
        <v>435.6</v>
      </c>
      <c r="H277">
        <v>0.1225</v>
      </c>
      <c r="I277">
        <v>7.2099999999999997E-2</v>
      </c>
      <c r="J277">
        <v>5.9290000000000002E-2</v>
      </c>
      <c r="K277">
        <v>7.4039999999999995E-2</v>
      </c>
      <c r="L277">
        <v>0.20150000000000001</v>
      </c>
      <c r="M277">
        <v>5.8749999999999997E-2</v>
      </c>
      <c r="N277">
        <v>0.64119999999999999</v>
      </c>
      <c r="O277">
        <v>2.2930000000000001</v>
      </c>
      <c r="P277">
        <v>4.0209999999999999</v>
      </c>
      <c r="Q277">
        <v>48.84</v>
      </c>
      <c r="R277">
        <v>1.418E-2</v>
      </c>
      <c r="S277">
        <v>1.489E-2</v>
      </c>
      <c r="T277">
        <v>1.2670000000000001E-2</v>
      </c>
      <c r="U277">
        <v>1.9099999999999999E-2</v>
      </c>
      <c r="V277">
        <v>2.6780000000000002E-2</v>
      </c>
      <c r="W277">
        <v>3.0019999999999999E-3</v>
      </c>
      <c r="X277">
        <v>12.4</v>
      </c>
      <c r="Y277">
        <v>18.989999999999998</v>
      </c>
      <c r="Z277">
        <v>79.459999999999994</v>
      </c>
      <c r="AA277">
        <v>472.4</v>
      </c>
      <c r="AB277">
        <v>0.13589999999999999</v>
      </c>
      <c r="AC277">
        <v>8.3680000000000004E-2</v>
      </c>
      <c r="AD277">
        <v>7.1529999999999996E-2</v>
      </c>
      <c r="AE277">
        <v>8.9459999999999998E-2</v>
      </c>
      <c r="AF277">
        <v>0.222</v>
      </c>
      <c r="AG277">
        <v>6.0330000000000002E-2</v>
      </c>
    </row>
    <row r="278" spans="1:33">
      <c r="A278">
        <v>277</v>
      </c>
      <c r="B278">
        <v>8911230</v>
      </c>
      <c r="C278" t="s">
        <v>1</v>
      </c>
      <c r="D278">
        <v>13.71</v>
      </c>
      <c r="E278">
        <v>14.16</v>
      </c>
      <c r="F278">
        <v>71.790000000000006</v>
      </c>
      <c r="G278">
        <v>396.6</v>
      </c>
      <c r="H278">
        <v>9.3789999999999998E-2</v>
      </c>
      <c r="I278">
        <v>3.8719999999999997E-2</v>
      </c>
      <c r="J278">
        <v>1.487E-3</v>
      </c>
      <c r="K278">
        <v>3.333E-3</v>
      </c>
      <c r="L278">
        <v>0.19539999999999999</v>
      </c>
      <c r="M278">
        <v>5.8209999999999998E-2</v>
      </c>
      <c r="N278">
        <v>0.23749999999999999</v>
      </c>
      <c r="O278">
        <v>1.28</v>
      </c>
      <c r="P278">
        <v>1.5649999999999999</v>
      </c>
      <c r="Q278">
        <v>17.09</v>
      </c>
      <c r="R278">
        <v>8.4259999999999995E-3</v>
      </c>
      <c r="S278">
        <v>8.9980000000000008E-3</v>
      </c>
      <c r="T278">
        <v>1.487E-3</v>
      </c>
      <c r="U278">
        <v>3.333E-3</v>
      </c>
      <c r="V278">
        <v>2.358E-2</v>
      </c>
      <c r="W278">
        <v>1.627E-3</v>
      </c>
      <c r="X278">
        <v>12.2</v>
      </c>
      <c r="Y278">
        <v>18.989999999999998</v>
      </c>
      <c r="Z278">
        <v>77.37</v>
      </c>
      <c r="AA278">
        <v>458</v>
      </c>
      <c r="AB278">
        <v>0.12590000000000001</v>
      </c>
      <c r="AC278">
        <v>7.3480000000000004E-2</v>
      </c>
      <c r="AD278">
        <v>4.9550000000000002E-3</v>
      </c>
      <c r="AE278">
        <v>1.111E-2</v>
      </c>
      <c r="AF278">
        <v>0.27579999999999999</v>
      </c>
      <c r="AG278">
        <v>6.386E-2</v>
      </c>
    </row>
    <row r="279" spans="1:33">
      <c r="A279">
        <v>278</v>
      </c>
      <c r="B279">
        <v>8911670</v>
      </c>
      <c r="C279" t="s">
        <v>0</v>
      </c>
      <c r="D279">
        <v>13.71</v>
      </c>
      <c r="E279">
        <v>19.98</v>
      </c>
      <c r="F279">
        <v>120.9</v>
      </c>
      <c r="G279">
        <v>1102</v>
      </c>
      <c r="H279">
        <v>8.9230000000000004E-2</v>
      </c>
      <c r="I279">
        <v>5.8840000000000003E-2</v>
      </c>
      <c r="J279">
        <v>8.0199999999999994E-2</v>
      </c>
      <c r="K279">
        <v>5.8430000000000003E-2</v>
      </c>
      <c r="L279">
        <v>0.155</v>
      </c>
      <c r="M279">
        <v>4.9959999999999997E-2</v>
      </c>
      <c r="N279">
        <v>0.32829999999999998</v>
      </c>
      <c r="O279">
        <v>0.82799999999999996</v>
      </c>
      <c r="P279">
        <v>2.363</v>
      </c>
      <c r="Q279">
        <v>36.74</v>
      </c>
      <c r="R279">
        <v>7.5709999999999996E-3</v>
      </c>
      <c r="S279">
        <v>1.1140000000000001E-2</v>
      </c>
      <c r="T279">
        <v>2.623E-2</v>
      </c>
      <c r="U279">
        <v>1.4630000000000001E-2</v>
      </c>
      <c r="V279">
        <v>1.9300000000000001E-2</v>
      </c>
      <c r="W279">
        <v>1.676E-3</v>
      </c>
      <c r="X279">
        <v>19.96</v>
      </c>
      <c r="Y279">
        <v>24.3</v>
      </c>
      <c r="Z279">
        <v>129</v>
      </c>
      <c r="AA279">
        <v>1236</v>
      </c>
      <c r="AB279">
        <v>0.12429999999999999</v>
      </c>
      <c r="AC279">
        <v>0.11600000000000001</v>
      </c>
      <c r="AD279">
        <v>0.221</v>
      </c>
      <c r="AE279">
        <v>0.12939999999999999</v>
      </c>
      <c r="AF279">
        <v>0.25669999999999998</v>
      </c>
      <c r="AG279">
        <v>5.7369999999999997E-2</v>
      </c>
    </row>
    <row r="280" spans="1:33">
      <c r="A280">
        <v>279</v>
      </c>
      <c r="B280">
        <v>8911800</v>
      </c>
      <c r="C280" t="s">
        <v>1</v>
      </c>
      <c r="D280">
        <v>13.71</v>
      </c>
      <c r="E280">
        <v>17.84</v>
      </c>
      <c r="F280">
        <v>86.24</v>
      </c>
      <c r="G280">
        <v>572.29999999999995</v>
      </c>
      <c r="H280">
        <v>7.9479999999999995E-2</v>
      </c>
      <c r="I280">
        <v>4.052E-2</v>
      </c>
      <c r="J280">
        <v>1.9970000000000002E-2</v>
      </c>
      <c r="K280">
        <v>1.238E-2</v>
      </c>
      <c r="L280">
        <v>0.1573</v>
      </c>
      <c r="M280">
        <v>5.5199999999999999E-2</v>
      </c>
      <c r="N280">
        <v>0.25800000000000001</v>
      </c>
      <c r="O280">
        <v>1.1659999999999999</v>
      </c>
      <c r="P280">
        <v>1.6830000000000001</v>
      </c>
      <c r="Q280">
        <v>22.22</v>
      </c>
      <c r="R280">
        <v>3.741E-3</v>
      </c>
      <c r="S280">
        <v>5.274E-3</v>
      </c>
      <c r="T280">
        <v>1.065E-2</v>
      </c>
      <c r="U280">
        <v>5.0439999999999999E-3</v>
      </c>
      <c r="V280">
        <v>1.3440000000000001E-2</v>
      </c>
      <c r="W280">
        <v>1.126E-3</v>
      </c>
      <c r="X280">
        <v>15.5</v>
      </c>
      <c r="Y280">
        <v>26.1</v>
      </c>
      <c r="Z280">
        <v>98.91</v>
      </c>
      <c r="AA280">
        <v>739.1</v>
      </c>
      <c r="AB280">
        <v>0.105</v>
      </c>
      <c r="AC280">
        <v>7.6219999999999996E-2</v>
      </c>
      <c r="AD280">
        <v>0.106</v>
      </c>
      <c r="AE280">
        <v>5.185E-2</v>
      </c>
      <c r="AF280">
        <v>0.23350000000000001</v>
      </c>
      <c r="AG280">
        <v>6.2630000000000005E-2</v>
      </c>
    </row>
    <row r="281" spans="1:33">
      <c r="A281">
        <v>280</v>
      </c>
      <c r="B281">
        <v>8911834</v>
      </c>
      <c r="C281" t="s">
        <v>1</v>
      </c>
      <c r="D281">
        <v>13.71</v>
      </c>
      <c r="E281">
        <v>15.18</v>
      </c>
      <c r="F281">
        <v>88.99</v>
      </c>
      <c r="G281">
        <v>587.4</v>
      </c>
      <c r="H281">
        <v>9.5159999999999995E-2</v>
      </c>
      <c r="I281">
        <v>7.6880000000000004E-2</v>
      </c>
      <c r="J281">
        <v>4.4790000000000003E-2</v>
      </c>
      <c r="K281">
        <v>3.7109999999999997E-2</v>
      </c>
      <c r="L281">
        <v>0.21099999999999999</v>
      </c>
      <c r="M281">
        <v>5.8529999999999999E-2</v>
      </c>
      <c r="N281">
        <v>0.24790000000000001</v>
      </c>
      <c r="O281">
        <v>0.91949999999999998</v>
      </c>
      <c r="P281">
        <v>1.83</v>
      </c>
      <c r="Q281">
        <v>19.41</v>
      </c>
      <c r="R281">
        <v>4.235E-3</v>
      </c>
      <c r="S281">
        <v>1.541E-2</v>
      </c>
      <c r="T281">
        <v>1.457E-2</v>
      </c>
      <c r="U281">
        <v>1.043E-2</v>
      </c>
      <c r="V281">
        <v>1.528E-2</v>
      </c>
      <c r="W281">
        <v>1.593E-3</v>
      </c>
      <c r="X281">
        <v>14.98</v>
      </c>
      <c r="Y281">
        <v>21.74</v>
      </c>
      <c r="Z281">
        <v>98.37</v>
      </c>
      <c r="AA281">
        <v>670</v>
      </c>
      <c r="AB281">
        <v>0.11849999999999999</v>
      </c>
      <c r="AC281">
        <v>0.1724</v>
      </c>
      <c r="AD281">
        <v>0.14560000000000001</v>
      </c>
      <c r="AE281">
        <v>9.9930000000000005E-2</v>
      </c>
      <c r="AF281">
        <v>0.29549999999999998</v>
      </c>
      <c r="AG281">
        <v>6.9120000000000001E-2</v>
      </c>
    </row>
    <row r="282" spans="1:33">
      <c r="A282">
        <v>281</v>
      </c>
      <c r="B282">
        <v>8912049</v>
      </c>
      <c r="C282" t="s">
        <v>0</v>
      </c>
      <c r="D282">
        <v>13.71</v>
      </c>
      <c r="E282">
        <v>26.6</v>
      </c>
      <c r="F282">
        <v>126.2</v>
      </c>
      <c r="G282">
        <v>1138</v>
      </c>
      <c r="H282">
        <v>0.10199999999999999</v>
      </c>
      <c r="I282">
        <v>0.14530000000000001</v>
      </c>
      <c r="J282">
        <v>0.19209999999999999</v>
      </c>
      <c r="K282">
        <v>9.6640000000000004E-2</v>
      </c>
      <c r="L282">
        <v>0.19020000000000001</v>
      </c>
      <c r="M282">
        <v>6.2199999999999998E-2</v>
      </c>
      <c r="N282">
        <v>0.6361</v>
      </c>
      <c r="O282">
        <v>1.0009999999999999</v>
      </c>
      <c r="P282">
        <v>4.3209999999999997</v>
      </c>
      <c r="Q282">
        <v>69.650000000000006</v>
      </c>
      <c r="R282">
        <v>7.3920000000000001E-3</v>
      </c>
      <c r="S282">
        <v>2.4490000000000001E-2</v>
      </c>
      <c r="T282">
        <v>3.9879999999999999E-2</v>
      </c>
      <c r="U282">
        <v>1.2930000000000001E-2</v>
      </c>
      <c r="V282">
        <v>1.435E-2</v>
      </c>
      <c r="W282">
        <v>3.4459999999999998E-3</v>
      </c>
      <c r="X282">
        <v>23.72</v>
      </c>
      <c r="Y282">
        <v>35.9</v>
      </c>
      <c r="Z282">
        <v>159.80000000000001</v>
      </c>
      <c r="AA282">
        <v>1724</v>
      </c>
      <c r="AB282">
        <v>0.1782</v>
      </c>
      <c r="AC282">
        <v>0.3841</v>
      </c>
      <c r="AD282">
        <v>0.57540000000000002</v>
      </c>
      <c r="AE282">
        <v>0.18720000000000001</v>
      </c>
      <c r="AF282">
        <v>0.32579999999999998</v>
      </c>
      <c r="AG282">
        <v>9.7199999999999995E-2</v>
      </c>
    </row>
    <row r="283" spans="1:33">
      <c r="A283">
        <v>282</v>
      </c>
      <c r="B283">
        <v>8912055</v>
      </c>
      <c r="C283" t="s">
        <v>1</v>
      </c>
      <c r="D283">
        <v>13.71</v>
      </c>
      <c r="E283">
        <v>14.02</v>
      </c>
      <c r="F283">
        <v>74.239999999999995</v>
      </c>
      <c r="G283">
        <v>427.3</v>
      </c>
      <c r="H283">
        <v>7.8130000000000005E-2</v>
      </c>
      <c r="I283">
        <v>4.3400000000000001E-2</v>
      </c>
      <c r="J283">
        <v>2.2450000000000001E-2</v>
      </c>
      <c r="K283">
        <v>2.7629999999999998E-2</v>
      </c>
      <c r="L283">
        <v>0.21010000000000001</v>
      </c>
      <c r="M283">
        <v>6.1129999999999997E-2</v>
      </c>
      <c r="N283">
        <v>0.56189999999999996</v>
      </c>
      <c r="O283">
        <v>1.268</v>
      </c>
      <c r="P283">
        <v>3.7170000000000001</v>
      </c>
      <c r="Q283">
        <v>37.83</v>
      </c>
      <c r="R283">
        <v>8.0339999999999995E-3</v>
      </c>
      <c r="S283">
        <v>1.4420000000000001E-2</v>
      </c>
      <c r="T283">
        <v>1.5140000000000001E-2</v>
      </c>
      <c r="U283">
        <v>1.8460000000000001E-2</v>
      </c>
      <c r="V283">
        <v>2.921E-2</v>
      </c>
      <c r="W283">
        <v>2.0049999999999998E-3</v>
      </c>
      <c r="X283">
        <v>13.31</v>
      </c>
      <c r="Y283">
        <v>18.260000000000002</v>
      </c>
      <c r="Z283">
        <v>84.7</v>
      </c>
      <c r="AA283">
        <v>533.70000000000005</v>
      </c>
      <c r="AB283">
        <v>0.1036</v>
      </c>
      <c r="AC283">
        <v>8.5000000000000006E-2</v>
      </c>
      <c r="AD283">
        <v>6.7349999999999993E-2</v>
      </c>
      <c r="AE283">
        <v>8.2900000000000001E-2</v>
      </c>
      <c r="AF283">
        <v>0.31009999999999999</v>
      </c>
      <c r="AG283">
        <v>6.6879999999999995E-2</v>
      </c>
    </row>
    <row r="284" spans="1:33">
      <c r="A284">
        <v>283</v>
      </c>
      <c r="B284">
        <v>89122</v>
      </c>
      <c r="C284" t="s">
        <v>0</v>
      </c>
      <c r="D284">
        <v>13.71</v>
      </c>
      <c r="E284">
        <v>18.18</v>
      </c>
      <c r="F284">
        <v>127.2</v>
      </c>
      <c r="G284">
        <v>1145</v>
      </c>
      <c r="H284">
        <v>0.1037</v>
      </c>
      <c r="I284">
        <v>0.14419999999999999</v>
      </c>
      <c r="J284">
        <v>0.16259999999999999</v>
      </c>
      <c r="K284">
        <v>9.4640000000000002E-2</v>
      </c>
      <c r="L284">
        <v>0.1893</v>
      </c>
      <c r="M284">
        <v>5.892E-2</v>
      </c>
      <c r="N284">
        <v>0.47089999999999999</v>
      </c>
      <c r="O284">
        <v>0.99509999999999998</v>
      </c>
      <c r="P284">
        <v>2.903</v>
      </c>
      <c r="Q284">
        <v>53.16</v>
      </c>
      <c r="R284">
        <v>5.6540000000000002E-3</v>
      </c>
      <c r="S284">
        <v>2.1989999999999999E-2</v>
      </c>
      <c r="T284">
        <v>3.0589999999999999E-2</v>
      </c>
      <c r="U284">
        <v>1.499E-2</v>
      </c>
      <c r="V284">
        <v>1.6230000000000001E-2</v>
      </c>
      <c r="W284">
        <v>1.9650000000000002E-3</v>
      </c>
      <c r="X284">
        <v>23.79</v>
      </c>
      <c r="Y284">
        <v>28.65</v>
      </c>
      <c r="Z284">
        <v>152.4</v>
      </c>
      <c r="AA284">
        <v>1628</v>
      </c>
      <c r="AB284">
        <v>0.15179999999999999</v>
      </c>
      <c r="AC284">
        <v>0.37490000000000001</v>
      </c>
      <c r="AD284">
        <v>0.43159999999999998</v>
      </c>
      <c r="AE284">
        <v>0.22520000000000001</v>
      </c>
      <c r="AF284">
        <v>0.35899999999999999</v>
      </c>
      <c r="AG284">
        <v>7.7869999999999995E-2</v>
      </c>
    </row>
    <row r="285" spans="1:33">
      <c r="A285">
        <v>284</v>
      </c>
      <c r="B285">
        <v>8912280</v>
      </c>
      <c r="C285" t="s">
        <v>0</v>
      </c>
      <c r="D285">
        <v>13.71</v>
      </c>
      <c r="E285">
        <v>18.77</v>
      </c>
      <c r="F285">
        <v>108.8</v>
      </c>
      <c r="G285">
        <v>805.1</v>
      </c>
      <c r="H285">
        <v>0.1066</v>
      </c>
      <c r="I285">
        <v>0.1802</v>
      </c>
      <c r="J285">
        <v>0.1948</v>
      </c>
      <c r="K285">
        <v>9.0520000000000003E-2</v>
      </c>
      <c r="L285">
        <v>0.18759999999999999</v>
      </c>
      <c r="M285">
        <v>6.6839999999999997E-2</v>
      </c>
      <c r="N285">
        <v>0.2873</v>
      </c>
      <c r="O285">
        <v>0.9173</v>
      </c>
      <c r="P285">
        <v>2.464</v>
      </c>
      <c r="Q285">
        <v>28.09</v>
      </c>
      <c r="R285">
        <v>4.5630000000000002E-3</v>
      </c>
      <c r="S285">
        <v>3.4810000000000001E-2</v>
      </c>
      <c r="T285">
        <v>3.8719999999999997E-2</v>
      </c>
      <c r="U285">
        <v>1.209E-2</v>
      </c>
      <c r="V285">
        <v>1.388E-2</v>
      </c>
      <c r="W285">
        <v>4.0810000000000004E-3</v>
      </c>
      <c r="X285">
        <v>18.55</v>
      </c>
      <c r="Y285">
        <v>25.09</v>
      </c>
      <c r="Z285">
        <v>126.9</v>
      </c>
      <c r="AA285">
        <v>1031</v>
      </c>
      <c r="AB285">
        <v>0.13650000000000001</v>
      </c>
      <c r="AC285">
        <v>0.47060000000000002</v>
      </c>
      <c r="AD285">
        <v>0.50260000000000005</v>
      </c>
      <c r="AE285">
        <v>0.17319999999999999</v>
      </c>
      <c r="AF285">
        <v>0.27700000000000002</v>
      </c>
      <c r="AG285">
        <v>0.10630000000000001</v>
      </c>
    </row>
    <row r="286" spans="1:33">
      <c r="A286">
        <v>285</v>
      </c>
      <c r="B286">
        <v>8912284</v>
      </c>
      <c r="C286" t="s">
        <v>1</v>
      </c>
      <c r="D286">
        <v>13.71</v>
      </c>
      <c r="E286">
        <v>15.7</v>
      </c>
      <c r="F286">
        <v>84.08</v>
      </c>
      <c r="G286">
        <v>516.6</v>
      </c>
      <c r="H286">
        <v>7.8179999999999999E-2</v>
      </c>
      <c r="I286">
        <v>9.5799999999999996E-2</v>
      </c>
      <c r="J286">
        <v>0.1115</v>
      </c>
      <c r="K286">
        <v>3.39E-2</v>
      </c>
      <c r="L286">
        <v>0.14319999999999999</v>
      </c>
      <c r="M286">
        <v>5.935E-2</v>
      </c>
      <c r="N286">
        <v>0.2913</v>
      </c>
      <c r="O286">
        <v>1.389</v>
      </c>
      <c r="P286">
        <v>2.347</v>
      </c>
      <c r="Q286">
        <v>23.29</v>
      </c>
      <c r="R286">
        <v>6.4180000000000001E-3</v>
      </c>
      <c r="S286">
        <v>3.9609999999999999E-2</v>
      </c>
      <c r="T286">
        <v>7.9269999999999993E-2</v>
      </c>
      <c r="U286">
        <v>1.7739999999999999E-2</v>
      </c>
      <c r="V286">
        <v>1.8780000000000002E-2</v>
      </c>
      <c r="W286">
        <v>3.6960000000000001E-3</v>
      </c>
      <c r="X286">
        <v>13.9</v>
      </c>
      <c r="Y286">
        <v>19.690000000000001</v>
      </c>
      <c r="Z286">
        <v>92.12</v>
      </c>
      <c r="AA286">
        <v>595.6</v>
      </c>
      <c r="AB286">
        <v>9.9260000000000001E-2</v>
      </c>
      <c r="AC286">
        <v>0.23169999999999999</v>
      </c>
      <c r="AD286">
        <v>0.33439999999999998</v>
      </c>
      <c r="AE286">
        <v>0.1017</v>
      </c>
      <c r="AF286">
        <v>0.19989999999999999</v>
      </c>
      <c r="AG286">
        <v>7.127E-2</v>
      </c>
    </row>
    <row r="287" spans="1:33">
      <c r="A287">
        <v>286</v>
      </c>
      <c r="B287">
        <v>8912521</v>
      </c>
      <c r="C287" t="s">
        <v>1</v>
      </c>
      <c r="D287">
        <v>13.71</v>
      </c>
      <c r="E287">
        <v>18.399999999999999</v>
      </c>
      <c r="F287">
        <v>79.83</v>
      </c>
      <c r="G287">
        <v>489</v>
      </c>
      <c r="H287">
        <v>8.3930000000000005E-2</v>
      </c>
      <c r="I287">
        <v>4.2160000000000003E-2</v>
      </c>
      <c r="J287">
        <v>1.8600000000000001E-3</v>
      </c>
      <c r="K287">
        <v>2.9239999999999999E-3</v>
      </c>
      <c r="L287">
        <v>0.16969999999999999</v>
      </c>
      <c r="M287">
        <v>5.8549999999999998E-2</v>
      </c>
      <c r="N287">
        <v>0.27189999999999998</v>
      </c>
      <c r="O287">
        <v>1.35</v>
      </c>
      <c r="P287">
        <v>1.7210000000000001</v>
      </c>
      <c r="Q287">
        <v>22.45</v>
      </c>
      <c r="R287">
        <v>6.3829999999999998E-3</v>
      </c>
      <c r="S287">
        <v>8.0079999999999995E-3</v>
      </c>
      <c r="T287">
        <v>1.8600000000000001E-3</v>
      </c>
      <c r="U287">
        <v>2.9239999999999999E-3</v>
      </c>
      <c r="V287">
        <v>2.571E-2</v>
      </c>
      <c r="W287">
        <v>2.0149999999999999E-3</v>
      </c>
      <c r="X287">
        <v>13.5</v>
      </c>
      <c r="Y287">
        <v>23.08</v>
      </c>
      <c r="Z287">
        <v>85.56</v>
      </c>
      <c r="AA287">
        <v>564.1</v>
      </c>
      <c r="AB287">
        <v>0.1038</v>
      </c>
      <c r="AC287">
        <v>6.6239999999999993E-2</v>
      </c>
      <c r="AD287">
        <v>5.5789999999999998E-3</v>
      </c>
      <c r="AE287">
        <v>8.7720000000000003E-3</v>
      </c>
      <c r="AF287">
        <v>0.2505</v>
      </c>
      <c r="AG287">
        <v>6.4310000000000006E-2</v>
      </c>
    </row>
    <row r="288" spans="1:33">
      <c r="A288">
        <v>287</v>
      </c>
      <c r="B288">
        <v>8912909</v>
      </c>
      <c r="C288" t="s">
        <v>1</v>
      </c>
      <c r="D288">
        <v>13.71</v>
      </c>
      <c r="E288">
        <v>20.76</v>
      </c>
      <c r="F288">
        <v>77.87</v>
      </c>
      <c r="G288">
        <v>441</v>
      </c>
      <c r="H288">
        <v>8.6050000000000001E-2</v>
      </c>
      <c r="I288">
        <v>0.1011</v>
      </c>
      <c r="J288">
        <v>6.5740000000000007E-2</v>
      </c>
      <c r="K288">
        <v>3.7909999999999999E-2</v>
      </c>
      <c r="L288">
        <v>0.1588</v>
      </c>
      <c r="M288">
        <v>6.7659999999999998E-2</v>
      </c>
      <c r="N288">
        <v>0.2742</v>
      </c>
      <c r="O288">
        <v>1.39</v>
      </c>
      <c r="P288">
        <v>3.198</v>
      </c>
      <c r="Q288">
        <v>21.91</v>
      </c>
      <c r="R288">
        <v>6.7190000000000001E-3</v>
      </c>
      <c r="S288">
        <v>5.1560000000000002E-2</v>
      </c>
      <c r="T288">
        <v>4.3869999999999999E-2</v>
      </c>
      <c r="U288">
        <v>1.6330000000000001E-2</v>
      </c>
      <c r="V288">
        <v>1.8720000000000001E-2</v>
      </c>
      <c r="W288">
        <v>8.0149999999999996E-3</v>
      </c>
      <c r="X288">
        <v>13.24</v>
      </c>
      <c r="Y288">
        <v>27.29</v>
      </c>
      <c r="Z288">
        <v>92.2</v>
      </c>
      <c r="AA288">
        <v>546.1</v>
      </c>
      <c r="AB288">
        <v>0.1116</v>
      </c>
      <c r="AC288">
        <v>0.28129999999999999</v>
      </c>
      <c r="AD288">
        <v>0.23649999999999999</v>
      </c>
      <c r="AE288">
        <v>0.11550000000000001</v>
      </c>
      <c r="AF288">
        <v>0.2465</v>
      </c>
      <c r="AG288">
        <v>9.9809999999999996E-2</v>
      </c>
    </row>
    <row r="289" spans="1:33">
      <c r="A289">
        <v>288</v>
      </c>
      <c r="B289">
        <v>8913</v>
      </c>
      <c r="C289" t="s">
        <v>1</v>
      </c>
      <c r="D289">
        <v>13.71</v>
      </c>
      <c r="E289">
        <v>13.12</v>
      </c>
      <c r="F289">
        <v>81.89</v>
      </c>
      <c r="G289">
        <v>515.9</v>
      </c>
      <c r="H289">
        <v>6.9550000000000001E-2</v>
      </c>
      <c r="I289">
        <v>3.7289999999999997E-2</v>
      </c>
      <c r="J289">
        <v>2.2599999999999999E-2</v>
      </c>
      <c r="K289">
        <v>1.171E-2</v>
      </c>
      <c r="L289">
        <v>0.13370000000000001</v>
      </c>
      <c r="M289">
        <v>5.5809999999999998E-2</v>
      </c>
      <c r="N289">
        <v>0.1532</v>
      </c>
      <c r="O289">
        <v>0.46899999999999997</v>
      </c>
      <c r="P289">
        <v>1.115</v>
      </c>
      <c r="Q289">
        <v>12.68</v>
      </c>
      <c r="R289">
        <v>4.731E-3</v>
      </c>
      <c r="S289">
        <v>1.345E-2</v>
      </c>
      <c r="T289">
        <v>1.652E-2</v>
      </c>
      <c r="U289">
        <v>5.9049999999999997E-3</v>
      </c>
      <c r="V289">
        <v>1.619E-2</v>
      </c>
      <c r="W289">
        <v>2.081E-3</v>
      </c>
      <c r="X289">
        <v>13.62</v>
      </c>
      <c r="Y289">
        <v>15.54</v>
      </c>
      <c r="Z289">
        <v>87.4</v>
      </c>
      <c r="AA289">
        <v>577</v>
      </c>
      <c r="AB289">
        <v>9.6159999999999995E-2</v>
      </c>
      <c r="AC289">
        <v>0.1147</v>
      </c>
      <c r="AD289">
        <v>0.1186</v>
      </c>
      <c r="AE289">
        <v>5.3659999999999999E-2</v>
      </c>
      <c r="AF289">
        <v>0.23089999999999999</v>
      </c>
      <c r="AG289">
        <v>6.9150000000000003E-2</v>
      </c>
    </row>
    <row r="290" spans="1:33">
      <c r="A290">
        <v>289</v>
      </c>
      <c r="B290">
        <v>8913049</v>
      </c>
      <c r="C290" t="s">
        <v>1</v>
      </c>
      <c r="D290">
        <v>13.71</v>
      </c>
      <c r="E290">
        <v>19.96</v>
      </c>
      <c r="F290">
        <v>73.72</v>
      </c>
      <c r="G290">
        <v>394.1</v>
      </c>
      <c r="H290">
        <v>8.0199999999999994E-2</v>
      </c>
      <c r="I290">
        <v>0.1181</v>
      </c>
      <c r="J290">
        <v>9.2740000000000003E-2</v>
      </c>
      <c r="K290">
        <v>5.5879999999999999E-2</v>
      </c>
      <c r="L290">
        <v>0.25950000000000001</v>
      </c>
      <c r="M290">
        <v>6.2330000000000003E-2</v>
      </c>
      <c r="N290">
        <v>0.48659999999999998</v>
      </c>
      <c r="O290">
        <v>1.905</v>
      </c>
      <c r="P290">
        <v>2.8769999999999998</v>
      </c>
      <c r="Q290">
        <v>34.68</v>
      </c>
      <c r="R290">
        <v>1.5740000000000001E-2</v>
      </c>
      <c r="S290">
        <v>8.2619999999999999E-2</v>
      </c>
      <c r="T290">
        <v>8.0990000000000006E-2</v>
      </c>
      <c r="U290">
        <v>3.4869999999999998E-2</v>
      </c>
      <c r="V290">
        <v>3.4180000000000002E-2</v>
      </c>
      <c r="W290">
        <v>6.5170000000000002E-3</v>
      </c>
      <c r="X290">
        <v>11.86</v>
      </c>
      <c r="Y290">
        <v>22.33</v>
      </c>
      <c r="Z290">
        <v>78.27</v>
      </c>
      <c r="AA290">
        <v>437.6</v>
      </c>
      <c r="AB290">
        <v>0.1028</v>
      </c>
      <c r="AC290">
        <v>0.18429999999999999</v>
      </c>
      <c r="AD290">
        <v>0.15459999999999999</v>
      </c>
      <c r="AE290">
        <v>9.3140000000000001E-2</v>
      </c>
      <c r="AF290">
        <v>0.29549999999999998</v>
      </c>
      <c r="AG290">
        <v>7.009E-2</v>
      </c>
    </row>
    <row r="291" spans="1:33">
      <c r="A291">
        <v>290</v>
      </c>
      <c r="B291">
        <v>89143601</v>
      </c>
      <c r="C291" t="s">
        <v>1</v>
      </c>
      <c r="D291">
        <v>13.71</v>
      </c>
      <c r="E291">
        <v>18.89</v>
      </c>
      <c r="F291">
        <v>72.17</v>
      </c>
      <c r="G291">
        <v>396</v>
      </c>
      <c r="H291">
        <v>8.7129999999999999E-2</v>
      </c>
      <c r="I291">
        <v>5.008E-2</v>
      </c>
      <c r="J291">
        <v>2.3990000000000001E-2</v>
      </c>
      <c r="K291">
        <v>2.1729999999999999E-2</v>
      </c>
      <c r="L291">
        <v>0.20130000000000001</v>
      </c>
      <c r="M291">
        <v>5.9549999999999999E-2</v>
      </c>
      <c r="N291">
        <v>0.2656</v>
      </c>
      <c r="O291">
        <v>1.974</v>
      </c>
      <c r="P291">
        <v>1.954</v>
      </c>
      <c r="Q291">
        <v>17.489999999999998</v>
      </c>
      <c r="R291">
        <v>6.5380000000000004E-3</v>
      </c>
      <c r="S291">
        <v>1.3950000000000001E-2</v>
      </c>
      <c r="T291">
        <v>1.376E-2</v>
      </c>
      <c r="U291">
        <v>9.9240000000000005E-3</v>
      </c>
      <c r="V291">
        <v>3.4160000000000003E-2</v>
      </c>
      <c r="W291">
        <v>2.928E-3</v>
      </c>
      <c r="X291">
        <v>12.36</v>
      </c>
      <c r="Y291">
        <v>26.14</v>
      </c>
      <c r="Z291">
        <v>79.290000000000006</v>
      </c>
      <c r="AA291">
        <v>459.3</v>
      </c>
      <c r="AB291">
        <v>0.1118</v>
      </c>
      <c r="AC291">
        <v>9.708E-2</v>
      </c>
      <c r="AD291">
        <v>7.5289999999999996E-2</v>
      </c>
      <c r="AE291">
        <v>6.2030000000000002E-2</v>
      </c>
      <c r="AF291">
        <v>0.32669999999999999</v>
      </c>
      <c r="AG291">
        <v>6.9940000000000002E-2</v>
      </c>
    </row>
    <row r="292" spans="1:33">
      <c r="A292">
        <v>291</v>
      </c>
      <c r="B292">
        <v>89143602</v>
      </c>
      <c r="C292" t="s">
        <v>1</v>
      </c>
      <c r="D292">
        <v>13.71</v>
      </c>
      <c r="E292">
        <v>19.73</v>
      </c>
      <c r="F292">
        <v>96.03</v>
      </c>
      <c r="G292">
        <v>651</v>
      </c>
      <c r="H292">
        <v>8.7569999999999995E-2</v>
      </c>
      <c r="I292">
        <v>0.1676</v>
      </c>
      <c r="J292">
        <v>0.13619999999999999</v>
      </c>
      <c r="K292">
        <v>6.6019999999999995E-2</v>
      </c>
      <c r="L292">
        <v>0.1714</v>
      </c>
      <c r="M292">
        <v>7.1919999999999998E-2</v>
      </c>
      <c r="N292">
        <v>0.88109999999999999</v>
      </c>
      <c r="O292">
        <v>1.77</v>
      </c>
      <c r="P292">
        <v>4.3600000000000003</v>
      </c>
      <c r="Q292">
        <v>77.11</v>
      </c>
      <c r="R292">
        <v>7.7619999999999998E-3</v>
      </c>
      <c r="S292">
        <v>0.10639999999999999</v>
      </c>
      <c r="T292">
        <v>9.9599999999999994E-2</v>
      </c>
      <c r="U292">
        <v>2.7709999999999999E-2</v>
      </c>
      <c r="V292">
        <v>4.0770000000000001E-2</v>
      </c>
      <c r="W292">
        <v>2.2859999999999998E-2</v>
      </c>
      <c r="X292">
        <v>15.77</v>
      </c>
      <c r="Y292">
        <v>22.13</v>
      </c>
      <c r="Z292">
        <v>101.7</v>
      </c>
      <c r="AA292">
        <v>767.3</v>
      </c>
      <c r="AB292">
        <v>9.9830000000000002E-2</v>
      </c>
      <c r="AC292">
        <v>0.2472</v>
      </c>
      <c r="AD292">
        <v>0.222</v>
      </c>
      <c r="AE292">
        <v>0.1021</v>
      </c>
      <c r="AF292">
        <v>0.22720000000000001</v>
      </c>
      <c r="AG292">
        <v>8.7989999999999999E-2</v>
      </c>
    </row>
    <row r="293" spans="1:33">
      <c r="A293">
        <v>292</v>
      </c>
      <c r="B293">
        <v>8915</v>
      </c>
      <c r="C293" t="s">
        <v>1</v>
      </c>
      <c r="D293">
        <v>13.71</v>
      </c>
      <c r="E293">
        <v>19.100000000000001</v>
      </c>
      <c r="F293">
        <v>97.03</v>
      </c>
      <c r="G293">
        <v>687.3</v>
      </c>
      <c r="H293">
        <v>8.992E-2</v>
      </c>
      <c r="I293">
        <v>9.8229999999999998E-2</v>
      </c>
      <c r="J293">
        <v>5.9400000000000001E-2</v>
      </c>
      <c r="K293">
        <v>4.8189999999999997E-2</v>
      </c>
      <c r="L293">
        <v>0.18790000000000001</v>
      </c>
      <c r="M293">
        <v>5.8520000000000003E-2</v>
      </c>
      <c r="N293">
        <v>0.28770000000000001</v>
      </c>
      <c r="O293">
        <v>0.94799999999999995</v>
      </c>
      <c r="P293">
        <v>2.1709999999999998</v>
      </c>
      <c r="Q293">
        <v>24.87</v>
      </c>
      <c r="R293">
        <v>5.3319999999999999E-3</v>
      </c>
      <c r="S293">
        <v>2.1149999999999999E-2</v>
      </c>
      <c r="T293">
        <v>1.536E-2</v>
      </c>
      <c r="U293">
        <v>1.187E-2</v>
      </c>
      <c r="V293">
        <v>1.5219999999999999E-2</v>
      </c>
      <c r="W293">
        <v>2.8149999999999998E-3</v>
      </c>
      <c r="X293">
        <v>16.25</v>
      </c>
      <c r="Y293">
        <v>26.19</v>
      </c>
      <c r="Z293">
        <v>109.1</v>
      </c>
      <c r="AA293">
        <v>809.8</v>
      </c>
      <c r="AB293">
        <v>0.1313</v>
      </c>
      <c r="AC293">
        <v>0.30299999999999999</v>
      </c>
      <c r="AD293">
        <v>0.1804</v>
      </c>
      <c r="AE293">
        <v>0.1489</v>
      </c>
      <c r="AF293">
        <v>0.29620000000000002</v>
      </c>
      <c r="AG293">
        <v>8.4720000000000004E-2</v>
      </c>
    </row>
    <row r="294" spans="1:33">
      <c r="A294">
        <v>293</v>
      </c>
      <c r="B294">
        <v>891670</v>
      </c>
      <c r="C294" t="s">
        <v>1</v>
      </c>
      <c r="D294">
        <v>13.71</v>
      </c>
      <c r="E294">
        <v>16.02</v>
      </c>
      <c r="F294">
        <v>83.14</v>
      </c>
      <c r="G294">
        <v>513.70000000000005</v>
      </c>
      <c r="H294">
        <v>0.10050000000000001</v>
      </c>
      <c r="I294">
        <v>7.9430000000000001E-2</v>
      </c>
      <c r="J294">
        <v>6.1550000000000001E-2</v>
      </c>
      <c r="K294">
        <v>3.3700000000000001E-2</v>
      </c>
      <c r="L294">
        <v>0.17299999999999999</v>
      </c>
      <c r="M294">
        <v>6.4699999999999994E-2</v>
      </c>
      <c r="N294">
        <v>0.2094</v>
      </c>
      <c r="O294">
        <v>0.76359999999999995</v>
      </c>
      <c r="P294">
        <v>1.2310000000000001</v>
      </c>
      <c r="Q294">
        <v>17.670000000000002</v>
      </c>
      <c r="R294">
        <v>8.7250000000000001E-3</v>
      </c>
      <c r="S294">
        <v>2.0029999999999999E-2</v>
      </c>
      <c r="T294">
        <v>2.3349999999999999E-2</v>
      </c>
      <c r="U294">
        <v>1.132E-2</v>
      </c>
      <c r="V294">
        <v>2.6249999999999999E-2</v>
      </c>
      <c r="W294">
        <v>4.7260000000000002E-3</v>
      </c>
      <c r="X294">
        <v>13.74</v>
      </c>
      <c r="Y294">
        <v>19.93</v>
      </c>
      <c r="Z294">
        <v>88.81</v>
      </c>
      <c r="AA294">
        <v>585.4</v>
      </c>
      <c r="AB294">
        <v>0.14829999999999999</v>
      </c>
      <c r="AC294">
        <v>0.20680000000000001</v>
      </c>
      <c r="AD294">
        <v>0.22409999999999999</v>
      </c>
      <c r="AE294">
        <v>0.1056</v>
      </c>
      <c r="AF294">
        <v>0.33800000000000002</v>
      </c>
      <c r="AG294">
        <v>9.5839999999999995E-2</v>
      </c>
    </row>
    <row r="295" spans="1:33">
      <c r="A295">
        <v>294</v>
      </c>
      <c r="B295">
        <v>891703</v>
      </c>
      <c r="C295" t="s">
        <v>1</v>
      </c>
      <c r="D295">
        <v>13.71</v>
      </c>
      <c r="E295">
        <v>17.46</v>
      </c>
      <c r="F295">
        <v>75.540000000000006</v>
      </c>
      <c r="G295">
        <v>432.7</v>
      </c>
      <c r="H295">
        <v>8.3720000000000003E-2</v>
      </c>
      <c r="I295">
        <v>5.6419999999999998E-2</v>
      </c>
      <c r="J295">
        <v>2.6880000000000001E-2</v>
      </c>
      <c r="K295">
        <v>2.2800000000000001E-2</v>
      </c>
      <c r="L295">
        <v>0.1875</v>
      </c>
      <c r="M295">
        <v>5.7149999999999999E-2</v>
      </c>
      <c r="N295">
        <v>0.20699999999999999</v>
      </c>
      <c r="O295">
        <v>1.238</v>
      </c>
      <c r="P295">
        <v>1.234</v>
      </c>
      <c r="Q295">
        <v>13.88</v>
      </c>
      <c r="R295">
        <v>7.5950000000000002E-3</v>
      </c>
      <c r="S295">
        <v>1.4999999999999999E-2</v>
      </c>
      <c r="T295">
        <v>1.4120000000000001E-2</v>
      </c>
      <c r="U295">
        <v>8.5780000000000006E-3</v>
      </c>
      <c r="V295">
        <v>1.7919999999999998E-2</v>
      </c>
      <c r="W295">
        <v>1.784E-3</v>
      </c>
      <c r="X295">
        <v>13.06</v>
      </c>
      <c r="Y295">
        <v>25.75</v>
      </c>
      <c r="Z295">
        <v>84.35</v>
      </c>
      <c r="AA295">
        <v>517.79999999999995</v>
      </c>
      <c r="AB295">
        <v>0.13689999999999999</v>
      </c>
      <c r="AC295">
        <v>0.17580000000000001</v>
      </c>
      <c r="AD295">
        <v>0.13159999999999999</v>
      </c>
      <c r="AE295">
        <v>9.1399999999999995E-2</v>
      </c>
      <c r="AF295">
        <v>0.31009999999999999</v>
      </c>
      <c r="AG295">
        <v>7.0069999999999993E-2</v>
      </c>
    </row>
    <row r="296" spans="1:33">
      <c r="A296">
        <v>295</v>
      </c>
      <c r="B296">
        <v>891716</v>
      </c>
      <c r="C296" t="s">
        <v>1</v>
      </c>
      <c r="D296">
        <v>13.71</v>
      </c>
      <c r="E296">
        <v>13.78</v>
      </c>
      <c r="F296">
        <v>81.78</v>
      </c>
      <c r="G296">
        <v>492.1</v>
      </c>
      <c r="H296">
        <v>9.6670000000000006E-2</v>
      </c>
      <c r="I296">
        <v>8.3930000000000005E-2</v>
      </c>
      <c r="J296">
        <v>1.2880000000000001E-2</v>
      </c>
      <c r="K296">
        <v>1.924E-2</v>
      </c>
      <c r="L296">
        <v>0.1638</v>
      </c>
      <c r="M296">
        <v>6.0999999999999999E-2</v>
      </c>
      <c r="N296">
        <v>0.1807</v>
      </c>
      <c r="O296">
        <v>0.69310000000000005</v>
      </c>
      <c r="P296">
        <v>1.34</v>
      </c>
      <c r="Q296">
        <v>13.38</v>
      </c>
      <c r="R296">
        <v>6.0639999999999999E-3</v>
      </c>
      <c r="S296">
        <v>1.18E-2</v>
      </c>
      <c r="T296">
        <v>6.5640000000000004E-3</v>
      </c>
      <c r="U296">
        <v>7.9780000000000007E-3</v>
      </c>
      <c r="V296">
        <v>1.374E-2</v>
      </c>
      <c r="W296">
        <v>1.392E-3</v>
      </c>
      <c r="X296">
        <v>13.5</v>
      </c>
      <c r="Y296">
        <v>17.48</v>
      </c>
      <c r="Z296">
        <v>88.54</v>
      </c>
      <c r="AA296">
        <v>553.70000000000005</v>
      </c>
      <c r="AB296">
        <v>0.1298</v>
      </c>
      <c r="AC296">
        <v>0.1472</v>
      </c>
      <c r="AD296">
        <v>5.2330000000000002E-2</v>
      </c>
      <c r="AE296">
        <v>6.343E-2</v>
      </c>
      <c r="AF296">
        <v>0.2369</v>
      </c>
      <c r="AG296">
        <v>6.9220000000000004E-2</v>
      </c>
    </row>
    <row r="297" spans="1:33">
      <c r="A297">
        <v>296</v>
      </c>
      <c r="B297">
        <v>891923</v>
      </c>
      <c r="C297" t="s">
        <v>1</v>
      </c>
      <c r="D297">
        <v>13.71</v>
      </c>
      <c r="E297">
        <v>13.27</v>
      </c>
      <c r="F297">
        <v>88.06</v>
      </c>
      <c r="G297">
        <v>582.70000000000005</v>
      </c>
      <c r="H297">
        <v>9.1980000000000006E-2</v>
      </c>
      <c r="I297">
        <v>6.2210000000000001E-2</v>
      </c>
      <c r="J297">
        <v>1.0630000000000001E-2</v>
      </c>
      <c r="K297">
        <v>1.917E-2</v>
      </c>
      <c r="L297">
        <v>0.15920000000000001</v>
      </c>
      <c r="M297">
        <v>5.9119999999999999E-2</v>
      </c>
      <c r="N297">
        <v>0.21909999999999999</v>
      </c>
      <c r="O297">
        <v>0.6946</v>
      </c>
      <c r="P297">
        <v>1.4790000000000001</v>
      </c>
      <c r="Q297">
        <v>17.739999999999998</v>
      </c>
      <c r="R297">
        <v>4.3480000000000003E-3</v>
      </c>
      <c r="S297">
        <v>8.1530000000000005E-3</v>
      </c>
      <c r="T297">
        <v>4.2719999999999998E-3</v>
      </c>
      <c r="U297">
        <v>6.829E-3</v>
      </c>
      <c r="V297">
        <v>2.154E-2</v>
      </c>
      <c r="W297">
        <v>1.802E-3</v>
      </c>
      <c r="X297">
        <v>14.67</v>
      </c>
      <c r="Y297">
        <v>16.93</v>
      </c>
      <c r="Z297">
        <v>94.17</v>
      </c>
      <c r="AA297">
        <v>661.1</v>
      </c>
      <c r="AB297">
        <v>0.11700000000000001</v>
      </c>
      <c r="AC297">
        <v>0.1072</v>
      </c>
      <c r="AD297">
        <v>3.7319999999999999E-2</v>
      </c>
      <c r="AE297">
        <v>5.8020000000000002E-2</v>
      </c>
      <c r="AF297">
        <v>0.2823</v>
      </c>
      <c r="AG297">
        <v>6.794E-2</v>
      </c>
    </row>
    <row r="298" spans="1:33">
      <c r="A298">
        <v>297</v>
      </c>
      <c r="B298">
        <v>891936</v>
      </c>
      <c r="C298" t="s">
        <v>1</v>
      </c>
      <c r="D298">
        <v>13.71</v>
      </c>
      <c r="E298">
        <v>12.35</v>
      </c>
      <c r="F298">
        <v>69.14</v>
      </c>
      <c r="G298">
        <v>363.7</v>
      </c>
      <c r="H298">
        <v>8.5180000000000006E-2</v>
      </c>
      <c r="I298">
        <v>4.7210000000000002E-2</v>
      </c>
      <c r="J298">
        <v>1.2359999999999999E-2</v>
      </c>
      <c r="K298">
        <v>1.3690000000000001E-2</v>
      </c>
      <c r="L298">
        <v>0.1449</v>
      </c>
      <c r="M298">
        <v>6.0310000000000002E-2</v>
      </c>
      <c r="N298">
        <v>0.17530000000000001</v>
      </c>
      <c r="O298">
        <v>1.0269999999999999</v>
      </c>
      <c r="P298">
        <v>1.2669999999999999</v>
      </c>
      <c r="Q298">
        <v>11.09</v>
      </c>
      <c r="R298">
        <v>3.4780000000000002E-3</v>
      </c>
      <c r="S298">
        <v>1.221E-2</v>
      </c>
      <c r="T298">
        <v>1.072E-2</v>
      </c>
      <c r="U298">
        <v>9.3930000000000003E-3</v>
      </c>
      <c r="V298">
        <v>2.9409999999999999E-2</v>
      </c>
      <c r="W298">
        <v>3.4280000000000001E-3</v>
      </c>
      <c r="X298">
        <v>11.37</v>
      </c>
      <c r="Y298">
        <v>14.82</v>
      </c>
      <c r="Z298">
        <v>72.42</v>
      </c>
      <c r="AA298">
        <v>392.2</v>
      </c>
      <c r="AB298">
        <v>9.3119999999999994E-2</v>
      </c>
      <c r="AC298">
        <v>7.5060000000000002E-2</v>
      </c>
      <c r="AD298">
        <v>2.8840000000000001E-2</v>
      </c>
      <c r="AE298">
        <v>3.1940000000000003E-2</v>
      </c>
      <c r="AF298">
        <v>0.21429999999999999</v>
      </c>
      <c r="AG298">
        <v>6.6430000000000003E-2</v>
      </c>
    </row>
    <row r="299" spans="1:33">
      <c r="A299">
        <v>298</v>
      </c>
      <c r="B299">
        <v>892189</v>
      </c>
      <c r="C299" t="s">
        <v>0</v>
      </c>
      <c r="D299">
        <v>13.71</v>
      </c>
      <c r="E299">
        <v>18.14</v>
      </c>
      <c r="F299">
        <v>75</v>
      </c>
      <c r="G299">
        <v>431.1</v>
      </c>
      <c r="H299">
        <v>9.9680000000000005E-2</v>
      </c>
      <c r="I299">
        <v>5.9139999999999998E-2</v>
      </c>
      <c r="J299">
        <v>2.6849999999999999E-2</v>
      </c>
      <c r="K299">
        <v>3.5150000000000001E-2</v>
      </c>
      <c r="L299">
        <v>0.16189999999999999</v>
      </c>
      <c r="M299">
        <v>6.2869999999999995E-2</v>
      </c>
      <c r="N299">
        <v>0.64500000000000002</v>
      </c>
      <c r="O299">
        <v>2.105</v>
      </c>
      <c r="P299">
        <v>4.1379999999999999</v>
      </c>
      <c r="Q299">
        <v>49.11</v>
      </c>
      <c r="R299">
        <v>5.5960000000000003E-3</v>
      </c>
      <c r="S299">
        <v>1.005E-2</v>
      </c>
      <c r="T299">
        <v>1.272E-2</v>
      </c>
      <c r="U299">
        <v>1.4319999999999999E-2</v>
      </c>
      <c r="V299">
        <v>1.575E-2</v>
      </c>
      <c r="W299">
        <v>2.758E-3</v>
      </c>
      <c r="X299">
        <v>13.36</v>
      </c>
      <c r="Y299">
        <v>23.39</v>
      </c>
      <c r="Z299">
        <v>85.1</v>
      </c>
      <c r="AA299">
        <v>553.6</v>
      </c>
      <c r="AB299">
        <v>0.1137</v>
      </c>
      <c r="AC299">
        <v>7.9740000000000005E-2</v>
      </c>
      <c r="AD299">
        <v>6.1199999999999997E-2</v>
      </c>
      <c r="AE299">
        <v>7.1599999999999997E-2</v>
      </c>
      <c r="AF299">
        <v>0.1978</v>
      </c>
      <c r="AG299">
        <v>6.9150000000000003E-2</v>
      </c>
    </row>
    <row r="300" spans="1:33">
      <c r="A300">
        <v>299</v>
      </c>
      <c r="B300">
        <v>892214</v>
      </c>
      <c r="C300" t="s">
        <v>1</v>
      </c>
      <c r="D300">
        <v>13.71</v>
      </c>
      <c r="E300">
        <v>18.170000000000002</v>
      </c>
      <c r="F300">
        <v>91.22</v>
      </c>
      <c r="G300">
        <v>633.1</v>
      </c>
      <c r="H300">
        <v>6.5759999999999999E-2</v>
      </c>
      <c r="I300">
        <v>5.2200000000000003E-2</v>
      </c>
      <c r="J300">
        <v>2.4750000000000001E-2</v>
      </c>
      <c r="K300">
        <v>1.374E-2</v>
      </c>
      <c r="L300">
        <v>0.16350000000000001</v>
      </c>
      <c r="M300">
        <v>5.586E-2</v>
      </c>
      <c r="N300">
        <v>0.23</v>
      </c>
      <c r="O300">
        <v>0.66900000000000004</v>
      </c>
      <c r="P300">
        <v>1.661</v>
      </c>
      <c r="Q300">
        <v>20.56</v>
      </c>
      <c r="R300">
        <v>3.1689999999999999E-3</v>
      </c>
      <c r="S300">
        <v>1.3769999999999999E-2</v>
      </c>
      <c r="T300">
        <v>1.0789999999999999E-2</v>
      </c>
      <c r="U300">
        <v>5.2430000000000003E-3</v>
      </c>
      <c r="V300">
        <v>1.103E-2</v>
      </c>
      <c r="W300">
        <v>1.957E-3</v>
      </c>
      <c r="X300">
        <v>16.22</v>
      </c>
      <c r="Y300">
        <v>25.26</v>
      </c>
      <c r="Z300">
        <v>105.8</v>
      </c>
      <c r="AA300">
        <v>819.7</v>
      </c>
      <c r="AB300">
        <v>9.4450000000000006E-2</v>
      </c>
      <c r="AC300">
        <v>0.2167</v>
      </c>
      <c r="AD300">
        <v>0.1565</v>
      </c>
      <c r="AE300">
        <v>7.5300000000000006E-2</v>
      </c>
      <c r="AF300">
        <v>0.2636</v>
      </c>
      <c r="AG300">
        <v>7.6759999999999995E-2</v>
      </c>
    </row>
    <row r="301" spans="1:33">
      <c r="A301">
        <v>300</v>
      </c>
      <c r="B301">
        <v>892399</v>
      </c>
      <c r="C301" t="s">
        <v>1</v>
      </c>
      <c r="D301">
        <v>13.71</v>
      </c>
      <c r="E301">
        <v>23.09</v>
      </c>
      <c r="F301">
        <v>66.849999999999994</v>
      </c>
      <c r="G301">
        <v>334.2</v>
      </c>
      <c r="H301">
        <v>0.10150000000000001</v>
      </c>
      <c r="I301">
        <v>6.7970000000000003E-2</v>
      </c>
      <c r="J301">
        <v>2.495E-2</v>
      </c>
      <c r="K301">
        <v>1.8749999999999999E-2</v>
      </c>
      <c r="L301">
        <v>0.16950000000000001</v>
      </c>
      <c r="M301">
        <v>6.5559999999999993E-2</v>
      </c>
      <c r="N301">
        <v>0.2868</v>
      </c>
      <c r="O301">
        <v>1.143</v>
      </c>
      <c r="P301">
        <v>2.2890000000000001</v>
      </c>
      <c r="Q301">
        <v>20.56</v>
      </c>
      <c r="R301">
        <v>1.017E-2</v>
      </c>
      <c r="S301">
        <v>1.443E-2</v>
      </c>
      <c r="T301">
        <v>1.8610000000000002E-2</v>
      </c>
      <c r="U301">
        <v>1.2500000000000001E-2</v>
      </c>
      <c r="V301">
        <v>3.4639999999999997E-2</v>
      </c>
      <c r="W301">
        <v>1.9710000000000001E-3</v>
      </c>
      <c r="X301">
        <v>10.93</v>
      </c>
      <c r="Y301">
        <v>24.22</v>
      </c>
      <c r="Z301">
        <v>70.099999999999994</v>
      </c>
      <c r="AA301">
        <v>362.7</v>
      </c>
      <c r="AB301">
        <v>0.1143</v>
      </c>
      <c r="AC301">
        <v>8.6139999999999994E-2</v>
      </c>
      <c r="AD301">
        <v>4.1579999999999999E-2</v>
      </c>
      <c r="AE301">
        <v>3.125E-2</v>
      </c>
      <c r="AF301">
        <v>0.22270000000000001</v>
      </c>
      <c r="AG301">
        <v>6.7769999999999997E-2</v>
      </c>
    </row>
    <row r="302" spans="1:33">
      <c r="A302">
        <v>301</v>
      </c>
      <c r="B302">
        <v>892438</v>
      </c>
      <c r="C302" t="s">
        <v>0</v>
      </c>
      <c r="D302">
        <v>13.71</v>
      </c>
      <c r="E302">
        <v>18.899999999999999</v>
      </c>
      <c r="F302">
        <v>129.5</v>
      </c>
      <c r="G302">
        <v>1217</v>
      </c>
      <c r="H302">
        <v>0.115</v>
      </c>
      <c r="I302">
        <v>0.16420000000000001</v>
      </c>
      <c r="J302">
        <v>0.21970000000000001</v>
      </c>
      <c r="K302">
        <v>0.1062</v>
      </c>
      <c r="L302">
        <v>0.1792</v>
      </c>
      <c r="M302">
        <v>6.5519999999999995E-2</v>
      </c>
      <c r="N302">
        <v>1.111</v>
      </c>
      <c r="O302">
        <v>1.161</v>
      </c>
      <c r="P302">
        <v>7.2370000000000001</v>
      </c>
      <c r="Q302">
        <v>133</v>
      </c>
      <c r="R302">
        <v>6.0559999999999998E-3</v>
      </c>
      <c r="S302">
        <v>3.2030000000000003E-2</v>
      </c>
      <c r="T302">
        <v>5.638E-2</v>
      </c>
      <c r="U302">
        <v>1.7330000000000002E-2</v>
      </c>
      <c r="V302">
        <v>1.8839999999999999E-2</v>
      </c>
      <c r="W302">
        <v>4.7869999999999996E-3</v>
      </c>
      <c r="X302">
        <v>25.93</v>
      </c>
      <c r="Y302">
        <v>26.24</v>
      </c>
      <c r="Z302">
        <v>171.1</v>
      </c>
      <c r="AA302">
        <v>2053</v>
      </c>
      <c r="AB302">
        <v>0.14949999999999999</v>
      </c>
      <c r="AC302">
        <v>0.41160000000000002</v>
      </c>
      <c r="AD302">
        <v>0.61209999999999998</v>
      </c>
      <c r="AE302">
        <v>0.19800000000000001</v>
      </c>
      <c r="AF302">
        <v>0.29680000000000001</v>
      </c>
      <c r="AG302">
        <v>9.9290000000000003E-2</v>
      </c>
    </row>
    <row r="303" spans="1:33">
      <c r="A303">
        <v>302</v>
      </c>
      <c r="B303">
        <v>892604</v>
      </c>
      <c r="C303" t="s">
        <v>1</v>
      </c>
      <c r="D303">
        <v>13.71</v>
      </c>
      <c r="E303">
        <v>19.89</v>
      </c>
      <c r="F303">
        <v>80.430000000000007</v>
      </c>
      <c r="G303">
        <v>471.3</v>
      </c>
      <c r="H303">
        <v>8.4510000000000002E-2</v>
      </c>
      <c r="I303">
        <v>0.1014</v>
      </c>
      <c r="J303">
        <v>6.83E-2</v>
      </c>
      <c r="K303">
        <v>3.099E-2</v>
      </c>
      <c r="L303">
        <v>0.17810000000000001</v>
      </c>
      <c r="M303">
        <v>6.2489999999999997E-2</v>
      </c>
      <c r="N303">
        <v>0.36420000000000002</v>
      </c>
      <c r="O303">
        <v>1.04</v>
      </c>
      <c r="P303">
        <v>2.5790000000000002</v>
      </c>
      <c r="Q303">
        <v>28.32</v>
      </c>
      <c r="R303">
        <v>6.5300000000000002E-3</v>
      </c>
      <c r="S303">
        <v>3.3689999999999998E-2</v>
      </c>
      <c r="T303">
        <v>4.7120000000000002E-2</v>
      </c>
      <c r="U303">
        <v>1.4030000000000001E-2</v>
      </c>
      <c r="V303">
        <v>2.7400000000000001E-2</v>
      </c>
      <c r="W303">
        <v>4.6509999999999998E-3</v>
      </c>
      <c r="X303">
        <v>13.46</v>
      </c>
      <c r="Y303">
        <v>23.07</v>
      </c>
      <c r="Z303">
        <v>88.13</v>
      </c>
      <c r="AA303">
        <v>551.29999999999995</v>
      </c>
      <c r="AB303">
        <v>0.105</v>
      </c>
      <c r="AC303">
        <v>0.21579999999999999</v>
      </c>
      <c r="AD303">
        <v>0.19040000000000001</v>
      </c>
      <c r="AE303">
        <v>7.6249999999999998E-2</v>
      </c>
      <c r="AF303">
        <v>0.26850000000000002</v>
      </c>
      <c r="AG303">
        <v>7.7640000000000001E-2</v>
      </c>
    </row>
    <row r="304" spans="1:33">
      <c r="A304">
        <v>303</v>
      </c>
      <c r="B304">
        <v>89263202</v>
      </c>
      <c r="C304" t="s">
        <v>0</v>
      </c>
      <c r="D304">
        <v>13.71</v>
      </c>
      <c r="E304">
        <v>23.86</v>
      </c>
      <c r="F304">
        <v>134.69999999999999</v>
      </c>
      <c r="G304">
        <v>1247</v>
      </c>
      <c r="H304">
        <v>0.108</v>
      </c>
      <c r="I304">
        <v>0.18379999999999999</v>
      </c>
      <c r="J304">
        <v>0.2283</v>
      </c>
      <c r="K304">
        <v>0.128</v>
      </c>
      <c r="L304">
        <v>0.22489999999999999</v>
      </c>
      <c r="M304">
        <v>7.4690000000000006E-2</v>
      </c>
      <c r="N304">
        <v>1.0720000000000001</v>
      </c>
      <c r="O304">
        <v>1.7430000000000001</v>
      </c>
      <c r="P304">
        <v>7.8040000000000003</v>
      </c>
      <c r="Q304">
        <v>130.80000000000001</v>
      </c>
      <c r="R304">
        <v>7.9640000000000006E-3</v>
      </c>
      <c r="S304">
        <v>4.7320000000000001E-2</v>
      </c>
      <c r="T304">
        <v>7.6490000000000002E-2</v>
      </c>
      <c r="U304">
        <v>1.9359999999999999E-2</v>
      </c>
      <c r="V304">
        <v>2.7359999999999999E-2</v>
      </c>
      <c r="W304">
        <v>5.9280000000000001E-3</v>
      </c>
      <c r="X304">
        <v>23.68</v>
      </c>
      <c r="Y304">
        <v>29.43</v>
      </c>
      <c r="Z304">
        <v>158.80000000000001</v>
      </c>
      <c r="AA304">
        <v>1696</v>
      </c>
      <c r="AB304">
        <v>0.13469999999999999</v>
      </c>
      <c r="AC304">
        <v>0.33910000000000001</v>
      </c>
      <c r="AD304">
        <v>0.49320000000000003</v>
      </c>
      <c r="AE304">
        <v>0.1923</v>
      </c>
      <c r="AF304">
        <v>0.32940000000000003</v>
      </c>
      <c r="AG304">
        <v>9.4689999999999996E-2</v>
      </c>
    </row>
    <row r="305" spans="1:33">
      <c r="A305">
        <v>304</v>
      </c>
      <c r="B305">
        <v>892657</v>
      </c>
      <c r="C305" t="s">
        <v>1</v>
      </c>
      <c r="D305">
        <v>13.71</v>
      </c>
      <c r="E305">
        <v>18.61</v>
      </c>
      <c r="F305">
        <v>66.86</v>
      </c>
      <c r="G305">
        <v>334.3</v>
      </c>
      <c r="H305">
        <v>0.10680000000000001</v>
      </c>
      <c r="I305">
        <v>6.6780000000000006E-2</v>
      </c>
      <c r="J305">
        <v>2.2970000000000001E-2</v>
      </c>
      <c r="K305">
        <v>1.78E-2</v>
      </c>
      <c r="L305">
        <v>0.1482</v>
      </c>
      <c r="M305">
        <v>6.6000000000000003E-2</v>
      </c>
      <c r="N305">
        <v>0.14849999999999999</v>
      </c>
      <c r="O305">
        <v>1.5629999999999999</v>
      </c>
      <c r="P305">
        <v>1.0349999999999999</v>
      </c>
      <c r="Q305">
        <v>10.08</v>
      </c>
      <c r="R305">
        <v>8.8749999999999992E-3</v>
      </c>
      <c r="S305">
        <v>9.3620000000000005E-3</v>
      </c>
      <c r="T305">
        <v>1.8079999999999999E-2</v>
      </c>
      <c r="U305">
        <v>9.1990000000000006E-3</v>
      </c>
      <c r="V305">
        <v>1.7909999999999999E-2</v>
      </c>
      <c r="W305">
        <v>3.3170000000000001E-3</v>
      </c>
      <c r="X305">
        <v>11.06</v>
      </c>
      <c r="Y305">
        <v>24.54</v>
      </c>
      <c r="Z305">
        <v>70.760000000000005</v>
      </c>
      <c r="AA305">
        <v>375.4</v>
      </c>
      <c r="AB305">
        <v>0.14130000000000001</v>
      </c>
      <c r="AC305">
        <v>0.10440000000000001</v>
      </c>
      <c r="AD305">
        <v>8.4229999999999999E-2</v>
      </c>
      <c r="AE305">
        <v>6.5280000000000005E-2</v>
      </c>
      <c r="AF305">
        <v>0.2213</v>
      </c>
      <c r="AG305">
        <v>7.8420000000000004E-2</v>
      </c>
    </row>
    <row r="306" spans="1:33">
      <c r="A306">
        <v>305</v>
      </c>
      <c r="B306">
        <v>89296</v>
      </c>
      <c r="C306" t="s">
        <v>1</v>
      </c>
      <c r="D306">
        <v>13.71</v>
      </c>
      <c r="E306">
        <v>18.16</v>
      </c>
      <c r="F306">
        <v>73.59</v>
      </c>
      <c r="G306">
        <v>403.1</v>
      </c>
      <c r="H306">
        <v>8.8529999999999998E-2</v>
      </c>
      <c r="I306">
        <v>7.6939999999999995E-2</v>
      </c>
      <c r="J306">
        <v>3.3439999999999998E-2</v>
      </c>
      <c r="K306">
        <v>1.502E-2</v>
      </c>
      <c r="L306">
        <v>0.1411</v>
      </c>
      <c r="M306">
        <v>6.2429999999999999E-2</v>
      </c>
      <c r="N306">
        <v>0.32779999999999998</v>
      </c>
      <c r="O306">
        <v>1.0589999999999999</v>
      </c>
      <c r="P306">
        <v>2.4750000000000001</v>
      </c>
      <c r="Q306">
        <v>22.93</v>
      </c>
      <c r="R306">
        <v>6.6519999999999999E-3</v>
      </c>
      <c r="S306">
        <v>2.6519999999999998E-2</v>
      </c>
      <c r="T306">
        <v>2.2210000000000001E-2</v>
      </c>
      <c r="U306">
        <v>7.8069999999999997E-3</v>
      </c>
      <c r="V306">
        <v>1.8939999999999999E-2</v>
      </c>
      <c r="W306">
        <v>3.411E-3</v>
      </c>
      <c r="X306">
        <v>12.68</v>
      </c>
      <c r="Y306">
        <v>21.61</v>
      </c>
      <c r="Z306">
        <v>82.69</v>
      </c>
      <c r="AA306">
        <v>489.8</v>
      </c>
      <c r="AB306">
        <v>0.1144</v>
      </c>
      <c r="AC306">
        <v>0.1789</v>
      </c>
      <c r="AD306">
        <v>0.1226</v>
      </c>
      <c r="AE306">
        <v>5.509E-2</v>
      </c>
      <c r="AF306">
        <v>0.2208</v>
      </c>
      <c r="AG306">
        <v>7.6380000000000003E-2</v>
      </c>
    </row>
    <row r="307" spans="1:33">
      <c r="A307">
        <v>306</v>
      </c>
      <c r="B307">
        <v>893061</v>
      </c>
      <c r="C307" t="s">
        <v>1</v>
      </c>
      <c r="D307">
        <v>13.71</v>
      </c>
      <c r="E307">
        <v>24.49</v>
      </c>
      <c r="F307">
        <v>74.23</v>
      </c>
      <c r="G307">
        <v>417.2</v>
      </c>
      <c r="H307">
        <v>7.4740000000000001E-2</v>
      </c>
      <c r="I307">
        <v>5.688E-2</v>
      </c>
      <c r="J307">
        <v>1.9740000000000001E-2</v>
      </c>
      <c r="K307">
        <v>1.3129999999999999E-2</v>
      </c>
      <c r="L307">
        <v>0.19350000000000001</v>
      </c>
      <c r="M307">
        <v>5.8779999999999999E-2</v>
      </c>
      <c r="N307">
        <v>0.25119999999999998</v>
      </c>
      <c r="O307">
        <v>1.786</v>
      </c>
      <c r="P307">
        <v>1.9610000000000001</v>
      </c>
      <c r="Q307">
        <v>18.21</v>
      </c>
      <c r="R307">
        <v>6.1219999999999998E-3</v>
      </c>
      <c r="S307">
        <v>2.3369999999999998E-2</v>
      </c>
      <c r="T307">
        <v>1.5959999999999998E-2</v>
      </c>
      <c r="U307">
        <v>6.9979999999999999E-3</v>
      </c>
      <c r="V307">
        <v>3.1940000000000003E-2</v>
      </c>
      <c r="W307">
        <v>2.2109999999999999E-3</v>
      </c>
      <c r="X307">
        <v>12.44</v>
      </c>
      <c r="Y307">
        <v>31.62</v>
      </c>
      <c r="Z307">
        <v>81.39</v>
      </c>
      <c r="AA307">
        <v>476.5</v>
      </c>
      <c r="AB307">
        <v>9.5449999999999993E-2</v>
      </c>
      <c r="AC307">
        <v>0.1361</v>
      </c>
      <c r="AD307">
        <v>7.2389999999999996E-2</v>
      </c>
      <c r="AE307">
        <v>4.8149999999999998E-2</v>
      </c>
      <c r="AF307">
        <v>0.32440000000000002</v>
      </c>
      <c r="AG307">
        <v>6.7449999999999996E-2</v>
      </c>
    </row>
    <row r="308" spans="1:33">
      <c r="A308">
        <v>307</v>
      </c>
      <c r="B308">
        <v>89344</v>
      </c>
      <c r="C308" t="s">
        <v>1</v>
      </c>
      <c r="D308">
        <v>13.71</v>
      </c>
      <c r="E308">
        <v>15.82</v>
      </c>
      <c r="F308">
        <v>84.07</v>
      </c>
      <c r="G308">
        <v>537.29999999999995</v>
      </c>
      <c r="H308">
        <v>8.5110000000000005E-2</v>
      </c>
      <c r="I308">
        <v>5.2510000000000001E-2</v>
      </c>
      <c r="J308">
        <v>1.4610000000000001E-3</v>
      </c>
      <c r="K308">
        <v>3.261E-3</v>
      </c>
      <c r="L308">
        <v>0.16320000000000001</v>
      </c>
      <c r="M308">
        <v>5.8939999999999999E-2</v>
      </c>
      <c r="N308">
        <v>0.1903</v>
      </c>
      <c r="O308">
        <v>0.57350000000000001</v>
      </c>
      <c r="P308">
        <v>1.204</v>
      </c>
      <c r="Q308">
        <v>15.5</v>
      </c>
      <c r="R308">
        <v>3.6319999999999998E-3</v>
      </c>
      <c r="S308">
        <v>7.8609999999999999E-3</v>
      </c>
      <c r="T308">
        <v>1.1280000000000001E-3</v>
      </c>
      <c r="U308">
        <v>2.3860000000000001E-3</v>
      </c>
      <c r="V308">
        <v>1.3440000000000001E-2</v>
      </c>
      <c r="W308">
        <v>2.5850000000000001E-3</v>
      </c>
      <c r="X308">
        <v>14.41</v>
      </c>
      <c r="Y308">
        <v>20.45</v>
      </c>
      <c r="Z308">
        <v>92</v>
      </c>
      <c r="AA308">
        <v>636.9</v>
      </c>
      <c r="AB308">
        <v>0.1128</v>
      </c>
      <c r="AC308">
        <v>0.1346</v>
      </c>
      <c r="AD308">
        <v>1.12E-2</v>
      </c>
      <c r="AE308">
        <v>2.5000000000000001E-2</v>
      </c>
      <c r="AF308">
        <v>0.2651</v>
      </c>
      <c r="AG308">
        <v>8.3849999999999994E-2</v>
      </c>
    </row>
    <row r="309" spans="1:33">
      <c r="A309">
        <v>308</v>
      </c>
      <c r="B309">
        <v>89346</v>
      </c>
      <c r="C309" t="s">
        <v>1</v>
      </c>
      <c r="D309">
        <v>13.71</v>
      </c>
      <c r="E309">
        <v>14.4</v>
      </c>
      <c r="F309">
        <v>56.36</v>
      </c>
      <c r="G309">
        <v>246.3</v>
      </c>
      <c r="H309">
        <v>7.0050000000000001E-2</v>
      </c>
      <c r="I309">
        <v>3.116E-2</v>
      </c>
      <c r="J309">
        <v>3.6809999999999998E-3</v>
      </c>
      <c r="K309">
        <v>3.4719999999999998E-3</v>
      </c>
      <c r="L309">
        <v>0.17879999999999999</v>
      </c>
      <c r="M309">
        <v>6.8330000000000002E-2</v>
      </c>
      <c r="N309">
        <v>0.17460000000000001</v>
      </c>
      <c r="O309">
        <v>1.3049999999999999</v>
      </c>
      <c r="P309">
        <v>1.1439999999999999</v>
      </c>
      <c r="Q309">
        <v>9.7889999999999997</v>
      </c>
      <c r="R309">
        <v>7.3889999999999997E-3</v>
      </c>
      <c r="S309">
        <v>4.8830000000000002E-3</v>
      </c>
      <c r="T309">
        <v>3.6809999999999998E-3</v>
      </c>
      <c r="U309">
        <v>3.4719999999999998E-3</v>
      </c>
      <c r="V309">
        <v>2.7009999999999999E-2</v>
      </c>
      <c r="W309">
        <v>2.153E-3</v>
      </c>
      <c r="X309">
        <v>9.6989999999999998</v>
      </c>
      <c r="Y309">
        <v>20.07</v>
      </c>
      <c r="Z309">
        <v>60.9</v>
      </c>
      <c r="AA309">
        <v>285.5</v>
      </c>
      <c r="AB309">
        <v>9.8610000000000003E-2</v>
      </c>
      <c r="AC309">
        <v>5.2319999999999998E-2</v>
      </c>
      <c r="AD309">
        <v>1.472E-2</v>
      </c>
      <c r="AE309">
        <v>1.389E-2</v>
      </c>
      <c r="AF309">
        <v>0.29909999999999998</v>
      </c>
      <c r="AG309">
        <v>7.8039999999999998E-2</v>
      </c>
    </row>
    <row r="310" spans="1:33">
      <c r="A310">
        <v>309</v>
      </c>
      <c r="B310">
        <v>893526</v>
      </c>
      <c r="C310" t="s">
        <v>1</v>
      </c>
      <c r="D310">
        <v>13.71</v>
      </c>
      <c r="E310">
        <v>12.71</v>
      </c>
      <c r="F310">
        <v>85.69</v>
      </c>
      <c r="G310">
        <v>566.20000000000005</v>
      </c>
      <c r="H310">
        <v>7.3760000000000006E-2</v>
      </c>
      <c r="I310">
        <v>3.6139999999999999E-2</v>
      </c>
      <c r="J310">
        <v>2.758E-3</v>
      </c>
      <c r="K310">
        <v>4.4190000000000002E-3</v>
      </c>
      <c r="L310">
        <v>0.13650000000000001</v>
      </c>
      <c r="M310">
        <v>5.3350000000000002E-2</v>
      </c>
      <c r="N310">
        <v>0.22439999999999999</v>
      </c>
      <c r="O310">
        <v>0.68640000000000001</v>
      </c>
      <c r="P310">
        <v>1.5089999999999999</v>
      </c>
      <c r="Q310">
        <v>20.39</v>
      </c>
      <c r="R310">
        <v>3.3379999999999998E-3</v>
      </c>
      <c r="S310">
        <v>3.7460000000000002E-3</v>
      </c>
      <c r="T310">
        <v>2.0300000000000001E-3</v>
      </c>
      <c r="U310">
        <v>3.2420000000000001E-3</v>
      </c>
      <c r="V310">
        <v>1.4800000000000001E-2</v>
      </c>
      <c r="W310">
        <v>1.5659999999999999E-3</v>
      </c>
      <c r="X310">
        <v>14.97</v>
      </c>
      <c r="Y310">
        <v>16.940000000000001</v>
      </c>
      <c r="Z310">
        <v>95.48</v>
      </c>
      <c r="AA310">
        <v>698.7</v>
      </c>
      <c r="AB310">
        <v>9.0230000000000005E-2</v>
      </c>
      <c r="AC310">
        <v>5.8360000000000002E-2</v>
      </c>
      <c r="AD310">
        <v>1.379E-2</v>
      </c>
      <c r="AE310">
        <v>2.2100000000000002E-2</v>
      </c>
      <c r="AF310">
        <v>0.22670000000000001</v>
      </c>
      <c r="AG310">
        <v>6.1920000000000003E-2</v>
      </c>
    </row>
    <row r="311" spans="1:33">
      <c r="A311">
        <v>310</v>
      </c>
      <c r="B311">
        <v>893548</v>
      </c>
      <c r="C311" t="s">
        <v>1</v>
      </c>
      <c r="D311">
        <v>13.71</v>
      </c>
      <c r="E311">
        <v>13.84</v>
      </c>
      <c r="F311">
        <v>82.71</v>
      </c>
      <c r="G311">
        <v>530.6</v>
      </c>
      <c r="H311">
        <v>8.3519999999999997E-2</v>
      </c>
      <c r="I311">
        <v>3.7350000000000001E-2</v>
      </c>
      <c r="J311">
        <v>4.5589999999999997E-3</v>
      </c>
      <c r="K311">
        <v>8.829E-3</v>
      </c>
      <c r="L311">
        <v>0.14530000000000001</v>
      </c>
      <c r="M311">
        <v>5.518E-2</v>
      </c>
      <c r="N311">
        <v>0.39750000000000002</v>
      </c>
      <c r="O311">
        <v>0.82850000000000001</v>
      </c>
      <c r="P311">
        <v>2.5670000000000002</v>
      </c>
      <c r="Q311">
        <v>33.01</v>
      </c>
      <c r="R311">
        <v>4.1479999999999998E-3</v>
      </c>
      <c r="S311">
        <v>4.7109999999999999E-3</v>
      </c>
      <c r="T311">
        <v>2.8310000000000002E-3</v>
      </c>
      <c r="U311">
        <v>4.8209999999999998E-3</v>
      </c>
      <c r="V311">
        <v>1.422E-2</v>
      </c>
      <c r="W311">
        <v>2.2729999999999998E-3</v>
      </c>
      <c r="X311">
        <v>14.73</v>
      </c>
      <c r="Y311">
        <v>17.399999999999999</v>
      </c>
      <c r="Z311">
        <v>93.96</v>
      </c>
      <c r="AA311">
        <v>672.4</v>
      </c>
      <c r="AB311">
        <v>0.1016</v>
      </c>
      <c r="AC311">
        <v>5.8470000000000001E-2</v>
      </c>
      <c r="AD311">
        <v>1.8239999999999999E-2</v>
      </c>
      <c r="AE311">
        <v>3.5319999999999997E-2</v>
      </c>
      <c r="AF311">
        <v>0.2107</v>
      </c>
      <c r="AG311">
        <v>6.5799999999999997E-2</v>
      </c>
    </row>
    <row r="312" spans="1:33">
      <c r="A312">
        <v>311</v>
      </c>
      <c r="B312">
        <v>893783</v>
      </c>
      <c r="C312" t="s">
        <v>1</v>
      </c>
      <c r="D312">
        <v>13.71</v>
      </c>
      <c r="E312">
        <v>19.11</v>
      </c>
      <c r="F312">
        <v>74.33</v>
      </c>
      <c r="G312">
        <v>418.7</v>
      </c>
      <c r="H312">
        <v>8.8139999999999996E-2</v>
      </c>
      <c r="I312">
        <v>5.253E-2</v>
      </c>
      <c r="J312">
        <v>1.583E-2</v>
      </c>
      <c r="K312">
        <v>1.1480000000000001E-2</v>
      </c>
      <c r="L312">
        <v>0.19359999999999999</v>
      </c>
      <c r="M312">
        <v>6.1280000000000001E-2</v>
      </c>
      <c r="N312">
        <v>0.16009999999999999</v>
      </c>
      <c r="O312">
        <v>1.43</v>
      </c>
      <c r="P312">
        <v>1.109</v>
      </c>
      <c r="Q312">
        <v>11.28</v>
      </c>
      <c r="R312">
        <v>6.0639999999999999E-3</v>
      </c>
      <c r="S312">
        <v>9.11E-3</v>
      </c>
      <c r="T312">
        <v>1.042E-2</v>
      </c>
      <c r="U312">
        <v>7.6379999999999998E-3</v>
      </c>
      <c r="V312">
        <v>2.349E-2</v>
      </c>
      <c r="W312">
        <v>1.6609999999999999E-3</v>
      </c>
      <c r="X312">
        <v>12.61</v>
      </c>
      <c r="Y312">
        <v>26.55</v>
      </c>
      <c r="Z312">
        <v>80.92</v>
      </c>
      <c r="AA312">
        <v>483.1</v>
      </c>
      <c r="AB312">
        <v>0.12230000000000001</v>
      </c>
      <c r="AC312">
        <v>0.1087</v>
      </c>
      <c r="AD312">
        <v>7.9149999999999998E-2</v>
      </c>
      <c r="AE312">
        <v>5.7410000000000003E-2</v>
      </c>
      <c r="AF312">
        <v>0.34870000000000001</v>
      </c>
      <c r="AG312">
        <v>6.9580000000000003E-2</v>
      </c>
    </row>
    <row r="313" spans="1:33">
      <c r="A313">
        <v>312</v>
      </c>
      <c r="B313">
        <v>89382601</v>
      </c>
      <c r="C313" t="s">
        <v>1</v>
      </c>
      <c r="D313">
        <v>13.71</v>
      </c>
      <c r="E313">
        <v>15.69</v>
      </c>
      <c r="F313">
        <v>92.68</v>
      </c>
      <c r="G313">
        <v>664.9</v>
      </c>
      <c r="H313">
        <v>7.6179999999999998E-2</v>
      </c>
      <c r="I313">
        <v>3.5150000000000001E-2</v>
      </c>
      <c r="J313">
        <v>1.447E-2</v>
      </c>
      <c r="K313">
        <v>1.8769999999999998E-2</v>
      </c>
      <c r="L313">
        <v>0.16320000000000001</v>
      </c>
      <c r="M313">
        <v>5.2549999999999999E-2</v>
      </c>
      <c r="N313">
        <v>0.316</v>
      </c>
      <c r="O313">
        <v>0.91149999999999998</v>
      </c>
      <c r="P313">
        <v>1.954</v>
      </c>
      <c r="Q313">
        <v>28.9</v>
      </c>
      <c r="R313">
        <v>5.0309999999999999E-3</v>
      </c>
      <c r="S313">
        <v>6.0210000000000003E-3</v>
      </c>
      <c r="T313">
        <v>5.3249999999999999E-3</v>
      </c>
      <c r="U313">
        <v>6.3239999999999998E-3</v>
      </c>
      <c r="V313">
        <v>1.494E-2</v>
      </c>
      <c r="W313">
        <v>8.9479999999999996E-4</v>
      </c>
      <c r="X313">
        <v>16.46</v>
      </c>
      <c r="Y313">
        <v>21.75</v>
      </c>
      <c r="Z313">
        <v>103.7</v>
      </c>
      <c r="AA313">
        <v>840.8</v>
      </c>
      <c r="AB313">
        <v>0.1011</v>
      </c>
      <c r="AC313">
        <v>7.0870000000000002E-2</v>
      </c>
      <c r="AD313">
        <v>4.7460000000000002E-2</v>
      </c>
      <c r="AE313">
        <v>5.8130000000000001E-2</v>
      </c>
      <c r="AF313">
        <v>0.253</v>
      </c>
      <c r="AG313">
        <v>5.6950000000000001E-2</v>
      </c>
    </row>
    <row r="314" spans="1:33">
      <c r="A314">
        <v>313</v>
      </c>
      <c r="B314">
        <v>89382602</v>
      </c>
      <c r="C314" t="s">
        <v>1</v>
      </c>
      <c r="D314">
        <v>13.71</v>
      </c>
      <c r="E314">
        <v>13.37</v>
      </c>
      <c r="F314">
        <v>82.29</v>
      </c>
      <c r="G314">
        <v>504.1</v>
      </c>
      <c r="H314">
        <v>8.7940000000000004E-2</v>
      </c>
      <c r="I314">
        <v>7.9479999999999995E-2</v>
      </c>
      <c r="J314">
        <v>4.052E-2</v>
      </c>
      <c r="K314">
        <v>2.5479999999999999E-2</v>
      </c>
      <c r="L314">
        <v>0.16009999999999999</v>
      </c>
      <c r="M314">
        <v>6.1400000000000003E-2</v>
      </c>
      <c r="N314">
        <v>0.32650000000000001</v>
      </c>
      <c r="O314">
        <v>0.65939999999999999</v>
      </c>
      <c r="P314">
        <v>2.3460000000000001</v>
      </c>
      <c r="Q314">
        <v>25.18</v>
      </c>
      <c r="R314">
        <v>6.4939999999999998E-3</v>
      </c>
      <c r="S314">
        <v>2.768E-2</v>
      </c>
      <c r="T314">
        <v>3.1370000000000002E-2</v>
      </c>
      <c r="U314">
        <v>1.069E-2</v>
      </c>
      <c r="V314">
        <v>1.7309999999999999E-2</v>
      </c>
      <c r="W314">
        <v>4.3920000000000001E-3</v>
      </c>
      <c r="X314">
        <v>14.19</v>
      </c>
      <c r="Y314">
        <v>16.399999999999999</v>
      </c>
      <c r="Z314">
        <v>92.04</v>
      </c>
      <c r="AA314">
        <v>618.79999999999995</v>
      </c>
      <c r="AB314">
        <v>0.11940000000000001</v>
      </c>
      <c r="AC314">
        <v>0.2208</v>
      </c>
      <c r="AD314">
        <v>0.1769</v>
      </c>
      <c r="AE314">
        <v>8.4110000000000004E-2</v>
      </c>
      <c r="AF314">
        <v>0.25640000000000002</v>
      </c>
      <c r="AG314">
        <v>8.2530000000000006E-2</v>
      </c>
    </row>
    <row r="315" spans="1:33">
      <c r="A315">
        <v>314</v>
      </c>
      <c r="B315">
        <v>893988</v>
      </c>
      <c r="C315" t="s">
        <v>1</v>
      </c>
      <c r="D315">
        <v>13.71</v>
      </c>
      <c r="E315">
        <v>10.72</v>
      </c>
      <c r="F315">
        <v>73.73</v>
      </c>
      <c r="G315">
        <v>409.1</v>
      </c>
      <c r="H315">
        <v>8.5970000000000005E-2</v>
      </c>
      <c r="I315">
        <v>5.969E-2</v>
      </c>
      <c r="J315">
        <v>1.367E-2</v>
      </c>
      <c r="K315">
        <v>8.907E-3</v>
      </c>
      <c r="L315">
        <v>0.18329999999999999</v>
      </c>
      <c r="M315">
        <v>6.0999999999999999E-2</v>
      </c>
      <c r="N315">
        <v>0.13120000000000001</v>
      </c>
      <c r="O315">
        <v>0.36020000000000002</v>
      </c>
      <c r="P315">
        <v>1.107</v>
      </c>
      <c r="Q315">
        <v>9.4380000000000006</v>
      </c>
      <c r="R315">
        <v>4.1240000000000001E-3</v>
      </c>
      <c r="S315">
        <v>1.34E-2</v>
      </c>
      <c r="T315">
        <v>1.0030000000000001E-2</v>
      </c>
      <c r="U315">
        <v>4.6670000000000001E-3</v>
      </c>
      <c r="V315">
        <v>2.0320000000000001E-2</v>
      </c>
      <c r="W315">
        <v>1.952E-3</v>
      </c>
      <c r="X315">
        <v>12.34</v>
      </c>
      <c r="Y315">
        <v>12.87</v>
      </c>
      <c r="Z315">
        <v>81.23</v>
      </c>
      <c r="AA315">
        <v>467.8</v>
      </c>
      <c r="AB315">
        <v>0.10920000000000001</v>
      </c>
      <c r="AC315">
        <v>0.16259999999999999</v>
      </c>
      <c r="AD315">
        <v>8.3239999999999995E-2</v>
      </c>
      <c r="AE315">
        <v>4.7149999999999997E-2</v>
      </c>
      <c r="AF315">
        <v>0.33900000000000002</v>
      </c>
      <c r="AG315">
        <v>7.4340000000000003E-2</v>
      </c>
    </row>
    <row r="316" spans="1:33">
      <c r="A316">
        <v>315</v>
      </c>
      <c r="B316">
        <v>894047</v>
      </c>
      <c r="C316" t="s">
        <v>1</v>
      </c>
      <c r="D316">
        <v>13.71</v>
      </c>
      <c r="E316">
        <v>18.600000000000001</v>
      </c>
      <c r="F316">
        <v>54.09</v>
      </c>
      <c r="G316">
        <v>221.2</v>
      </c>
      <c r="H316">
        <v>0.1074</v>
      </c>
      <c r="I316">
        <v>5.8470000000000001E-2</v>
      </c>
      <c r="J316">
        <v>0</v>
      </c>
      <c r="K316">
        <v>0</v>
      </c>
      <c r="L316">
        <v>0.21629999999999999</v>
      </c>
      <c r="M316">
        <v>7.3590000000000003E-2</v>
      </c>
      <c r="N316">
        <v>0.33679999999999999</v>
      </c>
      <c r="O316">
        <v>2.7770000000000001</v>
      </c>
      <c r="P316">
        <v>2.222</v>
      </c>
      <c r="Q316">
        <v>17.809999999999999</v>
      </c>
      <c r="R316">
        <v>2.0750000000000001E-2</v>
      </c>
      <c r="S316">
        <v>1.4030000000000001E-2</v>
      </c>
      <c r="T316">
        <v>0</v>
      </c>
      <c r="U316">
        <v>0</v>
      </c>
      <c r="V316">
        <v>6.1460000000000001E-2</v>
      </c>
      <c r="W316">
        <v>6.8199999999999997E-3</v>
      </c>
      <c r="X316">
        <v>8.952</v>
      </c>
      <c r="Y316">
        <v>22.44</v>
      </c>
      <c r="Z316">
        <v>56.65</v>
      </c>
      <c r="AA316">
        <v>240.1</v>
      </c>
      <c r="AB316">
        <v>0.13469999999999999</v>
      </c>
      <c r="AC316">
        <v>7.7670000000000003E-2</v>
      </c>
      <c r="AD316">
        <v>0</v>
      </c>
      <c r="AE316">
        <v>0</v>
      </c>
      <c r="AF316">
        <v>0.31419999999999998</v>
      </c>
      <c r="AG316">
        <v>8.1159999999999996E-2</v>
      </c>
    </row>
    <row r="317" spans="1:33">
      <c r="A317">
        <v>316</v>
      </c>
      <c r="B317">
        <v>894089</v>
      </c>
      <c r="C317" t="s">
        <v>1</v>
      </c>
      <c r="D317">
        <v>13.71</v>
      </c>
      <c r="E317">
        <v>16.850000000000001</v>
      </c>
      <c r="F317">
        <v>79.19</v>
      </c>
      <c r="G317">
        <v>481.6</v>
      </c>
      <c r="H317">
        <v>8.5110000000000005E-2</v>
      </c>
      <c r="I317">
        <v>3.8339999999999999E-2</v>
      </c>
      <c r="J317">
        <v>4.4730000000000004E-3</v>
      </c>
      <c r="K317">
        <v>6.4229999999999999E-3</v>
      </c>
      <c r="L317">
        <v>0.1215</v>
      </c>
      <c r="M317">
        <v>5.6730000000000003E-2</v>
      </c>
      <c r="N317">
        <v>0.1716</v>
      </c>
      <c r="O317">
        <v>0.71509999999999996</v>
      </c>
      <c r="P317">
        <v>1.0469999999999999</v>
      </c>
      <c r="Q317">
        <v>12.69</v>
      </c>
      <c r="R317">
        <v>4.9280000000000001E-3</v>
      </c>
      <c r="S317">
        <v>3.0119999999999999E-3</v>
      </c>
      <c r="T317">
        <v>2.6199999999999999E-3</v>
      </c>
      <c r="U317">
        <v>3.3899999999999998E-3</v>
      </c>
      <c r="V317">
        <v>1.393E-2</v>
      </c>
      <c r="W317">
        <v>1.3439999999999999E-3</v>
      </c>
      <c r="X317">
        <v>13.34</v>
      </c>
      <c r="Y317">
        <v>19.71</v>
      </c>
      <c r="Z317">
        <v>84.48</v>
      </c>
      <c r="AA317">
        <v>544.20000000000005</v>
      </c>
      <c r="AB317">
        <v>0.1104</v>
      </c>
      <c r="AC317">
        <v>4.9529999999999998E-2</v>
      </c>
      <c r="AD317">
        <v>1.9380000000000001E-2</v>
      </c>
      <c r="AE317">
        <v>2.784E-2</v>
      </c>
      <c r="AF317">
        <v>0.19170000000000001</v>
      </c>
      <c r="AG317">
        <v>6.1740000000000003E-2</v>
      </c>
    </row>
    <row r="318" spans="1:33">
      <c r="A318">
        <v>317</v>
      </c>
      <c r="B318">
        <v>894090</v>
      </c>
      <c r="C318" t="s">
        <v>1</v>
      </c>
      <c r="D318">
        <v>13.71</v>
      </c>
      <c r="E318">
        <v>14.08</v>
      </c>
      <c r="F318">
        <v>77.25</v>
      </c>
      <c r="G318">
        <v>461.4</v>
      </c>
      <c r="H318">
        <v>7.7340000000000006E-2</v>
      </c>
      <c r="I318">
        <v>3.2120000000000003E-2</v>
      </c>
      <c r="J318">
        <v>1.123E-2</v>
      </c>
      <c r="K318">
        <v>5.0509999999999999E-3</v>
      </c>
      <c r="L318">
        <v>0.1673</v>
      </c>
      <c r="M318">
        <v>5.6489999999999999E-2</v>
      </c>
      <c r="N318">
        <v>0.21129999999999999</v>
      </c>
      <c r="O318">
        <v>0.59960000000000002</v>
      </c>
      <c r="P318">
        <v>1.4379999999999999</v>
      </c>
      <c r="Q318">
        <v>15.82</v>
      </c>
      <c r="R318">
        <v>5.3429999999999997E-3</v>
      </c>
      <c r="S318">
        <v>5.7670000000000004E-3</v>
      </c>
      <c r="T318">
        <v>1.123E-2</v>
      </c>
      <c r="U318">
        <v>5.0509999999999999E-3</v>
      </c>
      <c r="V318">
        <v>1.9769999999999999E-2</v>
      </c>
      <c r="W318">
        <v>9.502E-4</v>
      </c>
      <c r="X318">
        <v>12.85</v>
      </c>
      <c r="Y318">
        <v>16.47</v>
      </c>
      <c r="Z318">
        <v>81.599999999999994</v>
      </c>
      <c r="AA318">
        <v>513.1</v>
      </c>
      <c r="AB318">
        <v>0.10009999999999999</v>
      </c>
      <c r="AC318">
        <v>5.3319999999999999E-2</v>
      </c>
      <c r="AD318">
        <v>4.1160000000000002E-2</v>
      </c>
      <c r="AE318">
        <v>1.8519999999999998E-2</v>
      </c>
      <c r="AF318">
        <v>0.2293</v>
      </c>
      <c r="AG318">
        <v>6.037E-2</v>
      </c>
    </row>
    <row r="319" spans="1:33">
      <c r="A319">
        <v>318</v>
      </c>
      <c r="B319">
        <v>894326</v>
      </c>
      <c r="C319" t="s">
        <v>0</v>
      </c>
      <c r="D319">
        <v>13.71</v>
      </c>
      <c r="E319">
        <v>18.87</v>
      </c>
      <c r="F319">
        <v>118.7</v>
      </c>
      <c r="G319">
        <v>1027</v>
      </c>
      <c r="H319">
        <v>9.7460000000000005E-2</v>
      </c>
      <c r="I319">
        <v>0.11169999999999999</v>
      </c>
      <c r="J319">
        <v>0.113</v>
      </c>
      <c r="K319">
        <v>7.9500000000000001E-2</v>
      </c>
      <c r="L319">
        <v>0.1807</v>
      </c>
      <c r="M319">
        <v>5.6640000000000003E-2</v>
      </c>
      <c r="N319">
        <v>0.40410000000000001</v>
      </c>
      <c r="O319">
        <v>0.55030000000000001</v>
      </c>
      <c r="P319">
        <v>2.5470000000000002</v>
      </c>
      <c r="Q319">
        <v>48.9</v>
      </c>
      <c r="R319">
        <v>4.8209999999999998E-3</v>
      </c>
      <c r="S319">
        <v>1.6590000000000001E-2</v>
      </c>
      <c r="T319">
        <v>2.4080000000000001E-2</v>
      </c>
      <c r="U319">
        <v>1.1429999999999999E-2</v>
      </c>
      <c r="V319">
        <v>1.2749999999999999E-2</v>
      </c>
      <c r="W319">
        <v>2.4510000000000001E-3</v>
      </c>
      <c r="X319">
        <v>21.84</v>
      </c>
      <c r="Y319">
        <v>25</v>
      </c>
      <c r="Z319">
        <v>140.9</v>
      </c>
      <c r="AA319">
        <v>1485</v>
      </c>
      <c r="AB319">
        <v>0.1434</v>
      </c>
      <c r="AC319">
        <v>0.27629999999999999</v>
      </c>
      <c r="AD319">
        <v>0.38529999999999998</v>
      </c>
      <c r="AE319">
        <v>0.17760000000000001</v>
      </c>
      <c r="AF319">
        <v>0.28120000000000001</v>
      </c>
      <c r="AG319">
        <v>8.1979999999999997E-2</v>
      </c>
    </row>
    <row r="320" spans="1:33">
      <c r="A320">
        <v>319</v>
      </c>
      <c r="B320">
        <v>894329</v>
      </c>
      <c r="C320" t="s">
        <v>1</v>
      </c>
      <c r="D320">
        <v>13.71</v>
      </c>
      <c r="E320">
        <v>18.899999999999999</v>
      </c>
      <c r="F320">
        <v>60.07</v>
      </c>
      <c r="G320">
        <v>244.5</v>
      </c>
      <c r="H320">
        <v>9.9680000000000005E-2</v>
      </c>
      <c r="I320">
        <v>0.19719999999999999</v>
      </c>
      <c r="J320">
        <v>0.19750000000000001</v>
      </c>
      <c r="K320">
        <v>4.9079999999999999E-2</v>
      </c>
      <c r="L320">
        <v>0.23300000000000001</v>
      </c>
      <c r="M320">
        <v>8.7429999999999994E-2</v>
      </c>
      <c r="N320">
        <v>0.46529999999999999</v>
      </c>
      <c r="O320">
        <v>1.911</v>
      </c>
      <c r="P320">
        <v>3.7690000000000001</v>
      </c>
      <c r="Q320">
        <v>24.2</v>
      </c>
      <c r="R320">
        <v>9.8449999999999996E-3</v>
      </c>
      <c r="S320">
        <v>6.59E-2</v>
      </c>
      <c r="T320">
        <v>0.1027</v>
      </c>
      <c r="U320">
        <v>2.5270000000000001E-2</v>
      </c>
      <c r="V320">
        <v>3.4909999999999997E-2</v>
      </c>
      <c r="W320">
        <v>7.8770000000000003E-3</v>
      </c>
      <c r="X320">
        <v>10.06</v>
      </c>
      <c r="Y320">
        <v>23.4</v>
      </c>
      <c r="Z320">
        <v>68.62</v>
      </c>
      <c r="AA320">
        <v>297.10000000000002</v>
      </c>
      <c r="AB320">
        <v>0.1221</v>
      </c>
      <c r="AC320">
        <v>0.37480000000000002</v>
      </c>
      <c r="AD320">
        <v>0.46089999999999998</v>
      </c>
      <c r="AE320">
        <v>0.1145</v>
      </c>
      <c r="AF320">
        <v>0.3135</v>
      </c>
      <c r="AG320">
        <v>0.1055</v>
      </c>
    </row>
    <row r="321" spans="1:33">
      <c r="A321">
        <v>320</v>
      </c>
      <c r="B321">
        <v>894335</v>
      </c>
      <c r="C321" t="s">
        <v>1</v>
      </c>
      <c r="D321">
        <v>13.71</v>
      </c>
      <c r="E321">
        <v>17</v>
      </c>
      <c r="F321">
        <v>78.599999999999994</v>
      </c>
      <c r="G321">
        <v>477.3</v>
      </c>
      <c r="H321">
        <v>7.5569999999999998E-2</v>
      </c>
      <c r="I321">
        <v>3.4540000000000001E-2</v>
      </c>
      <c r="J321">
        <v>1.342E-2</v>
      </c>
      <c r="K321">
        <v>1.6990000000000002E-2</v>
      </c>
      <c r="L321">
        <v>0.1472</v>
      </c>
      <c r="M321">
        <v>5.561E-2</v>
      </c>
      <c r="N321">
        <v>0.37780000000000002</v>
      </c>
      <c r="O321">
        <v>2.2000000000000002</v>
      </c>
      <c r="P321">
        <v>2.4870000000000001</v>
      </c>
      <c r="Q321">
        <v>31.16</v>
      </c>
      <c r="R321">
        <v>7.3569999999999998E-3</v>
      </c>
      <c r="S321">
        <v>1.0789999999999999E-2</v>
      </c>
      <c r="T321">
        <v>9.9590000000000008E-3</v>
      </c>
      <c r="U321">
        <v>1.12E-2</v>
      </c>
      <c r="V321">
        <v>3.4329999999999999E-2</v>
      </c>
      <c r="W321">
        <v>2.9610000000000001E-3</v>
      </c>
      <c r="X321">
        <v>12.9</v>
      </c>
      <c r="Y321">
        <v>20.21</v>
      </c>
      <c r="Z321">
        <v>81.760000000000005</v>
      </c>
      <c r="AA321">
        <v>515.9</v>
      </c>
      <c r="AB321">
        <v>8.4089999999999998E-2</v>
      </c>
      <c r="AC321">
        <v>4.7120000000000002E-2</v>
      </c>
      <c r="AD321">
        <v>2.2370000000000001E-2</v>
      </c>
      <c r="AE321">
        <v>2.8320000000000001E-2</v>
      </c>
      <c r="AF321">
        <v>0.19009999999999999</v>
      </c>
      <c r="AG321">
        <v>5.9319999999999998E-2</v>
      </c>
    </row>
    <row r="322" spans="1:33">
      <c r="A322">
        <v>321</v>
      </c>
      <c r="B322">
        <v>894604</v>
      </c>
      <c r="C322" t="s">
        <v>1</v>
      </c>
      <c r="D322">
        <v>13.71</v>
      </c>
      <c r="E322">
        <v>16.18</v>
      </c>
      <c r="F322">
        <v>66.52</v>
      </c>
      <c r="G322">
        <v>324.2</v>
      </c>
      <c r="H322">
        <v>0.1061</v>
      </c>
      <c r="I322">
        <v>0.1111</v>
      </c>
      <c r="J322">
        <v>6.726E-2</v>
      </c>
      <c r="K322">
        <v>3.9649999999999998E-2</v>
      </c>
      <c r="L322">
        <v>0.17430000000000001</v>
      </c>
      <c r="M322">
        <v>7.2789999999999994E-2</v>
      </c>
      <c r="N322">
        <v>0.36770000000000003</v>
      </c>
      <c r="O322">
        <v>1.4710000000000001</v>
      </c>
      <c r="P322">
        <v>1.597</v>
      </c>
      <c r="Q322">
        <v>22.68</v>
      </c>
      <c r="R322">
        <v>1.0489999999999999E-2</v>
      </c>
      <c r="S322">
        <v>4.265E-2</v>
      </c>
      <c r="T322">
        <v>4.0039999999999999E-2</v>
      </c>
      <c r="U322">
        <v>1.5440000000000001E-2</v>
      </c>
      <c r="V322">
        <v>2.7189999999999999E-2</v>
      </c>
      <c r="W322">
        <v>7.5960000000000003E-3</v>
      </c>
      <c r="X322">
        <v>11.28</v>
      </c>
      <c r="Y322">
        <v>20.61</v>
      </c>
      <c r="Z322">
        <v>71.53</v>
      </c>
      <c r="AA322">
        <v>390.4</v>
      </c>
      <c r="AB322">
        <v>0.14019999999999999</v>
      </c>
      <c r="AC322">
        <v>0.23599999999999999</v>
      </c>
      <c r="AD322">
        <v>0.1898</v>
      </c>
      <c r="AE322">
        <v>9.7439999999999999E-2</v>
      </c>
      <c r="AF322">
        <v>0.26079999999999998</v>
      </c>
      <c r="AG322">
        <v>9.7019999999999995E-2</v>
      </c>
    </row>
    <row r="323" spans="1:33">
      <c r="A323">
        <v>322</v>
      </c>
      <c r="B323">
        <v>894618</v>
      </c>
      <c r="C323" t="s">
        <v>0</v>
      </c>
      <c r="D323">
        <v>13.71</v>
      </c>
      <c r="E323">
        <v>19.66</v>
      </c>
      <c r="F323">
        <v>131.1</v>
      </c>
      <c r="G323">
        <v>1274</v>
      </c>
      <c r="H323">
        <v>8.0199999999999994E-2</v>
      </c>
      <c r="I323">
        <v>8.5639999999999994E-2</v>
      </c>
      <c r="J323">
        <v>0.11550000000000001</v>
      </c>
      <c r="K323">
        <v>7.7259999999999995E-2</v>
      </c>
      <c r="L323">
        <v>0.1928</v>
      </c>
      <c r="M323">
        <v>5.0959999999999998E-2</v>
      </c>
      <c r="N323">
        <v>0.59250000000000003</v>
      </c>
      <c r="O323">
        <v>0.68630000000000002</v>
      </c>
      <c r="P323">
        <v>3.8679999999999999</v>
      </c>
      <c r="Q323">
        <v>74.849999999999994</v>
      </c>
      <c r="R323">
        <v>4.5360000000000001E-3</v>
      </c>
      <c r="S323">
        <v>1.376E-2</v>
      </c>
      <c r="T323">
        <v>2.6450000000000001E-2</v>
      </c>
      <c r="U323">
        <v>1.247E-2</v>
      </c>
      <c r="V323">
        <v>2.1930000000000002E-2</v>
      </c>
      <c r="W323">
        <v>1.5889999999999999E-3</v>
      </c>
      <c r="X323">
        <v>23.06</v>
      </c>
      <c r="Y323">
        <v>23.03</v>
      </c>
      <c r="Z323">
        <v>150.19999999999999</v>
      </c>
      <c r="AA323">
        <v>1657</v>
      </c>
      <c r="AB323">
        <v>0.10539999999999999</v>
      </c>
      <c r="AC323">
        <v>0.1537</v>
      </c>
      <c r="AD323">
        <v>0.2606</v>
      </c>
      <c r="AE323">
        <v>0.14249999999999999</v>
      </c>
      <c r="AF323">
        <v>0.30549999999999999</v>
      </c>
      <c r="AG323">
        <v>5.9330000000000001E-2</v>
      </c>
    </row>
    <row r="324" spans="1:33">
      <c r="A324">
        <v>323</v>
      </c>
      <c r="B324">
        <v>894855</v>
      </c>
      <c r="C324" t="s">
        <v>1</v>
      </c>
      <c r="D324">
        <v>13.71</v>
      </c>
      <c r="E324">
        <v>13.32</v>
      </c>
      <c r="F324">
        <v>82.82</v>
      </c>
      <c r="G324">
        <v>504.8</v>
      </c>
      <c r="H324">
        <v>0.1134</v>
      </c>
      <c r="I324">
        <v>8.8340000000000002E-2</v>
      </c>
      <c r="J324">
        <v>3.7999999999999999E-2</v>
      </c>
      <c r="K324">
        <v>3.4000000000000002E-2</v>
      </c>
      <c r="L324">
        <v>0.15429999999999999</v>
      </c>
      <c r="M324">
        <v>6.4759999999999998E-2</v>
      </c>
      <c r="N324">
        <v>0.22120000000000001</v>
      </c>
      <c r="O324">
        <v>1.042</v>
      </c>
      <c r="P324">
        <v>1.6140000000000001</v>
      </c>
      <c r="Q324">
        <v>16.57</v>
      </c>
      <c r="R324">
        <v>5.9100000000000003E-3</v>
      </c>
      <c r="S324">
        <v>2.0160000000000001E-2</v>
      </c>
      <c r="T324">
        <v>1.9019999999999999E-2</v>
      </c>
      <c r="U324">
        <v>1.0109999999999999E-2</v>
      </c>
      <c r="V324">
        <v>1.2019999999999999E-2</v>
      </c>
      <c r="W324">
        <v>3.107E-3</v>
      </c>
      <c r="X324">
        <v>14.04</v>
      </c>
      <c r="Y324">
        <v>21.08</v>
      </c>
      <c r="Z324">
        <v>92.8</v>
      </c>
      <c r="AA324">
        <v>599.5</v>
      </c>
      <c r="AB324">
        <v>0.1547</v>
      </c>
      <c r="AC324">
        <v>0.22309999999999999</v>
      </c>
      <c r="AD324">
        <v>0.17910000000000001</v>
      </c>
      <c r="AE324">
        <v>0.11550000000000001</v>
      </c>
      <c r="AF324">
        <v>0.2382</v>
      </c>
      <c r="AG324">
        <v>8.5529999999999995E-2</v>
      </c>
    </row>
    <row r="325" spans="1:33">
      <c r="A325">
        <v>324</v>
      </c>
      <c r="B325">
        <v>895100</v>
      </c>
      <c r="C325" t="s">
        <v>0</v>
      </c>
      <c r="D325">
        <v>13.71</v>
      </c>
      <c r="E325">
        <v>21.51</v>
      </c>
      <c r="F325">
        <v>135.9</v>
      </c>
      <c r="G325">
        <v>1264</v>
      </c>
      <c r="H325">
        <v>0.11700000000000001</v>
      </c>
      <c r="I325">
        <v>0.1875</v>
      </c>
      <c r="J325">
        <v>0.25650000000000001</v>
      </c>
      <c r="K325">
        <v>0.15040000000000001</v>
      </c>
      <c r="L325">
        <v>0.25690000000000002</v>
      </c>
      <c r="M325">
        <v>6.6699999999999995E-2</v>
      </c>
      <c r="N325">
        <v>0.57020000000000004</v>
      </c>
      <c r="O325">
        <v>1.0229999999999999</v>
      </c>
      <c r="P325">
        <v>4.0119999999999996</v>
      </c>
      <c r="Q325">
        <v>69.06</v>
      </c>
      <c r="R325">
        <v>5.4850000000000003E-3</v>
      </c>
      <c r="S325">
        <v>2.4309999999999998E-2</v>
      </c>
      <c r="T325">
        <v>3.1899999999999998E-2</v>
      </c>
      <c r="U325">
        <v>1.3690000000000001E-2</v>
      </c>
      <c r="V325">
        <v>2.768E-2</v>
      </c>
      <c r="W325">
        <v>3.3449999999999999E-3</v>
      </c>
      <c r="X325">
        <v>25.3</v>
      </c>
      <c r="Y325">
        <v>31.86</v>
      </c>
      <c r="Z325">
        <v>171.1</v>
      </c>
      <c r="AA325">
        <v>1938</v>
      </c>
      <c r="AB325">
        <v>0.15920000000000001</v>
      </c>
      <c r="AC325">
        <v>0.44919999999999999</v>
      </c>
      <c r="AD325">
        <v>0.53439999999999999</v>
      </c>
      <c r="AE325">
        <v>0.26850000000000002</v>
      </c>
      <c r="AF325">
        <v>0.55579999999999996</v>
      </c>
      <c r="AG325">
        <v>0.1024</v>
      </c>
    </row>
    <row r="326" spans="1:33">
      <c r="A326">
        <v>325</v>
      </c>
      <c r="B326">
        <v>89511501</v>
      </c>
      <c r="C326" t="s">
        <v>1</v>
      </c>
      <c r="D326">
        <v>13.71</v>
      </c>
      <c r="E326">
        <v>15.21</v>
      </c>
      <c r="F326">
        <v>78.010000000000005</v>
      </c>
      <c r="G326">
        <v>457.9</v>
      </c>
      <c r="H326">
        <v>8.6730000000000002E-2</v>
      </c>
      <c r="I326">
        <v>6.5449999999999994E-2</v>
      </c>
      <c r="J326">
        <v>1.9939999999999999E-2</v>
      </c>
      <c r="K326">
        <v>1.6920000000000001E-2</v>
      </c>
      <c r="L326">
        <v>0.1638</v>
      </c>
      <c r="M326">
        <v>6.1289999999999997E-2</v>
      </c>
      <c r="N326">
        <v>0.25750000000000001</v>
      </c>
      <c r="O326">
        <v>0.80730000000000002</v>
      </c>
      <c r="P326">
        <v>1.9590000000000001</v>
      </c>
      <c r="Q326">
        <v>19.010000000000002</v>
      </c>
      <c r="R326">
        <v>5.4029999999999998E-3</v>
      </c>
      <c r="S326">
        <v>1.418E-2</v>
      </c>
      <c r="T326">
        <v>1.051E-2</v>
      </c>
      <c r="U326">
        <v>5.1419999999999999E-3</v>
      </c>
      <c r="V326">
        <v>1.333E-2</v>
      </c>
      <c r="W326">
        <v>2.065E-3</v>
      </c>
      <c r="X326">
        <v>13.75</v>
      </c>
      <c r="Y326">
        <v>21.38</v>
      </c>
      <c r="Z326">
        <v>91.11</v>
      </c>
      <c r="AA326">
        <v>583.1</v>
      </c>
      <c r="AB326">
        <v>0.12559999999999999</v>
      </c>
      <c r="AC326">
        <v>0.1928</v>
      </c>
      <c r="AD326">
        <v>0.1167</v>
      </c>
      <c r="AE326">
        <v>5.5559999999999998E-2</v>
      </c>
      <c r="AF326">
        <v>0.2661</v>
      </c>
      <c r="AG326">
        <v>7.961E-2</v>
      </c>
    </row>
    <row r="327" spans="1:33">
      <c r="A327">
        <v>326</v>
      </c>
      <c r="B327">
        <v>89511502</v>
      </c>
      <c r="C327" t="s">
        <v>1</v>
      </c>
      <c r="D327">
        <v>13.71</v>
      </c>
      <c r="E327">
        <v>17.3</v>
      </c>
      <c r="F327">
        <v>81.25</v>
      </c>
      <c r="G327">
        <v>489.9</v>
      </c>
      <c r="H327">
        <v>0.1028</v>
      </c>
      <c r="I327">
        <v>7.664E-2</v>
      </c>
      <c r="J327">
        <v>3.193E-2</v>
      </c>
      <c r="K327">
        <v>2.1069999999999998E-2</v>
      </c>
      <c r="L327">
        <v>0.17069999999999999</v>
      </c>
      <c r="M327">
        <v>5.9839999999999997E-2</v>
      </c>
      <c r="N327">
        <v>0.21</v>
      </c>
      <c r="O327">
        <v>0.95050000000000001</v>
      </c>
      <c r="P327">
        <v>1.5660000000000001</v>
      </c>
      <c r="Q327">
        <v>17.61</v>
      </c>
      <c r="R327">
        <v>6.8089999999999999E-3</v>
      </c>
      <c r="S327">
        <v>9.5139999999999999E-3</v>
      </c>
      <c r="T327">
        <v>1.329E-2</v>
      </c>
      <c r="U327">
        <v>6.4739999999999997E-3</v>
      </c>
      <c r="V327">
        <v>2.0570000000000001E-2</v>
      </c>
      <c r="W327">
        <v>1.784E-3</v>
      </c>
      <c r="X327">
        <v>13.71</v>
      </c>
      <c r="Y327">
        <v>21.1</v>
      </c>
      <c r="Z327">
        <v>88.7</v>
      </c>
      <c r="AA327">
        <v>574.4</v>
      </c>
      <c r="AB327">
        <v>0.1384</v>
      </c>
      <c r="AC327">
        <v>0.1212</v>
      </c>
      <c r="AD327">
        <v>0.10199999999999999</v>
      </c>
      <c r="AE327">
        <v>5.602E-2</v>
      </c>
      <c r="AF327">
        <v>0.26879999999999998</v>
      </c>
      <c r="AG327">
        <v>6.8879999999999997E-2</v>
      </c>
    </row>
    <row r="328" spans="1:33">
      <c r="A328">
        <v>327</v>
      </c>
      <c r="B328">
        <v>89524</v>
      </c>
      <c r="C328" t="s">
        <v>1</v>
      </c>
      <c r="D328">
        <v>13.71</v>
      </c>
      <c r="E328">
        <v>12.88</v>
      </c>
      <c r="F328">
        <v>90.03</v>
      </c>
      <c r="G328">
        <v>616.5</v>
      </c>
      <c r="H328">
        <v>9.3090000000000006E-2</v>
      </c>
      <c r="I328">
        <v>5.3060000000000003E-2</v>
      </c>
      <c r="J328">
        <v>1.7649999999999999E-2</v>
      </c>
      <c r="K328">
        <v>2.733E-2</v>
      </c>
      <c r="L328">
        <v>0.13730000000000001</v>
      </c>
      <c r="M328">
        <v>5.7000000000000002E-2</v>
      </c>
      <c r="N328">
        <v>0.2571</v>
      </c>
      <c r="O328">
        <v>1.081</v>
      </c>
      <c r="P328">
        <v>1.5580000000000001</v>
      </c>
      <c r="Q328">
        <v>23.92</v>
      </c>
      <c r="R328">
        <v>6.692E-3</v>
      </c>
      <c r="S328">
        <v>1.132E-2</v>
      </c>
      <c r="T328">
        <v>5.7169999999999999E-3</v>
      </c>
      <c r="U328">
        <v>6.6270000000000001E-3</v>
      </c>
      <c r="V328">
        <v>1.4160000000000001E-2</v>
      </c>
      <c r="W328">
        <v>2.4759999999999999E-3</v>
      </c>
      <c r="X328">
        <v>15.53</v>
      </c>
      <c r="Y328">
        <v>18</v>
      </c>
      <c r="Z328">
        <v>98.4</v>
      </c>
      <c r="AA328">
        <v>749.9</v>
      </c>
      <c r="AB328">
        <v>0.12809999999999999</v>
      </c>
      <c r="AC328">
        <v>0.1109</v>
      </c>
      <c r="AD328">
        <v>5.3069999999999999E-2</v>
      </c>
      <c r="AE328">
        <v>5.8900000000000001E-2</v>
      </c>
      <c r="AF328">
        <v>0.21</v>
      </c>
      <c r="AG328">
        <v>7.0830000000000004E-2</v>
      </c>
    </row>
    <row r="329" spans="1:33">
      <c r="A329">
        <v>328</v>
      </c>
      <c r="B329">
        <v>895299</v>
      </c>
      <c r="C329" t="s">
        <v>1</v>
      </c>
      <c r="D329">
        <v>13.71</v>
      </c>
      <c r="E329">
        <v>17.93</v>
      </c>
      <c r="F329">
        <v>76.09</v>
      </c>
      <c r="G329">
        <v>446</v>
      </c>
      <c r="H329">
        <v>7.6829999999999996E-2</v>
      </c>
      <c r="I329">
        <v>3.8920000000000003E-2</v>
      </c>
      <c r="J329">
        <v>1.5460000000000001E-3</v>
      </c>
      <c r="K329">
        <v>5.5919999999999997E-3</v>
      </c>
      <c r="L329">
        <v>0.13819999999999999</v>
      </c>
      <c r="M329">
        <v>6.0699999999999997E-2</v>
      </c>
      <c r="N329">
        <v>0.23350000000000001</v>
      </c>
      <c r="O329">
        <v>0.90969999999999995</v>
      </c>
      <c r="P329">
        <v>1.466</v>
      </c>
      <c r="Q329">
        <v>16.97</v>
      </c>
      <c r="R329">
        <v>4.7289999999999997E-3</v>
      </c>
      <c r="S329">
        <v>6.8869999999999999E-3</v>
      </c>
      <c r="T329">
        <v>1.1839999999999999E-3</v>
      </c>
      <c r="U329">
        <v>3.9509999999999997E-3</v>
      </c>
      <c r="V329">
        <v>1.4659999999999999E-2</v>
      </c>
      <c r="W329">
        <v>1.755E-3</v>
      </c>
      <c r="X329">
        <v>13.07</v>
      </c>
      <c r="Y329">
        <v>22.25</v>
      </c>
      <c r="Z329">
        <v>82.74</v>
      </c>
      <c r="AA329">
        <v>523.4</v>
      </c>
      <c r="AB329">
        <v>0.1013</v>
      </c>
      <c r="AC329">
        <v>7.3899999999999993E-2</v>
      </c>
      <c r="AD329">
        <v>7.7320000000000002E-3</v>
      </c>
      <c r="AE329">
        <v>2.7959999999999999E-2</v>
      </c>
      <c r="AF329">
        <v>0.21709999999999999</v>
      </c>
      <c r="AG329">
        <v>7.0370000000000002E-2</v>
      </c>
    </row>
    <row r="330" spans="1:33">
      <c r="A330">
        <v>329</v>
      </c>
      <c r="B330">
        <v>8953902</v>
      </c>
      <c r="C330" t="s">
        <v>0</v>
      </c>
      <c r="D330">
        <v>13.71</v>
      </c>
      <c r="E330">
        <v>20.71</v>
      </c>
      <c r="F330">
        <v>106.9</v>
      </c>
      <c r="G330">
        <v>813.7</v>
      </c>
      <c r="H330">
        <v>0.1169</v>
      </c>
      <c r="I330">
        <v>0.13189999999999999</v>
      </c>
      <c r="J330">
        <v>0.14779999999999999</v>
      </c>
      <c r="K330">
        <v>8.4879999999999997E-2</v>
      </c>
      <c r="L330">
        <v>0.1948</v>
      </c>
      <c r="M330">
        <v>6.2770000000000006E-2</v>
      </c>
      <c r="N330">
        <v>0.4375</v>
      </c>
      <c r="O330">
        <v>1.232</v>
      </c>
      <c r="P330">
        <v>3.27</v>
      </c>
      <c r="Q330">
        <v>44.41</v>
      </c>
      <c r="R330">
        <v>6.6969999999999998E-3</v>
      </c>
      <c r="S330">
        <v>2.0830000000000001E-2</v>
      </c>
      <c r="T330">
        <v>3.2480000000000002E-2</v>
      </c>
      <c r="U330">
        <v>1.392E-2</v>
      </c>
      <c r="V330">
        <v>1.536E-2</v>
      </c>
      <c r="W330">
        <v>2.7889999999999998E-3</v>
      </c>
      <c r="X330">
        <v>19.28</v>
      </c>
      <c r="Y330">
        <v>30.38</v>
      </c>
      <c r="Z330">
        <v>129.80000000000001</v>
      </c>
      <c r="AA330">
        <v>1121</v>
      </c>
      <c r="AB330">
        <v>0.159</v>
      </c>
      <c r="AC330">
        <v>0.29470000000000002</v>
      </c>
      <c r="AD330">
        <v>0.35970000000000002</v>
      </c>
      <c r="AE330">
        <v>0.1583</v>
      </c>
      <c r="AF330">
        <v>0.31030000000000002</v>
      </c>
      <c r="AG330">
        <v>8.2000000000000003E-2</v>
      </c>
    </row>
    <row r="331" spans="1:33">
      <c r="A331">
        <v>330</v>
      </c>
      <c r="B331">
        <v>895633</v>
      </c>
      <c r="C331" t="s">
        <v>0</v>
      </c>
      <c r="D331">
        <v>13.71</v>
      </c>
      <c r="E331">
        <v>21.88</v>
      </c>
      <c r="F331">
        <v>107.5</v>
      </c>
      <c r="G331">
        <v>826.8</v>
      </c>
      <c r="H331">
        <v>0.11650000000000001</v>
      </c>
      <c r="I331">
        <v>0.1283</v>
      </c>
      <c r="J331">
        <v>0.1799</v>
      </c>
      <c r="K331">
        <v>7.9810000000000006E-2</v>
      </c>
      <c r="L331">
        <v>0.18690000000000001</v>
      </c>
      <c r="M331">
        <v>6.5320000000000003E-2</v>
      </c>
      <c r="N331">
        <v>0.5706</v>
      </c>
      <c r="O331">
        <v>1.4570000000000001</v>
      </c>
      <c r="P331">
        <v>2.9609999999999999</v>
      </c>
      <c r="Q331">
        <v>57.72</v>
      </c>
      <c r="R331">
        <v>1.056E-2</v>
      </c>
      <c r="S331">
        <v>3.7560000000000003E-2</v>
      </c>
      <c r="T331">
        <v>5.8389999999999997E-2</v>
      </c>
      <c r="U331">
        <v>1.1860000000000001E-2</v>
      </c>
      <c r="V331">
        <v>4.0219999999999999E-2</v>
      </c>
      <c r="W331">
        <v>6.1869999999999998E-3</v>
      </c>
      <c r="X331">
        <v>17.73</v>
      </c>
      <c r="Y331">
        <v>25.21</v>
      </c>
      <c r="Z331">
        <v>113.7</v>
      </c>
      <c r="AA331">
        <v>975.2</v>
      </c>
      <c r="AB331">
        <v>0.1426</v>
      </c>
      <c r="AC331">
        <v>0.21160000000000001</v>
      </c>
      <c r="AD331">
        <v>0.33439999999999998</v>
      </c>
      <c r="AE331">
        <v>0.1047</v>
      </c>
      <c r="AF331">
        <v>0.27360000000000001</v>
      </c>
      <c r="AG331">
        <v>7.9530000000000003E-2</v>
      </c>
    </row>
    <row r="332" spans="1:33">
      <c r="A332">
        <v>331</v>
      </c>
      <c r="B332">
        <v>896839</v>
      </c>
      <c r="C332" t="s">
        <v>0</v>
      </c>
      <c r="D332">
        <v>13.71</v>
      </c>
      <c r="E332">
        <v>15.51</v>
      </c>
      <c r="F332">
        <v>105.8</v>
      </c>
      <c r="G332">
        <v>793.2</v>
      </c>
      <c r="H332">
        <v>9.4909999999999994E-2</v>
      </c>
      <c r="I332">
        <v>0.1371</v>
      </c>
      <c r="J332">
        <v>0.12039999999999999</v>
      </c>
      <c r="K332">
        <v>7.041E-2</v>
      </c>
      <c r="L332">
        <v>0.1782</v>
      </c>
      <c r="M332">
        <v>5.9760000000000001E-2</v>
      </c>
      <c r="N332">
        <v>0.33710000000000001</v>
      </c>
      <c r="O332">
        <v>0.74760000000000004</v>
      </c>
      <c r="P332">
        <v>2.629</v>
      </c>
      <c r="Q332">
        <v>33.270000000000003</v>
      </c>
      <c r="R332">
        <v>5.8389999999999996E-3</v>
      </c>
      <c r="S332">
        <v>3.245E-2</v>
      </c>
      <c r="T332">
        <v>3.7150000000000002E-2</v>
      </c>
      <c r="U332">
        <v>1.4590000000000001E-2</v>
      </c>
      <c r="V332">
        <v>1.4670000000000001E-2</v>
      </c>
      <c r="W332">
        <v>3.1210000000000001E-3</v>
      </c>
      <c r="X332">
        <v>18.760000000000002</v>
      </c>
      <c r="Y332">
        <v>21.98</v>
      </c>
      <c r="Z332">
        <v>124.3</v>
      </c>
      <c r="AA332">
        <v>1070</v>
      </c>
      <c r="AB332">
        <v>0.14349999999999999</v>
      </c>
      <c r="AC332">
        <v>0.44779999999999998</v>
      </c>
      <c r="AD332">
        <v>0.49559999999999998</v>
      </c>
      <c r="AE332">
        <v>0.1981</v>
      </c>
      <c r="AF332">
        <v>0.3019</v>
      </c>
      <c r="AG332">
        <v>9.1240000000000002E-2</v>
      </c>
    </row>
    <row r="333" spans="1:33">
      <c r="A333">
        <v>332</v>
      </c>
      <c r="B333">
        <v>896864</v>
      </c>
      <c r="C333" t="s">
        <v>1</v>
      </c>
      <c r="D333">
        <v>13.71</v>
      </c>
      <c r="E333">
        <v>19.350000000000001</v>
      </c>
      <c r="F333">
        <v>84.52</v>
      </c>
      <c r="G333">
        <v>514</v>
      </c>
      <c r="H333">
        <v>9.579E-2</v>
      </c>
      <c r="I333">
        <v>0.1125</v>
      </c>
      <c r="J333">
        <v>7.1069999999999994E-2</v>
      </c>
      <c r="K333">
        <v>2.9499999999999998E-2</v>
      </c>
      <c r="L333">
        <v>0.17610000000000001</v>
      </c>
      <c r="M333">
        <v>6.54E-2</v>
      </c>
      <c r="N333">
        <v>0.26840000000000003</v>
      </c>
      <c r="O333">
        <v>0.56640000000000001</v>
      </c>
      <c r="P333">
        <v>2.4649999999999999</v>
      </c>
      <c r="Q333">
        <v>20.65</v>
      </c>
      <c r="R333">
        <v>5.7270000000000003E-3</v>
      </c>
      <c r="S333">
        <v>3.2550000000000003E-2</v>
      </c>
      <c r="T333">
        <v>4.3929999999999997E-2</v>
      </c>
      <c r="U333">
        <v>9.8110000000000003E-3</v>
      </c>
      <c r="V333">
        <v>2.751E-2</v>
      </c>
      <c r="W333">
        <v>4.5719999999999997E-3</v>
      </c>
      <c r="X333">
        <v>14.42</v>
      </c>
      <c r="Y333">
        <v>21.95</v>
      </c>
      <c r="Z333">
        <v>99.21</v>
      </c>
      <c r="AA333">
        <v>634.29999999999995</v>
      </c>
      <c r="AB333">
        <v>0.1288</v>
      </c>
      <c r="AC333">
        <v>0.32529999999999998</v>
      </c>
      <c r="AD333">
        <v>0.34389999999999998</v>
      </c>
      <c r="AE333">
        <v>9.8580000000000001E-2</v>
      </c>
      <c r="AF333">
        <v>0.35959999999999998</v>
      </c>
      <c r="AG333">
        <v>9.1660000000000005E-2</v>
      </c>
    </row>
    <row r="334" spans="1:33">
      <c r="A334">
        <v>333</v>
      </c>
      <c r="B334">
        <v>897132</v>
      </c>
      <c r="C334" t="s">
        <v>1</v>
      </c>
      <c r="D334">
        <v>13.71</v>
      </c>
      <c r="E334">
        <v>19.86</v>
      </c>
      <c r="F334">
        <v>71.94</v>
      </c>
      <c r="G334">
        <v>387.3</v>
      </c>
      <c r="H334">
        <v>0.10539999999999999</v>
      </c>
      <c r="I334">
        <v>6.7790000000000003E-2</v>
      </c>
      <c r="J334">
        <v>5.006E-3</v>
      </c>
      <c r="K334">
        <v>7.5830000000000003E-3</v>
      </c>
      <c r="L334">
        <v>0.19400000000000001</v>
      </c>
      <c r="M334">
        <v>6.028E-2</v>
      </c>
      <c r="N334">
        <v>0.29759999999999998</v>
      </c>
      <c r="O334">
        <v>1.966</v>
      </c>
      <c r="P334">
        <v>1.9590000000000001</v>
      </c>
      <c r="Q334">
        <v>19.62</v>
      </c>
      <c r="R334">
        <v>1.289E-2</v>
      </c>
      <c r="S334">
        <v>1.1039999999999999E-2</v>
      </c>
      <c r="T334">
        <v>3.297E-3</v>
      </c>
      <c r="U334">
        <v>4.9670000000000001E-3</v>
      </c>
      <c r="V334">
        <v>4.2430000000000002E-2</v>
      </c>
      <c r="W334">
        <v>1.9629999999999999E-3</v>
      </c>
      <c r="X334">
        <v>11.98</v>
      </c>
      <c r="Y334">
        <v>25.78</v>
      </c>
      <c r="Z334">
        <v>76.91</v>
      </c>
      <c r="AA334">
        <v>436.1</v>
      </c>
      <c r="AB334">
        <v>0.1424</v>
      </c>
      <c r="AC334">
        <v>9.6689999999999998E-2</v>
      </c>
      <c r="AD334">
        <v>1.3350000000000001E-2</v>
      </c>
      <c r="AE334">
        <v>2.0219999999999998E-2</v>
      </c>
      <c r="AF334">
        <v>0.32919999999999999</v>
      </c>
      <c r="AG334">
        <v>6.522E-2</v>
      </c>
    </row>
    <row r="335" spans="1:33">
      <c r="A335">
        <v>334</v>
      </c>
      <c r="B335">
        <v>897137</v>
      </c>
      <c r="C335" t="s">
        <v>1</v>
      </c>
      <c r="D335">
        <v>13.71</v>
      </c>
      <c r="E335">
        <v>14.78</v>
      </c>
      <c r="F335">
        <v>71.38</v>
      </c>
      <c r="G335">
        <v>390</v>
      </c>
      <c r="H335">
        <v>8.3059999999999995E-2</v>
      </c>
      <c r="I335">
        <v>4.4580000000000002E-2</v>
      </c>
      <c r="J335">
        <v>9.7369999999999998E-4</v>
      </c>
      <c r="K335">
        <v>2.941E-3</v>
      </c>
      <c r="L335">
        <v>0.17730000000000001</v>
      </c>
      <c r="M335">
        <v>6.0810000000000003E-2</v>
      </c>
      <c r="N335">
        <v>0.21440000000000001</v>
      </c>
      <c r="O335">
        <v>0.99609999999999999</v>
      </c>
      <c r="P335">
        <v>1.5289999999999999</v>
      </c>
      <c r="Q335">
        <v>15.07</v>
      </c>
      <c r="R335">
        <v>5.6169999999999996E-3</v>
      </c>
      <c r="S335">
        <v>7.1240000000000001E-3</v>
      </c>
      <c r="T335">
        <v>9.7369999999999998E-4</v>
      </c>
      <c r="U335">
        <v>2.941E-3</v>
      </c>
      <c r="V335">
        <v>1.7000000000000001E-2</v>
      </c>
      <c r="W335">
        <v>2.0300000000000001E-3</v>
      </c>
      <c r="X335">
        <v>12.76</v>
      </c>
      <c r="Y335">
        <v>22.06</v>
      </c>
      <c r="Z335">
        <v>82.08</v>
      </c>
      <c r="AA335">
        <v>492.7</v>
      </c>
      <c r="AB335">
        <v>0.1166</v>
      </c>
      <c r="AC335">
        <v>9.7939999999999999E-2</v>
      </c>
      <c r="AD335">
        <v>5.5180000000000003E-3</v>
      </c>
      <c r="AE335">
        <v>1.6670000000000001E-2</v>
      </c>
      <c r="AF335">
        <v>0.28149999999999997</v>
      </c>
      <c r="AG335">
        <v>7.4179999999999996E-2</v>
      </c>
    </row>
    <row r="336" spans="1:33">
      <c r="A336">
        <v>335</v>
      </c>
      <c r="B336">
        <v>897374</v>
      </c>
      <c r="C336" t="s">
        <v>1</v>
      </c>
      <c r="D336">
        <v>13.71</v>
      </c>
      <c r="E336">
        <v>19.02</v>
      </c>
      <c r="F336">
        <v>77.88</v>
      </c>
      <c r="G336">
        <v>464.4</v>
      </c>
      <c r="H336">
        <v>8.3129999999999996E-2</v>
      </c>
      <c r="I336">
        <v>4.2020000000000002E-2</v>
      </c>
      <c r="J336">
        <v>7.7559999999999999E-3</v>
      </c>
      <c r="K336">
        <v>8.5349999999999992E-3</v>
      </c>
      <c r="L336">
        <v>0.15390000000000001</v>
      </c>
      <c r="M336">
        <v>5.9450000000000003E-2</v>
      </c>
      <c r="N336">
        <v>0.184</v>
      </c>
      <c r="O336">
        <v>1.532</v>
      </c>
      <c r="P336">
        <v>1.1990000000000001</v>
      </c>
      <c r="Q336">
        <v>13.24</v>
      </c>
      <c r="R336">
        <v>7.8810000000000009E-3</v>
      </c>
      <c r="S336">
        <v>8.4320000000000003E-3</v>
      </c>
      <c r="T336">
        <v>7.0039999999999998E-3</v>
      </c>
      <c r="U336">
        <v>6.522E-3</v>
      </c>
      <c r="V336">
        <v>1.9390000000000001E-2</v>
      </c>
      <c r="W336">
        <v>2.222E-3</v>
      </c>
      <c r="X336">
        <v>13.35</v>
      </c>
      <c r="Y336">
        <v>28.46</v>
      </c>
      <c r="Z336">
        <v>84.53</v>
      </c>
      <c r="AA336">
        <v>544.29999999999995</v>
      </c>
      <c r="AB336">
        <v>0.1222</v>
      </c>
      <c r="AC336">
        <v>9.0520000000000003E-2</v>
      </c>
      <c r="AD336">
        <v>3.619E-2</v>
      </c>
      <c r="AE336">
        <v>3.9829999999999997E-2</v>
      </c>
      <c r="AF336">
        <v>0.25540000000000002</v>
      </c>
      <c r="AG336">
        <v>7.2069999999999995E-2</v>
      </c>
    </row>
    <row r="337" spans="1:33">
      <c r="A337">
        <v>336</v>
      </c>
      <c r="B337">
        <v>89742801</v>
      </c>
      <c r="C337" t="s">
        <v>0</v>
      </c>
      <c r="D337">
        <v>13.71</v>
      </c>
      <c r="E337">
        <v>21</v>
      </c>
      <c r="F337">
        <v>111.8</v>
      </c>
      <c r="G337">
        <v>918.6</v>
      </c>
      <c r="H337">
        <v>0.1119</v>
      </c>
      <c r="I337">
        <v>0.1056</v>
      </c>
      <c r="J337">
        <v>0.15079999999999999</v>
      </c>
      <c r="K337">
        <v>9.9339999999999998E-2</v>
      </c>
      <c r="L337">
        <v>0.17269999999999999</v>
      </c>
      <c r="M337">
        <v>6.071E-2</v>
      </c>
      <c r="N337">
        <v>0.81610000000000005</v>
      </c>
      <c r="O337">
        <v>2.129</v>
      </c>
      <c r="P337">
        <v>6.0759999999999996</v>
      </c>
      <c r="Q337">
        <v>87.17</v>
      </c>
      <c r="R337">
        <v>6.4549999999999998E-3</v>
      </c>
      <c r="S337">
        <v>1.797E-2</v>
      </c>
      <c r="T337">
        <v>4.5019999999999998E-2</v>
      </c>
      <c r="U337">
        <v>1.7440000000000001E-2</v>
      </c>
      <c r="V337">
        <v>1.8290000000000001E-2</v>
      </c>
      <c r="W337">
        <v>3.7330000000000002E-3</v>
      </c>
      <c r="X337">
        <v>20.99</v>
      </c>
      <c r="Y337">
        <v>33.15</v>
      </c>
      <c r="Z337">
        <v>143.19999999999999</v>
      </c>
      <c r="AA337">
        <v>1362</v>
      </c>
      <c r="AB337">
        <v>0.1449</v>
      </c>
      <c r="AC337">
        <v>0.20530000000000001</v>
      </c>
      <c r="AD337">
        <v>0.39200000000000002</v>
      </c>
      <c r="AE337">
        <v>0.1827</v>
      </c>
      <c r="AF337">
        <v>0.26229999999999998</v>
      </c>
      <c r="AG337">
        <v>7.5990000000000002E-2</v>
      </c>
    </row>
    <row r="338" spans="1:33">
      <c r="A338">
        <v>337</v>
      </c>
      <c r="B338">
        <v>897604</v>
      </c>
      <c r="C338" t="s">
        <v>1</v>
      </c>
      <c r="D338">
        <v>13.71</v>
      </c>
      <c r="E338">
        <v>14.23</v>
      </c>
      <c r="F338">
        <v>84.08</v>
      </c>
      <c r="G338">
        <v>514.29999999999995</v>
      </c>
      <c r="H338">
        <v>9.4619999999999996E-2</v>
      </c>
      <c r="I338">
        <v>9.9650000000000002E-2</v>
      </c>
      <c r="J338">
        <v>3.7379999999999997E-2</v>
      </c>
      <c r="K338">
        <v>2.0979999999999999E-2</v>
      </c>
      <c r="L338">
        <v>0.16520000000000001</v>
      </c>
      <c r="M338">
        <v>7.238E-2</v>
      </c>
      <c r="N338">
        <v>0.18140000000000001</v>
      </c>
      <c r="O338">
        <v>0.64119999999999999</v>
      </c>
      <c r="P338">
        <v>0.92190000000000005</v>
      </c>
      <c r="Q338">
        <v>14.41</v>
      </c>
      <c r="R338">
        <v>5.2310000000000004E-3</v>
      </c>
      <c r="S338">
        <v>2.3050000000000001E-2</v>
      </c>
      <c r="T338">
        <v>3.1130000000000001E-2</v>
      </c>
      <c r="U338">
        <v>7.3150000000000003E-3</v>
      </c>
      <c r="V338">
        <v>1.6389999999999998E-2</v>
      </c>
      <c r="W338">
        <v>5.7010000000000003E-3</v>
      </c>
      <c r="X338">
        <v>13.72</v>
      </c>
      <c r="Y338">
        <v>16.91</v>
      </c>
      <c r="Z338">
        <v>87.38</v>
      </c>
      <c r="AA338">
        <v>576</v>
      </c>
      <c r="AB338">
        <v>0.1142</v>
      </c>
      <c r="AC338">
        <v>0.19750000000000001</v>
      </c>
      <c r="AD338">
        <v>0.14499999999999999</v>
      </c>
      <c r="AE338">
        <v>5.8500000000000003E-2</v>
      </c>
      <c r="AF338">
        <v>0.2432</v>
      </c>
      <c r="AG338">
        <v>0.1009</v>
      </c>
    </row>
    <row r="339" spans="1:33">
      <c r="A339">
        <v>338</v>
      </c>
      <c r="B339">
        <v>897630</v>
      </c>
      <c r="C339" t="s">
        <v>0</v>
      </c>
      <c r="D339">
        <v>13.71</v>
      </c>
      <c r="E339">
        <v>21.43</v>
      </c>
      <c r="F339">
        <v>122.9</v>
      </c>
      <c r="G339">
        <v>1092</v>
      </c>
      <c r="H339">
        <v>9.1160000000000005E-2</v>
      </c>
      <c r="I339">
        <v>0.14019999999999999</v>
      </c>
      <c r="J339">
        <v>0.106</v>
      </c>
      <c r="K339">
        <v>6.0900000000000003E-2</v>
      </c>
      <c r="L339">
        <v>0.1953</v>
      </c>
      <c r="M339">
        <v>6.0830000000000002E-2</v>
      </c>
      <c r="N339">
        <v>0.64219999999999999</v>
      </c>
      <c r="O339">
        <v>1.53</v>
      </c>
      <c r="P339">
        <v>4.3689999999999998</v>
      </c>
      <c r="Q339">
        <v>88.25</v>
      </c>
      <c r="R339">
        <v>7.548E-3</v>
      </c>
      <c r="S339">
        <v>3.8969999999999998E-2</v>
      </c>
      <c r="T339">
        <v>3.9140000000000001E-2</v>
      </c>
      <c r="U339">
        <v>1.8159999999999999E-2</v>
      </c>
      <c r="V339">
        <v>2.1680000000000001E-2</v>
      </c>
      <c r="W339">
        <v>4.4450000000000002E-3</v>
      </c>
      <c r="X339">
        <v>24.54</v>
      </c>
      <c r="Y339">
        <v>34.369999999999997</v>
      </c>
      <c r="Z339">
        <v>161.1</v>
      </c>
      <c r="AA339">
        <v>1873</v>
      </c>
      <c r="AB339">
        <v>0.14979999999999999</v>
      </c>
      <c r="AC339">
        <v>0.48270000000000002</v>
      </c>
      <c r="AD339">
        <v>0.46339999999999998</v>
      </c>
      <c r="AE339">
        <v>0.20480000000000001</v>
      </c>
      <c r="AF339">
        <v>0.3679</v>
      </c>
      <c r="AG339">
        <v>9.8699999999999996E-2</v>
      </c>
    </row>
    <row r="340" spans="1:33">
      <c r="A340">
        <v>339</v>
      </c>
      <c r="B340">
        <v>897880</v>
      </c>
      <c r="C340" t="s">
        <v>1</v>
      </c>
      <c r="D340">
        <v>13.71</v>
      </c>
      <c r="E340">
        <v>17.53</v>
      </c>
      <c r="F340">
        <v>64.41</v>
      </c>
      <c r="G340">
        <v>310.8</v>
      </c>
      <c r="H340">
        <v>0.1007</v>
      </c>
      <c r="I340">
        <v>7.3260000000000006E-2</v>
      </c>
      <c r="J340">
        <v>2.511E-2</v>
      </c>
      <c r="K340">
        <v>1.7749999999999998E-2</v>
      </c>
      <c r="L340">
        <v>0.189</v>
      </c>
      <c r="M340">
        <v>6.3310000000000005E-2</v>
      </c>
      <c r="N340">
        <v>0.26190000000000002</v>
      </c>
      <c r="O340">
        <v>2.0150000000000001</v>
      </c>
      <c r="P340">
        <v>1.778</v>
      </c>
      <c r="Q340">
        <v>16.850000000000001</v>
      </c>
      <c r="R340">
        <v>7.803E-3</v>
      </c>
      <c r="S340">
        <v>1.4489999999999999E-2</v>
      </c>
      <c r="T340">
        <v>1.6899999999999998E-2</v>
      </c>
      <c r="U340">
        <v>8.0429999999999998E-3</v>
      </c>
      <c r="V340">
        <v>2.1000000000000001E-2</v>
      </c>
      <c r="W340">
        <v>2.7780000000000001E-3</v>
      </c>
      <c r="X340">
        <v>11.16</v>
      </c>
      <c r="Y340">
        <v>26.84</v>
      </c>
      <c r="Z340">
        <v>71.98</v>
      </c>
      <c r="AA340">
        <v>384</v>
      </c>
      <c r="AB340">
        <v>0.14019999999999999</v>
      </c>
      <c r="AC340">
        <v>0.14019999999999999</v>
      </c>
      <c r="AD340">
        <v>0.1055</v>
      </c>
      <c r="AE340">
        <v>6.4990000000000006E-2</v>
      </c>
      <c r="AF340">
        <v>0.28939999999999999</v>
      </c>
      <c r="AG340">
        <v>7.664E-2</v>
      </c>
    </row>
    <row r="341" spans="1:33">
      <c r="A341">
        <v>340</v>
      </c>
      <c r="B341">
        <v>89812</v>
      </c>
      <c r="C341" t="s">
        <v>0</v>
      </c>
      <c r="D341">
        <v>13.71</v>
      </c>
      <c r="E341">
        <v>24.27</v>
      </c>
      <c r="F341">
        <v>155.1</v>
      </c>
      <c r="G341">
        <v>1747</v>
      </c>
      <c r="H341">
        <v>0.1069</v>
      </c>
      <c r="I341">
        <v>0.1283</v>
      </c>
      <c r="J341">
        <v>0.23080000000000001</v>
      </c>
      <c r="K341">
        <v>0.14099999999999999</v>
      </c>
      <c r="L341">
        <v>0.1797</v>
      </c>
      <c r="M341">
        <v>5.5059999999999998E-2</v>
      </c>
      <c r="N341">
        <v>1.0089999999999999</v>
      </c>
      <c r="O341">
        <v>0.92449999999999999</v>
      </c>
      <c r="P341">
        <v>6.4619999999999997</v>
      </c>
      <c r="Q341">
        <v>164.1</v>
      </c>
      <c r="R341">
        <v>6.2919999999999998E-3</v>
      </c>
      <c r="S341">
        <v>1.9709999999999998E-2</v>
      </c>
      <c r="T341">
        <v>3.5819999999999998E-2</v>
      </c>
      <c r="U341">
        <v>1.3010000000000001E-2</v>
      </c>
      <c r="V341">
        <v>1.4789999999999999E-2</v>
      </c>
      <c r="W341">
        <v>3.1180000000000001E-3</v>
      </c>
      <c r="X341">
        <v>30.67</v>
      </c>
      <c r="Y341">
        <v>30.73</v>
      </c>
      <c r="Z341">
        <v>202.4</v>
      </c>
      <c r="AA341">
        <v>2906</v>
      </c>
      <c r="AB341">
        <v>0.1515</v>
      </c>
      <c r="AC341">
        <v>0.26779999999999998</v>
      </c>
      <c r="AD341">
        <v>0.4819</v>
      </c>
      <c r="AE341">
        <v>0.2089</v>
      </c>
      <c r="AF341">
        <v>0.25929999999999997</v>
      </c>
      <c r="AG341">
        <v>7.7380000000000004E-2</v>
      </c>
    </row>
    <row r="342" spans="1:33">
      <c r="A342">
        <v>341</v>
      </c>
      <c r="B342">
        <v>89813</v>
      </c>
      <c r="C342" t="s">
        <v>1</v>
      </c>
      <c r="D342">
        <v>13.71</v>
      </c>
      <c r="E342">
        <v>16.54</v>
      </c>
      <c r="F342">
        <v>94.15</v>
      </c>
      <c r="G342">
        <v>641.20000000000005</v>
      </c>
      <c r="H342">
        <v>9.7509999999999999E-2</v>
      </c>
      <c r="I342">
        <v>0.1139</v>
      </c>
      <c r="J342">
        <v>8.0070000000000002E-2</v>
      </c>
      <c r="K342">
        <v>4.2229999999999997E-2</v>
      </c>
      <c r="L342">
        <v>0.19120000000000001</v>
      </c>
      <c r="M342">
        <v>6.4119999999999996E-2</v>
      </c>
      <c r="N342">
        <v>0.34910000000000002</v>
      </c>
      <c r="O342">
        <v>0.77059999999999995</v>
      </c>
      <c r="P342">
        <v>2.677</v>
      </c>
      <c r="Q342">
        <v>32.14</v>
      </c>
      <c r="R342">
        <v>4.5770000000000003E-3</v>
      </c>
      <c r="S342">
        <v>3.0530000000000002E-2</v>
      </c>
      <c r="T342">
        <v>3.8399999999999997E-2</v>
      </c>
      <c r="U342">
        <v>1.243E-2</v>
      </c>
      <c r="V342">
        <v>1.873E-2</v>
      </c>
      <c r="W342">
        <v>3.3730000000000001E-3</v>
      </c>
      <c r="X342">
        <v>16.670000000000002</v>
      </c>
      <c r="Y342">
        <v>21.51</v>
      </c>
      <c r="Z342">
        <v>111.4</v>
      </c>
      <c r="AA342">
        <v>862.1</v>
      </c>
      <c r="AB342">
        <v>0.12939999999999999</v>
      </c>
      <c r="AC342">
        <v>0.33710000000000001</v>
      </c>
      <c r="AD342">
        <v>0.3755</v>
      </c>
      <c r="AE342">
        <v>0.1414</v>
      </c>
      <c r="AF342">
        <v>0.30530000000000002</v>
      </c>
      <c r="AG342">
        <v>8.7639999999999996E-2</v>
      </c>
    </row>
    <row r="343" spans="1:33">
      <c r="A343">
        <v>342</v>
      </c>
      <c r="B343">
        <v>898143</v>
      </c>
      <c r="C343" t="s">
        <v>1</v>
      </c>
      <c r="D343">
        <v>13.71</v>
      </c>
      <c r="E343">
        <v>16.84</v>
      </c>
      <c r="F343">
        <v>61.64</v>
      </c>
      <c r="G343">
        <v>280.5</v>
      </c>
      <c r="H343">
        <v>8.4809999999999997E-2</v>
      </c>
      <c r="I343">
        <v>9.2280000000000001E-2</v>
      </c>
      <c r="J343">
        <v>8.4220000000000003E-2</v>
      </c>
      <c r="K343">
        <v>2.2919999999999999E-2</v>
      </c>
      <c r="L343">
        <v>0.2036</v>
      </c>
      <c r="M343">
        <v>7.1249999999999994E-2</v>
      </c>
      <c r="N343">
        <v>0.18440000000000001</v>
      </c>
      <c r="O343">
        <v>0.94289999999999996</v>
      </c>
      <c r="P343">
        <v>1.429</v>
      </c>
      <c r="Q343">
        <v>12.07</v>
      </c>
      <c r="R343">
        <v>5.9540000000000001E-3</v>
      </c>
      <c r="S343">
        <v>3.4709999999999998E-2</v>
      </c>
      <c r="T343">
        <v>5.0279999999999998E-2</v>
      </c>
      <c r="U343">
        <v>8.5100000000000002E-3</v>
      </c>
      <c r="V343">
        <v>1.7500000000000002E-2</v>
      </c>
      <c r="W343">
        <v>4.0309999999999999E-3</v>
      </c>
      <c r="X343">
        <v>10.75</v>
      </c>
      <c r="Y343">
        <v>23.07</v>
      </c>
      <c r="Z343">
        <v>71.25</v>
      </c>
      <c r="AA343">
        <v>353.6</v>
      </c>
      <c r="AB343">
        <v>0.12330000000000001</v>
      </c>
      <c r="AC343">
        <v>0.34160000000000001</v>
      </c>
      <c r="AD343">
        <v>0.43409999999999999</v>
      </c>
      <c r="AE343">
        <v>8.1199999999999994E-2</v>
      </c>
      <c r="AF343">
        <v>0.29820000000000002</v>
      </c>
      <c r="AG343">
        <v>9.8250000000000004E-2</v>
      </c>
    </row>
    <row r="344" spans="1:33">
      <c r="A344">
        <v>343</v>
      </c>
      <c r="B344">
        <v>89827</v>
      </c>
      <c r="C344" t="s">
        <v>1</v>
      </c>
      <c r="D344">
        <v>13.71</v>
      </c>
      <c r="E344">
        <v>14.96</v>
      </c>
      <c r="F344">
        <v>71.489999999999995</v>
      </c>
      <c r="G344">
        <v>373.9</v>
      </c>
      <c r="H344">
        <v>0.1033</v>
      </c>
      <c r="I344">
        <v>9.0969999999999995E-2</v>
      </c>
      <c r="J344">
        <v>5.3969999999999997E-2</v>
      </c>
      <c r="K344">
        <v>3.3410000000000002E-2</v>
      </c>
      <c r="L344">
        <v>0.17760000000000001</v>
      </c>
      <c r="M344">
        <v>6.9070000000000006E-2</v>
      </c>
      <c r="N344">
        <v>0.16009999999999999</v>
      </c>
      <c r="O344">
        <v>0.82250000000000001</v>
      </c>
      <c r="P344">
        <v>1.355</v>
      </c>
      <c r="Q344">
        <v>10.8</v>
      </c>
      <c r="R344">
        <v>7.4159999999999998E-3</v>
      </c>
      <c r="S344">
        <v>1.8769999999999998E-2</v>
      </c>
      <c r="T344">
        <v>2.758E-2</v>
      </c>
      <c r="U344">
        <v>1.01E-2</v>
      </c>
      <c r="V344">
        <v>2.3480000000000001E-2</v>
      </c>
      <c r="W344">
        <v>2.9169999999999999E-3</v>
      </c>
      <c r="X344">
        <v>11.92</v>
      </c>
      <c r="Y344">
        <v>19.899999999999999</v>
      </c>
      <c r="Z344">
        <v>79.760000000000005</v>
      </c>
      <c r="AA344">
        <v>440</v>
      </c>
      <c r="AB344">
        <v>0.14180000000000001</v>
      </c>
      <c r="AC344">
        <v>0.221</v>
      </c>
      <c r="AD344">
        <v>0.22989999999999999</v>
      </c>
      <c r="AE344">
        <v>0.1075</v>
      </c>
      <c r="AF344">
        <v>0.3301</v>
      </c>
      <c r="AG344">
        <v>9.0800000000000006E-2</v>
      </c>
    </row>
    <row r="345" spans="1:33">
      <c r="A345">
        <v>344</v>
      </c>
      <c r="B345">
        <v>898431</v>
      </c>
      <c r="C345" t="s">
        <v>0</v>
      </c>
      <c r="D345">
        <v>13.71</v>
      </c>
      <c r="E345">
        <v>21.68</v>
      </c>
      <c r="F345">
        <v>129.9</v>
      </c>
      <c r="G345">
        <v>1194</v>
      </c>
      <c r="H345">
        <v>9.7970000000000002E-2</v>
      </c>
      <c r="I345">
        <v>0.13389999999999999</v>
      </c>
      <c r="J345">
        <v>0.18629999999999999</v>
      </c>
      <c r="K345">
        <v>0.1103</v>
      </c>
      <c r="L345">
        <v>0.2082</v>
      </c>
      <c r="M345">
        <v>5.7149999999999999E-2</v>
      </c>
      <c r="N345">
        <v>0.62260000000000004</v>
      </c>
      <c r="O345">
        <v>2.2839999999999998</v>
      </c>
      <c r="P345">
        <v>5.173</v>
      </c>
      <c r="Q345">
        <v>67.66</v>
      </c>
      <c r="R345">
        <v>4.7559999999999998E-3</v>
      </c>
      <c r="S345">
        <v>3.3680000000000002E-2</v>
      </c>
      <c r="T345">
        <v>4.3450000000000003E-2</v>
      </c>
      <c r="U345">
        <v>1.806E-2</v>
      </c>
      <c r="V345">
        <v>3.7560000000000003E-2</v>
      </c>
      <c r="W345">
        <v>3.2880000000000001E-3</v>
      </c>
      <c r="X345">
        <v>22.75</v>
      </c>
      <c r="Y345">
        <v>34.659999999999997</v>
      </c>
      <c r="Z345">
        <v>157.6</v>
      </c>
      <c r="AA345">
        <v>1540</v>
      </c>
      <c r="AB345">
        <v>0.12180000000000001</v>
      </c>
      <c r="AC345">
        <v>0.3458</v>
      </c>
      <c r="AD345">
        <v>0.47339999999999999</v>
      </c>
      <c r="AE345">
        <v>0.22550000000000001</v>
      </c>
      <c r="AF345">
        <v>0.40450000000000003</v>
      </c>
      <c r="AG345">
        <v>7.918E-2</v>
      </c>
    </row>
    <row r="346" spans="1:33">
      <c r="A346">
        <v>345</v>
      </c>
      <c r="B346">
        <v>89864002</v>
      </c>
      <c r="C346" t="s">
        <v>1</v>
      </c>
      <c r="D346">
        <v>13.71</v>
      </c>
      <c r="E346">
        <v>15.45</v>
      </c>
      <c r="F346">
        <v>75.03</v>
      </c>
      <c r="G346">
        <v>420.3</v>
      </c>
      <c r="H346">
        <v>0.115</v>
      </c>
      <c r="I346">
        <v>7.281E-2</v>
      </c>
      <c r="J346">
        <v>4.0059999999999998E-2</v>
      </c>
      <c r="K346">
        <v>3.2500000000000001E-2</v>
      </c>
      <c r="L346">
        <v>0.2009</v>
      </c>
      <c r="M346">
        <v>6.5060000000000007E-2</v>
      </c>
      <c r="N346">
        <v>0.34460000000000002</v>
      </c>
      <c r="O346">
        <v>0.73950000000000005</v>
      </c>
      <c r="P346">
        <v>2.355</v>
      </c>
      <c r="Q346">
        <v>24.53</v>
      </c>
      <c r="R346">
        <v>9.5359999999999993E-3</v>
      </c>
      <c r="S346">
        <v>1.0970000000000001E-2</v>
      </c>
      <c r="T346">
        <v>1.651E-2</v>
      </c>
      <c r="U346">
        <v>1.1209999999999999E-2</v>
      </c>
      <c r="V346">
        <v>1.9529999999999999E-2</v>
      </c>
      <c r="W346">
        <v>3.0999999999999999E-3</v>
      </c>
      <c r="X346">
        <v>13.06</v>
      </c>
      <c r="Y346">
        <v>18.16</v>
      </c>
      <c r="Z346">
        <v>84.16</v>
      </c>
      <c r="AA346">
        <v>516.4</v>
      </c>
      <c r="AB346">
        <v>0.14599999999999999</v>
      </c>
      <c r="AC346">
        <v>0.1115</v>
      </c>
      <c r="AD346">
        <v>0.1087</v>
      </c>
      <c r="AE346">
        <v>7.8640000000000002E-2</v>
      </c>
      <c r="AF346">
        <v>0.27650000000000002</v>
      </c>
      <c r="AG346">
        <v>7.8060000000000004E-2</v>
      </c>
    </row>
    <row r="347" spans="1:33">
      <c r="A347">
        <v>346</v>
      </c>
      <c r="B347">
        <v>898677</v>
      </c>
      <c r="C347" t="s">
        <v>1</v>
      </c>
      <c r="D347">
        <v>13.71</v>
      </c>
      <c r="E347">
        <v>14.71</v>
      </c>
      <c r="F347">
        <v>66.2</v>
      </c>
      <c r="G347">
        <v>321.60000000000002</v>
      </c>
      <c r="H347">
        <v>9.8820000000000005E-2</v>
      </c>
      <c r="I347">
        <v>9.1590000000000005E-2</v>
      </c>
      <c r="J347">
        <v>3.5810000000000002E-2</v>
      </c>
      <c r="K347">
        <v>2.0369999999999999E-2</v>
      </c>
      <c r="L347">
        <v>0.1633</v>
      </c>
      <c r="M347">
        <v>7.0050000000000001E-2</v>
      </c>
      <c r="N347">
        <v>0.33800000000000002</v>
      </c>
      <c r="O347">
        <v>2.5089999999999999</v>
      </c>
      <c r="P347">
        <v>2.3940000000000001</v>
      </c>
      <c r="Q347">
        <v>19.329999999999998</v>
      </c>
      <c r="R347">
        <v>1.736E-2</v>
      </c>
      <c r="S347">
        <v>4.6710000000000002E-2</v>
      </c>
      <c r="T347">
        <v>2.6110000000000001E-2</v>
      </c>
      <c r="U347">
        <v>1.2959999999999999E-2</v>
      </c>
      <c r="V347">
        <v>3.6749999999999998E-2</v>
      </c>
      <c r="W347">
        <v>6.7580000000000001E-3</v>
      </c>
      <c r="X347">
        <v>10.88</v>
      </c>
      <c r="Y347">
        <v>19.48</v>
      </c>
      <c r="Z347">
        <v>70.89</v>
      </c>
      <c r="AA347">
        <v>357.1</v>
      </c>
      <c r="AB347">
        <v>0.13600000000000001</v>
      </c>
      <c r="AC347">
        <v>0.1636</v>
      </c>
      <c r="AD347">
        <v>7.1620000000000003E-2</v>
      </c>
      <c r="AE347">
        <v>4.0739999999999998E-2</v>
      </c>
      <c r="AF347">
        <v>0.24340000000000001</v>
      </c>
      <c r="AG347">
        <v>8.4879999999999997E-2</v>
      </c>
    </row>
    <row r="348" spans="1:33">
      <c r="A348">
        <v>347</v>
      </c>
      <c r="B348">
        <v>898678</v>
      </c>
      <c r="C348" t="s">
        <v>1</v>
      </c>
      <c r="D348">
        <v>13.71</v>
      </c>
      <c r="E348">
        <v>18.899999999999999</v>
      </c>
      <c r="F348">
        <v>76.66</v>
      </c>
      <c r="G348">
        <v>445.3</v>
      </c>
      <c r="H348">
        <v>8.3860000000000004E-2</v>
      </c>
      <c r="I348">
        <v>5.7939999999999998E-2</v>
      </c>
      <c r="J348">
        <v>7.5100000000000002E-3</v>
      </c>
      <c r="K348">
        <v>8.4880000000000008E-3</v>
      </c>
      <c r="L348">
        <v>0.1555</v>
      </c>
      <c r="M348">
        <v>6.0479999999999999E-2</v>
      </c>
      <c r="N348">
        <v>0.24299999999999999</v>
      </c>
      <c r="O348">
        <v>1.1519999999999999</v>
      </c>
      <c r="P348">
        <v>1.5589999999999999</v>
      </c>
      <c r="Q348">
        <v>18.02</v>
      </c>
      <c r="R348">
        <v>7.1799999999999998E-3</v>
      </c>
      <c r="S348">
        <v>1.0959999999999999E-2</v>
      </c>
      <c r="T348">
        <v>5.8320000000000004E-3</v>
      </c>
      <c r="U348">
        <v>5.4949999999999999E-3</v>
      </c>
      <c r="V348">
        <v>1.9820000000000001E-2</v>
      </c>
      <c r="W348">
        <v>2.7539999999999999E-3</v>
      </c>
      <c r="X348">
        <v>13.64</v>
      </c>
      <c r="Y348">
        <v>27.06</v>
      </c>
      <c r="Z348">
        <v>86.54</v>
      </c>
      <c r="AA348">
        <v>562.6</v>
      </c>
      <c r="AB348">
        <v>0.12889999999999999</v>
      </c>
      <c r="AC348">
        <v>0.13519999999999999</v>
      </c>
      <c r="AD348">
        <v>4.5060000000000003E-2</v>
      </c>
      <c r="AE348">
        <v>5.0930000000000003E-2</v>
      </c>
      <c r="AF348">
        <v>0.28799999999999998</v>
      </c>
      <c r="AG348">
        <v>8.0829999999999999E-2</v>
      </c>
    </row>
    <row r="349" spans="1:33">
      <c r="A349">
        <v>348</v>
      </c>
      <c r="B349">
        <v>89869</v>
      </c>
      <c r="C349" t="s">
        <v>1</v>
      </c>
      <c r="D349">
        <v>13.71</v>
      </c>
      <c r="E349">
        <v>14.74</v>
      </c>
      <c r="F349">
        <v>94.87</v>
      </c>
      <c r="G349">
        <v>668.7</v>
      </c>
      <c r="H349">
        <v>8.8749999999999996E-2</v>
      </c>
      <c r="I349">
        <v>7.7799999999999994E-2</v>
      </c>
      <c r="J349">
        <v>4.6080000000000003E-2</v>
      </c>
      <c r="K349">
        <v>3.5279999999999999E-2</v>
      </c>
      <c r="L349">
        <v>0.15210000000000001</v>
      </c>
      <c r="M349">
        <v>5.9119999999999999E-2</v>
      </c>
      <c r="N349">
        <v>0.34279999999999999</v>
      </c>
      <c r="O349">
        <v>0.39810000000000001</v>
      </c>
      <c r="P349">
        <v>2.5369999999999999</v>
      </c>
      <c r="Q349">
        <v>29.06</v>
      </c>
      <c r="R349">
        <v>4.7320000000000001E-3</v>
      </c>
      <c r="S349">
        <v>1.506E-2</v>
      </c>
      <c r="T349">
        <v>1.8550000000000001E-2</v>
      </c>
      <c r="U349">
        <v>1.0670000000000001E-2</v>
      </c>
      <c r="V349">
        <v>2.163E-2</v>
      </c>
      <c r="W349">
        <v>2.7829999999999999E-3</v>
      </c>
      <c r="X349">
        <v>17.27</v>
      </c>
      <c r="Y349">
        <v>17.93</v>
      </c>
      <c r="Z349">
        <v>114.2</v>
      </c>
      <c r="AA349">
        <v>880.8</v>
      </c>
      <c r="AB349">
        <v>0.122</v>
      </c>
      <c r="AC349">
        <v>0.2009</v>
      </c>
      <c r="AD349">
        <v>0.21510000000000001</v>
      </c>
      <c r="AE349">
        <v>0.12509999999999999</v>
      </c>
      <c r="AF349">
        <v>0.31090000000000001</v>
      </c>
      <c r="AG349">
        <v>8.1869999999999998E-2</v>
      </c>
    </row>
    <row r="350" spans="1:33">
      <c r="A350">
        <v>349</v>
      </c>
      <c r="B350">
        <v>898690</v>
      </c>
      <c r="C350" t="s">
        <v>1</v>
      </c>
      <c r="D350">
        <v>13.71</v>
      </c>
      <c r="E350">
        <v>16.03</v>
      </c>
      <c r="F350">
        <v>73.02</v>
      </c>
      <c r="G350">
        <v>402.7</v>
      </c>
      <c r="H350">
        <v>9.0759999999999993E-2</v>
      </c>
      <c r="I350">
        <v>5.8860000000000003E-2</v>
      </c>
      <c r="J350">
        <v>2.5870000000000001E-2</v>
      </c>
      <c r="K350">
        <v>2.3220000000000001E-2</v>
      </c>
      <c r="L350">
        <v>0.16339999999999999</v>
      </c>
      <c r="M350">
        <v>6.3719999999999999E-2</v>
      </c>
      <c r="N350">
        <v>0.17069999999999999</v>
      </c>
      <c r="O350">
        <v>0.76149999999999995</v>
      </c>
      <c r="P350">
        <v>1.0900000000000001</v>
      </c>
      <c r="Q350">
        <v>12.25</v>
      </c>
      <c r="R350">
        <v>9.1909999999999995E-3</v>
      </c>
      <c r="S350">
        <v>8.548E-3</v>
      </c>
      <c r="T350">
        <v>9.4000000000000004E-3</v>
      </c>
      <c r="U350">
        <v>6.3150000000000003E-3</v>
      </c>
      <c r="V350">
        <v>1.755E-2</v>
      </c>
      <c r="W350">
        <v>3.009E-3</v>
      </c>
      <c r="X350">
        <v>12.51</v>
      </c>
      <c r="Y350">
        <v>20.79</v>
      </c>
      <c r="Z350">
        <v>79.67</v>
      </c>
      <c r="AA350">
        <v>475.8</v>
      </c>
      <c r="AB350">
        <v>0.15310000000000001</v>
      </c>
      <c r="AC350">
        <v>0.112</v>
      </c>
      <c r="AD350">
        <v>9.8229999999999998E-2</v>
      </c>
      <c r="AE350">
        <v>6.5479999999999997E-2</v>
      </c>
      <c r="AF350">
        <v>0.28510000000000002</v>
      </c>
      <c r="AG350">
        <v>8.763E-2</v>
      </c>
    </row>
    <row r="351" spans="1:33">
      <c r="A351">
        <v>350</v>
      </c>
      <c r="B351">
        <v>899147</v>
      </c>
      <c r="C351" t="s">
        <v>1</v>
      </c>
      <c r="D351">
        <v>13.71</v>
      </c>
      <c r="E351">
        <v>14.96</v>
      </c>
      <c r="F351">
        <v>77.23</v>
      </c>
      <c r="G351">
        <v>426.7</v>
      </c>
      <c r="H351">
        <v>0.1158</v>
      </c>
      <c r="I351">
        <v>0.1206</v>
      </c>
      <c r="J351">
        <v>1.171E-2</v>
      </c>
      <c r="K351">
        <v>1.787E-2</v>
      </c>
      <c r="L351">
        <v>0.24590000000000001</v>
      </c>
      <c r="M351">
        <v>6.5809999999999994E-2</v>
      </c>
      <c r="N351">
        <v>0.36099999999999999</v>
      </c>
      <c r="O351">
        <v>1.05</v>
      </c>
      <c r="P351">
        <v>2.4550000000000001</v>
      </c>
      <c r="Q351">
        <v>26.65</v>
      </c>
      <c r="R351">
        <v>5.7999999999999996E-3</v>
      </c>
      <c r="S351">
        <v>2.4170000000000001E-2</v>
      </c>
      <c r="T351">
        <v>7.816E-3</v>
      </c>
      <c r="U351">
        <v>1.052E-2</v>
      </c>
      <c r="V351">
        <v>2.734E-2</v>
      </c>
      <c r="W351">
        <v>3.114E-3</v>
      </c>
      <c r="X351">
        <v>12.81</v>
      </c>
      <c r="Y351">
        <v>17.72</v>
      </c>
      <c r="Z351">
        <v>83.09</v>
      </c>
      <c r="AA351">
        <v>496.2</v>
      </c>
      <c r="AB351">
        <v>0.1293</v>
      </c>
      <c r="AC351">
        <v>0.1885</v>
      </c>
      <c r="AD351">
        <v>3.1220000000000001E-2</v>
      </c>
      <c r="AE351">
        <v>4.7660000000000001E-2</v>
      </c>
      <c r="AF351">
        <v>0.31240000000000001</v>
      </c>
      <c r="AG351">
        <v>7.5899999999999995E-2</v>
      </c>
    </row>
    <row r="352" spans="1:33">
      <c r="A352">
        <v>351</v>
      </c>
      <c r="B352">
        <v>899187</v>
      </c>
      <c r="C352" t="s">
        <v>1</v>
      </c>
      <c r="D352">
        <v>13.71</v>
      </c>
      <c r="E352">
        <v>17.07</v>
      </c>
      <c r="F352">
        <v>73.7</v>
      </c>
      <c r="G352">
        <v>421</v>
      </c>
      <c r="H352">
        <v>7.5609999999999997E-2</v>
      </c>
      <c r="I352">
        <v>3.6299999999999999E-2</v>
      </c>
      <c r="J352">
        <v>8.3059999999999991E-3</v>
      </c>
      <c r="K352">
        <v>1.162E-2</v>
      </c>
      <c r="L352">
        <v>0.1671</v>
      </c>
      <c r="M352">
        <v>5.731E-2</v>
      </c>
      <c r="N352">
        <v>0.35339999999999999</v>
      </c>
      <c r="O352">
        <v>0.6724</v>
      </c>
      <c r="P352">
        <v>2.2250000000000001</v>
      </c>
      <c r="Q352">
        <v>26.03</v>
      </c>
      <c r="R352">
        <v>6.5830000000000003E-3</v>
      </c>
      <c r="S352">
        <v>6.9909999999999998E-3</v>
      </c>
      <c r="T352">
        <v>5.9490000000000003E-3</v>
      </c>
      <c r="U352">
        <v>6.2960000000000004E-3</v>
      </c>
      <c r="V352">
        <v>2.2159999999999999E-2</v>
      </c>
      <c r="W352">
        <v>2.6679999999999998E-3</v>
      </c>
      <c r="X352">
        <v>13.28</v>
      </c>
      <c r="Y352">
        <v>19.739999999999998</v>
      </c>
      <c r="Z352">
        <v>83.61</v>
      </c>
      <c r="AA352">
        <v>542.5</v>
      </c>
      <c r="AB352">
        <v>9.9580000000000002E-2</v>
      </c>
      <c r="AC352">
        <v>6.4759999999999998E-2</v>
      </c>
      <c r="AD352">
        <v>3.0460000000000001E-2</v>
      </c>
      <c r="AE352">
        <v>4.2619999999999998E-2</v>
      </c>
      <c r="AF352">
        <v>0.27310000000000001</v>
      </c>
      <c r="AG352">
        <v>6.8250000000000005E-2</v>
      </c>
    </row>
    <row r="353" spans="1:33">
      <c r="A353">
        <v>352</v>
      </c>
      <c r="B353">
        <v>899667</v>
      </c>
      <c r="C353" t="s">
        <v>0</v>
      </c>
      <c r="D353">
        <v>13.71</v>
      </c>
      <c r="E353">
        <v>19.22</v>
      </c>
      <c r="F353">
        <v>107.1</v>
      </c>
      <c r="G353">
        <v>758.6</v>
      </c>
      <c r="H353">
        <v>0.12429999999999999</v>
      </c>
      <c r="I353">
        <v>0.2364</v>
      </c>
      <c r="J353">
        <v>0.29139999999999999</v>
      </c>
      <c r="K353">
        <v>0.1242</v>
      </c>
      <c r="L353">
        <v>0.23749999999999999</v>
      </c>
      <c r="M353">
        <v>7.603E-2</v>
      </c>
      <c r="N353">
        <v>0.52039999999999997</v>
      </c>
      <c r="O353">
        <v>1.3240000000000001</v>
      </c>
      <c r="P353">
        <v>3.4769999999999999</v>
      </c>
      <c r="Q353">
        <v>51.22</v>
      </c>
      <c r="R353">
        <v>9.3290000000000005E-3</v>
      </c>
      <c r="S353">
        <v>6.5589999999999996E-2</v>
      </c>
      <c r="T353">
        <v>9.9529999999999993E-2</v>
      </c>
      <c r="U353">
        <v>2.283E-2</v>
      </c>
      <c r="V353">
        <v>5.543E-2</v>
      </c>
      <c r="W353">
        <v>7.3299999999999997E-3</v>
      </c>
      <c r="X353">
        <v>17.36</v>
      </c>
      <c r="Y353">
        <v>24.17</v>
      </c>
      <c r="Z353">
        <v>119.4</v>
      </c>
      <c r="AA353">
        <v>915.3</v>
      </c>
      <c r="AB353">
        <v>0.155</v>
      </c>
      <c r="AC353">
        <v>0.50460000000000005</v>
      </c>
      <c r="AD353">
        <v>0.68720000000000003</v>
      </c>
      <c r="AE353">
        <v>0.2135</v>
      </c>
      <c r="AF353">
        <v>0.42449999999999999</v>
      </c>
      <c r="AG353">
        <v>0.105</v>
      </c>
    </row>
    <row r="354" spans="1:33">
      <c r="A354">
        <v>353</v>
      </c>
      <c r="B354">
        <v>899987</v>
      </c>
      <c r="C354" t="s">
        <v>0</v>
      </c>
      <c r="D354">
        <v>13.71</v>
      </c>
      <c r="E354">
        <v>17.46</v>
      </c>
      <c r="F354">
        <v>174.2</v>
      </c>
      <c r="G354">
        <v>2010</v>
      </c>
      <c r="H354">
        <v>0.1149</v>
      </c>
      <c r="I354">
        <v>0.23630000000000001</v>
      </c>
      <c r="J354">
        <v>0.33679999999999999</v>
      </c>
      <c r="K354">
        <v>0.1913</v>
      </c>
      <c r="L354">
        <v>0.1956</v>
      </c>
      <c r="M354">
        <v>6.1210000000000001E-2</v>
      </c>
      <c r="N354">
        <v>0.99480000000000002</v>
      </c>
      <c r="O354">
        <v>0.85089999999999999</v>
      </c>
      <c r="P354">
        <v>7.2220000000000004</v>
      </c>
      <c r="Q354">
        <v>153.1</v>
      </c>
      <c r="R354">
        <v>6.3689999999999997E-3</v>
      </c>
      <c r="S354">
        <v>4.2430000000000002E-2</v>
      </c>
      <c r="T354">
        <v>4.2659999999999997E-2</v>
      </c>
      <c r="U354">
        <v>1.508E-2</v>
      </c>
      <c r="V354">
        <v>2.3349999999999999E-2</v>
      </c>
      <c r="W354">
        <v>3.385E-3</v>
      </c>
      <c r="X354">
        <v>33.130000000000003</v>
      </c>
      <c r="Y354">
        <v>23.58</v>
      </c>
      <c r="Z354">
        <v>229.3</v>
      </c>
      <c r="AA354">
        <v>3234</v>
      </c>
      <c r="AB354">
        <v>0.153</v>
      </c>
      <c r="AC354">
        <v>0.59370000000000001</v>
      </c>
      <c r="AD354">
        <v>0.64510000000000001</v>
      </c>
      <c r="AE354">
        <v>0.27560000000000001</v>
      </c>
      <c r="AF354">
        <v>0.36899999999999999</v>
      </c>
      <c r="AG354">
        <v>8.8150000000000006E-2</v>
      </c>
    </row>
    <row r="355" spans="1:33">
      <c r="A355">
        <v>354</v>
      </c>
      <c r="B355">
        <v>9010018</v>
      </c>
      <c r="C355" t="s">
        <v>0</v>
      </c>
      <c r="D355">
        <v>13.71</v>
      </c>
      <c r="E355">
        <v>25.74</v>
      </c>
      <c r="F355">
        <v>98</v>
      </c>
      <c r="G355">
        <v>716.6</v>
      </c>
      <c r="H355">
        <v>0.1024</v>
      </c>
      <c r="I355">
        <v>9.7689999999999999E-2</v>
      </c>
      <c r="J355">
        <v>0.1235</v>
      </c>
      <c r="K355">
        <v>6.5530000000000005E-2</v>
      </c>
      <c r="L355">
        <v>0.16470000000000001</v>
      </c>
      <c r="M355">
        <v>6.4640000000000003E-2</v>
      </c>
      <c r="N355">
        <v>0.65339999999999998</v>
      </c>
      <c r="O355">
        <v>1.506</v>
      </c>
      <c r="P355">
        <v>4.1740000000000004</v>
      </c>
      <c r="Q355">
        <v>63.37</v>
      </c>
      <c r="R355">
        <v>1.052E-2</v>
      </c>
      <c r="S355">
        <v>2.4309999999999998E-2</v>
      </c>
      <c r="T355">
        <v>4.9119999999999997E-2</v>
      </c>
      <c r="U355">
        <v>1.746E-2</v>
      </c>
      <c r="V355">
        <v>2.12E-2</v>
      </c>
      <c r="W355">
        <v>4.8669999999999998E-3</v>
      </c>
      <c r="X355">
        <v>18.510000000000002</v>
      </c>
      <c r="Y355">
        <v>33.22</v>
      </c>
      <c r="Z355">
        <v>121.2</v>
      </c>
      <c r="AA355">
        <v>1050</v>
      </c>
      <c r="AB355">
        <v>0.16600000000000001</v>
      </c>
      <c r="AC355">
        <v>0.2356</v>
      </c>
      <c r="AD355">
        <v>0.40289999999999998</v>
      </c>
      <c r="AE355">
        <v>0.15260000000000001</v>
      </c>
      <c r="AF355">
        <v>0.26540000000000002</v>
      </c>
      <c r="AG355">
        <v>9.4380000000000006E-2</v>
      </c>
    </row>
    <row r="356" spans="1:33">
      <c r="A356">
        <v>355</v>
      </c>
      <c r="B356">
        <v>901011</v>
      </c>
      <c r="C356" t="s">
        <v>1</v>
      </c>
      <c r="D356">
        <v>13.71</v>
      </c>
      <c r="E356">
        <v>14.07</v>
      </c>
      <c r="F356">
        <v>71.239999999999995</v>
      </c>
      <c r="G356">
        <v>384.6</v>
      </c>
      <c r="H356">
        <v>7.2739999999999999E-2</v>
      </c>
      <c r="I356">
        <v>6.0639999999999999E-2</v>
      </c>
      <c r="J356">
        <v>4.505E-2</v>
      </c>
      <c r="K356">
        <v>1.4710000000000001E-2</v>
      </c>
      <c r="L356">
        <v>0.16900000000000001</v>
      </c>
      <c r="M356">
        <v>6.0830000000000002E-2</v>
      </c>
      <c r="N356">
        <v>0.42220000000000002</v>
      </c>
      <c r="O356">
        <v>0.80920000000000003</v>
      </c>
      <c r="P356">
        <v>3.33</v>
      </c>
      <c r="Q356">
        <v>28.84</v>
      </c>
      <c r="R356">
        <v>5.5409999999999999E-3</v>
      </c>
      <c r="S356">
        <v>3.3869999999999997E-2</v>
      </c>
      <c r="T356">
        <v>4.505E-2</v>
      </c>
      <c r="U356">
        <v>1.4710000000000001E-2</v>
      </c>
      <c r="V356">
        <v>3.1019999999999999E-2</v>
      </c>
      <c r="W356">
        <v>4.8310000000000002E-3</v>
      </c>
      <c r="X356">
        <v>12.12</v>
      </c>
      <c r="Y356">
        <v>15.82</v>
      </c>
      <c r="Z356">
        <v>79.62</v>
      </c>
      <c r="AA356">
        <v>453.5</v>
      </c>
      <c r="AB356">
        <v>8.8639999999999997E-2</v>
      </c>
      <c r="AC356">
        <v>0.12559999999999999</v>
      </c>
      <c r="AD356">
        <v>0.1201</v>
      </c>
      <c r="AE356">
        <v>3.9219999999999998E-2</v>
      </c>
      <c r="AF356">
        <v>0.2576</v>
      </c>
      <c r="AG356">
        <v>7.0180000000000006E-2</v>
      </c>
    </row>
    <row r="357" spans="1:33">
      <c r="A357">
        <v>356</v>
      </c>
      <c r="B357">
        <v>9010258</v>
      </c>
      <c r="C357" t="s">
        <v>1</v>
      </c>
      <c r="D357">
        <v>13.71</v>
      </c>
      <c r="E357">
        <v>19.07</v>
      </c>
      <c r="F357">
        <v>81.92</v>
      </c>
      <c r="G357">
        <v>485.8</v>
      </c>
      <c r="H357">
        <v>8.7599999999999997E-2</v>
      </c>
      <c r="I357">
        <v>0.1038</v>
      </c>
      <c r="J357">
        <v>0.10299999999999999</v>
      </c>
      <c r="K357">
        <v>4.3909999999999998E-2</v>
      </c>
      <c r="L357">
        <v>0.15329999999999999</v>
      </c>
      <c r="M357">
        <v>6.1839999999999999E-2</v>
      </c>
      <c r="N357">
        <v>0.36020000000000002</v>
      </c>
      <c r="O357">
        <v>1.478</v>
      </c>
      <c r="P357">
        <v>3.2120000000000002</v>
      </c>
      <c r="Q357">
        <v>27.49</v>
      </c>
      <c r="R357">
        <v>9.8530000000000006E-3</v>
      </c>
      <c r="S357">
        <v>4.2349999999999999E-2</v>
      </c>
      <c r="T357">
        <v>6.2710000000000002E-2</v>
      </c>
      <c r="U357">
        <v>1.966E-2</v>
      </c>
      <c r="V357">
        <v>2.639E-2</v>
      </c>
      <c r="W357">
        <v>4.2050000000000004E-3</v>
      </c>
      <c r="X357">
        <v>13.37</v>
      </c>
      <c r="Y357">
        <v>22.43</v>
      </c>
      <c r="Z357">
        <v>89.02</v>
      </c>
      <c r="AA357">
        <v>547.4</v>
      </c>
      <c r="AB357">
        <v>0.1096</v>
      </c>
      <c r="AC357">
        <v>0.20019999999999999</v>
      </c>
      <c r="AD357">
        <v>0.23880000000000001</v>
      </c>
      <c r="AE357">
        <v>9.2649999999999996E-2</v>
      </c>
      <c r="AF357">
        <v>0.21210000000000001</v>
      </c>
      <c r="AG357">
        <v>7.1879999999999999E-2</v>
      </c>
    </row>
    <row r="358" spans="1:33">
      <c r="A358">
        <v>357</v>
      </c>
      <c r="B358">
        <v>9010259</v>
      </c>
      <c r="C358" t="s">
        <v>1</v>
      </c>
      <c r="D358">
        <v>13.71</v>
      </c>
      <c r="E358">
        <v>18.59</v>
      </c>
      <c r="F358">
        <v>85.09</v>
      </c>
      <c r="G358">
        <v>512</v>
      </c>
      <c r="H358">
        <v>0.1082</v>
      </c>
      <c r="I358">
        <v>0.13039999999999999</v>
      </c>
      <c r="J358">
        <v>9.6030000000000004E-2</v>
      </c>
      <c r="K358">
        <v>5.6030000000000003E-2</v>
      </c>
      <c r="L358">
        <v>0.20349999999999999</v>
      </c>
      <c r="M358">
        <v>6.5009999999999998E-2</v>
      </c>
      <c r="N358">
        <v>0.31059999999999999</v>
      </c>
      <c r="O358">
        <v>1.51</v>
      </c>
      <c r="P358">
        <v>2.59</v>
      </c>
      <c r="Q358">
        <v>21.57</v>
      </c>
      <c r="R358">
        <v>7.8069999999999997E-3</v>
      </c>
      <c r="S358">
        <v>3.9320000000000001E-2</v>
      </c>
      <c r="T358">
        <v>5.1119999999999999E-2</v>
      </c>
      <c r="U358">
        <v>1.8759999999999999E-2</v>
      </c>
      <c r="V358">
        <v>2.86E-2</v>
      </c>
      <c r="W358">
        <v>5.7149999999999996E-3</v>
      </c>
      <c r="X358">
        <v>14.19</v>
      </c>
      <c r="Y358">
        <v>24.85</v>
      </c>
      <c r="Z358">
        <v>94.22</v>
      </c>
      <c r="AA358">
        <v>591.20000000000005</v>
      </c>
      <c r="AB358">
        <v>0.1343</v>
      </c>
      <c r="AC358">
        <v>0.26579999999999998</v>
      </c>
      <c r="AD358">
        <v>0.25729999999999997</v>
      </c>
      <c r="AE358">
        <v>0.1258</v>
      </c>
      <c r="AF358">
        <v>0.31130000000000002</v>
      </c>
      <c r="AG358">
        <v>8.3169999999999994E-2</v>
      </c>
    </row>
    <row r="359" spans="1:33">
      <c r="A359">
        <v>358</v>
      </c>
      <c r="B359">
        <v>901028</v>
      </c>
      <c r="C359" t="s">
        <v>1</v>
      </c>
      <c r="D359">
        <v>13.71</v>
      </c>
      <c r="E359">
        <v>16.21</v>
      </c>
      <c r="F359">
        <v>88.52</v>
      </c>
      <c r="G359">
        <v>593.70000000000005</v>
      </c>
      <c r="H359">
        <v>8.7429999999999994E-2</v>
      </c>
      <c r="I359">
        <v>5.4919999999999997E-2</v>
      </c>
      <c r="J359">
        <v>1.502E-2</v>
      </c>
      <c r="K359">
        <v>2.0879999999999999E-2</v>
      </c>
      <c r="L359">
        <v>0.1424</v>
      </c>
      <c r="M359">
        <v>5.883E-2</v>
      </c>
      <c r="N359">
        <v>0.25430000000000003</v>
      </c>
      <c r="O359">
        <v>1.363</v>
      </c>
      <c r="P359">
        <v>1.7370000000000001</v>
      </c>
      <c r="Q359">
        <v>20.74</v>
      </c>
      <c r="R359">
        <v>5.6379999999999998E-3</v>
      </c>
      <c r="S359">
        <v>7.9389999999999999E-3</v>
      </c>
      <c r="T359">
        <v>5.254E-3</v>
      </c>
      <c r="U359">
        <v>6.0419999999999996E-3</v>
      </c>
      <c r="V359">
        <v>1.5440000000000001E-2</v>
      </c>
      <c r="W359">
        <v>2.0869999999999999E-3</v>
      </c>
      <c r="X359">
        <v>15.11</v>
      </c>
      <c r="Y359">
        <v>25.58</v>
      </c>
      <c r="Z359">
        <v>96.74</v>
      </c>
      <c r="AA359">
        <v>694.4</v>
      </c>
      <c r="AB359">
        <v>0.1153</v>
      </c>
      <c r="AC359">
        <v>0.1008</v>
      </c>
      <c r="AD359">
        <v>5.2850000000000001E-2</v>
      </c>
      <c r="AE359">
        <v>5.5559999999999998E-2</v>
      </c>
      <c r="AF359">
        <v>0.23619999999999999</v>
      </c>
      <c r="AG359">
        <v>7.1129999999999999E-2</v>
      </c>
    </row>
    <row r="360" spans="1:33">
      <c r="A360">
        <v>359</v>
      </c>
      <c r="B360">
        <v>9010333</v>
      </c>
      <c r="C360" t="s">
        <v>1</v>
      </c>
      <c r="D360">
        <v>13.71</v>
      </c>
      <c r="E360">
        <v>15.49</v>
      </c>
      <c r="F360">
        <v>56.74</v>
      </c>
      <c r="G360">
        <v>241</v>
      </c>
      <c r="H360">
        <v>8.2930000000000004E-2</v>
      </c>
      <c r="I360">
        <v>7.6980000000000007E-2</v>
      </c>
      <c r="J360">
        <v>4.7210000000000002E-2</v>
      </c>
      <c r="K360">
        <v>2.3810000000000001E-2</v>
      </c>
      <c r="L360">
        <v>0.193</v>
      </c>
      <c r="M360">
        <v>6.6210000000000005E-2</v>
      </c>
      <c r="N360">
        <v>0.53810000000000002</v>
      </c>
      <c r="O360">
        <v>1.2</v>
      </c>
      <c r="P360">
        <v>4.2770000000000001</v>
      </c>
      <c r="Q360">
        <v>30.18</v>
      </c>
      <c r="R360">
        <v>1.093E-2</v>
      </c>
      <c r="S360">
        <v>2.8989999999999998E-2</v>
      </c>
      <c r="T360">
        <v>3.2140000000000002E-2</v>
      </c>
      <c r="U360">
        <v>1.506E-2</v>
      </c>
      <c r="V360">
        <v>2.8369999999999999E-2</v>
      </c>
      <c r="W360">
        <v>4.1739999999999998E-3</v>
      </c>
      <c r="X360">
        <v>9.9809999999999999</v>
      </c>
      <c r="Y360">
        <v>17.7</v>
      </c>
      <c r="Z360">
        <v>65.27</v>
      </c>
      <c r="AA360">
        <v>302</v>
      </c>
      <c r="AB360">
        <v>0.10150000000000001</v>
      </c>
      <c r="AC360">
        <v>0.12479999999999999</v>
      </c>
      <c r="AD360">
        <v>9.4409999999999994E-2</v>
      </c>
      <c r="AE360">
        <v>4.7620000000000003E-2</v>
      </c>
      <c r="AF360">
        <v>0.24340000000000001</v>
      </c>
      <c r="AG360">
        <v>7.4310000000000001E-2</v>
      </c>
    </row>
    <row r="361" spans="1:33">
      <c r="A361">
        <v>360</v>
      </c>
      <c r="B361">
        <v>901034301</v>
      </c>
      <c r="C361" t="s">
        <v>1</v>
      </c>
      <c r="D361">
        <v>13.71</v>
      </c>
      <c r="E361">
        <v>18.32</v>
      </c>
      <c r="F361">
        <v>59.82</v>
      </c>
      <c r="G361">
        <v>278.60000000000002</v>
      </c>
      <c r="H361">
        <v>0.1009</v>
      </c>
      <c r="I361">
        <v>5.9560000000000002E-2</v>
      </c>
      <c r="J361">
        <v>2.7099999999999999E-2</v>
      </c>
      <c r="K361">
        <v>1.406E-2</v>
      </c>
      <c r="L361">
        <v>0.15060000000000001</v>
      </c>
      <c r="M361">
        <v>6.9589999999999999E-2</v>
      </c>
      <c r="N361">
        <v>0.50790000000000002</v>
      </c>
      <c r="O361">
        <v>1.2470000000000001</v>
      </c>
      <c r="P361">
        <v>3.2669999999999999</v>
      </c>
      <c r="Q361">
        <v>30.48</v>
      </c>
      <c r="R361">
        <v>6.8360000000000001E-3</v>
      </c>
      <c r="S361">
        <v>8.9820000000000004E-3</v>
      </c>
      <c r="T361">
        <v>2.3480000000000001E-2</v>
      </c>
      <c r="U361">
        <v>6.5649999999999997E-3</v>
      </c>
      <c r="V361">
        <v>1.942E-2</v>
      </c>
      <c r="W361">
        <v>2.7130000000000001E-3</v>
      </c>
      <c r="X361">
        <v>12.02</v>
      </c>
      <c r="Y361">
        <v>25.02</v>
      </c>
      <c r="Z361">
        <v>75.790000000000006</v>
      </c>
      <c r="AA361">
        <v>439.6</v>
      </c>
      <c r="AB361">
        <v>0.1333</v>
      </c>
      <c r="AC361">
        <v>0.10489999999999999</v>
      </c>
      <c r="AD361">
        <v>0.1144</v>
      </c>
      <c r="AE361">
        <v>5.0520000000000002E-2</v>
      </c>
      <c r="AF361">
        <v>0.24540000000000001</v>
      </c>
      <c r="AG361">
        <v>8.1360000000000002E-2</v>
      </c>
    </row>
    <row r="362" spans="1:33">
      <c r="A362">
        <v>361</v>
      </c>
      <c r="B362">
        <v>901034302</v>
      </c>
      <c r="C362" t="s">
        <v>1</v>
      </c>
      <c r="D362">
        <v>13.71</v>
      </c>
      <c r="E362">
        <v>18.07</v>
      </c>
      <c r="F362">
        <v>79.42</v>
      </c>
      <c r="G362">
        <v>491.9</v>
      </c>
      <c r="H362">
        <v>7.4359999999999996E-2</v>
      </c>
      <c r="I362">
        <v>2.6499999999999999E-2</v>
      </c>
      <c r="J362">
        <v>1.194E-3</v>
      </c>
      <c r="K362">
        <v>5.4489999999999999E-3</v>
      </c>
      <c r="L362">
        <v>0.15279999999999999</v>
      </c>
      <c r="M362">
        <v>5.185E-2</v>
      </c>
      <c r="N362">
        <v>0.35110000000000002</v>
      </c>
      <c r="O362">
        <v>0.95269999999999999</v>
      </c>
      <c r="P362">
        <v>2.3290000000000002</v>
      </c>
      <c r="Q362">
        <v>28.3</v>
      </c>
      <c r="R362">
        <v>5.7829999999999999E-3</v>
      </c>
      <c r="S362">
        <v>4.6930000000000001E-3</v>
      </c>
      <c r="T362">
        <v>7.9290000000000003E-4</v>
      </c>
      <c r="U362">
        <v>3.617E-3</v>
      </c>
      <c r="V362">
        <v>2.043E-2</v>
      </c>
      <c r="W362">
        <v>1.0579999999999999E-3</v>
      </c>
      <c r="X362">
        <v>13.72</v>
      </c>
      <c r="Y362">
        <v>20.98</v>
      </c>
      <c r="Z362">
        <v>86.82</v>
      </c>
      <c r="AA362">
        <v>585.70000000000005</v>
      </c>
      <c r="AB362">
        <v>9.2929999999999999E-2</v>
      </c>
      <c r="AC362">
        <v>4.3270000000000003E-2</v>
      </c>
      <c r="AD362">
        <v>3.581E-3</v>
      </c>
      <c r="AE362">
        <v>1.635E-2</v>
      </c>
      <c r="AF362">
        <v>0.2233</v>
      </c>
      <c r="AG362">
        <v>5.5210000000000002E-2</v>
      </c>
    </row>
    <row r="363" spans="1:33">
      <c r="A363">
        <v>362</v>
      </c>
      <c r="B363">
        <v>901041</v>
      </c>
      <c r="C363" t="s">
        <v>1</v>
      </c>
      <c r="D363">
        <v>13.71</v>
      </c>
      <c r="E363">
        <v>21.57</v>
      </c>
      <c r="F363">
        <v>85.24</v>
      </c>
      <c r="G363">
        <v>546.1</v>
      </c>
      <c r="H363">
        <v>8.5819999999999994E-2</v>
      </c>
      <c r="I363">
        <v>6.3729999999999995E-2</v>
      </c>
      <c r="J363">
        <v>3.3439999999999998E-2</v>
      </c>
      <c r="K363">
        <v>2.4240000000000001E-2</v>
      </c>
      <c r="L363">
        <v>0.18149999999999999</v>
      </c>
      <c r="M363">
        <v>5.6959999999999997E-2</v>
      </c>
      <c r="N363">
        <v>0.2621</v>
      </c>
      <c r="O363">
        <v>1.5389999999999999</v>
      </c>
      <c r="P363">
        <v>2.028</v>
      </c>
      <c r="Q363">
        <v>20.98</v>
      </c>
      <c r="R363">
        <v>5.4980000000000003E-3</v>
      </c>
      <c r="S363">
        <v>2.0449999999999999E-2</v>
      </c>
      <c r="T363">
        <v>1.7950000000000001E-2</v>
      </c>
      <c r="U363">
        <v>6.3990000000000002E-3</v>
      </c>
      <c r="V363">
        <v>1.8290000000000001E-2</v>
      </c>
      <c r="W363">
        <v>1.9559999999999998E-3</v>
      </c>
      <c r="X363">
        <v>14.2</v>
      </c>
      <c r="Y363">
        <v>29.2</v>
      </c>
      <c r="Z363">
        <v>92.94</v>
      </c>
      <c r="AA363">
        <v>621.20000000000005</v>
      </c>
      <c r="AB363">
        <v>0.114</v>
      </c>
      <c r="AC363">
        <v>0.16669999999999999</v>
      </c>
      <c r="AD363">
        <v>0.1212</v>
      </c>
      <c r="AE363">
        <v>5.6140000000000002E-2</v>
      </c>
      <c r="AF363">
        <v>0.26369999999999999</v>
      </c>
      <c r="AG363">
        <v>6.658E-2</v>
      </c>
    </row>
    <row r="364" spans="1:33">
      <c r="A364">
        <v>363</v>
      </c>
      <c r="B364">
        <v>9010598</v>
      </c>
      <c r="C364" t="s">
        <v>1</v>
      </c>
      <c r="D364">
        <v>13.71</v>
      </c>
      <c r="E364">
        <v>18.84</v>
      </c>
      <c r="F364">
        <v>81.87</v>
      </c>
      <c r="G364">
        <v>496.6</v>
      </c>
      <c r="H364">
        <v>9.6759999999999999E-2</v>
      </c>
      <c r="I364">
        <v>7.9519999999999993E-2</v>
      </c>
      <c r="J364">
        <v>2.6880000000000001E-2</v>
      </c>
      <c r="K364">
        <v>1.7809999999999999E-2</v>
      </c>
      <c r="L364">
        <v>0.1759</v>
      </c>
      <c r="M364">
        <v>6.1830000000000003E-2</v>
      </c>
      <c r="N364">
        <v>0.2213</v>
      </c>
      <c r="O364">
        <v>1.2849999999999999</v>
      </c>
      <c r="P364">
        <v>1.5349999999999999</v>
      </c>
      <c r="Q364">
        <v>17.260000000000002</v>
      </c>
      <c r="R364">
        <v>5.6080000000000001E-3</v>
      </c>
      <c r="S364">
        <v>1.6459999999999999E-2</v>
      </c>
      <c r="T364">
        <v>1.529E-2</v>
      </c>
      <c r="U364">
        <v>9.9970000000000007E-3</v>
      </c>
      <c r="V364">
        <v>1.9089999999999999E-2</v>
      </c>
      <c r="W364">
        <v>2.1329999999999999E-3</v>
      </c>
      <c r="X364">
        <v>13.75</v>
      </c>
      <c r="Y364">
        <v>25.99</v>
      </c>
      <c r="Z364">
        <v>87.82</v>
      </c>
      <c r="AA364">
        <v>579.70000000000005</v>
      </c>
      <c r="AB364">
        <v>0.1298</v>
      </c>
      <c r="AC364">
        <v>0.18390000000000001</v>
      </c>
      <c r="AD364">
        <v>0.1255</v>
      </c>
      <c r="AE364">
        <v>8.3119999999999999E-2</v>
      </c>
      <c r="AF364">
        <v>0.27439999999999998</v>
      </c>
      <c r="AG364">
        <v>7.238E-2</v>
      </c>
    </row>
    <row r="365" spans="1:33">
      <c r="A365">
        <v>364</v>
      </c>
      <c r="B365">
        <v>9010872</v>
      </c>
      <c r="C365" t="s">
        <v>1</v>
      </c>
      <c r="D365">
        <v>13.71</v>
      </c>
      <c r="E365">
        <v>18.29</v>
      </c>
      <c r="F365">
        <v>106.6</v>
      </c>
      <c r="G365">
        <v>838.1</v>
      </c>
      <c r="H365">
        <v>9.6860000000000002E-2</v>
      </c>
      <c r="I365">
        <v>8.4680000000000005E-2</v>
      </c>
      <c r="J365">
        <v>5.8619999999999998E-2</v>
      </c>
      <c r="K365">
        <v>4.8349999999999997E-2</v>
      </c>
      <c r="L365">
        <v>0.14949999999999999</v>
      </c>
      <c r="M365">
        <v>5.5930000000000001E-2</v>
      </c>
      <c r="N365">
        <v>0.33889999999999998</v>
      </c>
      <c r="O365">
        <v>1.4390000000000001</v>
      </c>
      <c r="P365">
        <v>2.3439999999999999</v>
      </c>
      <c r="Q365">
        <v>33.58</v>
      </c>
      <c r="R365">
        <v>7.2570000000000004E-3</v>
      </c>
      <c r="S365">
        <v>1.805E-2</v>
      </c>
      <c r="T365">
        <v>1.8319999999999999E-2</v>
      </c>
      <c r="U365">
        <v>1.0330000000000001E-2</v>
      </c>
      <c r="V365">
        <v>1.694E-2</v>
      </c>
      <c r="W365">
        <v>2.0010000000000002E-3</v>
      </c>
      <c r="X365">
        <v>18.13</v>
      </c>
      <c r="Y365">
        <v>25.45</v>
      </c>
      <c r="Z365">
        <v>117.2</v>
      </c>
      <c r="AA365">
        <v>1009</v>
      </c>
      <c r="AB365">
        <v>0.1338</v>
      </c>
      <c r="AC365">
        <v>0.16789999999999999</v>
      </c>
      <c r="AD365">
        <v>0.1663</v>
      </c>
      <c r="AE365">
        <v>9.1230000000000006E-2</v>
      </c>
      <c r="AF365">
        <v>0.2394</v>
      </c>
      <c r="AG365">
        <v>6.4689999999999998E-2</v>
      </c>
    </row>
    <row r="366" spans="1:33">
      <c r="A366">
        <v>365</v>
      </c>
      <c r="B366">
        <v>9010877</v>
      </c>
      <c r="C366" t="s">
        <v>1</v>
      </c>
      <c r="D366">
        <v>13.71</v>
      </c>
      <c r="E366">
        <v>16.95</v>
      </c>
      <c r="F366">
        <v>85.48</v>
      </c>
      <c r="G366">
        <v>552.4</v>
      </c>
      <c r="H366">
        <v>7.9369999999999996E-2</v>
      </c>
      <c r="I366">
        <v>5.6959999999999997E-2</v>
      </c>
      <c r="J366">
        <v>2.181E-2</v>
      </c>
      <c r="K366">
        <v>1.473E-2</v>
      </c>
      <c r="L366">
        <v>0.16500000000000001</v>
      </c>
      <c r="M366">
        <v>5.7009999999999998E-2</v>
      </c>
      <c r="N366">
        <v>0.15840000000000001</v>
      </c>
      <c r="O366">
        <v>0.61240000000000006</v>
      </c>
      <c r="P366">
        <v>1.036</v>
      </c>
      <c r="Q366">
        <v>13.22</v>
      </c>
      <c r="R366">
        <v>4.3940000000000003E-3</v>
      </c>
      <c r="S366">
        <v>1.2500000000000001E-2</v>
      </c>
      <c r="T366">
        <v>1.451E-2</v>
      </c>
      <c r="U366">
        <v>5.4840000000000002E-3</v>
      </c>
      <c r="V366">
        <v>1.291E-2</v>
      </c>
      <c r="W366">
        <v>2.0739999999999999E-3</v>
      </c>
      <c r="X366">
        <v>14.73</v>
      </c>
      <c r="Y366">
        <v>21.7</v>
      </c>
      <c r="Z366">
        <v>93.76</v>
      </c>
      <c r="AA366">
        <v>663.5</v>
      </c>
      <c r="AB366">
        <v>0.12130000000000001</v>
      </c>
      <c r="AC366">
        <v>0.1676</v>
      </c>
      <c r="AD366">
        <v>0.13639999999999999</v>
      </c>
      <c r="AE366">
        <v>6.9870000000000002E-2</v>
      </c>
      <c r="AF366">
        <v>0.27410000000000001</v>
      </c>
      <c r="AG366">
        <v>7.5819999999999999E-2</v>
      </c>
    </row>
    <row r="367" spans="1:33">
      <c r="A367">
        <v>366</v>
      </c>
      <c r="B367">
        <v>901088</v>
      </c>
      <c r="C367" t="s">
        <v>0</v>
      </c>
      <c r="D367">
        <v>13.71</v>
      </c>
      <c r="E367">
        <v>21.78</v>
      </c>
      <c r="F367">
        <v>133.80000000000001</v>
      </c>
      <c r="G367">
        <v>1293</v>
      </c>
      <c r="H367">
        <v>9.1499999999999998E-2</v>
      </c>
      <c r="I367">
        <v>0.11310000000000001</v>
      </c>
      <c r="J367">
        <v>9.7989999999999994E-2</v>
      </c>
      <c r="K367">
        <v>7.7850000000000003E-2</v>
      </c>
      <c r="L367">
        <v>0.1618</v>
      </c>
      <c r="M367">
        <v>5.5570000000000001E-2</v>
      </c>
      <c r="N367">
        <v>0.57809999999999995</v>
      </c>
      <c r="O367">
        <v>0.91679999999999995</v>
      </c>
      <c r="P367">
        <v>4.218</v>
      </c>
      <c r="Q367">
        <v>72.44</v>
      </c>
      <c r="R367">
        <v>6.208E-3</v>
      </c>
      <c r="S367">
        <v>1.9060000000000001E-2</v>
      </c>
      <c r="T367">
        <v>2.375E-2</v>
      </c>
      <c r="U367">
        <v>1.461E-2</v>
      </c>
      <c r="V367">
        <v>1.4449999999999999E-2</v>
      </c>
      <c r="W367">
        <v>1.9059999999999999E-3</v>
      </c>
      <c r="X367">
        <v>24.31</v>
      </c>
      <c r="Y367">
        <v>26.37</v>
      </c>
      <c r="Z367">
        <v>161.19999999999999</v>
      </c>
      <c r="AA367">
        <v>1780</v>
      </c>
      <c r="AB367">
        <v>0.13270000000000001</v>
      </c>
      <c r="AC367">
        <v>0.23760000000000001</v>
      </c>
      <c r="AD367">
        <v>0.2702</v>
      </c>
      <c r="AE367">
        <v>0.17649999999999999</v>
      </c>
      <c r="AF367">
        <v>0.26090000000000002</v>
      </c>
      <c r="AG367">
        <v>6.7349999999999993E-2</v>
      </c>
    </row>
    <row r="368" spans="1:33">
      <c r="A368">
        <v>367</v>
      </c>
      <c r="B368">
        <v>9011494</v>
      </c>
      <c r="C368" t="s">
        <v>0</v>
      </c>
      <c r="D368">
        <v>13.71</v>
      </c>
      <c r="E368">
        <v>26.83</v>
      </c>
      <c r="F368">
        <v>133.69999999999999</v>
      </c>
      <c r="G368">
        <v>1234</v>
      </c>
      <c r="H368">
        <v>9.9049999999999999E-2</v>
      </c>
      <c r="I368">
        <v>0.16689999999999999</v>
      </c>
      <c r="J368">
        <v>0.1641</v>
      </c>
      <c r="K368">
        <v>0.1265</v>
      </c>
      <c r="L368">
        <v>0.1875</v>
      </c>
      <c r="M368">
        <v>6.0199999999999997E-2</v>
      </c>
      <c r="N368">
        <v>0.97609999999999997</v>
      </c>
      <c r="O368">
        <v>1.8919999999999999</v>
      </c>
      <c r="P368">
        <v>7.1280000000000001</v>
      </c>
      <c r="Q368">
        <v>103.6</v>
      </c>
      <c r="R368">
        <v>8.4390000000000003E-3</v>
      </c>
      <c r="S368">
        <v>4.6739999999999997E-2</v>
      </c>
      <c r="T368">
        <v>5.9040000000000002E-2</v>
      </c>
      <c r="U368">
        <v>2.5360000000000001E-2</v>
      </c>
      <c r="V368">
        <v>3.7100000000000001E-2</v>
      </c>
      <c r="W368">
        <v>4.2859999999999999E-3</v>
      </c>
      <c r="X368">
        <v>24.19</v>
      </c>
      <c r="Y368">
        <v>33.81</v>
      </c>
      <c r="Z368">
        <v>160</v>
      </c>
      <c r="AA368">
        <v>1671</v>
      </c>
      <c r="AB368">
        <v>0.1278</v>
      </c>
      <c r="AC368">
        <v>0.34160000000000001</v>
      </c>
      <c r="AD368">
        <v>0.37030000000000002</v>
      </c>
      <c r="AE368">
        <v>0.2152</v>
      </c>
      <c r="AF368">
        <v>0.3271</v>
      </c>
      <c r="AG368">
        <v>7.6319999999999999E-2</v>
      </c>
    </row>
    <row r="369" spans="1:33">
      <c r="A369">
        <v>368</v>
      </c>
      <c r="B369">
        <v>9011495</v>
      </c>
      <c r="C369" t="s">
        <v>1</v>
      </c>
      <c r="D369">
        <v>13.71</v>
      </c>
      <c r="E369">
        <v>18.02</v>
      </c>
      <c r="F369">
        <v>78.31</v>
      </c>
      <c r="G369">
        <v>458.4</v>
      </c>
      <c r="H369">
        <v>9.2310000000000003E-2</v>
      </c>
      <c r="I369">
        <v>7.1749999999999994E-2</v>
      </c>
      <c r="J369">
        <v>4.3920000000000001E-2</v>
      </c>
      <c r="K369">
        <v>2.027E-2</v>
      </c>
      <c r="L369">
        <v>0.16950000000000001</v>
      </c>
      <c r="M369">
        <v>5.9159999999999997E-2</v>
      </c>
      <c r="N369">
        <v>0.25269999999999998</v>
      </c>
      <c r="O369">
        <v>0.77859999999999996</v>
      </c>
      <c r="P369">
        <v>1.8740000000000001</v>
      </c>
      <c r="Q369">
        <v>18.57</v>
      </c>
      <c r="R369">
        <v>5.8329999999999996E-3</v>
      </c>
      <c r="S369">
        <v>1.388E-2</v>
      </c>
      <c r="T369">
        <v>0.02</v>
      </c>
      <c r="U369">
        <v>7.0870000000000004E-3</v>
      </c>
      <c r="V369">
        <v>1.9380000000000001E-2</v>
      </c>
      <c r="W369">
        <v>1.9599999999999999E-3</v>
      </c>
      <c r="X369">
        <v>14.29</v>
      </c>
      <c r="Y369">
        <v>24.04</v>
      </c>
      <c r="Z369">
        <v>93.85</v>
      </c>
      <c r="AA369">
        <v>624.6</v>
      </c>
      <c r="AB369">
        <v>0.1368</v>
      </c>
      <c r="AC369">
        <v>0.217</v>
      </c>
      <c r="AD369">
        <v>0.24129999999999999</v>
      </c>
      <c r="AE369">
        <v>8.8289999999999993E-2</v>
      </c>
      <c r="AF369">
        <v>0.32179999999999997</v>
      </c>
      <c r="AG369">
        <v>7.4700000000000003E-2</v>
      </c>
    </row>
    <row r="370" spans="1:33">
      <c r="A370">
        <v>369</v>
      </c>
      <c r="B370">
        <v>9011971</v>
      </c>
      <c r="C370" t="s">
        <v>0</v>
      </c>
      <c r="D370">
        <v>13.71</v>
      </c>
      <c r="E370">
        <v>17.25</v>
      </c>
      <c r="F370">
        <v>140.9</v>
      </c>
      <c r="G370">
        <v>1546</v>
      </c>
      <c r="H370">
        <v>9.3840000000000007E-2</v>
      </c>
      <c r="I370">
        <v>8.5620000000000002E-2</v>
      </c>
      <c r="J370">
        <v>0.1168</v>
      </c>
      <c r="K370">
        <v>8.4650000000000003E-2</v>
      </c>
      <c r="L370">
        <v>0.17169999999999999</v>
      </c>
      <c r="M370">
        <v>5.0540000000000002E-2</v>
      </c>
      <c r="N370">
        <v>1.2070000000000001</v>
      </c>
      <c r="O370">
        <v>1.0509999999999999</v>
      </c>
      <c r="P370">
        <v>7.7329999999999997</v>
      </c>
      <c r="Q370">
        <v>224.1</v>
      </c>
      <c r="R370">
        <v>5.568E-3</v>
      </c>
      <c r="S370">
        <v>1.112E-2</v>
      </c>
      <c r="T370">
        <v>2.0959999999999999E-2</v>
      </c>
      <c r="U370">
        <v>1.197E-2</v>
      </c>
      <c r="V370">
        <v>1.2630000000000001E-2</v>
      </c>
      <c r="W370">
        <v>1.8029999999999999E-3</v>
      </c>
      <c r="X370">
        <v>30.75</v>
      </c>
      <c r="Y370">
        <v>26.44</v>
      </c>
      <c r="Z370">
        <v>199.5</v>
      </c>
      <c r="AA370">
        <v>3143</v>
      </c>
      <c r="AB370">
        <v>0.1363</v>
      </c>
      <c r="AC370">
        <v>0.1628</v>
      </c>
      <c r="AD370">
        <v>0.28610000000000002</v>
      </c>
      <c r="AE370">
        <v>0.182</v>
      </c>
      <c r="AF370">
        <v>0.251</v>
      </c>
      <c r="AG370">
        <v>6.4939999999999998E-2</v>
      </c>
    </row>
    <row r="371" spans="1:33">
      <c r="A371">
        <v>370</v>
      </c>
      <c r="B371">
        <v>9012000</v>
      </c>
      <c r="C371" t="s">
        <v>0</v>
      </c>
      <c r="D371">
        <v>13.71</v>
      </c>
      <c r="E371">
        <v>21.9</v>
      </c>
      <c r="F371">
        <v>147.19999999999999</v>
      </c>
      <c r="G371">
        <v>1482</v>
      </c>
      <c r="H371">
        <v>0.10630000000000001</v>
      </c>
      <c r="I371">
        <v>0.19539999999999999</v>
      </c>
      <c r="J371">
        <v>0.24479999999999999</v>
      </c>
      <c r="K371">
        <v>0.15010000000000001</v>
      </c>
      <c r="L371">
        <v>0.18240000000000001</v>
      </c>
      <c r="M371">
        <v>6.1400000000000003E-2</v>
      </c>
      <c r="N371">
        <v>1.008</v>
      </c>
      <c r="O371">
        <v>0.69989999999999997</v>
      </c>
      <c r="P371">
        <v>7.5609999999999999</v>
      </c>
      <c r="Q371">
        <v>130.19999999999999</v>
      </c>
      <c r="R371">
        <v>3.9779999999999998E-3</v>
      </c>
      <c r="S371">
        <v>2.8209999999999999E-2</v>
      </c>
      <c r="T371">
        <v>3.576E-2</v>
      </c>
      <c r="U371">
        <v>1.4710000000000001E-2</v>
      </c>
      <c r="V371">
        <v>1.5180000000000001E-2</v>
      </c>
      <c r="W371">
        <v>3.7959999999999999E-3</v>
      </c>
      <c r="X371">
        <v>27.66</v>
      </c>
      <c r="Y371">
        <v>25.8</v>
      </c>
      <c r="Z371">
        <v>195</v>
      </c>
      <c r="AA371">
        <v>2227</v>
      </c>
      <c r="AB371">
        <v>0.12939999999999999</v>
      </c>
      <c r="AC371">
        <v>0.38850000000000001</v>
      </c>
      <c r="AD371">
        <v>0.47560000000000002</v>
      </c>
      <c r="AE371">
        <v>0.2432</v>
      </c>
      <c r="AF371">
        <v>0.27410000000000001</v>
      </c>
      <c r="AG371">
        <v>8.5739999999999997E-2</v>
      </c>
    </row>
    <row r="372" spans="1:33">
      <c r="A372">
        <v>371</v>
      </c>
      <c r="B372">
        <v>9012315</v>
      </c>
      <c r="C372" t="s">
        <v>0</v>
      </c>
      <c r="D372">
        <v>13.71</v>
      </c>
      <c r="E372">
        <v>23.29</v>
      </c>
      <c r="F372">
        <v>109</v>
      </c>
      <c r="G372">
        <v>840.4</v>
      </c>
      <c r="H372">
        <v>9.7420000000000007E-2</v>
      </c>
      <c r="I372">
        <v>0.1497</v>
      </c>
      <c r="J372">
        <v>0.18110000000000001</v>
      </c>
      <c r="K372">
        <v>8.7730000000000002E-2</v>
      </c>
      <c r="L372">
        <v>0.2175</v>
      </c>
      <c r="M372">
        <v>6.2179999999999999E-2</v>
      </c>
      <c r="N372">
        <v>0.43120000000000003</v>
      </c>
      <c r="O372">
        <v>1.022</v>
      </c>
      <c r="P372">
        <v>2.972</v>
      </c>
      <c r="Q372">
        <v>45.5</v>
      </c>
      <c r="R372">
        <v>5.6350000000000003E-3</v>
      </c>
      <c r="S372">
        <v>3.9170000000000003E-2</v>
      </c>
      <c r="T372">
        <v>6.0720000000000003E-2</v>
      </c>
      <c r="U372">
        <v>1.6559999999999998E-2</v>
      </c>
      <c r="V372">
        <v>3.1969999999999998E-2</v>
      </c>
      <c r="W372">
        <v>4.0850000000000001E-3</v>
      </c>
      <c r="X372">
        <v>19.38</v>
      </c>
      <c r="Y372">
        <v>31.03</v>
      </c>
      <c r="Z372">
        <v>129.30000000000001</v>
      </c>
      <c r="AA372">
        <v>1165</v>
      </c>
      <c r="AB372">
        <v>0.14149999999999999</v>
      </c>
      <c r="AC372">
        <v>0.46650000000000003</v>
      </c>
      <c r="AD372">
        <v>0.7087</v>
      </c>
      <c r="AE372">
        <v>0.2248</v>
      </c>
      <c r="AF372">
        <v>0.4824</v>
      </c>
      <c r="AG372">
        <v>9.6140000000000003E-2</v>
      </c>
    </row>
    <row r="373" spans="1:33">
      <c r="A373">
        <v>372</v>
      </c>
      <c r="B373">
        <v>9012568</v>
      </c>
      <c r="C373" t="s">
        <v>1</v>
      </c>
      <c r="D373">
        <v>13.71</v>
      </c>
      <c r="E373">
        <v>13.21</v>
      </c>
      <c r="F373">
        <v>97.65</v>
      </c>
      <c r="G373">
        <v>711.8</v>
      </c>
      <c r="H373">
        <v>7.9630000000000006E-2</v>
      </c>
      <c r="I373">
        <v>6.9339999999999999E-2</v>
      </c>
      <c r="J373">
        <v>3.3930000000000002E-2</v>
      </c>
      <c r="K373">
        <v>2.657E-2</v>
      </c>
      <c r="L373">
        <v>0.1721</v>
      </c>
      <c r="M373">
        <v>5.5440000000000003E-2</v>
      </c>
      <c r="N373">
        <v>0.17829999999999999</v>
      </c>
      <c r="O373">
        <v>0.41249999999999998</v>
      </c>
      <c r="P373">
        <v>1.3380000000000001</v>
      </c>
      <c r="Q373">
        <v>17.72</v>
      </c>
      <c r="R373">
        <v>5.012E-3</v>
      </c>
      <c r="S373">
        <v>1.485E-2</v>
      </c>
      <c r="T373">
        <v>1.5509999999999999E-2</v>
      </c>
      <c r="U373">
        <v>9.1549999999999999E-3</v>
      </c>
      <c r="V373">
        <v>1.6469999999999999E-2</v>
      </c>
      <c r="W373">
        <v>1.7669999999999999E-3</v>
      </c>
      <c r="X373">
        <v>16.2</v>
      </c>
      <c r="Y373">
        <v>15.73</v>
      </c>
      <c r="Z373">
        <v>104.5</v>
      </c>
      <c r="AA373">
        <v>819.1</v>
      </c>
      <c r="AB373">
        <v>0.11260000000000001</v>
      </c>
      <c r="AC373">
        <v>0.17369999999999999</v>
      </c>
      <c r="AD373">
        <v>0.13619999999999999</v>
      </c>
      <c r="AE373">
        <v>8.1780000000000005E-2</v>
      </c>
      <c r="AF373">
        <v>0.2487</v>
      </c>
      <c r="AG373">
        <v>6.7659999999999998E-2</v>
      </c>
    </row>
    <row r="374" spans="1:33">
      <c r="A374">
        <v>373</v>
      </c>
      <c r="B374">
        <v>9012795</v>
      </c>
      <c r="C374" t="s">
        <v>0</v>
      </c>
      <c r="D374">
        <v>13.71</v>
      </c>
      <c r="E374">
        <v>15.1</v>
      </c>
      <c r="F374">
        <v>141.30000000000001</v>
      </c>
      <c r="G374">
        <v>1386</v>
      </c>
      <c r="H374">
        <v>0.10009999999999999</v>
      </c>
      <c r="I374">
        <v>0.1515</v>
      </c>
      <c r="J374">
        <v>0.19320000000000001</v>
      </c>
      <c r="K374">
        <v>0.1255</v>
      </c>
      <c r="L374">
        <v>0.1973</v>
      </c>
      <c r="M374">
        <v>6.1830000000000003E-2</v>
      </c>
      <c r="N374">
        <v>0.34139999999999998</v>
      </c>
      <c r="O374">
        <v>1.3089999999999999</v>
      </c>
      <c r="P374">
        <v>2.407</v>
      </c>
      <c r="Q374">
        <v>39.06</v>
      </c>
      <c r="R374">
        <v>4.4260000000000002E-3</v>
      </c>
      <c r="S374">
        <v>2.6749999999999999E-2</v>
      </c>
      <c r="T374">
        <v>3.4369999999999998E-2</v>
      </c>
      <c r="U374">
        <v>1.3429999999999999E-2</v>
      </c>
      <c r="V374">
        <v>1.6750000000000001E-2</v>
      </c>
      <c r="W374">
        <v>4.3670000000000002E-3</v>
      </c>
      <c r="X374">
        <v>22.69</v>
      </c>
      <c r="Y374">
        <v>21.84</v>
      </c>
      <c r="Z374">
        <v>152.1</v>
      </c>
      <c r="AA374">
        <v>1535</v>
      </c>
      <c r="AB374">
        <v>0.1192</v>
      </c>
      <c r="AC374">
        <v>0.28399999999999997</v>
      </c>
      <c r="AD374">
        <v>0.40239999999999998</v>
      </c>
      <c r="AE374">
        <v>0.1966</v>
      </c>
      <c r="AF374">
        <v>0.27300000000000002</v>
      </c>
      <c r="AG374">
        <v>8.6660000000000001E-2</v>
      </c>
    </row>
    <row r="375" spans="1:33">
      <c r="A375">
        <v>374</v>
      </c>
      <c r="B375">
        <v>901288</v>
      </c>
      <c r="C375" t="s">
        <v>0</v>
      </c>
      <c r="D375">
        <v>13.71</v>
      </c>
      <c r="E375">
        <v>17.350000000000001</v>
      </c>
      <c r="F375">
        <v>134.80000000000001</v>
      </c>
      <c r="G375">
        <v>1335</v>
      </c>
      <c r="H375">
        <v>9.4460000000000002E-2</v>
      </c>
      <c r="I375">
        <v>0.1076</v>
      </c>
      <c r="J375">
        <v>0.1527</v>
      </c>
      <c r="K375">
        <v>8.9410000000000003E-2</v>
      </c>
      <c r="L375">
        <v>0.15709999999999999</v>
      </c>
      <c r="M375">
        <v>5.4780000000000002E-2</v>
      </c>
      <c r="N375">
        <v>0.61370000000000002</v>
      </c>
      <c r="O375">
        <v>0.65749999999999997</v>
      </c>
      <c r="P375">
        <v>4.1189999999999998</v>
      </c>
      <c r="Q375">
        <v>77.02</v>
      </c>
      <c r="R375">
        <v>6.2110000000000004E-3</v>
      </c>
      <c r="S375">
        <v>1.8950000000000002E-2</v>
      </c>
      <c r="T375">
        <v>2.681E-2</v>
      </c>
      <c r="U375">
        <v>1.2319999999999999E-2</v>
      </c>
      <c r="V375">
        <v>1.2760000000000001E-2</v>
      </c>
      <c r="W375">
        <v>1.7110000000000001E-3</v>
      </c>
      <c r="X375">
        <v>25.37</v>
      </c>
      <c r="Y375">
        <v>23.17</v>
      </c>
      <c r="Z375">
        <v>166.8</v>
      </c>
      <c r="AA375">
        <v>1946</v>
      </c>
      <c r="AB375">
        <v>0.15620000000000001</v>
      </c>
      <c r="AC375">
        <v>0.30549999999999999</v>
      </c>
      <c r="AD375">
        <v>0.41589999999999999</v>
      </c>
      <c r="AE375">
        <v>0.2112</v>
      </c>
      <c r="AF375">
        <v>0.26889999999999997</v>
      </c>
      <c r="AG375">
        <v>7.0550000000000002E-2</v>
      </c>
    </row>
    <row r="376" spans="1:33">
      <c r="A376">
        <v>375</v>
      </c>
      <c r="B376">
        <v>9013005</v>
      </c>
      <c r="C376" t="s">
        <v>1</v>
      </c>
      <c r="D376">
        <v>13.71</v>
      </c>
      <c r="E376">
        <v>16.07</v>
      </c>
      <c r="F376">
        <v>87.84</v>
      </c>
      <c r="G376">
        <v>579.1</v>
      </c>
      <c r="H376">
        <v>8.3019999999999997E-2</v>
      </c>
      <c r="I376">
        <v>6.3740000000000005E-2</v>
      </c>
      <c r="J376">
        <v>2.5559999999999999E-2</v>
      </c>
      <c r="K376">
        <v>2.0310000000000002E-2</v>
      </c>
      <c r="L376">
        <v>0.18720000000000001</v>
      </c>
      <c r="M376">
        <v>5.6689999999999997E-2</v>
      </c>
      <c r="N376">
        <v>0.17050000000000001</v>
      </c>
      <c r="O376">
        <v>0.50660000000000005</v>
      </c>
      <c r="P376">
        <v>1.3720000000000001</v>
      </c>
      <c r="Q376">
        <v>14</v>
      </c>
      <c r="R376">
        <v>4.2300000000000003E-3</v>
      </c>
      <c r="S376">
        <v>1.5869999999999999E-2</v>
      </c>
      <c r="T376">
        <v>1.1690000000000001E-2</v>
      </c>
      <c r="U376">
        <v>6.3350000000000004E-3</v>
      </c>
      <c r="V376">
        <v>1.9429999999999999E-2</v>
      </c>
      <c r="W376">
        <v>2.1770000000000001E-3</v>
      </c>
      <c r="X376">
        <v>14.84</v>
      </c>
      <c r="Y376">
        <v>20.21</v>
      </c>
      <c r="Z376">
        <v>99.16</v>
      </c>
      <c r="AA376">
        <v>670.6</v>
      </c>
      <c r="AB376">
        <v>0.1105</v>
      </c>
      <c r="AC376">
        <v>0.20960000000000001</v>
      </c>
      <c r="AD376">
        <v>0.1346</v>
      </c>
      <c r="AE376">
        <v>6.9870000000000002E-2</v>
      </c>
      <c r="AF376">
        <v>0.33229999999999998</v>
      </c>
      <c r="AG376">
        <v>7.7009999999999995E-2</v>
      </c>
    </row>
    <row r="377" spans="1:33">
      <c r="A377">
        <v>376</v>
      </c>
      <c r="B377">
        <v>901303</v>
      </c>
      <c r="C377" t="s">
        <v>1</v>
      </c>
      <c r="D377">
        <v>13.71</v>
      </c>
      <c r="E377">
        <v>16.07</v>
      </c>
      <c r="F377">
        <v>106.3</v>
      </c>
      <c r="G377">
        <v>788.5</v>
      </c>
      <c r="H377">
        <v>9.8799999999999999E-2</v>
      </c>
      <c r="I377">
        <v>0.14380000000000001</v>
      </c>
      <c r="J377">
        <v>6.651E-2</v>
      </c>
      <c r="K377">
        <v>5.3969999999999997E-2</v>
      </c>
      <c r="L377">
        <v>0.19900000000000001</v>
      </c>
      <c r="M377">
        <v>6.5720000000000001E-2</v>
      </c>
      <c r="N377">
        <v>0.17449999999999999</v>
      </c>
      <c r="O377">
        <v>0.48899999999999999</v>
      </c>
      <c r="P377">
        <v>1.349</v>
      </c>
      <c r="Q377">
        <v>14.91</v>
      </c>
      <c r="R377">
        <v>4.5100000000000001E-3</v>
      </c>
      <c r="S377">
        <v>1.8120000000000001E-2</v>
      </c>
      <c r="T377">
        <v>1.951E-2</v>
      </c>
      <c r="U377">
        <v>1.196E-2</v>
      </c>
      <c r="V377">
        <v>1.934E-2</v>
      </c>
      <c r="W377">
        <v>3.6960000000000001E-3</v>
      </c>
      <c r="X377">
        <v>16.97</v>
      </c>
      <c r="Y377">
        <v>19.14</v>
      </c>
      <c r="Z377">
        <v>113.1</v>
      </c>
      <c r="AA377">
        <v>861.5</v>
      </c>
      <c r="AB377">
        <v>0.1235</v>
      </c>
      <c r="AC377">
        <v>0.255</v>
      </c>
      <c r="AD377">
        <v>0.2114</v>
      </c>
      <c r="AE377">
        <v>0.12509999999999999</v>
      </c>
      <c r="AF377">
        <v>0.31530000000000002</v>
      </c>
      <c r="AG377">
        <v>8.9599999999999999E-2</v>
      </c>
    </row>
    <row r="378" spans="1:33">
      <c r="A378">
        <v>377</v>
      </c>
      <c r="B378">
        <v>901315</v>
      </c>
      <c r="C378" t="s">
        <v>1</v>
      </c>
      <c r="D378">
        <v>13.71</v>
      </c>
      <c r="E378">
        <v>20.22</v>
      </c>
      <c r="F378">
        <v>70.150000000000006</v>
      </c>
      <c r="G378">
        <v>338.3</v>
      </c>
      <c r="H378">
        <v>9.0730000000000005E-2</v>
      </c>
      <c r="I378">
        <v>0.16600000000000001</v>
      </c>
      <c r="J378">
        <v>0.22800000000000001</v>
      </c>
      <c r="K378">
        <v>5.9409999999999998E-2</v>
      </c>
      <c r="L378">
        <v>0.21879999999999999</v>
      </c>
      <c r="M378">
        <v>8.4500000000000006E-2</v>
      </c>
      <c r="N378">
        <v>0.1115</v>
      </c>
      <c r="O378">
        <v>1.2310000000000001</v>
      </c>
      <c r="P378">
        <v>2.363</v>
      </c>
      <c r="Q378">
        <v>7.2279999999999998</v>
      </c>
      <c r="R378">
        <v>8.4989999999999996E-3</v>
      </c>
      <c r="S378">
        <v>7.6429999999999998E-2</v>
      </c>
      <c r="T378">
        <v>0.1535</v>
      </c>
      <c r="U378">
        <v>2.9190000000000001E-2</v>
      </c>
      <c r="V378">
        <v>1.617E-2</v>
      </c>
      <c r="W378">
        <v>1.2200000000000001E-2</v>
      </c>
      <c r="X378">
        <v>10.85</v>
      </c>
      <c r="Y378">
        <v>22.82</v>
      </c>
      <c r="Z378">
        <v>76.510000000000005</v>
      </c>
      <c r="AA378">
        <v>351.9</v>
      </c>
      <c r="AB378">
        <v>0.1143</v>
      </c>
      <c r="AC378">
        <v>0.3619</v>
      </c>
      <c r="AD378">
        <v>0.60299999999999998</v>
      </c>
      <c r="AE378">
        <v>0.14649999999999999</v>
      </c>
      <c r="AF378">
        <v>0.25969999999999999</v>
      </c>
      <c r="AG378">
        <v>0.12</v>
      </c>
    </row>
    <row r="379" spans="1:33">
      <c r="A379">
        <v>378</v>
      </c>
      <c r="B379">
        <v>9013579</v>
      </c>
      <c r="C379" t="s">
        <v>1</v>
      </c>
      <c r="D379">
        <v>13.71</v>
      </c>
      <c r="E379">
        <v>28.21</v>
      </c>
      <c r="F379">
        <v>85.89</v>
      </c>
      <c r="G379">
        <v>562.1</v>
      </c>
      <c r="H379">
        <v>7.5170000000000001E-2</v>
      </c>
      <c r="I379">
        <v>4.7260000000000003E-2</v>
      </c>
      <c r="J379">
        <v>1.2710000000000001E-2</v>
      </c>
      <c r="K379">
        <v>1.1169999999999999E-2</v>
      </c>
      <c r="L379">
        <v>0.1421</v>
      </c>
      <c r="M379">
        <v>5.7630000000000001E-2</v>
      </c>
      <c r="N379">
        <v>0.16889999999999999</v>
      </c>
      <c r="O379">
        <v>1.1499999999999999</v>
      </c>
      <c r="P379">
        <v>1.4</v>
      </c>
      <c r="Q379">
        <v>14.91</v>
      </c>
      <c r="R379">
        <v>4.9420000000000002E-3</v>
      </c>
      <c r="S379">
        <v>1.2030000000000001E-2</v>
      </c>
      <c r="T379">
        <v>7.5079999999999999E-3</v>
      </c>
      <c r="U379">
        <v>5.1789999999999996E-3</v>
      </c>
      <c r="V379">
        <v>1.4420000000000001E-2</v>
      </c>
      <c r="W379">
        <v>1.684E-3</v>
      </c>
      <c r="X379">
        <v>14.69</v>
      </c>
      <c r="Y379">
        <v>35.630000000000003</v>
      </c>
      <c r="Z379">
        <v>97.11</v>
      </c>
      <c r="AA379">
        <v>680.6</v>
      </c>
      <c r="AB379">
        <v>0.1108</v>
      </c>
      <c r="AC379">
        <v>0.1457</v>
      </c>
      <c r="AD379">
        <v>7.9339999999999994E-2</v>
      </c>
      <c r="AE379">
        <v>5.781E-2</v>
      </c>
      <c r="AF379">
        <v>0.26939999999999997</v>
      </c>
      <c r="AG379">
        <v>7.0610000000000006E-2</v>
      </c>
    </row>
    <row r="380" spans="1:33">
      <c r="A380">
        <v>379</v>
      </c>
      <c r="B380">
        <v>9013594</v>
      </c>
      <c r="C380" t="s">
        <v>1</v>
      </c>
      <c r="D380">
        <v>13.71</v>
      </c>
      <c r="E380">
        <v>15.15</v>
      </c>
      <c r="F380">
        <v>88.27</v>
      </c>
      <c r="G380">
        <v>580.6</v>
      </c>
      <c r="H380">
        <v>8.2680000000000003E-2</v>
      </c>
      <c r="I380">
        <v>7.5480000000000005E-2</v>
      </c>
      <c r="J380">
        <v>4.249E-2</v>
      </c>
      <c r="K380">
        <v>2.4709999999999999E-2</v>
      </c>
      <c r="L380">
        <v>0.1792</v>
      </c>
      <c r="M380">
        <v>5.8970000000000002E-2</v>
      </c>
      <c r="N380">
        <v>0.14019999999999999</v>
      </c>
      <c r="O380">
        <v>0.54169999999999996</v>
      </c>
      <c r="P380">
        <v>1.101</v>
      </c>
      <c r="Q380">
        <v>11.35</v>
      </c>
      <c r="R380">
        <v>5.2119999999999996E-3</v>
      </c>
      <c r="S380">
        <v>2.9839999999999998E-2</v>
      </c>
      <c r="T380">
        <v>2.443E-2</v>
      </c>
      <c r="U380">
        <v>8.3560000000000006E-3</v>
      </c>
      <c r="V380">
        <v>1.8180000000000002E-2</v>
      </c>
      <c r="W380">
        <v>4.8679999999999999E-3</v>
      </c>
      <c r="X380">
        <v>14.54</v>
      </c>
      <c r="Y380">
        <v>19.64</v>
      </c>
      <c r="Z380">
        <v>97.96</v>
      </c>
      <c r="AA380">
        <v>657</v>
      </c>
      <c r="AB380">
        <v>0.1275</v>
      </c>
      <c r="AC380">
        <v>0.31040000000000001</v>
      </c>
      <c r="AD380">
        <v>0.25690000000000002</v>
      </c>
      <c r="AE380">
        <v>0.10539999999999999</v>
      </c>
      <c r="AF380">
        <v>0.3387</v>
      </c>
      <c r="AG380">
        <v>9.6379999999999993E-2</v>
      </c>
    </row>
    <row r="381" spans="1:33">
      <c r="A381">
        <v>380</v>
      </c>
      <c r="B381">
        <v>9013838</v>
      </c>
      <c r="C381" t="s">
        <v>0</v>
      </c>
      <c r="D381">
        <v>13.71</v>
      </c>
      <c r="E381">
        <v>18.829999999999998</v>
      </c>
      <c r="F381">
        <v>73.3</v>
      </c>
      <c r="G381">
        <v>361.6</v>
      </c>
      <c r="H381">
        <v>0.1216</v>
      </c>
      <c r="I381">
        <v>0.21540000000000001</v>
      </c>
      <c r="J381">
        <v>0.16889999999999999</v>
      </c>
      <c r="K381">
        <v>6.3670000000000004E-2</v>
      </c>
      <c r="L381">
        <v>0.21959999999999999</v>
      </c>
      <c r="M381">
        <v>7.9500000000000001E-2</v>
      </c>
      <c r="N381">
        <v>0.2114</v>
      </c>
      <c r="O381">
        <v>1.0269999999999999</v>
      </c>
      <c r="P381">
        <v>1.7190000000000001</v>
      </c>
      <c r="Q381">
        <v>13.99</v>
      </c>
      <c r="R381">
        <v>7.4050000000000001E-3</v>
      </c>
      <c r="S381">
        <v>4.5490000000000003E-2</v>
      </c>
      <c r="T381">
        <v>4.5879999999999997E-2</v>
      </c>
      <c r="U381">
        <v>1.3390000000000001E-2</v>
      </c>
      <c r="V381">
        <v>1.738E-2</v>
      </c>
      <c r="W381">
        <v>4.4349999999999997E-3</v>
      </c>
      <c r="X381">
        <v>13.24</v>
      </c>
      <c r="Y381">
        <v>32.82</v>
      </c>
      <c r="Z381">
        <v>91.76</v>
      </c>
      <c r="AA381">
        <v>508.1</v>
      </c>
      <c r="AB381">
        <v>0.21840000000000001</v>
      </c>
      <c r="AC381">
        <v>0.93789999999999996</v>
      </c>
      <c r="AD381">
        <v>0.84019999999999995</v>
      </c>
      <c r="AE381">
        <v>0.25240000000000001</v>
      </c>
      <c r="AF381">
        <v>0.41539999999999999</v>
      </c>
      <c r="AG381">
        <v>0.14030000000000001</v>
      </c>
    </row>
    <row r="382" spans="1:33">
      <c r="A382">
        <v>381</v>
      </c>
      <c r="B382">
        <v>901549</v>
      </c>
      <c r="C382" t="s">
        <v>1</v>
      </c>
      <c r="D382">
        <v>13.71</v>
      </c>
      <c r="E382">
        <v>12.96</v>
      </c>
      <c r="F382">
        <v>73.16</v>
      </c>
      <c r="G382">
        <v>386.3</v>
      </c>
      <c r="H382">
        <v>0.1237</v>
      </c>
      <c r="I382">
        <v>0.1111</v>
      </c>
      <c r="J382">
        <v>7.9000000000000001E-2</v>
      </c>
      <c r="K382">
        <v>5.5500000000000001E-2</v>
      </c>
      <c r="L382">
        <v>0.20180000000000001</v>
      </c>
      <c r="M382">
        <v>6.9139999999999993E-2</v>
      </c>
      <c r="N382">
        <v>0.25619999999999998</v>
      </c>
      <c r="O382">
        <v>0.98580000000000001</v>
      </c>
      <c r="P382">
        <v>1.8089999999999999</v>
      </c>
      <c r="Q382">
        <v>16.04</v>
      </c>
      <c r="R382">
        <v>6.6350000000000003E-3</v>
      </c>
      <c r="S382">
        <v>1.7770000000000001E-2</v>
      </c>
      <c r="T382">
        <v>2.1010000000000001E-2</v>
      </c>
      <c r="U382">
        <v>1.1639999999999999E-2</v>
      </c>
      <c r="V382">
        <v>2.1080000000000002E-2</v>
      </c>
      <c r="W382">
        <v>3.7209999999999999E-3</v>
      </c>
      <c r="X382">
        <v>12.84</v>
      </c>
      <c r="Y382">
        <v>20.53</v>
      </c>
      <c r="Z382">
        <v>84.93</v>
      </c>
      <c r="AA382">
        <v>476.1</v>
      </c>
      <c r="AB382">
        <v>0.161</v>
      </c>
      <c r="AC382">
        <v>0.2429</v>
      </c>
      <c r="AD382">
        <v>0.22470000000000001</v>
      </c>
      <c r="AE382">
        <v>0.1318</v>
      </c>
      <c r="AF382">
        <v>0.33429999999999999</v>
      </c>
      <c r="AG382">
        <v>9.2149999999999996E-2</v>
      </c>
    </row>
    <row r="383" spans="1:33">
      <c r="A383">
        <v>382</v>
      </c>
      <c r="B383">
        <v>901836</v>
      </c>
      <c r="C383" t="s">
        <v>1</v>
      </c>
      <c r="D383">
        <v>13.71</v>
      </c>
      <c r="E383">
        <v>14.93</v>
      </c>
      <c r="F383">
        <v>70.67</v>
      </c>
      <c r="G383">
        <v>372.7</v>
      </c>
      <c r="H383">
        <v>7.9869999999999997E-2</v>
      </c>
      <c r="I383">
        <v>7.0790000000000006E-2</v>
      </c>
      <c r="J383">
        <v>3.5459999999999998E-2</v>
      </c>
      <c r="K383">
        <v>2.0740000000000001E-2</v>
      </c>
      <c r="L383">
        <v>0.20030000000000001</v>
      </c>
      <c r="M383">
        <v>6.2460000000000002E-2</v>
      </c>
      <c r="N383">
        <v>0.16420000000000001</v>
      </c>
      <c r="O383">
        <v>1.0309999999999999</v>
      </c>
      <c r="P383">
        <v>1.2809999999999999</v>
      </c>
      <c r="Q383">
        <v>11.68</v>
      </c>
      <c r="R383">
        <v>5.2960000000000004E-3</v>
      </c>
      <c r="S383">
        <v>1.9029999999999998E-2</v>
      </c>
      <c r="T383">
        <v>1.7229999999999999E-2</v>
      </c>
      <c r="U383">
        <v>6.96E-3</v>
      </c>
      <c r="V383">
        <v>1.8800000000000001E-2</v>
      </c>
      <c r="W383">
        <v>1.941E-3</v>
      </c>
      <c r="X383">
        <v>12.09</v>
      </c>
      <c r="Y383">
        <v>20.83</v>
      </c>
      <c r="Z383">
        <v>79.73</v>
      </c>
      <c r="AA383">
        <v>447.1</v>
      </c>
      <c r="AB383">
        <v>0.1095</v>
      </c>
      <c r="AC383">
        <v>0.19819999999999999</v>
      </c>
      <c r="AD383">
        <v>0.15529999999999999</v>
      </c>
      <c r="AE383">
        <v>6.7540000000000003E-2</v>
      </c>
      <c r="AF383">
        <v>0.32019999999999998</v>
      </c>
      <c r="AG383">
        <v>7.2870000000000004E-2</v>
      </c>
    </row>
    <row r="384" spans="1:33">
      <c r="A384">
        <v>383</v>
      </c>
      <c r="B384">
        <v>90250</v>
      </c>
      <c r="C384" t="s">
        <v>1</v>
      </c>
      <c r="D384">
        <v>13.71</v>
      </c>
      <c r="E384">
        <v>22.72</v>
      </c>
      <c r="F384">
        <v>78.75</v>
      </c>
      <c r="G384">
        <v>447.8</v>
      </c>
      <c r="H384">
        <v>6.9349999999999995E-2</v>
      </c>
      <c r="I384">
        <v>0.10730000000000001</v>
      </c>
      <c r="J384">
        <v>7.9430000000000001E-2</v>
      </c>
      <c r="K384">
        <v>2.9780000000000001E-2</v>
      </c>
      <c r="L384">
        <v>0.1203</v>
      </c>
      <c r="M384">
        <v>6.6589999999999996E-2</v>
      </c>
      <c r="N384">
        <v>0.11940000000000001</v>
      </c>
      <c r="O384">
        <v>1.4339999999999999</v>
      </c>
      <c r="P384">
        <v>1.778</v>
      </c>
      <c r="Q384">
        <v>9.5489999999999995</v>
      </c>
      <c r="R384">
        <v>5.0419999999999996E-3</v>
      </c>
      <c r="S384">
        <v>4.5600000000000002E-2</v>
      </c>
      <c r="T384">
        <v>4.3049999999999998E-2</v>
      </c>
      <c r="U384">
        <v>1.6670000000000001E-2</v>
      </c>
      <c r="V384">
        <v>2.47E-2</v>
      </c>
      <c r="W384">
        <v>7.358E-3</v>
      </c>
      <c r="X384">
        <v>12.57</v>
      </c>
      <c r="Y384">
        <v>28.71</v>
      </c>
      <c r="Z384">
        <v>87.36</v>
      </c>
      <c r="AA384">
        <v>488.4</v>
      </c>
      <c r="AB384">
        <v>8.7989999999999999E-2</v>
      </c>
      <c r="AC384">
        <v>0.32140000000000002</v>
      </c>
      <c r="AD384">
        <v>0.29120000000000001</v>
      </c>
      <c r="AE384">
        <v>0.10920000000000001</v>
      </c>
      <c r="AF384">
        <v>0.21909999999999999</v>
      </c>
      <c r="AG384">
        <v>9.3490000000000004E-2</v>
      </c>
    </row>
    <row r="385" spans="1:33">
      <c r="A385">
        <v>384</v>
      </c>
      <c r="B385">
        <v>90251</v>
      </c>
      <c r="C385" t="s">
        <v>1</v>
      </c>
      <c r="D385">
        <v>13.71</v>
      </c>
      <c r="E385">
        <v>17.48</v>
      </c>
      <c r="F385">
        <v>80.64</v>
      </c>
      <c r="G385">
        <v>462.9</v>
      </c>
      <c r="H385">
        <v>0.1042</v>
      </c>
      <c r="I385">
        <v>0.12970000000000001</v>
      </c>
      <c r="J385">
        <v>5.892E-2</v>
      </c>
      <c r="K385">
        <v>2.8799999999999999E-2</v>
      </c>
      <c r="L385">
        <v>0.1779</v>
      </c>
      <c r="M385">
        <v>6.5879999999999994E-2</v>
      </c>
      <c r="N385">
        <v>0.26079999999999998</v>
      </c>
      <c r="O385">
        <v>0.873</v>
      </c>
      <c r="P385">
        <v>2.117</v>
      </c>
      <c r="Q385">
        <v>19.2</v>
      </c>
      <c r="R385">
        <v>6.7149999999999996E-3</v>
      </c>
      <c r="S385">
        <v>3.705E-2</v>
      </c>
      <c r="T385">
        <v>4.7570000000000001E-2</v>
      </c>
      <c r="U385">
        <v>1.051E-2</v>
      </c>
      <c r="V385">
        <v>1.8380000000000001E-2</v>
      </c>
      <c r="W385">
        <v>6.8840000000000004E-3</v>
      </c>
      <c r="X385">
        <v>14.18</v>
      </c>
      <c r="Y385">
        <v>23.13</v>
      </c>
      <c r="Z385">
        <v>95.23</v>
      </c>
      <c r="AA385">
        <v>600.5</v>
      </c>
      <c r="AB385">
        <v>0.14269999999999999</v>
      </c>
      <c r="AC385">
        <v>0.35930000000000001</v>
      </c>
      <c r="AD385">
        <v>0.3206</v>
      </c>
      <c r="AE385">
        <v>9.8040000000000002E-2</v>
      </c>
      <c r="AF385">
        <v>0.28189999999999998</v>
      </c>
      <c r="AG385">
        <v>0.1118</v>
      </c>
    </row>
    <row r="386" spans="1:33">
      <c r="A386">
        <v>385</v>
      </c>
      <c r="B386">
        <v>902727</v>
      </c>
      <c r="C386" t="s">
        <v>1</v>
      </c>
      <c r="D386">
        <v>13.71</v>
      </c>
      <c r="E386">
        <v>13.72</v>
      </c>
      <c r="F386">
        <v>85.79</v>
      </c>
      <c r="G386">
        <v>541.79999999999995</v>
      </c>
      <c r="H386">
        <v>8.3629999999999996E-2</v>
      </c>
      <c r="I386">
        <v>8.5750000000000007E-2</v>
      </c>
      <c r="J386">
        <v>5.0770000000000003E-2</v>
      </c>
      <c r="K386">
        <v>2.8639999999999999E-2</v>
      </c>
      <c r="L386">
        <v>0.16170000000000001</v>
      </c>
      <c r="M386">
        <v>5.5939999999999997E-2</v>
      </c>
      <c r="N386">
        <v>0.18329999999999999</v>
      </c>
      <c r="O386">
        <v>0.53080000000000005</v>
      </c>
      <c r="P386">
        <v>1.5920000000000001</v>
      </c>
      <c r="Q386">
        <v>15.26</v>
      </c>
      <c r="R386">
        <v>4.2709999999999996E-3</v>
      </c>
      <c r="S386">
        <v>2.0729999999999998E-2</v>
      </c>
      <c r="T386">
        <v>2.828E-2</v>
      </c>
      <c r="U386">
        <v>8.4679999999999998E-3</v>
      </c>
      <c r="V386">
        <v>1.461E-2</v>
      </c>
      <c r="W386">
        <v>2.6129999999999999E-3</v>
      </c>
      <c r="X386">
        <v>14.24</v>
      </c>
      <c r="Y386">
        <v>17.37</v>
      </c>
      <c r="Z386">
        <v>96.59</v>
      </c>
      <c r="AA386">
        <v>623.70000000000005</v>
      </c>
      <c r="AB386">
        <v>0.1166</v>
      </c>
      <c r="AC386">
        <v>0.26850000000000002</v>
      </c>
      <c r="AD386">
        <v>0.28660000000000002</v>
      </c>
      <c r="AE386">
        <v>9.1730000000000006E-2</v>
      </c>
      <c r="AF386">
        <v>0.27360000000000001</v>
      </c>
      <c r="AG386">
        <v>7.3200000000000001E-2</v>
      </c>
    </row>
    <row r="387" spans="1:33">
      <c r="A387">
        <v>386</v>
      </c>
      <c r="B387">
        <v>90291</v>
      </c>
      <c r="C387" t="s">
        <v>0</v>
      </c>
      <c r="D387">
        <v>13.71</v>
      </c>
      <c r="E387">
        <v>23.29</v>
      </c>
      <c r="F387">
        <v>93.97</v>
      </c>
      <c r="G387">
        <v>664.7</v>
      </c>
      <c r="H387">
        <v>8.6819999999999994E-2</v>
      </c>
      <c r="I387">
        <v>6.6360000000000002E-2</v>
      </c>
      <c r="J387">
        <v>8.3900000000000002E-2</v>
      </c>
      <c r="K387">
        <v>5.271E-2</v>
      </c>
      <c r="L387">
        <v>0.16270000000000001</v>
      </c>
      <c r="M387">
        <v>5.416E-2</v>
      </c>
      <c r="N387">
        <v>0.41570000000000001</v>
      </c>
      <c r="O387">
        <v>1.627</v>
      </c>
      <c r="P387">
        <v>2.9140000000000001</v>
      </c>
      <c r="Q387">
        <v>33.01</v>
      </c>
      <c r="R387">
        <v>8.3119999999999999E-3</v>
      </c>
      <c r="S387">
        <v>1.7420000000000001E-2</v>
      </c>
      <c r="T387">
        <v>3.3890000000000003E-2</v>
      </c>
      <c r="U387">
        <v>1.576E-2</v>
      </c>
      <c r="V387">
        <v>1.7399999999999999E-2</v>
      </c>
      <c r="W387">
        <v>2.8709999999999999E-3</v>
      </c>
      <c r="X387">
        <v>15.79</v>
      </c>
      <c r="Y387">
        <v>31.71</v>
      </c>
      <c r="Z387">
        <v>102.2</v>
      </c>
      <c r="AA387">
        <v>758.2</v>
      </c>
      <c r="AB387">
        <v>0.13120000000000001</v>
      </c>
      <c r="AC387">
        <v>0.15809999999999999</v>
      </c>
      <c r="AD387">
        <v>0.26750000000000002</v>
      </c>
      <c r="AE387">
        <v>0.13589999999999999</v>
      </c>
      <c r="AF387">
        <v>0.2477</v>
      </c>
      <c r="AG387">
        <v>6.8360000000000004E-2</v>
      </c>
    </row>
    <row r="388" spans="1:33">
      <c r="A388">
        <v>387</v>
      </c>
      <c r="B388">
        <v>902975</v>
      </c>
      <c r="C388" t="s">
        <v>1</v>
      </c>
      <c r="D388">
        <v>13.71</v>
      </c>
      <c r="E388">
        <v>14.09</v>
      </c>
      <c r="F388">
        <v>78.78</v>
      </c>
      <c r="G388">
        <v>462</v>
      </c>
      <c r="H388">
        <v>8.1079999999999999E-2</v>
      </c>
      <c r="I388">
        <v>7.8229999999999994E-2</v>
      </c>
      <c r="J388">
        <v>6.8390000000000006E-2</v>
      </c>
      <c r="K388">
        <v>2.5340000000000001E-2</v>
      </c>
      <c r="L388">
        <v>0.1646</v>
      </c>
      <c r="M388">
        <v>6.1539999999999997E-2</v>
      </c>
      <c r="N388">
        <v>0.2666</v>
      </c>
      <c r="O388">
        <v>0.83089999999999997</v>
      </c>
      <c r="P388">
        <v>2.097</v>
      </c>
      <c r="Q388">
        <v>19.96</v>
      </c>
      <c r="R388">
        <v>4.4050000000000001E-3</v>
      </c>
      <c r="S388">
        <v>3.0259999999999999E-2</v>
      </c>
      <c r="T388">
        <v>4.3439999999999999E-2</v>
      </c>
      <c r="U388">
        <v>1.0869999999999999E-2</v>
      </c>
      <c r="V388">
        <v>1.9210000000000001E-2</v>
      </c>
      <c r="W388">
        <v>4.6220000000000002E-3</v>
      </c>
      <c r="X388">
        <v>13.13</v>
      </c>
      <c r="Y388">
        <v>19.29</v>
      </c>
      <c r="Z388">
        <v>87.65</v>
      </c>
      <c r="AA388">
        <v>529.9</v>
      </c>
      <c r="AB388">
        <v>0.1026</v>
      </c>
      <c r="AC388">
        <v>0.24310000000000001</v>
      </c>
      <c r="AD388">
        <v>0.30759999999999998</v>
      </c>
      <c r="AE388">
        <v>9.1399999999999995E-2</v>
      </c>
      <c r="AF388">
        <v>0.26769999999999999</v>
      </c>
      <c r="AG388">
        <v>8.8239999999999999E-2</v>
      </c>
    </row>
    <row r="389" spans="1:33">
      <c r="A389">
        <v>388</v>
      </c>
      <c r="B389">
        <v>902976</v>
      </c>
      <c r="C389" t="s">
        <v>1</v>
      </c>
      <c r="D389">
        <v>13.71</v>
      </c>
      <c r="E389">
        <v>16.16</v>
      </c>
      <c r="F389">
        <v>88.37</v>
      </c>
      <c r="G389">
        <v>596.6</v>
      </c>
      <c r="H389">
        <v>7.0260000000000003E-2</v>
      </c>
      <c r="I389">
        <v>4.8309999999999999E-2</v>
      </c>
      <c r="J389">
        <v>2.0449999999999999E-2</v>
      </c>
      <c r="K389">
        <v>8.5070000000000007E-3</v>
      </c>
      <c r="L389">
        <v>0.16070000000000001</v>
      </c>
      <c r="M389">
        <v>5.4739999999999997E-2</v>
      </c>
      <c r="N389">
        <v>0.25409999999999999</v>
      </c>
      <c r="O389">
        <v>0.62180000000000002</v>
      </c>
      <c r="P389">
        <v>1.7090000000000001</v>
      </c>
      <c r="Q389">
        <v>23.12</v>
      </c>
      <c r="R389">
        <v>3.728E-3</v>
      </c>
      <c r="S389">
        <v>1.4149999999999999E-2</v>
      </c>
      <c r="T389">
        <v>1.9879999999999998E-2</v>
      </c>
      <c r="U389">
        <v>7.0159999999999997E-3</v>
      </c>
      <c r="V389">
        <v>1.6469999999999999E-2</v>
      </c>
      <c r="W389">
        <v>1.97E-3</v>
      </c>
      <c r="X389">
        <v>15.51</v>
      </c>
      <c r="Y389">
        <v>19.97</v>
      </c>
      <c r="Z389">
        <v>99.66</v>
      </c>
      <c r="AA389">
        <v>745.3</v>
      </c>
      <c r="AB389">
        <v>8.4839999999999999E-2</v>
      </c>
      <c r="AC389">
        <v>0.12330000000000001</v>
      </c>
      <c r="AD389">
        <v>0.1091</v>
      </c>
      <c r="AE389">
        <v>4.5370000000000001E-2</v>
      </c>
      <c r="AF389">
        <v>0.25419999999999998</v>
      </c>
      <c r="AG389">
        <v>6.6229999999999997E-2</v>
      </c>
    </row>
    <row r="390" spans="1:33">
      <c r="A390">
        <v>389</v>
      </c>
      <c r="B390">
        <v>903011</v>
      </c>
      <c r="C390" t="s">
        <v>1</v>
      </c>
      <c r="D390">
        <v>13.71</v>
      </c>
      <c r="E390">
        <v>15.5</v>
      </c>
      <c r="F390">
        <v>73.38</v>
      </c>
      <c r="G390">
        <v>392</v>
      </c>
      <c r="H390">
        <v>8.3650000000000002E-2</v>
      </c>
      <c r="I390">
        <v>0.1114</v>
      </c>
      <c r="J390">
        <v>0.1007</v>
      </c>
      <c r="K390">
        <v>2.7570000000000001E-2</v>
      </c>
      <c r="L390">
        <v>0.18099999999999999</v>
      </c>
      <c r="M390">
        <v>7.2520000000000001E-2</v>
      </c>
      <c r="N390">
        <v>0.33050000000000002</v>
      </c>
      <c r="O390">
        <v>1.0669999999999999</v>
      </c>
      <c r="P390">
        <v>2.569</v>
      </c>
      <c r="Q390">
        <v>22.97</v>
      </c>
      <c r="R390">
        <v>1.038E-2</v>
      </c>
      <c r="S390">
        <v>6.6689999999999999E-2</v>
      </c>
      <c r="T390">
        <v>9.4719999999999999E-2</v>
      </c>
      <c r="U390">
        <v>2.0469999999999999E-2</v>
      </c>
      <c r="V390">
        <v>1.2189999999999999E-2</v>
      </c>
      <c r="W390">
        <v>1.2330000000000001E-2</v>
      </c>
      <c r="X390">
        <v>12.04</v>
      </c>
      <c r="Y390">
        <v>18.93</v>
      </c>
      <c r="Z390">
        <v>79.73</v>
      </c>
      <c r="AA390">
        <v>450</v>
      </c>
      <c r="AB390">
        <v>0.11020000000000001</v>
      </c>
      <c r="AC390">
        <v>0.28089999999999998</v>
      </c>
      <c r="AD390">
        <v>0.30209999999999998</v>
      </c>
      <c r="AE390">
        <v>8.2720000000000002E-2</v>
      </c>
      <c r="AF390">
        <v>0.2157</v>
      </c>
      <c r="AG390">
        <v>0.1043</v>
      </c>
    </row>
    <row r="391" spans="1:33">
      <c r="A391">
        <v>390</v>
      </c>
      <c r="B391">
        <v>90312</v>
      </c>
      <c r="C391" t="s">
        <v>0</v>
      </c>
      <c r="D391">
        <v>13.71</v>
      </c>
      <c r="E391">
        <v>23.21</v>
      </c>
      <c r="F391">
        <v>128.9</v>
      </c>
      <c r="G391">
        <v>1174</v>
      </c>
      <c r="H391">
        <v>0.10100000000000001</v>
      </c>
      <c r="I391">
        <v>0.1318</v>
      </c>
      <c r="J391">
        <v>0.18559999999999999</v>
      </c>
      <c r="K391">
        <v>0.1021</v>
      </c>
      <c r="L391">
        <v>0.19889999999999999</v>
      </c>
      <c r="M391">
        <v>5.8840000000000003E-2</v>
      </c>
      <c r="N391">
        <v>0.61070000000000002</v>
      </c>
      <c r="O391">
        <v>2.8359999999999999</v>
      </c>
      <c r="P391">
        <v>5.383</v>
      </c>
      <c r="Q391">
        <v>70.099999999999994</v>
      </c>
      <c r="R391">
        <v>1.124E-2</v>
      </c>
      <c r="S391">
        <v>4.0969999999999999E-2</v>
      </c>
      <c r="T391">
        <v>7.4690000000000006E-2</v>
      </c>
      <c r="U391">
        <v>3.4410000000000003E-2</v>
      </c>
      <c r="V391">
        <v>2.768E-2</v>
      </c>
      <c r="W391">
        <v>6.2399999999999999E-3</v>
      </c>
      <c r="X391">
        <v>20.82</v>
      </c>
      <c r="Y391">
        <v>30.44</v>
      </c>
      <c r="Z391">
        <v>142</v>
      </c>
      <c r="AA391">
        <v>1313</v>
      </c>
      <c r="AB391">
        <v>0.12509999999999999</v>
      </c>
      <c r="AC391">
        <v>0.2414</v>
      </c>
      <c r="AD391">
        <v>0.38290000000000002</v>
      </c>
      <c r="AE391">
        <v>0.1825</v>
      </c>
      <c r="AF391">
        <v>0.2576</v>
      </c>
      <c r="AG391">
        <v>7.6020000000000004E-2</v>
      </c>
    </row>
    <row r="392" spans="1:33">
      <c r="A392">
        <v>391</v>
      </c>
      <c r="B392">
        <v>90317302</v>
      </c>
      <c r="C392" t="s">
        <v>1</v>
      </c>
      <c r="D392">
        <v>13.71</v>
      </c>
      <c r="E392">
        <v>12.22</v>
      </c>
      <c r="F392">
        <v>65.75</v>
      </c>
      <c r="G392">
        <v>321.60000000000002</v>
      </c>
      <c r="H392">
        <v>9.9959999999999993E-2</v>
      </c>
      <c r="I392">
        <v>7.5420000000000001E-2</v>
      </c>
      <c r="J392">
        <v>1.9230000000000001E-2</v>
      </c>
      <c r="K392">
        <v>1.968E-2</v>
      </c>
      <c r="L392">
        <v>0.18</v>
      </c>
      <c r="M392">
        <v>6.5689999999999998E-2</v>
      </c>
      <c r="N392">
        <v>0.19109999999999999</v>
      </c>
      <c r="O392">
        <v>0.54769999999999996</v>
      </c>
      <c r="P392">
        <v>1.3480000000000001</v>
      </c>
      <c r="Q392">
        <v>11.88</v>
      </c>
      <c r="R392">
        <v>5.6820000000000004E-3</v>
      </c>
      <c r="S392">
        <v>1.3650000000000001E-2</v>
      </c>
      <c r="T392">
        <v>8.4960000000000001E-3</v>
      </c>
      <c r="U392">
        <v>6.9290000000000003E-3</v>
      </c>
      <c r="V392">
        <v>1.9380000000000001E-2</v>
      </c>
      <c r="W392">
        <v>2.3709999999999998E-3</v>
      </c>
      <c r="X392">
        <v>11.38</v>
      </c>
      <c r="Y392">
        <v>15.65</v>
      </c>
      <c r="Z392">
        <v>73.23</v>
      </c>
      <c r="AA392">
        <v>394.5</v>
      </c>
      <c r="AB392">
        <v>0.1343</v>
      </c>
      <c r="AC392">
        <v>0.16500000000000001</v>
      </c>
      <c r="AD392">
        <v>8.6150000000000004E-2</v>
      </c>
      <c r="AE392">
        <v>6.6960000000000006E-2</v>
      </c>
      <c r="AF392">
        <v>0.29370000000000002</v>
      </c>
      <c r="AG392">
        <v>7.7219999999999997E-2</v>
      </c>
    </row>
    <row r="393" spans="1:33">
      <c r="A393">
        <v>392</v>
      </c>
      <c r="B393">
        <v>903483</v>
      </c>
      <c r="C393" t="s">
        <v>1</v>
      </c>
      <c r="D393">
        <v>13.71</v>
      </c>
      <c r="E393">
        <v>16.84</v>
      </c>
      <c r="F393">
        <v>55.27</v>
      </c>
      <c r="G393">
        <v>234.3</v>
      </c>
      <c r="H393">
        <v>0.10390000000000001</v>
      </c>
      <c r="I393">
        <v>7.4279999999999999E-2</v>
      </c>
      <c r="J393">
        <v>0</v>
      </c>
      <c r="K393">
        <v>0</v>
      </c>
      <c r="L393">
        <v>0.19850000000000001</v>
      </c>
      <c r="M393">
        <v>7.0980000000000001E-2</v>
      </c>
      <c r="N393">
        <v>0.51690000000000003</v>
      </c>
      <c r="O393">
        <v>2.0790000000000002</v>
      </c>
      <c r="P393">
        <v>3.1669999999999998</v>
      </c>
      <c r="Q393">
        <v>28.85</v>
      </c>
      <c r="R393">
        <v>1.5820000000000001E-2</v>
      </c>
      <c r="S393">
        <v>1.966E-2</v>
      </c>
      <c r="T393">
        <v>0</v>
      </c>
      <c r="U393">
        <v>0</v>
      </c>
      <c r="V393">
        <v>1.865E-2</v>
      </c>
      <c r="W393">
        <v>6.7359999999999998E-3</v>
      </c>
      <c r="X393">
        <v>10.17</v>
      </c>
      <c r="Y393">
        <v>22.8</v>
      </c>
      <c r="Z393">
        <v>64.010000000000005</v>
      </c>
      <c r="AA393">
        <v>317</v>
      </c>
      <c r="AB393">
        <v>0.14599999999999999</v>
      </c>
      <c r="AC393">
        <v>0.13100000000000001</v>
      </c>
      <c r="AD393">
        <v>0</v>
      </c>
      <c r="AE393">
        <v>0</v>
      </c>
      <c r="AF393">
        <v>0.2445</v>
      </c>
      <c r="AG393">
        <v>8.8650000000000007E-2</v>
      </c>
    </row>
    <row r="394" spans="1:33">
      <c r="A394">
        <v>393</v>
      </c>
      <c r="B394">
        <v>903507</v>
      </c>
      <c r="C394" t="s">
        <v>0</v>
      </c>
      <c r="D394">
        <v>13.71</v>
      </c>
      <c r="E394">
        <v>19.97</v>
      </c>
      <c r="F394">
        <v>102.4</v>
      </c>
      <c r="G394">
        <v>744.7</v>
      </c>
      <c r="H394">
        <v>0.11600000000000001</v>
      </c>
      <c r="I394">
        <v>0.15620000000000001</v>
      </c>
      <c r="J394">
        <v>0.18909999999999999</v>
      </c>
      <c r="K394">
        <v>9.1130000000000003E-2</v>
      </c>
      <c r="L394">
        <v>0.19289999999999999</v>
      </c>
      <c r="M394">
        <v>6.744E-2</v>
      </c>
      <c r="N394">
        <v>0.64700000000000002</v>
      </c>
      <c r="O394">
        <v>1.331</v>
      </c>
      <c r="P394">
        <v>4.6749999999999998</v>
      </c>
      <c r="Q394">
        <v>66.91</v>
      </c>
      <c r="R394">
        <v>7.2690000000000003E-3</v>
      </c>
      <c r="S394">
        <v>2.928E-2</v>
      </c>
      <c r="T394">
        <v>4.972E-2</v>
      </c>
      <c r="U394">
        <v>1.6389999999999998E-2</v>
      </c>
      <c r="V394">
        <v>1.8519999999999998E-2</v>
      </c>
      <c r="W394">
        <v>4.2319999999999997E-3</v>
      </c>
      <c r="X394">
        <v>21.2</v>
      </c>
      <c r="Y394">
        <v>29.41</v>
      </c>
      <c r="Z394">
        <v>142.1</v>
      </c>
      <c r="AA394">
        <v>1359</v>
      </c>
      <c r="AB394">
        <v>0.1681</v>
      </c>
      <c r="AC394">
        <v>0.39129999999999998</v>
      </c>
      <c r="AD394">
        <v>0.55530000000000002</v>
      </c>
      <c r="AE394">
        <v>0.21210000000000001</v>
      </c>
      <c r="AF394">
        <v>0.31869999999999998</v>
      </c>
      <c r="AG394">
        <v>0.1019</v>
      </c>
    </row>
    <row r="395" spans="1:33">
      <c r="A395">
        <v>394</v>
      </c>
      <c r="B395">
        <v>903516</v>
      </c>
      <c r="C395" t="s">
        <v>0</v>
      </c>
      <c r="D395">
        <v>13.71</v>
      </c>
      <c r="E395">
        <v>22.28</v>
      </c>
      <c r="F395">
        <v>144.4</v>
      </c>
      <c r="G395">
        <v>1407</v>
      </c>
      <c r="H395">
        <v>0.1167</v>
      </c>
      <c r="I395">
        <v>0.2087</v>
      </c>
      <c r="J395">
        <v>0.28100000000000003</v>
      </c>
      <c r="K395">
        <v>0.15620000000000001</v>
      </c>
      <c r="L395">
        <v>0.2162</v>
      </c>
      <c r="M395">
        <v>6.6059999999999994E-2</v>
      </c>
      <c r="N395">
        <v>0.62419999999999998</v>
      </c>
      <c r="O395">
        <v>0.92090000000000005</v>
      </c>
      <c r="P395">
        <v>4.1580000000000004</v>
      </c>
      <c r="Q395">
        <v>80.989999999999995</v>
      </c>
      <c r="R395">
        <v>5.215E-3</v>
      </c>
      <c r="S395">
        <v>3.7260000000000001E-2</v>
      </c>
      <c r="T395">
        <v>4.718E-2</v>
      </c>
      <c r="U395">
        <v>1.2880000000000001E-2</v>
      </c>
      <c r="V395">
        <v>2.0449999999999999E-2</v>
      </c>
      <c r="W395">
        <v>4.0280000000000003E-3</v>
      </c>
      <c r="X395">
        <v>26.23</v>
      </c>
      <c r="Y395">
        <v>28.74</v>
      </c>
      <c r="Z395">
        <v>172</v>
      </c>
      <c r="AA395">
        <v>2081</v>
      </c>
      <c r="AB395">
        <v>0.1502</v>
      </c>
      <c r="AC395">
        <v>0.57169999999999999</v>
      </c>
      <c r="AD395">
        <v>0.70530000000000004</v>
      </c>
      <c r="AE395">
        <v>0.2422</v>
      </c>
      <c r="AF395">
        <v>0.38279999999999997</v>
      </c>
      <c r="AG395">
        <v>0.1007</v>
      </c>
    </row>
    <row r="396" spans="1:33">
      <c r="A396">
        <v>395</v>
      </c>
      <c r="B396">
        <v>903554</v>
      </c>
      <c r="C396" t="s">
        <v>1</v>
      </c>
      <c r="D396">
        <v>13.71</v>
      </c>
      <c r="E396">
        <v>17.72</v>
      </c>
      <c r="F396">
        <v>78.069999999999993</v>
      </c>
      <c r="G396">
        <v>446.2</v>
      </c>
      <c r="H396">
        <v>0.10290000000000001</v>
      </c>
      <c r="I396">
        <v>9.758E-2</v>
      </c>
      <c r="J396">
        <v>4.7829999999999998E-2</v>
      </c>
      <c r="K396">
        <v>3.3259999999999998E-2</v>
      </c>
      <c r="L396">
        <v>0.19370000000000001</v>
      </c>
      <c r="M396">
        <v>6.1609999999999998E-2</v>
      </c>
      <c r="N396">
        <v>0.28410000000000002</v>
      </c>
      <c r="O396">
        <v>1.6519999999999999</v>
      </c>
      <c r="P396">
        <v>1.869</v>
      </c>
      <c r="Q396">
        <v>22.22</v>
      </c>
      <c r="R396">
        <v>8.1460000000000005E-3</v>
      </c>
      <c r="S396">
        <v>1.6310000000000002E-2</v>
      </c>
      <c r="T396">
        <v>1.8429999999999998E-2</v>
      </c>
      <c r="U396">
        <v>7.5129999999999997E-3</v>
      </c>
      <c r="V396">
        <v>2.0150000000000001E-2</v>
      </c>
      <c r="W396">
        <v>1.7979999999999999E-3</v>
      </c>
      <c r="X396">
        <v>13.56</v>
      </c>
      <c r="Y396">
        <v>25.8</v>
      </c>
      <c r="Z396">
        <v>88.33</v>
      </c>
      <c r="AA396">
        <v>559.5</v>
      </c>
      <c r="AB396">
        <v>0.14319999999999999</v>
      </c>
      <c r="AC396">
        <v>0.17730000000000001</v>
      </c>
      <c r="AD396">
        <v>0.1603</v>
      </c>
      <c r="AE396">
        <v>6.2659999999999993E-2</v>
      </c>
      <c r="AF396">
        <v>0.3049</v>
      </c>
      <c r="AG396">
        <v>7.0809999999999998E-2</v>
      </c>
    </row>
    <row r="397" spans="1:33">
      <c r="A397">
        <v>396</v>
      </c>
      <c r="B397">
        <v>903811</v>
      </c>
      <c r="C397" t="s">
        <v>1</v>
      </c>
      <c r="D397">
        <v>13.71</v>
      </c>
      <c r="E397">
        <v>17.18</v>
      </c>
      <c r="F397">
        <v>89.75</v>
      </c>
      <c r="G397">
        <v>609.1</v>
      </c>
      <c r="H397">
        <v>8.0449999999999994E-2</v>
      </c>
      <c r="I397">
        <v>5.3609999999999998E-2</v>
      </c>
      <c r="J397">
        <v>2.681E-2</v>
      </c>
      <c r="K397">
        <v>3.2509999999999997E-2</v>
      </c>
      <c r="L397">
        <v>0.1641</v>
      </c>
      <c r="M397">
        <v>5.7639999999999997E-2</v>
      </c>
      <c r="N397">
        <v>0.15040000000000001</v>
      </c>
      <c r="O397">
        <v>1.6850000000000001</v>
      </c>
      <c r="P397">
        <v>1.2370000000000001</v>
      </c>
      <c r="Q397">
        <v>12.67</v>
      </c>
      <c r="R397">
        <v>5.3709999999999999E-3</v>
      </c>
      <c r="S397">
        <v>1.273E-2</v>
      </c>
      <c r="T397">
        <v>1.132E-2</v>
      </c>
      <c r="U397">
        <v>9.1549999999999999E-3</v>
      </c>
      <c r="V397">
        <v>1.719E-2</v>
      </c>
      <c r="W397">
        <v>1.444E-3</v>
      </c>
      <c r="X397">
        <v>14.92</v>
      </c>
      <c r="Y397">
        <v>25.34</v>
      </c>
      <c r="Z397">
        <v>96.42</v>
      </c>
      <c r="AA397">
        <v>684.5</v>
      </c>
      <c r="AB397">
        <v>0.1066</v>
      </c>
      <c r="AC397">
        <v>0.1231</v>
      </c>
      <c r="AD397">
        <v>8.4599999999999995E-2</v>
      </c>
      <c r="AE397">
        <v>7.911E-2</v>
      </c>
      <c r="AF397">
        <v>0.25230000000000002</v>
      </c>
      <c r="AG397">
        <v>6.6089999999999996E-2</v>
      </c>
    </row>
    <row r="398" spans="1:33">
      <c r="A398">
        <v>397</v>
      </c>
      <c r="B398">
        <v>90401601</v>
      </c>
      <c r="C398" t="s">
        <v>1</v>
      </c>
      <c r="D398">
        <v>13.71</v>
      </c>
      <c r="E398">
        <v>18.89</v>
      </c>
      <c r="F398">
        <v>88.1</v>
      </c>
      <c r="G398">
        <v>558.1</v>
      </c>
      <c r="H398">
        <v>0.10589999999999999</v>
      </c>
      <c r="I398">
        <v>0.1147</v>
      </c>
      <c r="J398">
        <v>8.5800000000000001E-2</v>
      </c>
      <c r="K398">
        <v>5.3809999999999997E-2</v>
      </c>
      <c r="L398">
        <v>0.18060000000000001</v>
      </c>
      <c r="M398">
        <v>6.0789999999999997E-2</v>
      </c>
      <c r="N398">
        <v>0.21360000000000001</v>
      </c>
      <c r="O398">
        <v>1.3320000000000001</v>
      </c>
      <c r="P398">
        <v>1.5129999999999999</v>
      </c>
      <c r="Q398">
        <v>19.29</v>
      </c>
      <c r="R398">
        <v>5.4419999999999998E-3</v>
      </c>
      <c r="S398">
        <v>1.9570000000000001E-2</v>
      </c>
      <c r="T398">
        <v>3.304E-2</v>
      </c>
      <c r="U398">
        <v>1.367E-2</v>
      </c>
      <c r="V398">
        <v>1.315E-2</v>
      </c>
      <c r="W398">
        <v>2.464E-3</v>
      </c>
      <c r="X398">
        <v>14.8</v>
      </c>
      <c r="Y398">
        <v>27.2</v>
      </c>
      <c r="Z398">
        <v>97.33</v>
      </c>
      <c r="AA398">
        <v>675.2</v>
      </c>
      <c r="AB398">
        <v>0.14280000000000001</v>
      </c>
      <c r="AC398">
        <v>0.25700000000000001</v>
      </c>
      <c r="AD398">
        <v>0.34379999999999999</v>
      </c>
      <c r="AE398">
        <v>0.14530000000000001</v>
      </c>
      <c r="AF398">
        <v>0.2666</v>
      </c>
      <c r="AG398">
        <v>7.6859999999999998E-2</v>
      </c>
    </row>
    <row r="399" spans="1:33">
      <c r="A399">
        <v>398</v>
      </c>
      <c r="B399">
        <v>90401602</v>
      </c>
      <c r="C399" t="s">
        <v>1</v>
      </c>
      <c r="D399">
        <v>13.71</v>
      </c>
      <c r="E399">
        <v>17.46</v>
      </c>
      <c r="F399">
        <v>83.05</v>
      </c>
      <c r="G399">
        <v>508.3</v>
      </c>
      <c r="H399">
        <v>8.0439999999999998E-2</v>
      </c>
      <c r="I399">
        <v>8.8950000000000001E-2</v>
      </c>
      <c r="J399">
        <v>7.3899999999999993E-2</v>
      </c>
      <c r="K399">
        <v>4.0829999999999998E-2</v>
      </c>
      <c r="L399">
        <v>0.15740000000000001</v>
      </c>
      <c r="M399">
        <v>5.7500000000000002E-2</v>
      </c>
      <c r="N399">
        <v>0.3639</v>
      </c>
      <c r="O399">
        <v>1.2649999999999999</v>
      </c>
      <c r="P399">
        <v>2.6680000000000001</v>
      </c>
      <c r="Q399">
        <v>30.57</v>
      </c>
      <c r="R399">
        <v>5.4209999999999996E-3</v>
      </c>
      <c r="S399">
        <v>3.4770000000000002E-2</v>
      </c>
      <c r="T399">
        <v>4.5449999999999997E-2</v>
      </c>
      <c r="U399">
        <v>1.384E-2</v>
      </c>
      <c r="V399">
        <v>1.8689999999999998E-2</v>
      </c>
      <c r="W399">
        <v>4.0670000000000003E-3</v>
      </c>
      <c r="X399">
        <v>13.74</v>
      </c>
      <c r="Y399">
        <v>21.06</v>
      </c>
      <c r="Z399">
        <v>90.72</v>
      </c>
      <c r="AA399">
        <v>591</v>
      </c>
      <c r="AB399">
        <v>9.5339999999999994E-2</v>
      </c>
      <c r="AC399">
        <v>0.1812</v>
      </c>
      <c r="AD399">
        <v>0.19009999999999999</v>
      </c>
      <c r="AE399">
        <v>8.2960000000000006E-2</v>
      </c>
      <c r="AF399">
        <v>0.1988</v>
      </c>
      <c r="AG399">
        <v>7.0529999999999995E-2</v>
      </c>
    </row>
    <row r="400" spans="1:33">
      <c r="A400">
        <v>399</v>
      </c>
      <c r="B400">
        <v>904302</v>
      </c>
      <c r="C400" t="s">
        <v>1</v>
      </c>
      <c r="D400">
        <v>13.71</v>
      </c>
      <c r="E400">
        <v>14.83</v>
      </c>
      <c r="F400">
        <v>70.31</v>
      </c>
      <c r="G400">
        <v>378.2</v>
      </c>
      <c r="H400">
        <v>7.7410000000000007E-2</v>
      </c>
      <c r="I400">
        <v>4.768E-2</v>
      </c>
      <c r="J400">
        <v>2.7119999999999998E-2</v>
      </c>
      <c r="K400">
        <v>7.2459999999999998E-3</v>
      </c>
      <c r="L400">
        <v>0.1535</v>
      </c>
      <c r="M400">
        <v>6.2140000000000001E-2</v>
      </c>
      <c r="N400">
        <v>0.1855</v>
      </c>
      <c r="O400">
        <v>0.68810000000000004</v>
      </c>
      <c r="P400">
        <v>1.2629999999999999</v>
      </c>
      <c r="Q400">
        <v>12.98</v>
      </c>
      <c r="R400">
        <v>4.2589999999999998E-3</v>
      </c>
      <c r="S400">
        <v>1.469E-2</v>
      </c>
      <c r="T400">
        <v>1.9400000000000001E-2</v>
      </c>
      <c r="U400">
        <v>4.1679999999999998E-3</v>
      </c>
      <c r="V400">
        <v>1.191E-2</v>
      </c>
      <c r="W400">
        <v>3.5370000000000002E-3</v>
      </c>
      <c r="X400">
        <v>12.68</v>
      </c>
      <c r="Y400">
        <v>20.350000000000001</v>
      </c>
      <c r="Z400">
        <v>80.790000000000006</v>
      </c>
      <c r="AA400">
        <v>496.7</v>
      </c>
      <c r="AB400">
        <v>0.112</v>
      </c>
      <c r="AC400">
        <v>0.18790000000000001</v>
      </c>
      <c r="AD400">
        <v>0.2079</v>
      </c>
      <c r="AE400">
        <v>5.5559999999999998E-2</v>
      </c>
      <c r="AF400">
        <v>0.25900000000000001</v>
      </c>
      <c r="AG400">
        <v>9.1579999999999995E-2</v>
      </c>
    </row>
    <row r="401" spans="1:33">
      <c r="A401">
        <v>400</v>
      </c>
      <c r="B401">
        <v>904357</v>
      </c>
      <c r="C401" t="s">
        <v>1</v>
      </c>
      <c r="D401">
        <v>13.71</v>
      </c>
      <c r="E401">
        <v>17.260000000000002</v>
      </c>
      <c r="F401">
        <v>75.260000000000005</v>
      </c>
      <c r="G401">
        <v>431.9</v>
      </c>
      <c r="H401">
        <v>9.0870000000000006E-2</v>
      </c>
      <c r="I401">
        <v>6.232E-2</v>
      </c>
      <c r="J401">
        <v>2.853E-2</v>
      </c>
      <c r="K401">
        <v>1.6379999999999999E-2</v>
      </c>
      <c r="L401">
        <v>0.1847</v>
      </c>
      <c r="M401">
        <v>6.019E-2</v>
      </c>
      <c r="N401">
        <v>0.34379999999999999</v>
      </c>
      <c r="O401">
        <v>1.1399999999999999</v>
      </c>
      <c r="P401">
        <v>2.2250000000000001</v>
      </c>
      <c r="Q401">
        <v>25.06</v>
      </c>
      <c r="R401">
        <v>5.463E-3</v>
      </c>
      <c r="S401">
        <v>1.9640000000000001E-2</v>
      </c>
      <c r="T401">
        <v>2.0789999999999999E-2</v>
      </c>
      <c r="U401">
        <v>5.398E-3</v>
      </c>
      <c r="V401">
        <v>1.477E-2</v>
      </c>
      <c r="W401">
        <v>3.0709999999999999E-3</v>
      </c>
      <c r="X401">
        <v>13.45</v>
      </c>
      <c r="Y401">
        <v>24.49</v>
      </c>
      <c r="Z401">
        <v>86</v>
      </c>
      <c r="AA401">
        <v>562</v>
      </c>
      <c r="AB401">
        <v>0.1244</v>
      </c>
      <c r="AC401">
        <v>0.1726</v>
      </c>
      <c r="AD401">
        <v>0.1449</v>
      </c>
      <c r="AE401">
        <v>5.3560000000000003E-2</v>
      </c>
      <c r="AF401">
        <v>0.27789999999999998</v>
      </c>
      <c r="AG401">
        <v>8.1210000000000004E-2</v>
      </c>
    </row>
    <row r="402" spans="1:33">
      <c r="A402">
        <v>401</v>
      </c>
      <c r="B402">
        <v>90439701</v>
      </c>
      <c r="C402" t="s">
        <v>0</v>
      </c>
      <c r="D402">
        <v>13.71</v>
      </c>
      <c r="E402">
        <v>21.02</v>
      </c>
      <c r="F402">
        <v>124.4</v>
      </c>
      <c r="G402">
        <v>994</v>
      </c>
      <c r="H402">
        <v>0.123</v>
      </c>
      <c r="I402">
        <v>0.2576</v>
      </c>
      <c r="J402">
        <v>0.31890000000000002</v>
      </c>
      <c r="K402">
        <v>0.1198</v>
      </c>
      <c r="L402">
        <v>0.21129999999999999</v>
      </c>
      <c r="M402">
        <v>7.1150000000000005E-2</v>
      </c>
      <c r="N402">
        <v>0.40300000000000002</v>
      </c>
      <c r="O402">
        <v>0.77470000000000006</v>
      </c>
      <c r="P402">
        <v>3.1230000000000002</v>
      </c>
      <c r="Q402">
        <v>41.51</v>
      </c>
      <c r="R402">
        <v>7.1590000000000004E-3</v>
      </c>
      <c r="S402">
        <v>3.7179999999999998E-2</v>
      </c>
      <c r="T402">
        <v>6.1650000000000003E-2</v>
      </c>
      <c r="U402">
        <v>1.051E-2</v>
      </c>
      <c r="V402">
        <v>1.5910000000000001E-2</v>
      </c>
      <c r="W402">
        <v>5.0990000000000002E-3</v>
      </c>
      <c r="X402">
        <v>20.8</v>
      </c>
      <c r="Y402">
        <v>27.78</v>
      </c>
      <c r="Z402">
        <v>149.6</v>
      </c>
      <c r="AA402">
        <v>1304</v>
      </c>
      <c r="AB402">
        <v>0.18729999999999999</v>
      </c>
      <c r="AC402">
        <v>0.5917</v>
      </c>
      <c r="AD402">
        <v>0.90339999999999998</v>
      </c>
      <c r="AE402">
        <v>0.19639999999999999</v>
      </c>
      <c r="AF402">
        <v>0.32450000000000001</v>
      </c>
      <c r="AG402">
        <v>0.1198</v>
      </c>
    </row>
    <row r="403" spans="1:33">
      <c r="A403">
        <v>402</v>
      </c>
      <c r="B403">
        <v>904647</v>
      </c>
      <c r="C403" t="s">
        <v>1</v>
      </c>
      <c r="D403">
        <v>13.71</v>
      </c>
      <c r="E403">
        <v>10.91</v>
      </c>
      <c r="F403">
        <v>76.14</v>
      </c>
      <c r="G403">
        <v>442.7</v>
      </c>
      <c r="H403">
        <v>8.8719999999999993E-2</v>
      </c>
      <c r="I403">
        <v>5.2420000000000001E-2</v>
      </c>
      <c r="J403">
        <v>2.606E-2</v>
      </c>
      <c r="K403">
        <v>1.796E-2</v>
      </c>
      <c r="L403">
        <v>0.16009999999999999</v>
      </c>
      <c r="M403">
        <v>5.5410000000000001E-2</v>
      </c>
      <c r="N403">
        <v>0.25219999999999998</v>
      </c>
      <c r="O403">
        <v>1.0449999999999999</v>
      </c>
      <c r="P403">
        <v>1.649</v>
      </c>
      <c r="Q403">
        <v>18.95</v>
      </c>
      <c r="R403">
        <v>6.1749999999999999E-3</v>
      </c>
      <c r="S403">
        <v>1.204E-2</v>
      </c>
      <c r="T403">
        <v>1.376E-2</v>
      </c>
      <c r="U403">
        <v>5.8320000000000004E-3</v>
      </c>
      <c r="V403">
        <v>1.0959999999999999E-2</v>
      </c>
      <c r="W403">
        <v>1.8569999999999999E-3</v>
      </c>
      <c r="X403">
        <v>13.8</v>
      </c>
      <c r="Y403">
        <v>20.14</v>
      </c>
      <c r="Z403">
        <v>87.64</v>
      </c>
      <c r="AA403">
        <v>589.5</v>
      </c>
      <c r="AB403">
        <v>0.13739999999999999</v>
      </c>
      <c r="AC403">
        <v>0.1575</v>
      </c>
      <c r="AD403">
        <v>0.15140000000000001</v>
      </c>
      <c r="AE403">
        <v>6.8760000000000002E-2</v>
      </c>
      <c r="AF403">
        <v>0.246</v>
      </c>
      <c r="AG403">
        <v>7.2620000000000004E-2</v>
      </c>
    </row>
    <row r="404" spans="1:33">
      <c r="A404">
        <v>403</v>
      </c>
      <c r="B404">
        <v>904689</v>
      </c>
      <c r="C404" t="s">
        <v>1</v>
      </c>
      <c r="D404">
        <v>13.71</v>
      </c>
      <c r="E404">
        <v>18.29</v>
      </c>
      <c r="F404">
        <v>84.18</v>
      </c>
      <c r="G404">
        <v>525.20000000000005</v>
      </c>
      <c r="H404">
        <v>7.3510000000000006E-2</v>
      </c>
      <c r="I404">
        <v>7.8990000000000005E-2</v>
      </c>
      <c r="J404">
        <v>4.0570000000000002E-2</v>
      </c>
      <c r="K404">
        <v>1.883E-2</v>
      </c>
      <c r="L404">
        <v>0.18740000000000001</v>
      </c>
      <c r="M404">
        <v>5.8990000000000001E-2</v>
      </c>
      <c r="N404">
        <v>0.23569999999999999</v>
      </c>
      <c r="O404">
        <v>1.2989999999999999</v>
      </c>
      <c r="P404">
        <v>2.3969999999999998</v>
      </c>
      <c r="Q404">
        <v>20.21</v>
      </c>
      <c r="R404">
        <v>3.6289999999999998E-3</v>
      </c>
      <c r="S404">
        <v>3.7130000000000003E-2</v>
      </c>
      <c r="T404">
        <v>3.4520000000000002E-2</v>
      </c>
      <c r="U404">
        <v>1.065E-2</v>
      </c>
      <c r="V404">
        <v>2.632E-2</v>
      </c>
      <c r="W404">
        <v>3.705E-3</v>
      </c>
      <c r="X404">
        <v>14.13</v>
      </c>
      <c r="Y404">
        <v>24.61</v>
      </c>
      <c r="Z404">
        <v>96.31</v>
      </c>
      <c r="AA404">
        <v>621.9</v>
      </c>
      <c r="AB404">
        <v>9.3289999999999998E-2</v>
      </c>
      <c r="AC404">
        <v>0.23180000000000001</v>
      </c>
      <c r="AD404">
        <v>0.16039999999999999</v>
      </c>
      <c r="AE404">
        <v>6.608E-2</v>
      </c>
      <c r="AF404">
        <v>0.32069999999999999</v>
      </c>
      <c r="AG404">
        <v>7.2470000000000007E-2</v>
      </c>
    </row>
    <row r="405" spans="1:33">
      <c r="A405">
        <v>404</v>
      </c>
      <c r="B405">
        <v>9047</v>
      </c>
      <c r="C405" t="s">
        <v>1</v>
      </c>
      <c r="D405">
        <v>13.71</v>
      </c>
      <c r="E405">
        <v>16.170000000000002</v>
      </c>
      <c r="F405">
        <v>83.18</v>
      </c>
      <c r="G405">
        <v>507.6</v>
      </c>
      <c r="H405">
        <v>9.8790000000000003E-2</v>
      </c>
      <c r="I405">
        <v>8.8359999999999994E-2</v>
      </c>
      <c r="J405">
        <v>3.2960000000000003E-2</v>
      </c>
      <c r="K405">
        <v>2.3900000000000001E-2</v>
      </c>
      <c r="L405">
        <v>0.17349999999999999</v>
      </c>
      <c r="M405">
        <v>6.2E-2</v>
      </c>
      <c r="N405">
        <v>0.14580000000000001</v>
      </c>
      <c r="O405">
        <v>0.90500000000000003</v>
      </c>
      <c r="P405">
        <v>0.99750000000000005</v>
      </c>
      <c r="Q405">
        <v>11.36</v>
      </c>
      <c r="R405">
        <v>2.8869999999999998E-3</v>
      </c>
      <c r="S405">
        <v>1.285E-2</v>
      </c>
      <c r="T405">
        <v>1.6129999999999999E-2</v>
      </c>
      <c r="U405">
        <v>7.3080000000000003E-3</v>
      </c>
      <c r="V405">
        <v>1.8700000000000001E-2</v>
      </c>
      <c r="W405">
        <v>1.9719999999999998E-3</v>
      </c>
      <c r="X405">
        <v>13.86</v>
      </c>
      <c r="Y405">
        <v>23.02</v>
      </c>
      <c r="Z405">
        <v>89.69</v>
      </c>
      <c r="AA405">
        <v>580.9</v>
      </c>
      <c r="AB405">
        <v>0.1172</v>
      </c>
      <c r="AC405">
        <v>0.1958</v>
      </c>
      <c r="AD405">
        <v>0.18099999999999999</v>
      </c>
      <c r="AE405">
        <v>8.3879999999999996E-2</v>
      </c>
      <c r="AF405">
        <v>0.32969999999999999</v>
      </c>
      <c r="AG405">
        <v>7.8340000000000007E-2</v>
      </c>
    </row>
    <row r="406" spans="1:33">
      <c r="A406">
        <v>405</v>
      </c>
      <c r="B406">
        <v>904969</v>
      </c>
      <c r="C406" t="s">
        <v>1</v>
      </c>
      <c r="D406">
        <v>13.71</v>
      </c>
      <c r="E406">
        <v>14.95</v>
      </c>
      <c r="F406">
        <v>78.290000000000006</v>
      </c>
      <c r="G406">
        <v>469.1</v>
      </c>
      <c r="H406">
        <v>8.6819999999999994E-2</v>
      </c>
      <c r="I406">
        <v>4.5710000000000001E-2</v>
      </c>
      <c r="J406">
        <v>2.1090000000000001E-2</v>
      </c>
      <c r="K406">
        <v>2.0539999999999999E-2</v>
      </c>
      <c r="L406">
        <v>0.15709999999999999</v>
      </c>
      <c r="M406">
        <v>5.7079999999999999E-2</v>
      </c>
      <c r="N406">
        <v>0.38329999999999997</v>
      </c>
      <c r="O406">
        <v>0.90780000000000005</v>
      </c>
      <c r="P406">
        <v>2.6019999999999999</v>
      </c>
      <c r="Q406">
        <v>30.15</v>
      </c>
      <c r="R406">
        <v>7.7019999999999996E-3</v>
      </c>
      <c r="S406">
        <v>8.4910000000000003E-3</v>
      </c>
      <c r="T406">
        <v>1.307E-2</v>
      </c>
      <c r="U406">
        <v>1.03E-2</v>
      </c>
      <c r="V406">
        <v>2.9700000000000001E-2</v>
      </c>
      <c r="W406">
        <v>1.4319999999999999E-3</v>
      </c>
      <c r="X406">
        <v>13.18</v>
      </c>
      <c r="Y406">
        <v>16.850000000000001</v>
      </c>
      <c r="Z406">
        <v>84.11</v>
      </c>
      <c r="AA406">
        <v>533.1</v>
      </c>
      <c r="AB406">
        <v>0.1048</v>
      </c>
      <c r="AC406">
        <v>6.744E-2</v>
      </c>
      <c r="AD406">
        <v>4.9209999999999997E-2</v>
      </c>
      <c r="AE406">
        <v>4.793E-2</v>
      </c>
      <c r="AF406">
        <v>0.2298</v>
      </c>
      <c r="AG406">
        <v>5.9740000000000001E-2</v>
      </c>
    </row>
    <row r="407" spans="1:33">
      <c r="A407">
        <v>406</v>
      </c>
      <c r="B407">
        <v>904971</v>
      </c>
      <c r="C407" t="s">
        <v>1</v>
      </c>
      <c r="D407">
        <v>13.71</v>
      </c>
      <c r="E407">
        <v>18.59</v>
      </c>
      <c r="F407">
        <v>70.39</v>
      </c>
      <c r="G407">
        <v>370</v>
      </c>
      <c r="H407">
        <v>0.1004</v>
      </c>
      <c r="I407">
        <v>7.46E-2</v>
      </c>
      <c r="J407">
        <v>4.9439999999999998E-2</v>
      </c>
      <c r="K407">
        <v>2.9319999999999999E-2</v>
      </c>
      <c r="L407">
        <v>0.14860000000000001</v>
      </c>
      <c r="M407">
        <v>6.615E-2</v>
      </c>
      <c r="N407">
        <v>0.37959999999999999</v>
      </c>
      <c r="O407">
        <v>1.7430000000000001</v>
      </c>
      <c r="P407">
        <v>3.0179999999999998</v>
      </c>
      <c r="Q407">
        <v>25.78</v>
      </c>
      <c r="R407">
        <v>9.5189999999999997E-3</v>
      </c>
      <c r="S407">
        <v>2.1340000000000001E-2</v>
      </c>
      <c r="T407">
        <v>1.9900000000000001E-2</v>
      </c>
      <c r="U407">
        <v>1.155E-2</v>
      </c>
      <c r="V407">
        <v>2.0789999999999999E-2</v>
      </c>
      <c r="W407">
        <v>2.7009999999999998E-3</v>
      </c>
      <c r="X407">
        <v>12.4</v>
      </c>
      <c r="Y407">
        <v>25.58</v>
      </c>
      <c r="Z407">
        <v>82.76</v>
      </c>
      <c r="AA407">
        <v>472.4</v>
      </c>
      <c r="AB407">
        <v>0.1363</v>
      </c>
      <c r="AC407">
        <v>0.16439999999999999</v>
      </c>
      <c r="AD407">
        <v>0.14119999999999999</v>
      </c>
      <c r="AE407">
        <v>7.8869999999999996E-2</v>
      </c>
      <c r="AF407">
        <v>0.22509999999999999</v>
      </c>
      <c r="AG407">
        <v>7.732E-2</v>
      </c>
    </row>
    <row r="408" spans="1:33">
      <c r="A408">
        <v>407</v>
      </c>
      <c r="B408">
        <v>905189</v>
      </c>
      <c r="C408" t="s">
        <v>1</v>
      </c>
      <c r="D408">
        <v>13.71</v>
      </c>
      <c r="E408">
        <v>14.86</v>
      </c>
      <c r="F408">
        <v>104.3</v>
      </c>
      <c r="G408">
        <v>800</v>
      </c>
      <c r="H408">
        <v>9.4950000000000007E-2</v>
      </c>
      <c r="I408">
        <v>8.5010000000000002E-2</v>
      </c>
      <c r="J408">
        <v>5.5E-2</v>
      </c>
      <c r="K408">
        <v>4.5280000000000001E-2</v>
      </c>
      <c r="L408">
        <v>0.17349999999999999</v>
      </c>
      <c r="M408">
        <v>5.8749999999999997E-2</v>
      </c>
      <c r="N408">
        <v>0.2387</v>
      </c>
      <c r="O408">
        <v>0.63719999999999999</v>
      </c>
      <c r="P408">
        <v>1.7290000000000001</v>
      </c>
      <c r="Q408">
        <v>21.83</v>
      </c>
      <c r="R408">
        <v>3.9579999999999997E-3</v>
      </c>
      <c r="S408">
        <v>1.2460000000000001E-2</v>
      </c>
      <c r="T408">
        <v>1.831E-2</v>
      </c>
      <c r="U408">
        <v>8.7469999999999996E-3</v>
      </c>
      <c r="V408">
        <v>1.4999999999999999E-2</v>
      </c>
      <c r="W408">
        <v>1.621E-3</v>
      </c>
      <c r="X408">
        <v>17.71</v>
      </c>
      <c r="Y408">
        <v>19.579999999999998</v>
      </c>
      <c r="Z408">
        <v>115.9</v>
      </c>
      <c r="AA408">
        <v>947.9</v>
      </c>
      <c r="AB408">
        <v>0.1206</v>
      </c>
      <c r="AC408">
        <v>0.17219999999999999</v>
      </c>
      <c r="AD408">
        <v>0.23100000000000001</v>
      </c>
      <c r="AE408">
        <v>0.1129</v>
      </c>
      <c r="AF408">
        <v>0.27779999999999999</v>
      </c>
      <c r="AG408">
        <v>7.0120000000000002E-2</v>
      </c>
    </row>
    <row r="409" spans="1:33">
      <c r="A409">
        <v>408</v>
      </c>
      <c r="B409">
        <v>905190</v>
      </c>
      <c r="C409" t="s">
        <v>1</v>
      </c>
      <c r="D409">
        <v>13.71</v>
      </c>
      <c r="E409">
        <v>21.37</v>
      </c>
      <c r="F409">
        <v>82.63</v>
      </c>
      <c r="G409">
        <v>514.5</v>
      </c>
      <c r="H409">
        <v>7.5509999999999994E-2</v>
      </c>
      <c r="I409">
        <v>8.3159999999999998E-2</v>
      </c>
      <c r="J409">
        <v>6.1260000000000002E-2</v>
      </c>
      <c r="K409">
        <v>1.8669999999999999E-2</v>
      </c>
      <c r="L409">
        <v>0.158</v>
      </c>
      <c r="M409">
        <v>6.114E-2</v>
      </c>
      <c r="N409">
        <v>0.49930000000000002</v>
      </c>
      <c r="O409">
        <v>1.798</v>
      </c>
      <c r="P409">
        <v>2.552</v>
      </c>
      <c r="Q409">
        <v>41.24</v>
      </c>
      <c r="R409">
        <v>6.0109999999999999E-3</v>
      </c>
      <c r="S409">
        <v>4.48E-2</v>
      </c>
      <c r="T409">
        <v>5.1749999999999997E-2</v>
      </c>
      <c r="U409">
        <v>1.341E-2</v>
      </c>
      <c r="V409">
        <v>2.6689999999999998E-2</v>
      </c>
      <c r="W409">
        <v>7.731E-3</v>
      </c>
      <c r="X409">
        <v>14.4</v>
      </c>
      <c r="Y409">
        <v>27.01</v>
      </c>
      <c r="Z409">
        <v>91.63</v>
      </c>
      <c r="AA409">
        <v>645.79999999999995</v>
      </c>
      <c r="AB409">
        <v>9.4020000000000006E-2</v>
      </c>
      <c r="AC409">
        <v>0.19359999999999999</v>
      </c>
      <c r="AD409">
        <v>0.18379999999999999</v>
      </c>
      <c r="AE409">
        <v>5.6009999999999997E-2</v>
      </c>
      <c r="AF409">
        <v>0.24879999999999999</v>
      </c>
      <c r="AG409">
        <v>8.1509999999999999E-2</v>
      </c>
    </row>
    <row r="410" spans="1:33">
      <c r="A410">
        <v>409</v>
      </c>
      <c r="B410">
        <v>90524101</v>
      </c>
      <c r="C410" t="s">
        <v>0</v>
      </c>
      <c r="D410">
        <v>13.71</v>
      </c>
      <c r="E410">
        <v>20.66</v>
      </c>
      <c r="F410">
        <v>117.8</v>
      </c>
      <c r="G410">
        <v>991.7</v>
      </c>
      <c r="H410">
        <v>0.1036</v>
      </c>
      <c r="I410">
        <v>0.13039999999999999</v>
      </c>
      <c r="J410">
        <v>0.1201</v>
      </c>
      <c r="K410">
        <v>8.8239999999999999E-2</v>
      </c>
      <c r="L410">
        <v>0.19919999999999999</v>
      </c>
      <c r="M410">
        <v>6.0690000000000001E-2</v>
      </c>
      <c r="N410">
        <v>0.45369999999999999</v>
      </c>
      <c r="O410">
        <v>0.87329999999999997</v>
      </c>
      <c r="P410">
        <v>3.0609999999999999</v>
      </c>
      <c r="Q410">
        <v>49.81</v>
      </c>
      <c r="R410">
        <v>7.2309999999999996E-3</v>
      </c>
      <c r="S410">
        <v>2.7720000000000002E-2</v>
      </c>
      <c r="T410">
        <v>2.5090000000000001E-2</v>
      </c>
      <c r="U410">
        <v>1.4800000000000001E-2</v>
      </c>
      <c r="V410">
        <v>1.414E-2</v>
      </c>
      <c r="W410">
        <v>3.336E-3</v>
      </c>
      <c r="X410">
        <v>21.08</v>
      </c>
      <c r="Y410">
        <v>25.41</v>
      </c>
      <c r="Z410">
        <v>138.1</v>
      </c>
      <c r="AA410">
        <v>1349</v>
      </c>
      <c r="AB410">
        <v>0.1482</v>
      </c>
      <c r="AC410">
        <v>0.3735</v>
      </c>
      <c r="AD410">
        <v>0.3301</v>
      </c>
      <c r="AE410">
        <v>0.19739999999999999</v>
      </c>
      <c r="AF410">
        <v>0.30599999999999999</v>
      </c>
      <c r="AG410">
        <v>8.5029999999999994E-2</v>
      </c>
    </row>
    <row r="411" spans="1:33">
      <c r="A411">
        <v>410</v>
      </c>
      <c r="B411">
        <v>905501</v>
      </c>
      <c r="C411" t="s">
        <v>1</v>
      </c>
      <c r="D411">
        <v>13.71</v>
      </c>
      <c r="E411">
        <v>17.920000000000002</v>
      </c>
      <c r="F411">
        <v>78.41</v>
      </c>
      <c r="G411">
        <v>466.1</v>
      </c>
      <c r="H411">
        <v>8.6849999999999997E-2</v>
      </c>
      <c r="I411">
        <v>6.5259999999999999E-2</v>
      </c>
      <c r="J411">
        <v>3.211E-2</v>
      </c>
      <c r="K411">
        <v>2.6530000000000001E-2</v>
      </c>
      <c r="L411">
        <v>0.1966</v>
      </c>
      <c r="M411">
        <v>5.5969999999999999E-2</v>
      </c>
      <c r="N411">
        <v>0.3342</v>
      </c>
      <c r="O411">
        <v>1.7809999999999999</v>
      </c>
      <c r="P411">
        <v>2.0790000000000002</v>
      </c>
      <c r="Q411">
        <v>25.79</v>
      </c>
      <c r="R411">
        <v>5.888E-3</v>
      </c>
      <c r="S411">
        <v>2.3099999999999999E-2</v>
      </c>
      <c r="T411">
        <v>2.0590000000000001E-2</v>
      </c>
      <c r="U411">
        <v>1.0749999999999999E-2</v>
      </c>
      <c r="V411">
        <v>2.5780000000000001E-2</v>
      </c>
      <c r="W411">
        <v>2.2669999999999999E-3</v>
      </c>
      <c r="X411">
        <v>14.1</v>
      </c>
      <c r="Y411">
        <v>28.88</v>
      </c>
      <c r="Z411">
        <v>89</v>
      </c>
      <c r="AA411">
        <v>610.20000000000005</v>
      </c>
      <c r="AB411">
        <v>0.124</v>
      </c>
      <c r="AC411">
        <v>0.17949999999999999</v>
      </c>
      <c r="AD411">
        <v>0.13769999999999999</v>
      </c>
      <c r="AE411">
        <v>9.5320000000000002E-2</v>
      </c>
      <c r="AF411">
        <v>0.34549999999999997</v>
      </c>
      <c r="AG411">
        <v>6.8959999999999994E-2</v>
      </c>
    </row>
    <row r="412" spans="1:33">
      <c r="A412">
        <v>411</v>
      </c>
      <c r="B412">
        <v>905502</v>
      </c>
      <c r="C412" t="s">
        <v>1</v>
      </c>
      <c r="D412">
        <v>13.71</v>
      </c>
      <c r="E412">
        <v>17.57</v>
      </c>
      <c r="F412">
        <v>72.489999999999995</v>
      </c>
      <c r="G412">
        <v>399.8</v>
      </c>
      <c r="H412">
        <v>8.8580000000000006E-2</v>
      </c>
      <c r="I412">
        <v>5.3129999999999997E-2</v>
      </c>
      <c r="J412">
        <v>2.7830000000000001E-2</v>
      </c>
      <c r="K412">
        <v>2.1000000000000001E-2</v>
      </c>
      <c r="L412">
        <v>0.16009999999999999</v>
      </c>
      <c r="M412">
        <v>5.9130000000000002E-2</v>
      </c>
      <c r="N412">
        <v>0.19159999999999999</v>
      </c>
      <c r="O412">
        <v>1.5549999999999999</v>
      </c>
      <c r="P412">
        <v>1.359</v>
      </c>
      <c r="Q412">
        <v>13.66</v>
      </c>
      <c r="R412">
        <v>5.391E-3</v>
      </c>
      <c r="S412">
        <v>9.9469999999999992E-3</v>
      </c>
      <c r="T412">
        <v>1.163E-2</v>
      </c>
      <c r="U412">
        <v>5.8719999999999996E-3</v>
      </c>
      <c r="V412">
        <v>1.341E-2</v>
      </c>
      <c r="W412">
        <v>1.6590000000000001E-3</v>
      </c>
      <c r="X412">
        <v>13.05</v>
      </c>
      <c r="Y412">
        <v>36.32</v>
      </c>
      <c r="Z412">
        <v>85.07</v>
      </c>
      <c r="AA412">
        <v>521.29999999999995</v>
      </c>
      <c r="AB412">
        <v>0.14530000000000001</v>
      </c>
      <c r="AC412">
        <v>0.16220000000000001</v>
      </c>
      <c r="AD412">
        <v>0.18110000000000001</v>
      </c>
      <c r="AE412">
        <v>8.6980000000000002E-2</v>
      </c>
      <c r="AF412">
        <v>0.29730000000000001</v>
      </c>
      <c r="AG412">
        <v>7.7450000000000005E-2</v>
      </c>
    </row>
    <row r="413" spans="1:33">
      <c r="A413">
        <v>412</v>
      </c>
      <c r="B413">
        <v>905520</v>
      </c>
      <c r="C413" t="s">
        <v>1</v>
      </c>
      <c r="D413">
        <v>13.71</v>
      </c>
      <c r="E413">
        <v>16.829999999999998</v>
      </c>
      <c r="F413">
        <v>70.92</v>
      </c>
      <c r="G413">
        <v>373.2</v>
      </c>
      <c r="H413">
        <v>0.1077</v>
      </c>
      <c r="I413">
        <v>7.8039999999999998E-2</v>
      </c>
      <c r="J413">
        <v>3.0460000000000001E-2</v>
      </c>
      <c r="K413">
        <v>2.4799999999999999E-2</v>
      </c>
      <c r="L413">
        <v>0.1714</v>
      </c>
      <c r="M413">
        <v>6.3399999999999998E-2</v>
      </c>
      <c r="N413">
        <v>0.19670000000000001</v>
      </c>
      <c r="O413">
        <v>1.387</v>
      </c>
      <c r="P413">
        <v>1.3420000000000001</v>
      </c>
      <c r="Q413">
        <v>13.54</v>
      </c>
      <c r="R413">
        <v>5.1580000000000003E-3</v>
      </c>
      <c r="S413">
        <v>9.3550000000000005E-3</v>
      </c>
      <c r="T413">
        <v>1.056E-2</v>
      </c>
      <c r="U413">
        <v>7.4830000000000001E-3</v>
      </c>
      <c r="V413">
        <v>1.7180000000000001E-2</v>
      </c>
      <c r="W413">
        <v>2.1979999999999999E-3</v>
      </c>
      <c r="X413">
        <v>12.41</v>
      </c>
      <c r="Y413">
        <v>26.44</v>
      </c>
      <c r="Z413">
        <v>79.930000000000007</v>
      </c>
      <c r="AA413">
        <v>471.4</v>
      </c>
      <c r="AB413">
        <v>0.13689999999999999</v>
      </c>
      <c r="AC413">
        <v>0.1482</v>
      </c>
      <c r="AD413">
        <v>0.1067</v>
      </c>
      <c r="AE413">
        <v>7.4310000000000001E-2</v>
      </c>
      <c r="AF413">
        <v>0.29980000000000001</v>
      </c>
      <c r="AG413">
        <v>7.8810000000000005E-2</v>
      </c>
    </row>
    <row r="414" spans="1:33">
      <c r="A414">
        <v>413</v>
      </c>
      <c r="B414">
        <v>905539</v>
      </c>
      <c r="C414" t="s">
        <v>1</v>
      </c>
      <c r="D414">
        <v>13.71</v>
      </c>
      <c r="E414">
        <v>21.68</v>
      </c>
      <c r="F414">
        <v>59.75</v>
      </c>
      <c r="G414">
        <v>268.8</v>
      </c>
      <c r="H414">
        <v>7.9689999999999997E-2</v>
      </c>
      <c r="I414">
        <v>6.053E-2</v>
      </c>
      <c r="J414">
        <v>3.7350000000000001E-2</v>
      </c>
      <c r="K414">
        <v>5.1279999999999997E-3</v>
      </c>
      <c r="L414">
        <v>0.12740000000000001</v>
      </c>
      <c r="M414">
        <v>6.7239999999999994E-2</v>
      </c>
      <c r="N414">
        <v>0.1186</v>
      </c>
      <c r="O414">
        <v>1.1819999999999999</v>
      </c>
      <c r="P414">
        <v>1.1739999999999999</v>
      </c>
      <c r="Q414">
        <v>6.8019999999999996</v>
      </c>
      <c r="R414">
        <v>5.5149999999999999E-3</v>
      </c>
      <c r="S414">
        <v>2.674E-2</v>
      </c>
      <c r="T414">
        <v>3.7350000000000001E-2</v>
      </c>
      <c r="U414">
        <v>5.1279999999999997E-3</v>
      </c>
      <c r="V414">
        <v>1.951E-2</v>
      </c>
      <c r="W414">
        <v>4.5830000000000003E-3</v>
      </c>
      <c r="X414">
        <v>9.9649999999999999</v>
      </c>
      <c r="Y414">
        <v>27.99</v>
      </c>
      <c r="Z414">
        <v>66.61</v>
      </c>
      <c r="AA414">
        <v>301</v>
      </c>
      <c r="AB414">
        <v>0.1086</v>
      </c>
      <c r="AC414">
        <v>0.18870000000000001</v>
      </c>
      <c r="AD414">
        <v>0.18679999999999999</v>
      </c>
      <c r="AE414">
        <v>2.564E-2</v>
      </c>
      <c r="AF414">
        <v>0.23760000000000001</v>
      </c>
      <c r="AG414">
        <v>9.2060000000000003E-2</v>
      </c>
    </row>
    <row r="415" spans="1:33">
      <c r="A415">
        <v>414</v>
      </c>
      <c r="B415">
        <v>905557</v>
      </c>
      <c r="C415" t="s">
        <v>1</v>
      </c>
      <c r="D415">
        <v>13.71</v>
      </c>
      <c r="E415">
        <v>22.11</v>
      </c>
      <c r="F415">
        <v>97.53</v>
      </c>
      <c r="G415">
        <v>693.7</v>
      </c>
      <c r="H415">
        <v>8.5150000000000003E-2</v>
      </c>
      <c r="I415">
        <v>0.10249999999999999</v>
      </c>
      <c r="J415">
        <v>6.8589999999999998E-2</v>
      </c>
      <c r="K415">
        <v>3.8760000000000003E-2</v>
      </c>
      <c r="L415">
        <v>0.19439999999999999</v>
      </c>
      <c r="M415">
        <v>5.9130000000000002E-2</v>
      </c>
      <c r="N415">
        <v>0.31859999999999999</v>
      </c>
      <c r="O415">
        <v>1.3360000000000001</v>
      </c>
      <c r="P415">
        <v>2.31</v>
      </c>
      <c r="Q415">
        <v>28.51</v>
      </c>
      <c r="R415">
        <v>4.4489999999999998E-3</v>
      </c>
      <c r="S415">
        <v>2.8080000000000001E-2</v>
      </c>
      <c r="T415">
        <v>3.3119999999999997E-2</v>
      </c>
      <c r="U415">
        <v>1.196E-2</v>
      </c>
      <c r="V415">
        <v>1.9060000000000001E-2</v>
      </c>
      <c r="W415">
        <v>4.0150000000000003E-3</v>
      </c>
      <c r="X415">
        <v>16.760000000000002</v>
      </c>
      <c r="Y415">
        <v>31.55</v>
      </c>
      <c r="Z415">
        <v>110.2</v>
      </c>
      <c r="AA415">
        <v>867.1</v>
      </c>
      <c r="AB415">
        <v>0.1077</v>
      </c>
      <c r="AC415">
        <v>0.33450000000000002</v>
      </c>
      <c r="AD415">
        <v>0.31140000000000001</v>
      </c>
      <c r="AE415">
        <v>0.1308</v>
      </c>
      <c r="AF415">
        <v>0.31630000000000003</v>
      </c>
      <c r="AG415">
        <v>9.2509999999999995E-2</v>
      </c>
    </row>
    <row r="416" spans="1:33">
      <c r="A416">
        <v>415</v>
      </c>
      <c r="B416">
        <v>905680</v>
      </c>
      <c r="C416" t="s">
        <v>0</v>
      </c>
      <c r="D416">
        <v>13.71</v>
      </c>
      <c r="E416">
        <v>29.81</v>
      </c>
      <c r="F416">
        <v>96.71</v>
      </c>
      <c r="G416">
        <v>719.5</v>
      </c>
      <c r="H416">
        <v>8.3199999999999996E-2</v>
      </c>
      <c r="I416">
        <v>4.6050000000000001E-2</v>
      </c>
      <c r="J416">
        <v>4.6859999999999999E-2</v>
      </c>
      <c r="K416">
        <v>2.7390000000000001E-2</v>
      </c>
      <c r="L416">
        <v>0.1852</v>
      </c>
      <c r="M416">
        <v>5.2940000000000001E-2</v>
      </c>
      <c r="N416">
        <v>0.46810000000000002</v>
      </c>
      <c r="O416">
        <v>1.627</v>
      </c>
      <c r="P416">
        <v>3.0430000000000001</v>
      </c>
      <c r="Q416">
        <v>45.38</v>
      </c>
      <c r="R416">
        <v>6.8310000000000003E-3</v>
      </c>
      <c r="S416">
        <v>1.427E-2</v>
      </c>
      <c r="T416">
        <v>2.4889999999999999E-2</v>
      </c>
      <c r="U416">
        <v>9.0869999999999996E-3</v>
      </c>
      <c r="V416">
        <v>3.1510000000000003E-2</v>
      </c>
      <c r="W416">
        <v>1.75E-3</v>
      </c>
      <c r="X416">
        <v>17.260000000000002</v>
      </c>
      <c r="Y416">
        <v>36.909999999999997</v>
      </c>
      <c r="Z416">
        <v>110.1</v>
      </c>
      <c r="AA416">
        <v>931.4</v>
      </c>
      <c r="AB416">
        <v>0.1148</v>
      </c>
      <c r="AC416">
        <v>9.8659999999999998E-2</v>
      </c>
      <c r="AD416">
        <v>0.1547</v>
      </c>
      <c r="AE416">
        <v>6.5750000000000003E-2</v>
      </c>
      <c r="AF416">
        <v>0.32329999999999998</v>
      </c>
      <c r="AG416">
        <v>6.1650000000000003E-2</v>
      </c>
    </row>
    <row r="417" spans="1:33">
      <c r="A417">
        <v>416</v>
      </c>
      <c r="B417">
        <v>905686</v>
      </c>
      <c r="C417" t="s">
        <v>1</v>
      </c>
      <c r="D417">
        <v>13.71</v>
      </c>
      <c r="E417">
        <v>21.17</v>
      </c>
      <c r="F417">
        <v>76.39</v>
      </c>
      <c r="G417">
        <v>433.8</v>
      </c>
      <c r="H417">
        <v>9.7729999999999997E-2</v>
      </c>
      <c r="I417">
        <v>8.1199999999999994E-2</v>
      </c>
      <c r="J417">
        <v>2.555E-2</v>
      </c>
      <c r="K417">
        <v>2.179E-2</v>
      </c>
      <c r="L417">
        <v>0.2019</v>
      </c>
      <c r="M417">
        <v>6.2899999999999998E-2</v>
      </c>
      <c r="N417">
        <v>0.2747</v>
      </c>
      <c r="O417">
        <v>1.2030000000000001</v>
      </c>
      <c r="P417">
        <v>1.93</v>
      </c>
      <c r="Q417">
        <v>19.53</v>
      </c>
      <c r="R417">
        <v>9.8949999999999993E-3</v>
      </c>
      <c r="S417">
        <v>3.0530000000000002E-2</v>
      </c>
      <c r="T417">
        <v>1.6299999999999999E-2</v>
      </c>
      <c r="U417">
        <v>9.2759999999999995E-3</v>
      </c>
      <c r="V417">
        <v>2.2579999999999999E-2</v>
      </c>
      <c r="W417">
        <v>2.2720000000000001E-3</v>
      </c>
      <c r="X417">
        <v>13.05</v>
      </c>
      <c r="Y417">
        <v>27.21</v>
      </c>
      <c r="Z417">
        <v>85.09</v>
      </c>
      <c r="AA417">
        <v>522.9</v>
      </c>
      <c r="AB417">
        <v>0.1426</v>
      </c>
      <c r="AC417">
        <v>0.21870000000000001</v>
      </c>
      <c r="AD417">
        <v>0.1164</v>
      </c>
      <c r="AE417">
        <v>8.2629999999999995E-2</v>
      </c>
      <c r="AF417">
        <v>0.3075</v>
      </c>
      <c r="AG417">
        <v>7.3510000000000006E-2</v>
      </c>
    </row>
    <row r="418" spans="1:33">
      <c r="A418">
        <v>417</v>
      </c>
      <c r="B418">
        <v>905978</v>
      </c>
      <c r="C418" t="s">
        <v>1</v>
      </c>
      <c r="D418">
        <v>13.71</v>
      </c>
      <c r="E418">
        <v>21.7</v>
      </c>
      <c r="F418">
        <v>59.6</v>
      </c>
      <c r="G418">
        <v>271.2</v>
      </c>
      <c r="H418">
        <v>0.10440000000000001</v>
      </c>
      <c r="I418">
        <v>6.1589999999999999E-2</v>
      </c>
      <c r="J418">
        <v>2.0469999999999999E-2</v>
      </c>
      <c r="K418">
        <v>1.257E-2</v>
      </c>
      <c r="L418">
        <v>0.20250000000000001</v>
      </c>
      <c r="M418">
        <v>6.6009999999999999E-2</v>
      </c>
      <c r="N418">
        <v>0.43020000000000003</v>
      </c>
      <c r="O418">
        <v>2.8780000000000001</v>
      </c>
      <c r="P418">
        <v>2.7589999999999999</v>
      </c>
      <c r="Q418">
        <v>25.17</v>
      </c>
      <c r="R418">
        <v>1.474E-2</v>
      </c>
      <c r="S418">
        <v>1.6740000000000001E-2</v>
      </c>
      <c r="T418">
        <v>1.367E-2</v>
      </c>
      <c r="U418">
        <v>8.6739999999999994E-3</v>
      </c>
      <c r="V418">
        <v>3.0439999999999998E-2</v>
      </c>
      <c r="W418">
        <v>4.5900000000000003E-3</v>
      </c>
      <c r="X418">
        <v>10.85</v>
      </c>
      <c r="Y418">
        <v>31.24</v>
      </c>
      <c r="Z418">
        <v>68.73</v>
      </c>
      <c r="AA418">
        <v>359.4</v>
      </c>
      <c r="AB418">
        <v>0.15260000000000001</v>
      </c>
      <c r="AC418">
        <v>0.1193</v>
      </c>
      <c r="AD418">
        <v>6.1409999999999999E-2</v>
      </c>
      <c r="AE418">
        <v>3.7699999999999997E-2</v>
      </c>
      <c r="AF418">
        <v>0.28720000000000001</v>
      </c>
      <c r="AG418">
        <v>8.3040000000000003E-2</v>
      </c>
    </row>
    <row r="419" spans="1:33">
      <c r="A419">
        <v>418</v>
      </c>
      <c r="B419">
        <v>90602302</v>
      </c>
      <c r="C419" t="s">
        <v>0</v>
      </c>
      <c r="D419">
        <v>13.71</v>
      </c>
      <c r="E419">
        <v>21.08</v>
      </c>
      <c r="F419">
        <v>102.9</v>
      </c>
      <c r="G419">
        <v>803.1</v>
      </c>
      <c r="H419">
        <v>0.112</v>
      </c>
      <c r="I419">
        <v>0.15709999999999999</v>
      </c>
      <c r="J419">
        <v>0.1522</v>
      </c>
      <c r="K419">
        <v>8.4809999999999997E-2</v>
      </c>
      <c r="L419">
        <v>0.20849999999999999</v>
      </c>
      <c r="M419">
        <v>6.8640000000000007E-2</v>
      </c>
      <c r="N419">
        <v>1.37</v>
      </c>
      <c r="O419">
        <v>1.2130000000000001</v>
      </c>
      <c r="P419">
        <v>9.4239999999999995</v>
      </c>
      <c r="Q419">
        <v>176.5</v>
      </c>
      <c r="R419">
        <v>8.1980000000000004E-3</v>
      </c>
      <c r="S419">
        <v>3.8890000000000001E-2</v>
      </c>
      <c r="T419">
        <v>4.4929999999999998E-2</v>
      </c>
      <c r="U419">
        <v>2.1389999999999999E-2</v>
      </c>
      <c r="V419">
        <v>2.018E-2</v>
      </c>
      <c r="W419">
        <v>5.8149999999999999E-3</v>
      </c>
      <c r="X419">
        <v>23.17</v>
      </c>
      <c r="Y419">
        <v>27.65</v>
      </c>
      <c r="Z419">
        <v>157.1</v>
      </c>
      <c r="AA419">
        <v>1748</v>
      </c>
      <c r="AB419">
        <v>0.1517</v>
      </c>
      <c r="AC419">
        <v>0.4002</v>
      </c>
      <c r="AD419">
        <v>0.42109999999999997</v>
      </c>
      <c r="AE419">
        <v>0.21340000000000001</v>
      </c>
      <c r="AF419">
        <v>0.30030000000000001</v>
      </c>
      <c r="AG419">
        <v>0.1048</v>
      </c>
    </row>
    <row r="420" spans="1:33">
      <c r="A420">
        <v>419</v>
      </c>
      <c r="B420">
        <v>906024</v>
      </c>
      <c r="C420" t="s">
        <v>1</v>
      </c>
      <c r="D420">
        <v>13.71</v>
      </c>
      <c r="E420">
        <v>12.17</v>
      </c>
      <c r="F420">
        <v>80.88</v>
      </c>
      <c r="G420">
        <v>495</v>
      </c>
      <c r="H420">
        <v>8.7849999999999998E-2</v>
      </c>
      <c r="I420">
        <v>5.7939999999999998E-2</v>
      </c>
      <c r="J420">
        <v>2.3599999999999999E-2</v>
      </c>
      <c r="K420">
        <v>2.402E-2</v>
      </c>
      <c r="L420">
        <v>0.1583</v>
      </c>
      <c r="M420">
        <v>6.275E-2</v>
      </c>
      <c r="N420">
        <v>0.2253</v>
      </c>
      <c r="O420">
        <v>0.64570000000000005</v>
      </c>
      <c r="P420">
        <v>1.5269999999999999</v>
      </c>
      <c r="Q420">
        <v>17.37</v>
      </c>
      <c r="R420">
        <v>6.1310000000000002E-3</v>
      </c>
      <c r="S420">
        <v>1.2630000000000001E-2</v>
      </c>
      <c r="T420">
        <v>9.0749999999999997E-3</v>
      </c>
      <c r="U420">
        <v>8.2310000000000005E-3</v>
      </c>
      <c r="V420">
        <v>1.7129999999999999E-2</v>
      </c>
      <c r="W420">
        <v>4.4140000000000004E-3</v>
      </c>
      <c r="X420">
        <v>13.65</v>
      </c>
      <c r="Y420">
        <v>16.920000000000002</v>
      </c>
      <c r="Z420">
        <v>88.12</v>
      </c>
      <c r="AA420">
        <v>566.9</v>
      </c>
      <c r="AB420">
        <v>0.13139999999999999</v>
      </c>
      <c r="AC420">
        <v>0.16070000000000001</v>
      </c>
      <c r="AD420">
        <v>9.3850000000000003E-2</v>
      </c>
      <c r="AE420">
        <v>8.2239999999999994E-2</v>
      </c>
      <c r="AF420">
        <v>0.27750000000000002</v>
      </c>
      <c r="AG420">
        <v>9.4640000000000002E-2</v>
      </c>
    </row>
    <row r="421" spans="1:33">
      <c r="A421">
        <v>420</v>
      </c>
      <c r="B421">
        <v>906290</v>
      </c>
      <c r="C421" t="s">
        <v>1</v>
      </c>
      <c r="D421">
        <v>13.71</v>
      </c>
      <c r="E421">
        <v>21.41</v>
      </c>
      <c r="F421">
        <v>70.95</v>
      </c>
      <c r="G421">
        <v>380.3</v>
      </c>
      <c r="H421">
        <v>0.1018</v>
      </c>
      <c r="I421">
        <v>5.978E-2</v>
      </c>
      <c r="J421">
        <v>8.9549999999999994E-3</v>
      </c>
      <c r="K421">
        <v>1.076E-2</v>
      </c>
      <c r="L421">
        <v>0.1615</v>
      </c>
      <c r="M421">
        <v>6.1440000000000002E-2</v>
      </c>
      <c r="N421">
        <v>0.28649999999999998</v>
      </c>
      <c r="O421">
        <v>1.6779999999999999</v>
      </c>
      <c r="P421">
        <v>1.968</v>
      </c>
      <c r="Q421">
        <v>18.989999999999998</v>
      </c>
      <c r="R421">
        <v>6.9080000000000001E-3</v>
      </c>
      <c r="S421">
        <v>9.4420000000000007E-3</v>
      </c>
      <c r="T421">
        <v>6.9719999999999999E-3</v>
      </c>
      <c r="U421">
        <v>6.1590000000000004E-3</v>
      </c>
      <c r="V421">
        <v>2.6939999999999999E-2</v>
      </c>
      <c r="W421">
        <v>2.0600000000000002E-3</v>
      </c>
      <c r="X421">
        <v>12.36</v>
      </c>
      <c r="Y421">
        <v>28.92</v>
      </c>
      <c r="Z421">
        <v>79.260000000000005</v>
      </c>
      <c r="AA421">
        <v>458</v>
      </c>
      <c r="AB421">
        <v>0.12820000000000001</v>
      </c>
      <c r="AC421">
        <v>0.1108</v>
      </c>
      <c r="AD421">
        <v>3.5819999999999998E-2</v>
      </c>
      <c r="AE421">
        <v>4.3060000000000001E-2</v>
      </c>
      <c r="AF421">
        <v>0.29759999999999998</v>
      </c>
      <c r="AG421">
        <v>7.1230000000000002E-2</v>
      </c>
    </row>
    <row r="422" spans="1:33">
      <c r="A422">
        <v>421</v>
      </c>
      <c r="B422">
        <v>906539</v>
      </c>
      <c r="C422" t="s">
        <v>1</v>
      </c>
      <c r="D422">
        <v>13.71</v>
      </c>
      <c r="E422">
        <v>19.04</v>
      </c>
      <c r="F422">
        <v>74.2</v>
      </c>
      <c r="G422">
        <v>409.7</v>
      </c>
      <c r="H422">
        <v>8.5459999999999994E-2</v>
      </c>
      <c r="I422">
        <v>7.7219999999999997E-2</v>
      </c>
      <c r="J422">
        <v>5.4850000000000003E-2</v>
      </c>
      <c r="K422">
        <v>1.4279999999999999E-2</v>
      </c>
      <c r="L422">
        <v>0.2031</v>
      </c>
      <c r="M422">
        <v>6.2670000000000003E-2</v>
      </c>
      <c r="N422">
        <v>0.28639999999999999</v>
      </c>
      <c r="O422">
        <v>1.44</v>
      </c>
      <c r="P422">
        <v>2.206</v>
      </c>
      <c r="Q422">
        <v>20.3</v>
      </c>
      <c r="R422">
        <v>7.2779999999999997E-3</v>
      </c>
      <c r="S422">
        <v>2.0469999999999999E-2</v>
      </c>
      <c r="T422">
        <v>4.4470000000000003E-2</v>
      </c>
      <c r="U422">
        <v>8.7989999999999995E-3</v>
      </c>
      <c r="V422">
        <v>1.8679999999999999E-2</v>
      </c>
      <c r="W422">
        <v>3.339E-3</v>
      </c>
      <c r="X422">
        <v>13.07</v>
      </c>
      <c r="Y422">
        <v>26.98</v>
      </c>
      <c r="Z422">
        <v>86.43</v>
      </c>
      <c r="AA422">
        <v>520.5</v>
      </c>
      <c r="AB422">
        <v>0.1249</v>
      </c>
      <c r="AC422">
        <v>0.19370000000000001</v>
      </c>
      <c r="AD422">
        <v>0.25600000000000001</v>
      </c>
      <c r="AE422">
        <v>6.6640000000000005E-2</v>
      </c>
      <c r="AF422">
        <v>0.30349999999999999</v>
      </c>
      <c r="AG422">
        <v>8.2839999999999997E-2</v>
      </c>
    </row>
    <row r="423" spans="1:33">
      <c r="A423">
        <v>422</v>
      </c>
      <c r="B423">
        <v>906564</v>
      </c>
      <c r="C423" t="s">
        <v>1</v>
      </c>
      <c r="D423">
        <v>13.71</v>
      </c>
      <c r="E423">
        <v>13.98</v>
      </c>
      <c r="F423">
        <v>98.22</v>
      </c>
      <c r="G423">
        <v>656.1</v>
      </c>
      <c r="H423">
        <v>0.1031</v>
      </c>
      <c r="I423">
        <v>0.18360000000000001</v>
      </c>
      <c r="J423">
        <v>0.14499999999999999</v>
      </c>
      <c r="K423">
        <v>6.3E-2</v>
      </c>
      <c r="L423">
        <v>0.20860000000000001</v>
      </c>
      <c r="M423">
        <v>7.4060000000000001E-2</v>
      </c>
      <c r="N423">
        <v>0.54620000000000002</v>
      </c>
      <c r="O423">
        <v>1.5109999999999999</v>
      </c>
      <c r="P423">
        <v>4.7949999999999999</v>
      </c>
      <c r="Q423">
        <v>49.45</v>
      </c>
      <c r="R423">
        <v>9.9760000000000005E-3</v>
      </c>
      <c r="S423">
        <v>5.2440000000000001E-2</v>
      </c>
      <c r="T423">
        <v>5.2780000000000001E-2</v>
      </c>
      <c r="U423">
        <v>1.5800000000000002E-2</v>
      </c>
      <c r="V423">
        <v>2.6530000000000001E-2</v>
      </c>
      <c r="W423">
        <v>5.4440000000000001E-3</v>
      </c>
      <c r="X423">
        <v>16.46</v>
      </c>
      <c r="Y423">
        <v>18.34</v>
      </c>
      <c r="Z423">
        <v>114.1</v>
      </c>
      <c r="AA423">
        <v>809.2</v>
      </c>
      <c r="AB423">
        <v>0.13120000000000001</v>
      </c>
      <c r="AC423">
        <v>0.36349999999999999</v>
      </c>
      <c r="AD423">
        <v>0.32190000000000002</v>
      </c>
      <c r="AE423">
        <v>0.1108</v>
      </c>
      <c r="AF423">
        <v>0.28270000000000001</v>
      </c>
      <c r="AG423">
        <v>9.2079999999999995E-2</v>
      </c>
    </row>
    <row r="424" spans="1:33">
      <c r="A424">
        <v>423</v>
      </c>
      <c r="B424">
        <v>906616</v>
      </c>
      <c r="C424" t="s">
        <v>1</v>
      </c>
      <c r="D424">
        <v>13.71</v>
      </c>
      <c r="E424">
        <v>16.02</v>
      </c>
      <c r="F424">
        <v>75.459999999999994</v>
      </c>
      <c r="G424">
        <v>408.2</v>
      </c>
      <c r="H424">
        <v>0.10879999999999999</v>
      </c>
      <c r="I424">
        <v>0.1168</v>
      </c>
      <c r="J424">
        <v>7.0970000000000005E-2</v>
      </c>
      <c r="K424">
        <v>4.4970000000000003E-2</v>
      </c>
      <c r="L424">
        <v>0.18859999999999999</v>
      </c>
      <c r="M424">
        <v>6.3200000000000006E-2</v>
      </c>
      <c r="N424">
        <v>0.24560000000000001</v>
      </c>
      <c r="O424">
        <v>0.7339</v>
      </c>
      <c r="P424">
        <v>1.667</v>
      </c>
      <c r="Q424">
        <v>15.89</v>
      </c>
      <c r="R424">
        <v>5.8840000000000003E-3</v>
      </c>
      <c r="S424">
        <v>2.0049999999999998E-2</v>
      </c>
      <c r="T424">
        <v>2.631E-2</v>
      </c>
      <c r="U424">
        <v>1.304E-2</v>
      </c>
      <c r="V424">
        <v>1.848E-2</v>
      </c>
      <c r="W424">
        <v>1.9819999999999998E-3</v>
      </c>
      <c r="X424">
        <v>12.64</v>
      </c>
      <c r="Y424">
        <v>19.670000000000002</v>
      </c>
      <c r="Z424">
        <v>81.93</v>
      </c>
      <c r="AA424">
        <v>475.7</v>
      </c>
      <c r="AB424">
        <v>0.14149999999999999</v>
      </c>
      <c r="AC424">
        <v>0.217</v>
      </c>
      <c r="AD424">
        <v>0.23019999999999999</v>
      </c>
      <c r="AE424">
        <v>0.1105</v>
      </c>
      <c r="AF424">
        <v>0.2787</v>
      </c>
      <c r="AG424">
        <v>7.4270000000000003E-2</v>
      </c>
    </row>
    <row r="425" spans="1:33">
      <c r="A425">
        <v>424</v>
      </c>
      <c r="B425">
        <v>906878</v>
      </c>
      <c r="C425" t="s">
        <v>1</v>
      </c>
      <c r="D425">
        <v>13.71</v>
      </c>
      <c r="E425">
        <v>19.13</v>
      </c>
      <c r="F425">
        <v>89.46</v>
      </c>
      <c r="G425">
        <v>575.29999999999995</v>
      </c>
      <c r="H425">
        <v>9.0569999999999998E-2</v>
      </c>
      <c r="I425">
        <v>0.1147</v>
      </c>
      <c r="J425">
        <v>9.6570000000000003E-2</v>
      </c>
      <c r="K425">
        <v>4.8120000000000003E-2</v>
      </c>
      <c r="L425">
        <v>0.18479999999999999</v>
      </c>
      <c r="M425">
        <v>6.1809999999999997E-2</v>
      </c>
      <c r="N425">
        <v>0.22439999999999999</v>
      </c>
      <c r="O425">
        <v>0.89500000000000002</v>
      </c>
      <c r="P425">
        <v>1.804</v>
      </c>
      <c r="Q425">
        <v>19.36</v>
      </c>
      <c r="R425">
        <v>3.98E-3</v>
      </c>
      <c r="S425">
        <v>2.809E-2</v>
      </c>
      <c r="T425">
        <v>3.669E-2</v>
      </c>
      <c r="U425">
        <v>1.274E-2</v>
      </c>
      <c r="V425">
        <v>1.5810000000000001E-2</v>
      </c>
      <c r="W425">
        <v>3.9560000000000003E-3</v>
      </c>
      <c r="X425">
        <v>15.14</v>
      </c>
      <c r="Y425">
        <v>25.5</v>
      </c>
      <c r="Z425">
        <v>101.4</v>
      </c>
      <c r="AA425">
        <v>708.8</v>
      </c>
      <c r="AB425">
        <v>0.1147</v>
      </c>
      <c r="AC425">
        <v>0.31669999999999998</v>
      </c>
      <c r="AD425">
        <v>0.36599999999999999</v>
      </c>
      <c r="AE425">
        <v>0.14069999999999999</v>
      </c>
      <c r="AF425">
        <v>0.27439999999999998</v>
      </c>
      <c r="AG425">
        <v>8.8389999999999996E-2</v>
      </c>
    </row>
    <row r="426" spans="1:33">
      <c r="A426">
        <v>425</v>
      </c>
      <c r="B426">
        <v>907145</v>
      </c>
      <c r="C426" t="s">
        <v>1</v>
      </c>
      <c r="D426">
        <v>13.71</v>
      </c>
      <c r="E426">
        <v>19.12</v>
      </c>
      <c r="F426">
        <v>61.93</v>
      </c>
      <c r="G426">
        <v>289.7</v>
      </c>
      <c r="H426">
        <v>0.1075</v>
      </c>
      <c r="I426">
        <v>8.3330000000000001E-2</v>
      </c>
      <c r="J426">
        <v>8.9339999999999992E-3</v>
      </c>
      <c r="K426">
        <v>1.967E-2</v>
      </c>
      <c r="L426">
        <v>0.25380000000000003</v>
      </c>
      <c r="M426">
        <v>7.0290000000000005E-2</v>
      </c>
      <c r="N426">
        <v>0.69650000000000001</v>
      </c>
      <c r="O426">
        <v>1.7470000000000001</v>
      </c>
      <c r="P426">
        <v>4.6070000000000002</v>
      </c>
      <c r="Q426">
        <v>43.52</v>
      </c>
      <c r="R426">
        <v>1.307E-2</v>
      </c>
      <c r="S426">
        <v>1.8849999999999999E-2</v>
      </c>
      <c r="T426">
        <v>6.0210000000000003E-3</v>
      </c>
      <c r="U426">
        <v>1.052E-2</v>
      </c>
      <c r="V426">
        <v>3.1E-2</v>
      </c>
      <c r="W426">
        <v>4.2249999999999996E-3</v>
      </c>
      <c r="X426">
        <v>11.21</v>
      </c>
      <c r="Y426">
        <v>23.17</v>
      </c>
      <c r="Z426">
        <v>71.790000000000006</v>
      </c>
      <c r="AA426">
        <v>380.9</v>
      </c>
      <c r="AB426">
        <v>0.13980000000000001</v>
      </c>
      <c r="AC426">
        <v>0.13519999999999999</v>
      </c>
      <c r="AD426">
        <v>2.085E-2</v>
      </c>
      <c r="AE426">
        <v>4.589E-2</v>
      </c>
      <c r="AF426">
        <v>0.3196</v>
      </c>
      <c r="AG426">
        <v>8.0089999999999995E-2</v>
      </c>
    </row>
    <row r="427" spans="1:33">
      <c r="A427">
        <v>426</v>
      </c>
      <c r="B427">
        <v>907367</v>
      </c>
      <c r="C427" t="s">
        <v>1</v>
      </c>
      <c r="D427">
        <v>13.71</v>
      </c>
      <c r="E427">
        <v>21.28</v>
      </c>
      <c r="F427">
        <v>63.19</v>
      </c>
      <c r="G427">
        <v>307.3</v>
      </c>
      <c r="H427">
        <v>8.1170000000000006E-2</v>
      </c>
      <c r="I427">
        <v>3.9120000000000002E-2</v>
      </c>
      <c r="J427">
        <v>2.47E-3</v>
      </c>
      <c r="K427">
        <v>5.1590000000000004E-3</v>
      </c>
      <c r="L427">
        <v>0.16300000000000001</v>
      </c>
      <c r="M427">
        <v>6.4390000000000003E-2</v>
      </c>
      <c r="N427">
        <v>0.18509999999999999</v>
      </c>
      <c r="O427">
        <v>1.341</v>
      </c>
      <c r="P427">
        <v>1.1839999999999999</v>
      </c>
      <c r="Q427">
        <v>11.6</v>
      </c>
      <c r="R427">
        <v>5.7239999999999999E-3</v>
      </c>
      <c r="S427">
        <v>5.6969999999999998E-3</v>
      </c>
      <c r="T427">
        <v>2.0739999999999999E-3</v>
      </c>
      <c r="U427">
        <v>3.5270000000000002E-3</v>
      </c>
      <c r="V427">
        <v>1.4449999999999999E-2</v>
      </c>
      <c r="W427">
        <v>2.4109999999999999E-3</v>
      </c>
      <c r="X427">
        <v>11.11</v>
      </c>
      <c r="Y427">
        <v>28.94</v>
      </c>
      <c r="Z427">
        <v>69.92</v>
      </c>
      <c r="AA427">
        <v>376.3</v>
      </c>
      <c r="AB427">
        <v>0.11260000000000001</v>
      </c>
      <c r="AC427">
        <v>7.0940000000000003E-2</v>
      </c>
      <c r="AD427">
        <v>1.235E-2</v>
      </c>
      <c r="AE427">
        <v>2.579E-2</v>
      </c>
      <c r="AF427">
        <v>0.2349</v>
      </c>
      <c r="AG427">
        <v>8.0610000000000001E-2</v>
      </c>
    </row>
    <row r="428" spans="1:33">
      <c r="A428">
        <v>427</v>
      </c>
      <c r="B428">
        <v>907409</v>
      </c>
      <c r="C428" t="s">
        <v>1</v>
      </c>
      <c r="D428">
        <v>13.71</v>
      </c>
      <c r="E428">
        <v>14.98</v>
      </c>
      <c r="F428">
        <v>67.489999999999995</v>
      </c>
      <c r="G428">
        <v>333.6</v>
      </c>
      <c r="H428">
        <v>9.8159999999999997E-2</v>
      </c>
      <c r="I428">
        <v>0.1013</v>
      </c>
      <c r="J428">
        <v>6.3350000000000004E-2</v>
      </c>
      <c r="K428">
        <v>2.2179999999999998E-2</v>
      </c>
      <c r="L428">
        <v>0.1925</v>
      </c>
      <c r="M428">
        <v>6.9150000000000003E-2</v>
      </c>
      <c r="N428">
        <v>0.3276</v>
      </c>
      <c r="O428">
        <v>1.127</v>
      </c>
      <c r="P428">
        <v>2.5640000000000001</v>
      </c>
      <c r="Q428">
        <v>20.77</v>
      </c>
      <c r="R428">
        <v>7.3639999999999999E-3</v>
      </c>
      <c r="S428">
        <v>3.8670000000000003E-2</v>
      </c>
      <c r="T428">
        <v>5.2630000000000003E-2</v>
      </c>
      <c r="U428">
        <v>1.264E-2</v>
      </c>
      <c r="V428">
        <v>2.1610000000000001E-2</v>
      </c>
      <c r="W428">
        <v>4.8300000000000001E-3</v>
      </c>
      <c r="X428">
        <v>12.13</v>
      </c>
      <c r="Y428">
        <v>21.57</v>
      </c>
      <c r="Z428">
        <v>81.41</v>
      </c>
      <c r="AA428">
        <v>440.4</v>
      </c>
      <c r="AB428">
        <v>0.13270000000000001</v>
      </c>
      <c r="AC428">
        <v>0.29959999999999998</v>
      </c>
      <c r="AD428">
        <v>0.29389999999999999</v>
      </c>
      <c r="AE428">
        <v>9.3100000000000002E-2</v>
      </c>
      <c r="AF428">
        <v>0.30199999999999999</v>
      </c>
      <c r="AG428">
        <v>9.6460000000000004E-2</v>
      </c>
    </row>
    <row r="429" spans="1:33">
      <c r="A429">
        <v>428</v>
      </c>
      <c r="B429">
        <v>90745</v>
      </c>
      <c r="C429" t="s">
        <v>1</v>
      </c>
      <c r="D429">
        <v>13.71</v>
      </c>
      <c r="E429">
        <v>21.98</v>
      </c>
      <c r="F429">
        <v>68.790000000000006</v>
      </c>
      <c r="G429">
        <v>359.9</v>
      </c>
      <c r="H429">
        <v>8.8010000000000005E-2</v>
      </c>
      <c r="I429">
        <v>5.7430000000000002E-2</v>
      </c>
      <c r="J429">
        <v>3.6139999999999999E-2</v>
      </c>
      <c r="K429">
        <v>1.404E-2</v>
      </c>
      <c r="L429">
        <v>0.2016</v>
      </c>
      <c r="M429">
        <v>5.9769999999999997E-2</v>
      </c>
      <c r="N429">
        <v>0.30769999999999997</v>
      </c>
      <c r="O429">
        <v>1.621</v>
      </c>
      <c r="P429">
        <v>2.2400000000000002</v>
      </c>
      <c r="Q429">
        <v>20.2</v>
      </c>
      <c r="R429">
        <v>6.5430000000000002E-3</v>
      </c>
      <c r="S429">
        <v>2.1479999999999999E-2</v>
      </c>
      <c r="T429">
        <v>2.9909999999999999E-2</v>
      </c>
      <c r="U429">
        <v>1.0449999999999999E-2</v>
      </c>
      <c r="V429">
        <v>1.8440000000000002E-2</v>
      </c>
      <c r="W429">
        <v>2.6900000000000001E-3</v>
      </c>
      <c r="X429">
        <v>12.76</v>
      </c>
      <c r="Y429">
        <v>32.04</v>
      </c>
      <c r="Z429">
        <v>83.69</v>
      </c>
      <c r="AA429">
        <v>489.5</v>
      </c>
      <c r="AB429">
        <v>0.1303</v>
      </c>
      <c r="AC429">
        <v>0.1696</v>
      </c>
      <c r="AD429">
        <v>0.19270000000000001</v>
      </c>
      <c r="AE429">
        <v>7.485E-2</v>
      </c>
      <c r="AF429">
        <v>0.29649999999999999</v>
      </c>
      <c r="AG429">
        <v>7.6619999999999994E-2</v>
      </c>
    </row>
    <row r="430" spans="1:33">
      <c r="A430">
        <v>429</v>
      </c>
      <c r="B430">
        <v>90769601</v>
      </c>
      <c r="C430" t="s">
        <v>1</v>
      </c>
      <c r="D430">
        <v>13.71</v>
      </c>
      <c r="E430">
        <v>16.62</v>
      </c>
      <c r="F430">
        <v>70.47</v>
      </c>
      <c r="G430">
        <v>381.1</v>
      </c>
      <c r="H430">
        <v>8.1509999999999999E-2</v>
      </c>
      <c r="I430">
        <v>3.8339999999999999E-2</v>
      </c>
      <c r="J430">
        <v>1.3690000000000001E-2</v>
      </c>
      <c r="K430">
        <v>1.37E-2</v>
      </c>
      <c r="L430">
        <v>0.15110000000000001</v>
      </c>
      <c r="M430">
        <v>6.148E-2</v>
      </c>
      <c r="N430">
        <v>0.14149999999999999</v>
      </c>
      <c r="O430">
        <v>0.96709999999999996</v>
      </c>
      <c r="P430">
        <v>0.96799999999999997</v>
      </c>
      <c r="Q430">
        <v>9.7040000000000006</v>
      </c>
      <c r="R430">
        <v>5.8830000000000002E-3</v>
      </c>
      <c r="S430">
        <v>6.2630000000000003E-3</v>
      </c>
      <c r="T430">
        <v>9.3980000000000001E-3</v>
      </c>
      <c r="U430">
        <v>6.1890000000000001E-3</v>
      </c>
      <c r="V430">
        <v>2.009E-2</v>
      </c>
      <c r="W430">
        <v>2.3770000000000002E-3</v>
      </c>
      <c r="X430">
        <v>11.68</v>
      </c>
      <c r="Y430">
        <v>20.29</v>
      </c>
      <c r="Z430">
        <v>74.349999999999994</v>
      </c>
      <c r="AA430">
        <v>421.1</v>
      </c>
      <c r="AB430">
        <v>0.10299999999999999</v>
      </c>
      <c r="AC430">
        <v>6.2190000000000002E-2</v>
      </c>
      <c r="AD430">
        <v>4.58E-2</v>
      </c>
      <c r="AE430">
        <v>4.0439999999999997E-2</v>
      </c>
      <c r="AF430">
        <v>0.23830000000000001</v>
      </c>
      <c r="AG430">
        <v>7.0830000000000004E-2</v>
      </c>
    </row>
    <row r="431" spans="1:33">
      <c r="A431">
        <v>430</v>
      </c>
      <c r="B431">
        <v>90769602</v>
      </c>
      <c r="C431" t="s">
        <v>1</v>
      </c>
      <c r="D431">
        <v>13.71</v>
      </c>
      <c r="E431">
        <v>17.670000000000002</v>
      </c>
      <c r="F431">
        <v>80.98</v>
      </c>
      <c r="G431">
        <v>501.3</v>
      </c>
      <c r="H431">
        <v>7.8960000000000002E-2</v>
      </c>
      <c r="I431">
        <v>4.5220000000000003E-2</v>
      </c>
      <c r="J431">
        <v>1.4019999999999999E-2</v>
      </c>
      <c r="K431">
        <v>1.8350000000000002E-2</v>
      </c>
      <c r="L431">
        <v>0.1459</v>
      </c>
      <c r="M431">
        <v>5.5440000000000003E-2</v>
      </c>
      <c r="N431">
        <v>0.2954</v>
      </c>
      <c r="O431">
        <v>0.88360000000000005</v>
      </c>
      <c r="P431">
        <v>2.109</v>
      </c>
      <c r="Q431">
        <v>23.24</v>
      </c>
      <c r="R431">
        <v>7.3369999999999998E-3</v>
      </c>
      <c r="S431">
        <v>1.174E-2</v>
      </c>
      <c r="T431">
        <v>5.3829999999999998E-3</v>
      </c>
      <c r="U431">
        <v>5.6230000000000004E-3</v>
      </c>
      <c r="V431">
        <v>1.9400000000000001E-2</v>
      </c>
      <c r="W431">
        <v>1.1800000000000001E-3</v>
      </c>
      <c r="X431">
        <v>13.82</v>
      </c>
      <c r="Y431">
        <v>20.96</v>
      </c>
      <c r="Z431">
        <v>88.87</v>
      </c>
      <c r="AA431">
        <v>586.79999999999995</v>
      </c>
      <c r="AB431">
        <v>0.10680000000000001</v>
      </c>
      <c r="AC431">
        <v>9.6049999999999996E-2</v>
      </c>
      <c r="AD431">
        <v>3.4689999999999999E-2</v>
      </c>
      <c r="AE431">
        <v>3.6119999999999999E-2</v>
      </c>
      <c r="AF431">
        <v>0.2165</v>
      </c>
      <c r="AG431">
        <v>6.0249999999999998E-2</v>
      </c>
    </row>
    <row r="432" spans="1:33">
      <c r="A432">
        <v>431</v>
      </c>
      <c r="B432">
        <v>907914</v>
      </c>
      <c r="C432" t="s">
        <v>0</v>
      </c>
      <c r="D432">
        <v>13.71</v>
      </c>
      <c r="E432">
        <v>22.53</v>
      </c>
      <c r="F432">
        <v>102.1</v>
      </c>
      <c r="G432">
        <v>685</v>
      </c>
      <c r="H432">
        <v>9.9470000000000003E-2</v>
      </c>
      <c r="I432">
        <v>0.2225</v>
      </c>
      <c r="J432">
        <v>0.27329999999999999</v>
      </c>
      <c r="K432">
        <v>9.7110000000000002E-2</v>
      </c>
      <c r="L432">
        <v>0.2041</v>
      </c>
      <c r="M432">
        <v>6.898E-2</v>
      </c>
      <c r="N432">
        <v>0.253</v>
      </c>
      <c r="O432">
        <v>0.87490000000000001</v>
      </c>
      <c r="P432">
        <v>3.4660000000000002</v>
      </c>
      <c r="Q432">
        <v>24.19</v>
      </c>
      <c r="R432">
        <v>6.9649999999999998E-3</v>
      </c>
      <c r="S432">
        <v>6.2129999999999998E-2</v>
      </c>
      <c r="T432">
        <v>7.9259999999999997E-2</v>
      </c>
      <c r="U432">
        <v>2.2339999999999999E-2</v>
      </c>
      <c r="V432">
        <v>1.499E-2</v>
      </c>
      <c r="W432">
        <v>5.7840000000000001E-3</v>
      </c>
      <c r="X432">
        <v>16.350000000000001</v>
      </c>
      <c r="Y432">
        <v>27.57</v>
      </c>
      <c r="Z432">
        <v>125.4</v>
      </c>
      <c r="AA432">
        <v>832.7</v>
      </c>
      <c r="AB432">
        <v>0.1419</v>
      </c>
      <c r="AC432">
        <v>0.70899999999999996</v>
      </c>
      <c r="AD432">
        <v>0.90190000000000003</v>
      </c>
      <c r="AE432">
        <v>0.2475</v>
      </c>
      <c r="AF432">
        <v>0.28660000000000002</v>
      </c>
      <c r="AG432">
        <v>0.11550000000000001</v>
      </c>
    </row>
    <row r="433" spans="1:33">
      <c r="A433">
        <v>432</v>
      </c>
      <c r="B433">
        <v>907915</v>
      </c>
      <c r="C433" t="s">
        <v>1</v>
      </c>
      <c r="D433">
        <v>13.71</v>
      </c>
      <c r="E433">
        <v>17.68</v>
      </c>
      <c r="F433">
        <v>81.47</v>
      </c>
      <c r="G433">
        <v>467.8</v>
      </c>
      <c r="H433">
        <v>0.10539999999999999</v>
      </c>
      <c r="I433">
        <v>0.13159999999999999</v>
      </c>
      <c r="J433">
        <v>7.7410000000000007E-2</v>
      </c>
      <c r="K433">
        <v>2.7990000000000001E-2</v>
      </c>
      <c r="L433">
        <v>0.18110000000000001</v>
      </c>
      <c r="M433">
        <v>7.102E-2</v>
      </c>
      <c r="N433">
        <v>0.1767</v>
      </c>
      <c r="O433">
        <v>1.46</v>
      </c>
      <c r="P433">
        <v>2.2040000000000002</v>
      </c>
      <c r="Q433">
        <v>15.43</v>
      </c>
      <c r="R433">
        <v>0.01</v>
      </c>
      <c r="S433">
        <v>3.295E-2</v>
      </c>
      <c r="T433">
        <v>4.861E-2</v>
      </c>
      <c r="U433">
        <v>1.167E-2</v>
      </c>
      <c r="V433">
        <v>2.1870000000000001E-2</v>
      </c>
      <c r="W433">
        <v>6.0049999999999999E-3</v>
      </c>
      <c r="X433">
        <v>12.88</v>
      </c>
      <c r="Y433">
        <v>22.91</v>
      </c>
      <c r="Z433">
        <v>89.61</v>
      </c>
      <c r="AA433">
        <v>515.79999999999995</v>
      </c>
      <c r="AB433">
        <v>0.14499999999999999</v>
      </c>
      <c r="AC433">
        <v>0.26290000000000002</v>
      </c>
      <c r="AD433">
        <v>0.24030000000000001</v>
      </c>
      <c r="AE433">
        <v>7.3700000000000002E-2</v>
      </c>
      <c r="AF433">
        <v>0.25559999999999999</v>
      </c>
      <c r="AG433">
        <v>9.3590000000000007E-2</v>
      </c>
    </row>
    <row r="434" spans="1:33">
      <c r="A434">
        <v>433</v>
      </c>
      <c r="B434">
        <v>908194</v>
      </c>
      <c r="C434" t="s">
        <v>0</v>
      </c>
      <c r="D434">
        <v>13.71</v>
      </c>
      <c r="E434">
        <v>19.54</v>
      </c>
      <c r="F434">
        <v>133.80000000000001</v>
      </c>
      <c r="G434">
        <v>1250</v>
      </c>
      <c r="H434">
        <v>0.1133</v>
      </c>
      <c r="I434">
        <v>0.1489</v>
      </c>
      <c r="J434">
        <v>0.21329999999999999</v>
      </c>
      <c r="K434">
        <v>0.12590000000000001</v>
      </c>
      <c r="L434">
        <v>0.1724</v>
      </c>
      <c r="M434">
        <v>6.053E-2</v>
      </c>
      <c r="N434">
        <v>0.43309999999999998</v>
      </c>
      <c r="O434">
        <v>1.0009999999999999</v>
      </c>
      <c r="P434">
        <v>3.008</v>
      </c>
      <c r="Q434">
        <v>52.49</v>
      </c>
      <c r="R434">
        <v>9.0869999999999996E-3</v>
      </c>
      <c r="S434">
        <v>2.7150000000000001E-2</v>
      </c>
      <c r="T434">
        <v>5.5460000000000002E-2</v>
      </c>
      <c r="U434">
        <v>1.9099999999999999E-2</v>
      </c>
      <c r="V434">
        <v>2.4510000000000001E-2</v>
      </c>
      <c r="W434">
        <v>4.0049999999999999E-3</v>
      </c>
      <c r="X434">
        <v>22.03</v>
      </c>
      <c r="Y434">
        <v>25.07</v>
      </c>
      <c r="Z434">
        <v>146</v>
      </c>
      <c r="AA434">
        <v>1479</v>
      </c>
      <c r="AB434">
        <v>0.16650000000000001</v>
      </c>
      <c r="AC434">
        <v>0.29420000000000002</v>
      </c>
      <c r="AD434">
        <v>0.53080000000000005</v>
      </c>
      <c r="AE434">
        <v>0.21729999999999999</v>
      </c>
      <c r="AF434">
        <v>0.30320000000000003</v>
      </c>
      <c r="AG434">
        <v>8.0750000000000002E-2</v>
      </c>
    </row>
    <row r="435" spans="1:33">
      <c r="A435">
        <v>434</v>
      </c>
      <c r="B435">
        <v>908445</v>
      </c>
      <c r="C435" t="s">
        <v>0</v>
      </c>
      <c r="D435">
        <v>13.71</v>
      </c>
      <c r="E435">
        <v>21.97</v>
      </c>
      <c r="F435">
        <v>123.7</v>
      </c>
      <c r="G435">
        <v>1110</v>
      </c>
      <c r="H435">
        <v>0.1018</v>
      </c>
      <c r="I435">
        <v>0.1389</v>
      </c>
      <c r="J435">
        <v>0.15939999999999999</v>
      </c>
      <c r="K435">
        <v>8.7440000000000004E-2</v>
      </c>
      <c r="L435">
        <v>0.1943</v>
      </c>
      <c r="M435">
        <v>6.132E-2</v>
      </c>
      <c r="N435">
        <v>0.81910000000000005</v>
      </c>
      <c r="O435">
        <v>1.931</v>
      </c>
      <c r="P435">
        <v>4.4930000000000003</v>
      </c>
      <c r="Q435">
        <v>103.9</v>
      </c>
      <c r="R435">
        <v>8.0739999999999996E-3</v>
      </c>
      <c r="S435">
        <v>4.088E-2</v>
      </c>
      <c r="T435">
        <v>5.321E-2</v>
      </c>
      <c r="U435">
        <v>1.8339999999999999E-2</v>
      </c>
      <c r="V435">
        <v>2.383E-2</v>
      </c>
      <c r="W435">
        <v>4.5149999999999999E-3</v>
      </c>
      <c r="X435">
        <v>22.66</v>
      </c>
      <c r="Y435">
        <v>30.93</v>
      </c>
      <c r="Z435">
        <v>145.30000000000001</v>
      </c>
      <c r="AA435">
        <v>1603</v>
      </c>
      <c r="AB435">
        <v>0.13900000000000001</v>
      </c>
      <c r="AC435">
        <v>0.3463</v>
      </c>
      <c r="AD435">
        <v>0.39119999999999999</v>
      </c>
      <c r="AE435">
        <v>0.17080000000000001</v>
      </c>
      <c r="AF435">
        <v>0.30070000000000002</v>
      </c>
      <c r="AG435">
        <v>8.3140000000000006E-2</v>
      </c>
    </row>
    <row r="436" spans="1:33">
      <c r="A436">
        <v>435</v>
      </c>
      <c r="B436">
        <v>908469</v>
      </c>
      <c r="C436" t="s">
        <v>1</v>
      </c>
      <c r="D436">
        <v>13.71</v>
      </c>
      <c r="E436">
        <v>16.940000000000001</v>
      </c>
      <c r="F436">
        <v>94.89</v>
      </c>
      <c r="G436">
        <v>673.7</v>
      </c>
      <c r="H436">
        <v>8.924E-2</v>
      </c>
      <c r="I436">
        <v>7.0739999999999997E-2</v>
      </c>
      <c r="J436">
        <v>3.3459999999999997E-2</v>
      </c>
      <c r="K436">
        <v>2.877E-2</v>
      </c>
      <c r="L436">
        <v>0.1573</v>
      </c>
      <c r="M436">
        <v>5.7029999999999997E-2</v>
      </c>
      <c r="N436">
        <v>0.30280000000000001</v>
      </c>
      <c r="O436">
        <v>0.66830000000000001</v>
      </c>
      <c r="P436">
        <v>1.6120000000000001</v>
      </c>
      <c r="Q436">
        <v>23.92</v>
      </c>
      <c r="R436">
        <v>5.7559999999999998E-3</v>
      </c>
      <c r="S436">
        <v>1.6650000000000002E-2</v>
      </c>
      <c r="T436">
        <v>1.461E-2</v>
      </c>
      <c r="U436">
        <v>8.2810000000000002E-3</v>
      </c>
      <c r="V436">
        <v>1.5509999999999999E-2</v>
      </c>
      <c r="W436">
        <v>2.1679999999999998E-3</v>
      </c>
      <c r="X436">
        <v>16.309999999999999</v>
      </c>
      <c r="Y436">
        <v>20.54</v>
      </c>
      <c r="Z436">
        <v>102.3</v>
      </c>
      <c r="AA436">
        <v>777.5</v>
      </c>
      <c r="AB436">
        <v>0.12180000000000001</v>
      </c>
      <c r="AC436">
        <v>0.155</v>
      </c>
      <c r="AD436">
        <v>0.122</v>
      </c>
      <c r="AE436">
        <v>7.9710000000000003E-2</v>
      </c>
      <c r="AF436">
        <v>0.2525</v>
      </c>
      <c r="AG436">
        <v>6.8269999999999997E-2</v>
      </c>
    </row>
    <row r="437" spans="1:33">
      <c r="A437">
        <v>436</v>
      </c>
      <c r="B437">
        <v>908489</v>
      </c>
      <c r="C437" t="s">
        <v>0</v>
      </c>
      <c r="D437">
        <v>13.71</v>
      </c>
      <c r="E437">
        <v>19.62</v>
      </c>
      <c r="F437">
        <v>91.12</v>
      </c>
      <c r="G437">
        <v>599.5</v>
      </c>
      <c r="H437">
        <v>0.106</v>
      </c>
      <c r="I437">
        <v>0.1133</v>
      </c>
      <c r="J437">
        <v>0.11260000000000001</v>
      </c>
      <c r="K437">
        <v>6.4630000000000007E-2</v>
      </c>
      <c r="L437">
        <v>0.16689999999999999</v>
      </c>
      <c r="M437">
        <v>6.5439999999999998E-2</v>
      </c>
      <c r="N437">
        <v>0.2208</v>
      </c>
      <c r="O437">
        <v>0.95330000000000004</v>
      </c>
      <c r="P437">
        <v>1.6020000000000001</v>
      </c>
      <c r="Q437">
        <v>18.850000000000001</v>
      </c>
      <c r="R437">
        <v>5.3140000000000001E-3</v>
      </c>
      <c r="S437">
        <v>1.7909999999999999E-2</v>
      </c>
      <c r="T437">
        <v>2.1850000000000001E-2</v>
      </c>
      <c r="U437">
        <v>9.5670000000000009E-3</v>
      </c>
      <c r="V437">
        <v>1.223E-2</v>
      </c>
      <c r="W437">
        <v>2.846E-3</v>
      </c>
      <c r="X437">
        <v>17.04</v>
      </c>
      <c r="Y437">
        <v>30.8</v>
      </c>
      <c r="Z437">
        <v>113.9</v>
      </c>
      <c r="AA437">
        <v>869.3</v>
      </c>
      <c r="AB437">
        <v>0.1613</v>
      </c>
      <c r="AC437">
        <v>0.35680000000000001</v>
      </c>
      <c r="AD437">
        <v>0.40689999999999998</v>
      </c>
      <c r="AE437">
        <v>0.1827</v>
      </c>
      <c r="AF437">
        <v>0.31790000000000002</v>
      </c>
      <c r="AG437">
        <v>0.1055</v>
      </c>
    </row>
    <row r="438" spans="1:33">
      <c r="A438">
        <v>437</v>
      </c>
      <c r="B438">
        <v>908916</v>
      </c>
      <c r="C438" t="s">
        <v>1</v>
      </c>
      <c r="D438">
        <v>13.71</v>
      </c>
      <c r="E438">
        <v>19.54</v>
      </c>
      <c r="F438">
        <v>82.67</v>
      </c>
      <c r="G438">
        <v>509.2</v>
      </c>
      <c r="H438">
        <v>9.1359999999999997E-2</v>
      </c>
      <c r="I438">
        <v>7.8829999999999997E-2</v>
      </c>
      <c r="J438">
        <v>1.797E-2</v>
      </c>
      <c r="K438">
        <v>2.0899999999999998E-2</v>
      </c>
      <c r="L438">
        <v>0.18609999999999999</v>
      </c>
      <c r="M438">
        <v>6.3469999999999999E-2</v>
      </c>
      <c r="N438">
        <v>0.36649999999999999</v>
      </c>
      <c r="O438">
        <v>0.76929999999999998</v>
      </c>
      <c r="P438">
        <v>2.597</v>
      </c>
      <c r="Q438">
        <v>26.5</v>
      </c>
      <c r="R438">
        <v>5.9100000000000003E-3</v>
      </c>
      <c r="S438">
        <v>1.362E-2</v>
      </c>
      <c r="T438">
        <v>7.0660000000000002E-3</v>
      </c>
      <c r="U438">
        <v>6.502E-3</v>
      </c>
      <c r="V438">
        <v>2.223E-2</v>
      </c>
      <c r="W438">
        <v>2.3779999999999999E-3</v>
      </c>
      <c r="X438">
        <v>14.45</v>
      </c>
      <c r="Y438">
        <v>24.38</v>
      </c>
      <c r="Z438">
        <v>95.14</v>
      </c>
      <c r="AA438">
        <v>626.9</v>
      </c>
      <c r="AB438">
        <v>0.12139999999999999</v>
      </c>
      <c r="AC438">
        <v>0.16520000000000001</v>
      </c>
      <c r="AD438">
        <v>7.127E-2</v>
      </c>
      <c r="AE438">
        <v>6.3839999999999994E-2</v>
      </c>
      <c r="AF438">
        <v>0.33129999999999998</v>
      </c>
      <c r="AG438">
        <v>7.7350000000000002E-2</v>
      </c>
    </row>
    <row r="439" spans="1:33">
      <c r="A439">
        <v>438</v>
      </c>
      <c r="B439">
        <v>909220</v>
      </c>
      <c r="C439" t="s">
        <v>1</v>
      </c>
      <c r="D439">
        <v>13.71</v>
      </c>
      <c r="E439">
        <v>15.98</v>
      </c>
      <c r="F439">
        <v>89.78</v>
      </c>
      <c r="G439">
        <v>611.20000000000005</v>
      </c>
      <c r="H439">
        <v>8.4580000000000002E-2</v>
      </c>
      <c r="I439">
        <v>5.8950000000000002E-2</v>
      </c>
      <c r="J439">
        <v>3.5340000000000003E-2</v>
      </c>
      <c r="K439">
        <v>2.9440000000000001E-2</v>
      </c>
      <c r="L439">
        <v>0.1714</v>
      </c>
      <c r="M439">
        <v>5.8979999999999998E-2</v>
      </c>
      <c r="N439">
        <v>0.38919999999999999</v>
      </c>
      <c r="O439">
        <v>1.046</v>
      </c>
      <c r="P439">
        <v>2.6440000000000001</v>
      </c>
      <c r="Q439">
        <v>32.74</v>
      </c>
      <c r="R439">
        <v>7.9760000000000005E-3</v>
      </c>
      <c r="S439">
        <v>1.295E-2</v>
      </c>
      <c r="T439">
        <v>1.6080000000000001E-2</v>
      </c>
      <c r="U439">
        <v>9.0460000000000002E-3</v>
      </c>
      <c r="V439">
        <v>2.0049999999999998E-2</v>
      </c>
      <c r="W439">
        <v>2.8300000000000001E-3</v>
      </c>
      <c r="X439">
        <v>15.66</v>
      </c>
      <c r="Y439">
        <v>21.58</v>
      </c>
      <c r="Z439">
        <v>101.2</v>
      </c>
      <c r="AA439">
        <v>750</v>
      </c>
      <c r="AB439">
        <v>0.1195</v>
      </c>
      <c r="AC439">
        <v>0.12520000000000001</v>
      </c>
      <c r="AD439">
        <v>0.11169999999999999</v>
      </c>
      <c r="AE439">
        <v>7.4529999999999999E-2</v>
      </c>
      <c r="AF439">
        <v>0.27250000000000002</v>
      </c>
      <c r="AG439">
        <v>7.2340000000000002E-2</v>
      </c>
    </row>
    <row r="440" spans="1:33">
      <c r="A440">
        <v>439</v>
      </c>
      <c r="B440">
        <v>909231</v>
      </c>
      <c r="C440" t="s">
        <v>1</v>
      </c>
      <c r="D440">
        <v>13.71</v>
      </c>
      <c r="E440">
        <v>19.600000000000001</v>
      </c>
      <c r="F440">
        <v>88.68</v>
      </c>
      <c r="G440">
        <v>592.6</v>
      </c>
      <c r="H440">
        <v>8.6840000000000001E-2</v>
      </c>
      <c r="I440">
        <v>6.3299999999999995E-2</v>
      </c>
      <c r="J440">
        <v>1.342E-2</v>
      </c>
      <c r="K440">
        <v>2.2929999999999999E-2</v>
      </c>
      <c r="L440">
        <v>0.1555</v>
      </c>
      <c r="M440">
        <v>5.6730000000000003E-2</v>
      </c>
      <c r="N440">
        <v>0.34189999999999998</v>
      </c>
      <c r="O440">
        <v>1.6779999999999999</v>
      </c>
      <c r="P440">
        <v>2.331</v>
      </c>
      <c r="Q440">
        <v>29.63</v>
      </c>
      <c r="R440">
        <v>5.836E-3</v>
      </c>
      <c r="S440">
        <v>1.095E-2</v>
      </c>
      <c r="T440">
        <v>5.8120000000000003E-3</v>
      </c>
      <c r="U440">
        <v>7.0390000000000001E-3</v>
      </c>
      <c r="V440">
        <v>2.0140000000000002E-2</v>
      </c>
      <c r="W440">
        <v>2.3259999999999999E-3</v>
      </c>
      <c r="X440">
        <v>15.63</v>
      </c>
      <c r="Y440">
        <v>28.01</v>
      </c>
      <c r="Z440">
        <v>100.9</v>
      </c>
      <c r="AA440">
        <v>749.1</v>
      </c>
      <c r="AB440">
        <v>0.1118</v>
      </c>
      <c r="AC440">
        <v>0.11409999999999999</v>
      </c>
      <c r="AD440">
        <v>4.7530000000000003E-2</v>
      </c>
      <c r="AE440">
        <v>5.8900000000000001E-2</v>
      </c>
      <c r="AF440">
        <v>0.25130000000000002</v>
      </c>
      <c r="AG440">
        <v>6.9110000000000005E-2</v>
      </c>
    </row>
    <row r="441" spans="1:33">
      <c r="A441">
        <v>440</v>
      </c>
      <c r="B441">
        <v>909410</v>
      </c>
      <c r="C441" t="s">
        <v>1</v>
      </c>
      <c r="D441">
        <v>13.71</v>
      </c>
      <c r="E441">
        <v>15.66</v>
      </c>
      <c r="F441">
        <v>89.59</v>
      </c>
      <c r="G441">
        <v>606.5</v>
      </c>
      <c r="H441">
        <v>7.9659999999999995E-2</v>
      </c>
      <c r="I441">
        <v>5.5809999999999998E-2</v>
      </c>
      <c r="J441">
        <v>2.087E-2</v>
      </c>
      <c r="K441">
        <v>2.6519999999999998E-2</v>
      </c>
      <c r="L441">
        <v>0.15890000000000001</v>
      </c>
      <c r="M441">
        <v>5.586E-2</v>
      </c>
      <c r="N441">
        <v>0.2142</v>
      </c>
      <c r="O441">
        <v>0.65490000000000004</v>
      </c>
      <c r="P441">
        <v>1.6060000000000001</v>
      </c>
      <c r="Q441">
        <v>19.25</v>
      </c>
      <c r="R441">
        <v>4.8370000000000002E-3</v>
      </c>
      <c r="S441">
        <v>9.2379999999999997E-3</v>
      </c>
      <c r="T441">
        <v>9.2130000000000007E-3</v>
      </c>
      <c r="U441">
        <v>1.076E-2</v>
      </c>
      <c r="V441">
        <v>1.171E-2</v>
      </c>
      <c r="W441">
        <v>2.104E-3</v>
      </c>
      <c r="X441">
        <v>14.91</v>
      </c>
      <c r="Y441">
        <v>19.309999999999999</v>
      </c>
      <c r="Z441">
        <v>96.53</v>
      </c>
      <c r="AA441">
        <v>688.9</v>
      </c>
      <c r="AB441">
        <v>0.10340000000000001</v>
      </c>
      <c r="AC441">
        <v>0.1017</v>
      </c>
      <c r="AD441">
        <v>6.2600000000000003E-2</v>
      </c>
      <c r="AE441">
        <v>8.2159999999999997E-2</v>
      </c>
      <c r="AF441">
        <v>0.21360000000000001</v>
      </c>
      <c r="AG441">
        <v>6.7100000000000007E-2</v>
      </c>
    </row>
    <row r="442" spans="1:33">
      <c r="A442">
        <v>441</v>
      </c>
      <c r="B442">
        <v>909411</v>
      </c>
      <c r="C442" t="s">
        <v>1</v>
      </c>
      <c r="D442">
        <v>13.71</v>
      </c>
      <c r="E442">
        <v>17.2</v>
      </c>
      <c r="F442">
        <v>71.73</v>
      </c>
      <c r="G442">
        <v>371.5</v>
      </c>
      <c r="H442">
        <v>8.9149999999999993E-2</v>
      </c>
      <c r="I442">
        <v>0.1113</v>
      </c>
      <c r="J442">
        <v>9.4570000000000001E-2</v>
      </c>
      <c r="K442">
        <v>3.6130000000000002E-2</v>
      </c>
      <c r="L442">
        <v>0.1489</v>
      </c>
      <c r="M442">
        <v>6.6400000000000001E-2</v>
      </c>
      <c r="N442">
        <v>0.25740000000000002</v>
      </c>
      <c r="O442">
        <v>1.3759999999999999</v>
      </c>
      <c r="P442">
        <v>2.806</v>
      </c>
      <c r="Q442">
        <v>18.149999999999999</v>
      </c>
      <c r="R442">
        <v>8.5649999999999997E-3</v>
      </c>
      <c r="S442">
        <v>4.6379999999999998E-2</v>
      </c>
      <c r="T442">
        <v>6.4299999999999996E-2</v>
      </c>
      <c r="U442">
        <v>1.7680000000000001E-2</v>
      </c>
      <c r="V442">
        <v>1.516E-2</v>
      </c>
      <c r="W442">
        <v>4.9760000000000004E-3</v>
      </c>
      <c r="X442">
        <v>12.36</v>
      </c>
      <c r="Y442">
        <v>26.87</v>
      </c>
      <c r="Z442">
        <v>90.14</v>
      </c>
      <c r="AA442">
        <v>476.4</v>
      </c>
      <c r="AB442">
        <v>0.1391</v>
      </c>
      <c r="AC442">
        <v>0.40820000000000001</v>
      </c>
      <c r="AD442">
        <v>0.47789999999999999</v>
      </c>
      <c r="AE442">
        <v>0.1555</v>
      </c>
      <c r="AF442">
        <v>0.254</v>
      </c>
      <c r="AG442">
        <v>9.5320000000000002E-2</v>
      </c>
    </row>
    <row r="443" spans="1:33">
      <c r="A443">
        <v>442</v>
      </c>
      <c r="B443">
        <v>909445</v>
      </c>
      <c r="C443" t="s">
        <v>0</v>
      </c>
      <c r="D443">
        <v>13.71</v>
      </c>
      <c r="E443">
        <v>25.42</v>
      </c>
      <c r="F443">
        <v>112.4</v>
      </c>
      <c r="G443">
        <v>928.8</v>
      </c>
      <c r="H443">
        <v>8.3309999999999995E-2</v>
      </c>
      <c r="I443">
        <v>0.1109</v>
      </c>
      <c r="J443">
        <v>0.12039999999999999</v>
      </c>
      <c r="K443">
        <v>5.7360000000000001E-2</v>
      </c>
      <c r="L443">
        <v>0.1467</v>
      </c>
      <c r="M443">
        <v>5.407E-2</v>
      </c>
      <c r="N443">
        <v>0.51</v>
      </c>
      <c r="O443">
        <v>1.679</v>
      </c>
      <c r="P443">
        <v>3.2829999999999999</v>
      </c>
      <c r="Q443">
        <v>58.38</v>
      </c>
      <c r="R443">
        <v>8.1089999999999999E-3</v>
      </c>
      <c r="S443">
        <v>4.308E-2</v>
      </c>
      <c r="T443">
        <v>4.9419999999999999E-2</v>
      </c>
      <c r="U443">
        <v>1.7420000000000001E-2</v>
      </c>
      <c r="V443">
        <v>1.5939999999999999E-2</v>
      </c>
      <c r="W443">
        <v>3.7390000000000001E-3</v>
      </c>
      <c r="X443">
        <v>20.38</v>
      </c>
      <c r="Y443">
        <v>35.46</v>
      </c>
      <c r="Z443">
        <v>132.80000000000001</v>
      </c>
      <c r="AA443">
        <v>1284</v>
      </c>
      <c r="AB443">
        <v>0.14360000000000001</v>
      </c>
      <c r="AC443">
        <v>0.41220000000000001</v>
      </c>
      <c r="AD443">
        <v>0.50360000000000005</v>
      </c>
      <c r="AE443">
        <v>0.1739</v>
      </c>
      <c r="AF443">
        <v>0.25</v>
      </c>
      <c r="AG443">
        <v>7.9439999999999997E-2</v>
      </c>
    </row>
    <row r="444" spans="1:33">
      <c r="A444">
        <v>443</v>
      </c>
      <c r="B444">
        <v>90944601</v>
      </c>
      <c r="C444" t="s">
        <v>1</v>
      </c>
      <c r="D444">
        <v>13.71</v>
      </c>
      <c r="E444">
        <v>15.79</v>
      </c>
      <c r="F444">
        <v>88.37</v>
      </c>
      <c r="G444">
        <v>585.9</v>
      </c>
      <c r="H444">
        <v>8.8169999999999998E-2</v>
      </c>
      <c r="I444">
        <v>6.7180000000000004E-2</v>
      </c>
      <c r="J444">
        <v>1.055E-2</v>
      </c>
      <c r="K444">
        <v>9.9369999999999997E-3</v>
      </c>
      <c r="L444">
        <v>0.14050000000000001</v>
      </c>
      <c r="M444">
        <v>5.8479999999999997E-2</v>
      </c>
      <c r="N444">
        <v>0.35630000000000001</v>
      </c>
      <c r="O444">
        <v>0.48330000000000001</v>
      </c>
      <c r="P444">
        <v>2.2349999999999999</v>
      </c>
      <c r="Q444">
        <v>29.34</v>
      </c>
      <c r="R444">
        <v>6.4320000000000002E-3</v>
      </c>
      <c r="S444">
        <v>1.1560000000000001E-2</v>
      </c>
      <c r="T444">
        <v>7.7409999999999996E-3</v>
      </c>
      <c r="U444">
        <v>5.6569999999999997E-3</v>
      </c>
      <c r="V444">
        <v>1.227E-2</v>
      </c>
      <c r="W444">
        <v>2.5639999999999999E-3</v>
      </c>
      <c r="X444">
        <v>15.27</v>
      </c>
      <c r="Y444">
        <v>17.5</v>
      </c>
      <c r="Z444">
        <v>97.9</v>
      </c>
      <c r="AA444">
        <v>706.6</v>
      </c>
      <c r="AB444">
        <v>0.1072</v>
      </c>
      <c r="AC444">
        <v>0.1071</v>
      </c>
      <c r="AD444">
        <v>3.517E-2</v>
      </c>
      <c r="AE444">
        <v>3.3119999999999997E-2</v>
      </c>
      <c r="AF444">
        <v>0.18590000000000001</v>
      </c>
      <c r="AG444">
        <v>6.8099999999999994E-2</v>
      </c>
    </row>
    <row r="445" spans="1:33">
      <c r="A445">
        <v>444</v>
      </c>
      <c r="B445">
        <v>909777</v>
      </c>
      <c r="C445" t="s">
        <v>1</v>
      </c>
      <c r="D445">
        <v>13.71</v>
      </c>
      <c r="E445">
        <v>18.32</v>
      </c>
      <c r="F445">
        <v>66.819999999999993</v>
      </c>
      <c r="G445">
        <v>340.9</v>
      </c>
      <c r="H445">
        <v>8.1420000000000006E-2</v>
      </c>
      <c r="I445">
        <v>4.462E-2</v>
      </c>
      <c r="J445">
        <v>1.993E-2</v>
      </c>
      <c r="K445">
        <v>1.111E-2</v>
      </c>
      <c r="L445">
        <v>0.23719999999999999</v>
      </c>
      <c r="M445">
        <v>5.7680000000000002E-2</v>
      </c>
      <c r="N445">
        <v>0.18179999999999999</v>
      </c>
      <c r="O445">
        <v>2.5419999999999998</v>
      </c>
      <c r="P445">
        <v>1.2769999999999999</v>
      </c>
      <c r="Q445">
        <v>13.12</v>
      </c>
      <c r="R445">
        <v>1.072E-2</v>
      </c>
      <c r="S445">
        <v>1.3310000000000001E-2</v>
      </c>
      <c r="T445">
        <v>1.993E-2</v>
      </c>
      <c r="U445">
        <v>1.111E-2</v>
      </c>
      <c r="V445">
        <v>1.7170000000000001E-2</v>
      </c>
      <c r="W445">
        <v>4.4920000000000003E-3</v>
      </c>
      <c r="X445">
        <v>10.94</v>
      </c>
      <c r="Y445">
        <v>23.31</v>
      </c>
      <c r="Z445">
        <v>69.349999999999994</v>
      </c>
      <c r="AA445">
        <v>366.3</v>
      </c>
      <c r="AB445">
        <v>9.7939999999999999E-2</v>
      </c>
      <c r="AC445">
        <v>6.5420000000000006E-2</v>
      </c>
      <c r="AD445">
        <v>3.986E-2</v>
      </c>
      <c r="AE445">
        <v>2.222E-2</v>
      </c>
      <c r="AF445">
        <v>0.26989999999999997</v>
      </c>
      <c r="AG445">
        <v>6.7360000000000003E-2</v>
      </c>
    </row>
    <row r="446" spans="1:33">
      <c r="A446">
        <v>445</v>
      </c>
      <c r="B446">
        <v>9110127</v>
      </c>
      <c r="C446" t="s">
        <v>0</v>
      </c>
      <c r="D446">
        <v>13.71</v>
      </c>
      <c r="E446">
        <v>16.850000000000001</v>
      </c>
      <c r="F446">
        <v>117.5</v>
      </c>
      <c r="G446">
        <v>990</v>
      </c>
      <c r="H446">
        <v>8.9469999999999994E-2</v>
      </c>
      <c r="I446">
        <v>0.1232</v>
      </c>
      <c r="J446">
        <v>0.109</v>
      </c>
      <c r="K446">
        <v>6.2539999999999998E-2</v>
      </c>
      <c r="L446">
        <v>0.17199999999999999</v>
      </c>
      <c r="M446">
        <v>5.7799999999999997E-2</v>
      </c>
      <c r="N446">
        <v>0.29859999999999998</v>
      </c>
      <c r="O446">
        <v>0.59060000000000001</v>
      </c>
      <c r="P446">
        <v>1.921</v>
      </c>
      <c r="Q446">
        <v>35.770000000000003</v>
      </c>
      <c r="R446">
        <v>4.117E-3</v>
      </c>
      <c r="S446">
        <v>1.5599999999999999E-2</v>
      </c>
      <c r="T446">
        <v>2.9749999999999999E-2</v>
      </c>
      <c r="U446">
        <v>9.7529999999999995E-3</v>
      </c>
      <c r="V446">
        <v>1.295E-2</v>
      </c>
      <c r="W446">
        <v>2.4359999999999998E-3</v>
      </c>
      <c r="X446">
        <v>20.38</v>
      </c>
      <c r="Y446">
        <v>22.02</v>
      </c>
      <c r="Z446">
        <v>133.30000000000001</v>
      </c>
      <c r="AA446">
        <v>1292</v>
      </c>
      <c r="AB446">
        <v>0.1263</v>
      </c>
      <c r="AC446">
        <v>0.2666</v>
      </c>
      <c r="AD446">
        <v>0.42899999999999999</v>
      </c>
      <c r="AE446">
        <v>0.1535</v>
      </c>
      <c r="AF446">
        <v>0.28420000000000001</v>
      </c>
      <c r="AG446">
        <v>8.2250000000000004E-2</v>
      </c>
    </row>
    <row r="447" spans="1:33">
      <c r="A447">
        <v>446</v>
      </c>
      <c r="B447">
        <v>9110720</v>
      </c>
      <c r="C447" t="s">
        <v>1</v>
      </c>
      <c r="D447">
        <v>13.71</v>
      </c>
      <c r="E447">
        <v>24.89</v>
      </c>
      <c r="F447">
        <v>77.61</v>
      </c>
      <c r="G447">
        <v>441.3</v>
      </c>
      <c r="H447">
        <v>0.10299999999999999</v>
      </c>
      <c r="I447">
        <v>9.2179999999999998E-2</v>
      </c>
      <c r="J447">
        <v>5.441E-2</v>
      </c>
      <c r="K447">
        <v>4.274E-2</v>
      </c>
      <c r="L447">
        <v>0.182</v>
      </c>
      <c r="M447">
        <v>6.8500000000000005E-2</v>
      </c>
      <c r="N447">
        <v>0.26229999999999998</v>
      </c>
      <c r="O447">
        <v>1.204</v>
      </c>
      <c r="P447">
        <v>1.865</v>
      </c>
      <c r="Q447">
        <v>19.39</v>
      </c>
      <c r="R447">
        <v>8.3199999999999993E-3</v>
      </c>
      <c r="S447">
        <v>2.0250000000000001E-2</v>
      </c>
      <c r="T447">
        <v>2.334E-2</v>
      </c>
      <c r="U447">
        <v>1.6650000000000002E-2</v>
      </c>
      <c r="V447">
        <v>2.094E-2</v>
      </c>
      <c r="W447">
        <v>3.6740000000000002E-3</v>
      </c>
      <c r="X447">
        <v>12.98</v>
      </c>
      <c r="Y447">
        <v>30.36</v>
      </c>
      <c r="Z447">
        <v>84.48</v>
      </c>
      <c r="AA447">
        <v>513.9</v>
      </c>
      <c r="AB447">
        <v>0.13109999999999999</v>
      </c>
      <c r="AC447">
        <v>0.1822</v>
      </c>
      <c r="AD447">
        <v>0.16089999999999999</v>
      </c>
      <c r="AE447">
        <v>0.1202</v>
      </c>
      <c r="AF447">
        <v>0.25990000000000002</v>
      </c>
      <c r="AG447">
        <v>8.251E-2</v>
      </c>
    </row>
    <row r="448" spans="1:33">
      <c r="A448">
        <v>447</v>
      </c>
      <c r="B448">
        <v>9110732</v>
      </c>
      <c r="C448" t="s">
        <v>0</v>
      </c>
      <c r="D448">
        <v>13.71</v>
      </c>
      <c r="E448">
        <v>28.03</v>
      </c>
      <c r="F448">
        <v>117.3</v>
      </c>
      <c r="G448">
        <v>981.6</v>
      </c>
      <c r="H448">
        <v>9.9970000000000003E-2</v>
      </c>
      <c r="I448">
        <v>0.13139999999999999</v>
      </c>
      <c r="J448">
        <v>0.16980000000000001</v>
      </c>
      <c r="K448">
        <v>8.2930000000000004E-2</v>
      </c>
      <c r="L448">
        <v>0.17130000000000001</v>
      </c>
      <c r="M448">
        <v>5.9159999999999997E-2</v>
      </c>
      <c r="N448">
        <v>0.38969999999999999</v>
      </c>
      <c r="O448">
        <v>1.077</v>
      </c>
      <c r="P448">
        <v>2.8730000000000002</v>
      </c>
      <c r="Q448">
        <v>43.95</v>
      </c>
      <c r="R448">
        <v>4.7140000000000003E-3</v>
      </c>
      <c r="S448">
        <v>2.0150000000000001E-2</v>
      </c>
      <c r="T448">
        <v>3.6970000000000003E-2</v>
      </c>
      <c r="U448">
        <v>1.11E-2</v>
      </c>
      <c r="V448">
        <v>1.2370000000000001E-2</v>
      </c>
      <c r="W448">
        <v>2.5560000000000001E-3</v>
      </c>
      <c r="X448">
        <v>21.53</v>
      </c>
      <c r="Y448">
        <v>38.54</v>
      </c>
      <c r="Z448">
        <v>145.4</v>
      </c>
      <c r="AA448">
        <v>1437</v>
      </c>
      <c r="AB448">
        <v>0.1401</v>
      </c>
      <c r="AC448">
        <v>0.37619999999999998</v>
      </c>
      <c r="AD448">
        <v>0.63990000000000002</v>
      </c>
      <c r="AE448">
        <v>0.19700000000000001</v>
      </c>
      <c r="AF448">
        <v>0.29720000000000002</v>
      </c>
      <c r="AG448">
        <v>9.0749999999999997E-2</v>
      </c>
    </row>
    <row r="449" spans="1:33">
      <c r="A449">
        <v>448</v>
      </c>
      <c r="B449">
        <v>9110944</v>
      </c>
      <c r="C449" t="s">
        <v>1</v>
      </c>
      <c r="D449">
        <v>13.71</v>
      </c>
      <c r="E449">
        <v>17.66</v>
      </c>
      <c r="F449">
        <v>95.88</v>
      </c>
      <c r="G449">
        <v>674.8</v>
      </c>
      <c r="H449">
        <v>9.1789999999999997E-2</v>
      </c>
      <c r="I449">
        <v>8.8900000000000007E-2</v>
      </c>
      <c r="J449">
        <v>4.0689999999999997E-2</v>
      </c>
      <c r="K449">
        <v>2.2599999999999999E-2</v>
      </c>
      <c r="L449">
        <v>0.1893</v>
      </c>
      <c r="M449">
        <v>5.8860000000000003E-2</v>
      </c>
      <c r="N449">
        <v>0.22040000000000001</v>
      </c>
      <c r="O449">
        <v>0.62209999999999999</v>
      </c>
      <c r="P449">
        <v>1.482</v>
      </c>
      <c r="Q449">
        <v>19.75</v>
      </c>
      <c r="R449">
        <v>4.7959999999999999E-3</v>
      </c>
      <c r="S449">
        <v>1.171E-2</v>
      </c>
      <c r="T449">
        <v>1.7579999999999998E-2</v>
      </c>
      <c r="U449">
        <v>6.8970000000000004E-3</v>
      </c>
      <c r="V449">
        <v>2.2540000000000001E-2</v>
      </c>
      <c r="W449">
        <v>1.9710000000000001E-3</v>
      </c>
      <c r="X449">
        <v>16.43</v>
      </c>
      <c r="Y449">
        <v>22.74</v>
      </c>
      <c r="Z449">
        <v>105.9</v>
      </c>
      <c r="AA449">
        <v>829.5</v>
      </c>
      <c r="AB449">
        <v>0.1226</v>
      </c>
      <c r="AC449">
        <v>0.18809999999999999</v>
      </c>
      <c r="AD449">
        <v>0.20599999999999999</v>
      </c>
      <c r="AE449">
        <v>8.3080000000000001E-2</v>
      </c>
      <c r="AF449">
        <v>0.36</v>
      </c>
      <c r="AG449">
        <v>7.2849999999999998E-2</v>
      </c>
    </row>
    <row r="450" spans="1:33">
      <c r="A450">
        <v>449</v>
      </c>
      <c r="B450">
        <v>911150</v>
      </c>
      <c r="C450" t="s">
        <v>1</v>
      </c>
      <c r="D450">
        <v>13.71</v>
      </c>
      <c r="E450">
        <v>19.34</v>
      </c>
      <c r="F450">
        <v>94.25</v>
      </c>
      <c r="G450">
        <v>659.7</v>
      </c>
      <c r="H450">
        <v>8.3879999999999996E-2</v>
      </c>
      <c r="I450">
        <v>7.8E-2</v>
      </c>
      <c r="J450">
        <v>8.8169999999999998E-2</v>
      </c>
      <c r="K450">
        <v>2.9250000000000002E-2</v>
      </c>
      <c r="L450">
        <v>0.14729999999999999</v>
      </c>
      <c r="M450">
        <v>5.7459999999999997E-2</v>
      </c>
      <c r="N450">
        <v>0.2535</v>
      </c>
      <c r="O450">
        <v>1.3540000000000001</v>
      </c>
      <c r="P450">
        <v>1.994</v>
      </c>
      <c r="Q450">
        <v>23.04</v>
      </c>
      <c r="R450">
        <v>4.1469999999999996E-3</v>
      </c>
      <c r="S450">
        <v>2.0480000000000002E-2</v>
      </c>
      <c r="T450">
        <v>3.3790000000000001E-2</v>
      </c>
      <c r="U450">
        <v>8.848E-3</v>
      </c>
      <c r="V450">
        <v>1.3939999999999999E-2</v>
      </c>
      <c r="W450">
        <v>2.3270000000000001E-3</v>
      </c>
      <c r="X450">
        <v>16.3</v>
      </c>
      <c r="Y450">
        <v>28.39</v>
      </c>
      <c r="Z450">
        <v>108.1</v>
      </c>
      <c r="AA450">
        <v>830.5</v>
      </c>
      <c r="AB450">
        <v>0.1089</v>
      </c>
      <c r="AC450">
        <v>0.26490000000000002</v>
      </c>
      <c r="AD450">
        <v>0.37790000000000001</v>
      </c>
      <c r="AE450">
        <v>9.5939999999999998E-2</v>
      </c>
      <c r="AF450">
        <v>0.24709999999999999</v>
      </c>
      <c r="AG450">
        <v>7.4630000000000002E-2</v>
      </c>
    </row>
    <row r="451" spans="1:33">
      <c r="A451">
        <v>450</v>
      </c>
      <c r="B451">
        <v>911157302</v>
      </c>
      <c r="C451" t="s">
        <v>0</v>
      </c>
      <c r="D451">
        <v>13.71</v>
      </c>
      <c r="E451">
        <v>20.52</v>
      </c>
      <c r="F451">
        <v>138.1</v>
      </c>
      <c r="G451">
        <v>1384</v>
      </c>
      <c r="H451">
        <v>9.6839999999999996E-2</v>
      </c>
      <c r="I451">
        <v>0.11749999999999999</v>
      </c>
      <c r="J451">
        <v>0.15720000000000001</v>
      </c>
      <c r="K451">
        <v>0.11550000000000001</v>
      </c>
      <c r="L451">
        <v>0.15540000000000001</v>
      </c>
      <c r="M451">
        <v>5.6610000000000001E-2</v>
      </c>
      <c r="N451">
        <v>0.6643</v>
      </c>
      <c r="O451">
        <v>1.361</v>
      </c>
      <c r="P451">
        <v>4.5419999999999998</v>
      </c>
      <c r="Q451">
        <v>81.89</v>
      </c>
      <c r="R451">
        <v>5.4669999999999996E-3</v>
      </c>
      <c r="S451">
        <v>2.0750000000000001E-2</v>
      </c>
      <c r="T451">
        <v>3.1850000000000003E-2</v>
      </c>
      <c r="U451">
        <v>1.4659999999999999E-2</v>
      </c>
      <c r="V451">
        <v>1.0290000000000001E-2</v>
      </c>
      <c r="W451">
        <v>2.2049999999999999E-3</v>
      </c>
      <c r="X451">
        <v>25.68</v>
      </c>
      <c r="Y451">
        <v>32.07</v>
      </c>
      <c r="Z451">
        <v>168.2</v>
      </c>
      <c r="AA451">
        <v>2022</v>
      </c>
      <c r="AB451">
        <v>0.1368</v>
      </c>
      <c r="AC451">
        <v>0.31009999999999999</v>
      </c>
      <c r="AD451">
        <v>0.43990000000000001</v>
      </c>
      <c r="AE451">
        <v>0.22800000000000001</v>
      </c>
      <c r="AF451">
        <v>0.2268</v>
      </c>
      <c r="AG451">
        <v>7.4249999999999997E-2</v>
      </c>
    </row>
    <row r="452" spans="1:33">
      <c r="A452">
        <v>451</v>
      </c>
      <c r="B452">
        <v>9111596</v>
      </c>
      <c r="C452" t="s">
        <v>1</v>
      </c>
      <c r="D452">
        <v>13.71</v>
      </c>
      <c r="E452">
        <v>21.54</v>
      </c>
      <c r="F452">
        <v>76.83</v>
      </c>
      <c r="G452">
        <v>432</v>
      </c>
      <c r="H452">
        <v>6.6129999999999994E-2</v>
      </c>
      <c r="I452">
        <v>0.10639999999999999</v>
      </c>
      <c r="J452">
        <v>8.7770000000000001E-2</v>
      </c>
      <c r="K452">
        <v>2.3859999999999999E-2</v>
      </c>
      <c r="L452">
        <v>0.13489999999999999</v>
      </c>
      <c r="M452">
        <v>6.6119999999999998E-2</v>
      </c>
      <c r="N452">
        <v>0.25600000000000001</v>
      </c>
      <c r="O452">
        <v>1.554</v>
      </c>
      <c r="P452">
        <v>1.9550000000000001</v>
      </c>
      <c r="Q452">
        <v>20.239999999999998</v>
      </c>
      <c r="R452">
        <v>6.8539999999999998E-3</v>
      </c>
      <c r="S452">
        <v>6.0630000000000003E-2</v>
      </c>
      <c r="T452">
        <v>6.6629999999999995E-2</v>
      </c>
      <c r="U452">
        <v>1.553E-2</v>
      </c>
      <c r="V452">
        <v>2.3539999999999998E-2</v>
      </c>
      <c r="W452">
        <v>8.9250000000000006E-3</v>
      </c>
      <c r="X452">
        <v>12.79</v>
      </c>
      <c r="Y452">
        <v>28.18</v>
      </c>
      <c r="Z452">
        <v>83.51</v>
      </c>
      <c r="AA452">
        <v>507.2</v>
      </c>
      <c r="AB452">
        <v>9.4570000000000001E-2</v>
      </c>
      <c r="AC452">
        <v>0.33989999999999998</v>
      </c>
      <c r="AD452">
        <v>0.32179999999999997</v>
      </c>
      <c r="AE452">
        <v>8.7499999999999994E-2</v>
      </c>
      <c r="AF452">
        <v>0.23050000000000001</v>
      </c>
      <c r="AG452">
        <v>9.9519999999999997E-2</v>
      </c>
    </row>
    <row r="453" spans="1:33">
      <c r="A453">
        <v>452</v>
      </c>
      <c r="B453">
        <v>9111805</v>
      </c>
      <c r="C453" t="s">
        <v>0</v>
      </c>
      <c r="D453">
        <v>13.71</v>
      </c>
      <c r="E453">
        <v>25</v>
      </c>
      <c r="F453">
        <v>127.7</v>
      </c>
      <c r="G453">
        <v>1191</v>
      </c>
      <c r="H453">
        <v>0.1032</v>
      </c>
      <c r="I453">
        <v>9.8710000000000006E-2</v>
      </c>
      <c r="J453">
        <v>0.16550000000000001</v>
      </c>
      <c r="K453">
        <v>9.0630000000000002E-2</v>
      </c>
      <c r="L453">
        <v>0.1663</v>
      </c>
      <c r="M453">
        <v>5.391E-2</v>
      </c>
      <c r="N453">
        <v>0.46739999999999998</v>
      </c>
      <c r="O453">
        <v>1.375</v>
      </c>
      <c r="P453">
        <v>2.9159999999999999</v>
      </c>
      <c r="Q453">
        <v>56.18</v>
      </c>
      <c r="R453">
        <v>1.1900000000000001E-2</v>
      </c>
      <c r="S453">
        <v>1.9290000000000002E-2</v>
      </c>
      <c r="T453">
        <v>4.9070000000000003E-2</v>
      </c>
      <c r="U453">
        <v>1.499E-2</v>
      </c>
      <c r="V453">
        <v>1.6410000000000001E-2</v>
      </c>
      <c r="W453">
        <v>1.807E-3</v>
      </c>
      <c r="X453">
        <v>21.44</v>
      </c>
      <c r="Y453">
        <v>30.96</v>
      </c>
      <c r="Z453">
        <v>139.80000000000001</v>
      </c>
      <c r="AA453">
        <v>1421</v>
      </c>
      <c r="AB453">
        <v>0.15279999999999999</v>
      </c>
      <c r="AC453">
        <v>0.1845</v>
      </c>
      <c r="AD453">
        <v>0.3977</v>
      </c>
      <c r="AE453">
        <v>0.14660000000000001</v>
      </c>
      <c r="AF453">
        <v>0.2293</v>
      </c>
      <c r="AG453">
        <v>6.0909999999999999E-2</v>
      </c>
    </row>
    <row r="454" spans="1:33">
      <c r="A454">
        <v>453</v>
      </c>
      <c r="B454">
        <v>9111843</v>
      </c>
      <c r="C454" t="s">
        <v>1</v>
      </c>
      <c r="D454">
        <v>13.71</v>
      </c>
      <c r="E454">
        <v>28.23</v>
      </c>
      <c r="F454">
        <v>76.77</v>
      </c>
      <c r="G454">
        <v>442.5</v>
      </c>
      <c r="H454">
        <v>8.4370000000000001E-2</v>
      </c>
      <c r="I454">
        <v>6.4500000000000002E-2</v>
      </c>
      <c r="J454">
        <v>4.0550000000000003E-2</v>
      </c>
      <c r="K454">
        <v>1.9449999999999999E-2</v>
      </c>
      <c r="L454">
        <v>0.1615</v>
      </c>
      <c r="M454">
        <v>6.1039999999999997E-2</v>
      </c>
      <c r="N454">
        <v>0.19120000000000001</v>
      </c>
      <c r="O454">
        <v>1.7050000000000001</v>
      </c>
      <c r="P454">
        <v>1.516</v>
      </c>
      <c r="Q454">
        <v>13.86</v>
      </c>
      <c r="R454">
        <v>7.3340000000000002E-3</v>
      </c>
      <c r="S454">
        <v>2.589E-2</v>
      </c>
      <c r="T454">
        <v>2.9409999999999999E-2</v>
      </c>
      <c r="U454">
        <v>9.1660000000000005E-3</v>
      </c>
      <c r="V454">
        <v>1.745E-2</v>
      </c>
      <c r="W454">
        <v>4.3020000000000003E-3</v>
      </c>
      <c r="X454">
        <v>13.09</v>
      </c>
      <c r="Y454">
        <v>37.880000000000003</v>
      </c>
      <c r="Z454">
        <v>85.07</v>
      </c>
      <c r="AA454">
        <v>523.70000000000005</v>
      </c>
      <c r="AB454">
        <v>0.1208</v>
      </c>
      <c r="AC454">
        <v>0.18559999999999999</v>
      </c>
      <c r="AD454">
        <v>0.18110000000000001</v>
      </c>
      <c r="AE454">
        <v>7.1160000000000001E-2</v>
      </c>
      <c r="AF454">
        <v>0.2447</v>
      </c>
      <c r="AG454">
        <v>8.1939999999999999E-2</v>
      </c>
    </row>
    <row r="455" spans="1:33">
      <c r="A455">
        <v>454</v>
      </c>
      <c r="B455">
        <v>911201</v>
      </c>
      <c r="C455" t="s">
        <v>1</v>
      </c>
      <c r="D455">
        <v>13.71</v>
      </c>
      <c r="E455">
        <v>13.98</v>
      </c>
      <c r="F455">
        <v>93.86</v>
      </c>
      <c r="G455">
        <v>644.20000000000005</v>
      </c>
      <c r="H455">
        <v>0.1099</v>
      </c>
      <c r="I455">
        <v>9.2420000000000002E-2</v>
      </c>
      <c r="J455">
        <v>6.8949999999999997E-2</v>
      </c>
      <c r="K455">
        <v>6.4949999999999994E-2</v>
      </c>
      <c r="L455">
        <v>0.16500000000000001</v>
      </c>
      <c r="M455">
        <v>6.1210000000000001E-2</v>
      </c>
      <c r="N455">
        <v>0.30599999999999999</v>
      </c>
      <c r="O455">
        <v>0.72130000000000005</v>
      </c>
      <c r="P455">
        <v>2.1429999999999998</v>
      </c>
      <c r="Q455">
        <v>25.7</v>
      </c>
      <c r="R455">
        <v>6.1330000000000004E-3</v>
      </c>
      <c r="S455">
        <v>1.251E-2</v>
      </c>
      <c r="T455">
        <v>1.6150000000000001E-2</v>
      </c>
      <c r="U455">
        <v>1.136E-2</v>
      </c>
      <c r="V455">
        <v>2.2069999999999999E-2</v>
      </c>
      <c r="W455">
        <v>3.5630000000000002E-3</v>
      </c>
      <c r="X455">
        <v>15.8</v>
      </c>
      <c r="Y455">
        <v>16.93</v>
      </c>
      <c r="Z455">
        <v>103.1</v>
      </c>
      <c r="AA455">
        <v>749.9</v>
      </c>
      <c r="AB455">
        <v>0.13469999999999999</v>
      </c>
      <c r="AC455">
        <v>0.14779999999999999</v>
      </c>
      <c r="AD455">
        <v>0.13730000000000001</v>
      </c>
      <c r="AE455">
        <v>0.1069</v>
      </c>
      <c r="AF455">
        <v>0.2606</v>
      </c>
      <c r="AG455">
        <v>7.8100000000000003E-2</v>
      </c>
    </row>
    <row r="456" spans="1:33">
      <c r="A456">
        <v>455</v>
      </c>
      <c r="B456">
        <v>911202</v>
      </c>
      <c r="C456" t="s">
        <v>1</v>
      </c>
      <c r="D456">
        <v>13.71</v>
      </c>
      <c r="E456">
        <v>17.149999999999999</v>
      </c>
      <c r="F456">
        <v>80.62</v>
      </c>
      <c r="G456">
        <v>492.9</v>
      </c>
      <c r="H456">
        <v>8.5830000000000004E-2</v>
      </c>
      <c r="I456">
        <v>5.4300000000000001E-2</v>
      </c>
      <c r="J456">
        <v>2.9659999999999999E-2</v>
      </c>
      <c r="K456">
        <v>2.2720000000000001E-2</v>
      </c>
      <c r="L456">
        <v>0.1799</v>
      </c>
      <c r="M456">
        <v>5.8259999999999999E-2</v>
      </c>
      <c r="N456">
        <v>0.16919999999999999</v>
      </c>
      <c r="O456">
        <v>0.66739999999999999</v>
      </c>
      <c r="P456">
        <v>1.1160000000000001</v>
      </c>
      <c r="Q456">
        <v>13.32</v>
      </c>
      <c r="R456">
        <v>3.888E-3</v>
      </c>
      <c r="S456">
        <v>8.5389999999999997E-3</v>
      </c>
      <c r="T456">
        <v>1.256E-2</v>
      </c>
      <c r="U456">
        <v>6.888E-3</v>
      </c>
      <c r="V456">
        <v>1.6080000000000001E-2</v>
      </c>
      <c r="W456">
        <v>1.6379999999999999E-3</v>
      </c>
      <c r="X456">
        <v>14.34</v>
      </c>
      <c r="Y456">
        <v>22.15</v>
      </c>
      <c r="Z456">
        <v>91.62</v>
      </c>
      <c r="AA456">
        <v>633.5</v>
      </c>
      <c r="AB456">
        <v>0.1225</v>
      </c>
      <c r="AC456">
        <v>0.1517</v>
      </c>
      <c r="AD456">
        <v>0.18870000000000001</v>
      </c>
      <c r="AE456">
        <v>9.851E-2</v>
      </c>
      <c r="AF456">
        <v>0.32700000000000001</v>
      </c>
      <c r="AG456">
        <v>7.3300000000000004E-2</v>
      </c>
    </row>
    <row r="457" spans="1:33">
      <c r="A457">
        <v>456</v>
      </c>
      <c r="B457">
        <v>9112085</v>
      </c>
      <c r="C457" t="s">
        <v>1</v>
      </c>
      <c r="D457">
        <v>13.71</v>
      </c>
      <c r="E457">
        <v>30.72</v>
      </c>
      <c r="F457">
        <v>86.34</v>
      </c>
      <c r="G457">
        <v>557.20000000000005</v>
      </c>
      <c r="H457">
        <v>9.2450000000000004E-2</v>
      </c>
      <c r="I457">
        <v>7.4260000000000007E-2</v>
      </c>
      <c r="J457">
        <v>2.819E-2</v>
      </c>
      <c r="K457">
        <v>3.2640000000000002E-2</v>
      </c>
      <c r="L457">
        <v>0.13750000000000001</v>
      </c>
      <c r="M457">
        <v>6.0159999999999998E-2</v>
      </c>
      <c r="N457">
        <v>0.34079999999999999</v>
      </c>
      <c r="O457">
        <v>1.9239999999999999</v>
      </c>
      <c r="P457">
        <v>2.2869999999999999</v>
      </c>
      <c r="Q457">
        <v>28.93</v>
      </c>
      <c r="R457">
        <v>5.8409999999999998E-3</v>
      </c>
      <c r="S457">
        <v>1.2460000000000001E-2</v>
      </c>
      <c r="T457">
        <v>7.9360000000000003E-3</v>
      </c>
      <c r="U457">
        <v>9.1280000000000007E-3</v>
      </c>
      <c r="V457">
        <v>1.5640000000000001E-2</v>
      </c>
      <c r="W457">
        <v>2.9849999999999998E-3</v>
      </c>
      <c r="X457">
        <v>15.05</v>
      </c>
      <c r="Y457">
        <v>41.61</v>
      </c>
      <c r="Z457">
        <v>96.69</v>
      </c>
      <c r="AA457">
        <v>705.6</v>
      </c>
      <c r="AB457">
        <v>0.1172</v>
      </c>
      <c r="AC457">
        <v>0.1421</v>
      </c>
      <c r="AD457">
        <v>7.0029999999999995E-2</v>
      </c>
      <c r="AE457">
        <v>7.7630000000000005E-2</v>
      </c>
      <c r="AF457">
        <v>0.21959999999999999</v>
      </c>
      <c r="AG457">
        <v>7.6749999999999999E-2</v>
      </c>
    </row>
    <row r="458" spans="1:33">
      <c r="A458">
        <v>457</v>
      </c>
      <c r="B458">
        <v>9112366</v>
      </c>
      <c r="C458" t="s">
        <v>1</v>
      </c>
      <c r="D458">
        <v>13.71</v>
      </c>
      <c r="E458">
        <v>29.29</v>
      </c>
      <c r="F458">
        <v>74.87</v>
      </c>
      <c r="G458">
        <v>415.1</v>
      </c>
      <c r="H458">
        <v>9.357E-2</v>
      </c>
      <c r="I458">
        <v>8.5739999999999997E-2</v>
      </c>
      <c r="J458">
        <v>7.1599999999999997E-2</v>
      </c>
      <c r="K458">
        <v>2.017E-2</v>
      </c>
      <c r="L458">
        <v>0.1799</v>
      </c>
      <c r="M458">
        <v>6.166E-2</v>
      </c>
      <c r="N458">
        <v>0.3135</v>
      </c>
      <c r="O458">
        <v>2.4260000000000002</v>
      </c>
      <c r="P458">
        <v>2.15</v>
      </c>
      <c r="Q458">
        <v>23.13</v>
      </c>
      <c r="R458">
        <v>9.861E-3</v>
      </c>
      <c r="S458">
        <v>2.418E-2</v>
      </c>
      <c r="T458">
        <v>4.2750000000000003E-2</v>
      </c>
      <c r="U458">
        <v>9.2149999999999992E-3</v>
      </c>
      <c r="V458">
        <v>2.4750000000000001E-2</v>
      </c>
      <c r="W458">
        <v>2.1280000000000001E-3</v>
      </c>
      <c r="X458">
        <v>13.12</v>
      </c>
      <c r="Y458">
        <v>38.81</v>
      </c>
      <c r="Z458">
        <v>86.04</v>
      </c>
      <c r="AA458">
        <v>527.79999999999995</v>
      </c>
      <c r="AB458">
        <v>0.1406</v>
      </c>
      <c r="AC458">
        <v>0.2031</v>
      </c>
      <c r="AD458">
        <v>0.2923</v>
      </c>
      <c r="AE458">
        <v>6.8349999999999994E-2</v>
      </c>
      <c r="AF458">
        <v>0.28839999999999999</v>
      </c>
      <c r="AG458">
        <v>7.22E-2</v>
      </c>
    </row>
    <row r="459" spans="1:33">
      <c r="A459">
        <v>458</v>
      </c>
      <c r="B459">
        <v>9112367</v>
      </c>
      <c r="C459" t="s">
        <v>1</v>
      </c>
      <c r="D459">
        <v>13.71</v>
      </c>
      <c r="E459">
        <v>25.25</v>
      </c>
      <c r="F459">
        <v>84.1</v>
      </c>
      <c r="G459">
        <v>537.9</v>
      </c>
      <c r="H459">
        <v>8.7910000000000002E-2</v>
      </c>
      <c r="I459">
        <v>5.2049999999999999E-2</v>
      </c>
      <c r="J459">
        <v>2.7720000000000002E-2</v>
      </c>
      <c r="K459">
        <v>2.068E-2</v>
      </c>
      <c r="L459">
        <v>0.16189999999999999</v>
      </c>
      <c r="M459">
        <v>5.5840000000000001E-2</v>
      </c>
      <c r="N459">
        <v>0.2084</v>
      </c>
      <c r="O459">
        <v>1.35</v>
      </c>
      <c r="P459">
        <v>1.3140000000000001</v>
      </c>
      <c r="Q459">
        <v>17.579999999999998</v>
      </c>
      <c r="R459">
        <v>5.7679999999999997E-3</v>
      </c>
      <c r="S459">
        <v>8.0820000000000006E-3</v>
      </c>
      <c r="T459">
        <v>1.5100000000000001E-2</v>
      </c>
      <c r="U459">
        <v>6.4510000000000001E-3</v>
      </c>
      <c r="V459">
        <v>1.3469999999999999E-2</v>
      </c>
      <c r="W459">
        <v>1.828E-3</v>
      </c>
      <c r="X459">
        <v>14.35</v>
      </c>
      <c r="Y459">
        <v>34.229999999999997</v>
      </c>
      <c r="Z459">
        <v>91.29</v>
      </c>
      <c r="AA459">
        <v>632.9</v>
      </c>
      <c r="AB459">
        <v>0.12889999999999999</v>
      </c>
      <c r="AC459">
        <v>0.10630000000000001</v>
      </c>
      <c r="AD459">
        <v>0.13900000000000001</v>
      </c>
      <c r="AE459">
        <v>6.0049999999999999E-2</v>
      </c>
      <c r="AF459">
        <v>0.24440000000000001</v>
      </c>
      <c r="AG459">
        <v>6.7879999999999996E-2</v>
      </c>
    </row>
    <row r="460" spans="1:33">
      <c r="A460">
        <v>459</v>
      </c>
      <c r="B460">
        <v>9112594</v>
      </c>
      <c r="C460" t="s">
        <v>1</v>
      </c>
      <c r="D460">
        <v>13.71</v>
      </c>
      <c r="E460">
        <v>25.13</v>
      </c>
      <c r="F460">
        <v>82.61</v>
      </c>
      <c r="G460">
        <v>520.20000000000005</v>
      </c>
      <c r="H460">
        <v>8.3690000000000001E-2</v>
      </c>
      <c r="I460">
        <v>5.0729999999999997E-2</v>
      </c>
      <c r="J460">
        <v>1.206E-2</v>
      </c>
      <c r="K460">
        <v>1.762E-2</v>
      </c>
      <c r="L460">
        <v>0.16669999999999999</v>
      </c>
      <c r="M460">
        <v>5.4489999999999997E-2</v>
      </c>
      <c r="N460">
        <v>0.2621</v>
      </c>
      <c r="O460">
        <v>1.232</v>
      </c>
      <c r="P460">
        <v>1.657</v>
      </c>
      <c r="Q460">
        <v>21.19</v>
      </c>
      <c r="R460">
        <v>6.0540000000000004E-3</v>
      </c>
      <c r="S460">
        <v>8.9739999999999993E-3</v>
      </c>
      <c r="T460">
        <v>5.6810000000000003E-3</v>
      </c>
      <c r="U460">
        <v>6.3359999999999996E-3</v>
      </c>
      <c r="V460">
        <v>1.2149999999999999E-2</v>
      </c>
      <c r="W460">
        <v>1.5139999999999999E-3</v>
      </c>
      <c r="X460">
        <v>14.34</v>
      </c>
      <c r="Y460">
        <v>31.88</v>
      </c>
      <c r="Z460">
        <v>91.06</v>
      </c>
      <c r="AA460">
        <v>628.5</v>
      </c>
      <c r="AB460">
        <v>0.12180000000000001</v>
      </c>
      <c r="AC460">
        <v>0.10929999999999999</v>
      </c>
      <c r="AD460">
        <v>4.462E-2</v>
      </c>
      <c r="AE460">
        <v>5.9209999999999999E-2</v>
      </c>
      <c r="AF460">
        <v>0.2306</v>
      </c>
      <c r="AG460">
        <v>6.2909999999999994E-2</v>
      </c>
    </row>
    <row r="461" spans="1:33">
      <c r="A461">
        <v>460</v>
      </c>
      <c r="B461">
        <v>9112712</v>
      </c>
      <c r="C461" t="s">
        <v>1</v>
      </c>
      <c r="D461">
        <v>13.71</v>
      </c>
      <c r="E461">
        <v>28.2</v>
      </c>
      <c r="F461">
        <v>61.68</v>
      </c>
      <c r="G461">
        <v>290.89999999999998</v>
      </c>
      <c r="H461">
        <v>7.9839999999999994E-2</v>
      </c>
      <c r="I461">
        <v>4.6260000000000003E-2</v>
      </c>
      <c r="J461">
        <v>1.541E-2</v>
      </c>
      <c r="K461">
        <v>1.043E-2</v>
      </c>
      <c r="L461">
        <v>0.16209999999999999</v>
      </c>
      <c r="M461">
        <v>5.9520000000000003E-2</v>
      </c>
      <c r="N461">
        <v>0.17810000000000001</v>
      </c>
      <c r="O461">
        <v>1.6870000000000001</v>
      </c>
      <c r="P461">
        <v>1.2430000000000001</v>
      </c>
      <c r="Q461">
        <v>11.28</v>
      </c>
      <c r="R461">
        <v>6.5880000000000001E-3</v>
      </c>
      <c r="S461">
        <v>1.2699999999999999E-2</v>
      </c>
      <c r="T461">
        <v>1.4500000000000001E-2</v>
      </c>
      <c r="U461">
        <v>6.1040000000000001E-3</v>
      </c>
      <c r="V461">
        <v>1.5740000000000001E-2</v>
      </c>
      <c r="W461">
        <v>2.2680000000000001E-3</v>
      </c>
      <c r="X461">
        <v>10.67</v>
      </c>
      <c r="Y461">
        <v>36.92</v>
      </c>
      <c r="Z461">
        <v>68.03</v>
      </c>
      <c r="AA461">
        <v>349.9</v>
      </c>
      <c r="AB461">
        <v>0.111</v>
      </c>
      <c r="AC461">
        <v>0.1109</v>
      </c>
      <c r="AD461">
        <v>7.1900000000000006E-2</v>
      </c>
      <c r="AE461">
        <v>4.8660000000000002E-2</v>
      </c>
      <c r="AF461">
        <v>0.2321</v>
      </c>
      <c r="AG461">
        <v>7.2109999999999994E-2</v>
      </c>
    </row>
    <row r="462" spans="1:33">
      <c r="A462">
        <v>461</v>
      </c>
      <c r="B462">
        <v>911296201</v>
      </c>
      <c r="C462" t="s">
        <v>0</v>
      </c>
      <c r="D462">
        <v>13.71</v>
      </c>
      <c r="E462">
        <v>27.15</v>
      </c>
      <c r="F462">
        <v>111.2</v>
      </c>
      <c r="G462">
        <v>930.9</v>
      </c>
      <c r="H462">
        <v>9.8979999999999999E-2</v>
      </c>
      <c r="I462">
        <v>0.111</v>
      </c>
      <c r="J462">
        <v>0.1007</v>
      </c>
      <c r="K462">
        <v>6.4310000000000006E-2</v>
      </c>
      <c r="L462">
        <v>0.17929999999999999</v>
      </c>
      <c r="M462">
        <v>6.2810000000000005E-2</v>
      </c>
      <c r="N462">
        <v>0.92910000000000004</v>
      </c>
      <c r="O462">
        <v>1.1519999999999999</v>
      </c>
      <c r="P462">
        <v>6.0510000000000002</v>
      </c>
      <c r="Q462">
        <v>115.2</v>
      </c>
      <c r="R462">
        <v>8.7399999999999995E-3</v>
      </c>
      <c r="S462">
        <v>2.2190000000000001E-2</v>
      </c>
      <c r="T462">
        <v>2.7210000000000002E-2</v>
      </c>
      <c r="U462">
        <v>1.4579999999999999E-2</v>
      </c>
      <c r="V462">
        <v>2.0449999999999999E-2</v>
      </c>
      <c r="W462">
        <v>4.4169999999999999E-3</v>
      </c>
      <c r="X462">
        <v>22.96</v>
      </c>
      <c r="Y462">
        <v>34.49</v>
      </c>
      <c r="Z462">
        <v>152.1</v>
      </c>
      <c r="AA462">
        <v>1648</v>
      </c>
      <c r="AB462">
        <v>0.16</v>
      </c>
      <c r="AC462">
        <v>0.24440000000000001</v>
      </c>
      <c r="AD462">
        <v>0.26390000000000002</v>
      </c>
      <c r="AE462">
        <v>0.1555</v>
      </c>
      <c r="AF462">
        <v>0.30099999999999999</v>
      </c>
      <c r="AG462">
        <v>9.06E-2</v>
      </c>
    </row>
    <row r="463" spans="1:33">
      <c r="A463">
        <v>462</v>
      </c>
      <c r="B463">
        <v>911296202</v>
      </c>
      <c r="C463" t="s">
        <v>0</v>
      </c>
      <c r="D463">
        <v>13.71</v>
      </c>
      <c r="E463">
        <v>26.27</v>
      </c>
      <c r="F463">
        <v>186.9</v>
      </c>
      <c r="G463">
        <v>2501</v>
      </c>
      <c r="H463">
        <v>0.1084</v>
      </c>
      <c r="I463">
        <v>0.1988</v>
      </c>
      <c r="J463">
        <v>0.36349999999999999</v>
      </c>
      <c r="K463">
        <v>0.16889999999999999</v>
      </c>
      <c r="L463">
        <v>0.20610000000000001</v>
      </c>
      <c r="M463">
        <v>5.6230000000000002E-2</v>
      </c>
      <c r="N463">
        <v>2.5470000000000002</v>
      </c>
      <c r="O463">
        <v>1.306</v>
      </c>
      <c r="P463">
        <v>18.649999999999999</v>
      </c>
      <c r="Q463">
        <v>542.20000000000005</v>
      </c>
      <c r="R463">
        <v>7.6499999999999997E-3</v>
      </c>
      <c r="S463">
        <v>5.3740000000000003E-2</v>
      </c>
      <c r="T463">
        <v>8.0549999999999997E-2</v>
      </c>
      <c r="U463">
        <v>2.598E-2</v>
      </c>
      <c r="V463">
        <v>1.6969999999999999E-2</v>
      </c>
      <c r="W463">
        <v>4.5580000000000004E-3</v>
      </c>
      <c r="X463">
        <v>36.04</v>
      </c>
      <c r="Y463">
        <v>31.37</v>
      </c>
      <c r="Z463">
        <v>251.2</v>
      </c>
      <c r="AA463">
        <v>4254</v>
      </c>
      <c r="AB463">
        <v>0.13569999999999999</v>
      </c>
      <c r="AC463">
        <v>0.42559999999999998</v>
      </c>
      <c r="AD463">
        <v>0.68330000000000002</v>
      </c>
      <c r="AE463">
        <v>0.26250000000000001</v>
      </c>
      <c r="AF463">
        <v>0.2641</v>
      </c>
      <c r="AG463">
        <v>7.4270000000000003E-2</v>
      </c>
    </row>
    <row r="464" spans="1:33">
      <c r="A464">
        <v>463</v>
      </c>
      <c r="B464">
        <v>9113156</v>
      </c>
      <c r="C464" t="s">
        <v>1</v>
      </c>
      <c r="D464">
        <v>13.71</v>
      </c>
      <c r="E464">
        <v>26.99</v>
      </c>
      <c r="F464">
        <v>92.25</v>
      </c>
      <c r="G464">
        <v>646.1</v>
      </c>
      <c r="H464">
        <v>6.9949999999999998E-2</v>
      </c>
      <c r="I464">
        <v>5.2229999999999999E-2</v>
      </c>
      <c r="J464">
        <v>3.4759999999999999E-2</v>
      </c>
      <c r="K464">
        <v>1.737E-2</v>
      </c>
      <c r="L464">
        <v>0.17069999999999999</v>
      </c>
      <c r="M464">
        <v>5.4330000000000003E-2</v>
      </c>
      <c r="N464">
        <v>0.23150000000000001</v>
      </c>
      <c r="O464">
        <v>0.91120000000000001</v>
      </c>
      <c r="P464">
        <v>1.7270000000000001</v>
      </c>
      <c r="Q464">
        <v>20.52</v>
      </c>
      <c r="R464">
        <v>5.3559999999999997E-3</v>
      </c>
      <c r="S464">
        <v>1.6789999999999999E-2</v>
      </c>
      <c r="T464">
        <v>1.9709999999999998E-2</v>
      </c>
      <c r="U464">
        <v>6.3699999999999998E-3</v>
      </c>
      <c r="V464">
        <v>1.414E-2</v>
      </c>
      <c r="W464">
        <v>1.892E-3</v>
      </c>
      <c r="X464">
        <v>15.4</v>
      </c>
      <c r="Y464">
        <v>31.98</v>
      </c>
      <c r="Z464">
        <v>100.4</v>
      </c>
      <c r="AA464">
        <v>734.6</v>
      </c>
      <c r="AB464">
        <v>0.1017</v>
      </c>
      <c r="AC464">
        <v>0.14599999999999999</v>
      </c>
      <c r="AD464">
        <v>0.1472</v>
      </c>
      <c r="AE464">
        <v>5.5629999999999999E-2</v>
      </c>
      <c r="AF464">
        <v>0.23449999999999999</v>
      </c>
      <c r="AG464">
        <v>6.4640000000000003E-2</v>
      </c>
    </row>
    <row r="465" spans="1:33">
      <c r="A465">
        <v>464</v>
      </c>
      <c r="B465">
        <v>911320501</v>
      </c>
      <c r="C465" t="s">
        <v>1</v>
      </c>
      <c r="D465">
        <v>13.71</v>
      </c>
      <c r="E465">
        <v>18.36</v>
      </c>
      <c r="F465">
        <v>73.88</v>
      </c>
      <c r="G465">
        <v>412.7</v>
      </c>
      <c r="H465">
        <v>8.5080000000000003E-2</v>
      </c>
      <c r="I465">
        <v>5.8549999999999998E-2</v>
      </c>
      <c r="J465">
        <v>3.3669999999999999E-2</v>
      </c>
      <c r="K465">
        <v>1.7770000000000001E-2</v>
      </c>
      <c r="L465">
        <v>0.15160000000000001</v>
      </c>
      <c r="M465">
        <v>5.8590000000000003E-2</v>
      </c>
      <c r="N465">
        <v>0.18160000000000001</v>
      </c>
      <c r="O465">
        <v>0.76559999999999995</v>
      </c>
      <c r="P465">
        <v>1.3029999999999999</v>
      </c>
      <c r="Q465">
        <v>12.89</v>
      </c>
      <c r="R465">
        <v>6.7089999999999997E-3</v>
      </c>
      <c r="S465">
        <v>1.7010000000000001E-2</v>
      </c>
      <c r="T465">
        <v>2.0799999999999999E-2</v>
      </c>
      <c r="U465">
        <v>7.4970000000000002E-3</v>
      </c>
      <c r="V465">
        <v>2.1239999999999998E-2</v>
      </c>
      <c r="W465">
        <v>2.7680000000000001E-3</v>
      </c>
      <c r="X465">
        <v>12.77</v>
      </c>
      <c r="Y465">
        <v>24.02</v>
      </c>
      <c r="Z465">
        <v>82.68</v>
      </c>
      <c r="AA465">
        <v>495.1</v>
      </c>
      <c r="AB465">
        <v>0.13420000000000001</v>
      </c>
      <c r="AC465">
        <v>0.18079999999999999</v>
      </c>
      <c r="AD465">
        <v>0.186</v>
      </c>
      <c r="AE465">
        <v>8.2879999999999995E-2</v>
      </c>
      <c r="AF465">
        <v>0.32100000000000001</v>
      </c>
      <c r="AG465">
        <v>7.8630000000000005E-2</v>
      </c>
    </row>
    <row r="466" spans="1:33">
      <c r="A466">
        <v>465</v>
      </c>
      <c r="B466">
        <v>911320502</v>
      </c>
      <c r="C466" t="s">
        <v>1</v>
      </c>
      <c r="D466">
        <v>13.71</v>
      </c>
      <c r="E466">
        <v>18.22</v>
      </c>
      <c r="F466">
        <v>84.28</v>
      </c>
      <c r="G466">
        <v>537.29999999999995</v>
      </c>
      <c r="H466">
        <v>7.4660000000000004E-2</v>
      </c>
      <c r="I466">
        <v>5.994E-2</v>
      </c>
      <c r="J466">
        <v>4.8590000000000001E-2</v>
      </c>
      <c r="K466">
        <v>2.87E-2</v>
      </c>
      <c r="L466">
        <v>0.1454</v>
      </c>
      <c r="M466">
        <v>5.5489999999999998E-2</v>
      </c>
      <c r="N466">
        <v>0.20230000000000001</v>
      </c>
      <c r="O466">
        <v>0.68500000000000005</v>
      </c>
      <c r="P466">
        <v>1.236</v>
      </c>
      <c r="Q466">
        <v>16.89</v>
      </c>
      <c r="R466">
        <v>5.9690000000000003E-3</v>
      </c>
      <c r="S466">
        <v>1.4930000000000001E-2</v>
      </c>
      <c r="T466">
        <v>1.5640000000000001E-2</v>
      </c>
      <c r="U466">
        <v>8.463E-3</v>
      </c>
      <c r="V466">
        <v>1.093E-2</v>
      </c>
      <c r="W466">
        <v>1.6720000000000001E-3</v>
      </c>
      <c r="X466">
        <v>14.9</v>
      </c>
      <c r="Y466">
        <v>23.89</v>
      </c>
      <c r="Z466">
        <v>95.1</v>
      </c>
      <c r="AA466">
        <v>687.6</v>
      </c>
      <c r="AB466">
        <v>0.12820000000000001</v>
      </c>
      <c r="AC466">
        <v>0.19650000000000001</v>
      </c>
      <c r="AD466">
        <v>0.18759999999999999</v>
      </c>
      <c r="AE466">
        <v>0.1045</v>
      </c>
      <c r="AF466">
        <v>0.2235</v>
      </c>
      <c r="AG466">
        <v>6.9250000000000006E-2</v>
      </c>
    </row>
    <row r="467" spans="1:33">
      <c r="A467">
        <v>466</v>
      </c>
      <c r="B467">
        <v>9113239</v>
      </c>
      <c r="C467" t="s">
        <v>1</v>
      </c>
      <c r="D467">
        <v>13.71</v>
      </c>
      <c r="E467">
        <v>20.13</v>
      </c>
      <c r="F467">
        <v>86.87</v>
      </c>
      <c r="G467">
        <v>542.9</v>
      </c>
      <c r="H467">
        <v>8.2839999999999997E-2</v>
      </c>
      <c r="I467">
        <v>0.12230000000000001</v>
      </c>
      <c r="J467">
        <v>0.10100000000000001</v>
      </c>
      <c r="K467">
        <v>2.8330000000000001E-2</v>
      </c>
      <c r="L467">
        <v>0.16009999999999999</v>
      </c>
      <c r="M467">
        <v>6.4320000000000002E-2</v>
      </c>
      <c r="N467">
        <v>0.28100000000000003</v>
      </c>
      <c r="O467">
        <v>0.8135</v>
      </c>
      <c r="P467">
        <v>3.3690000000000002</v>
      </c>
      <c r="Q467">
        <v>23.81</v>
      </c>
      <c r="R467">
        <v>4.9290000000000002E-3</v>
      </c>
      <c r="S467">
        <v>6.6570000000000004E-2</v>
      </c>
      <c r="T467">
        <v>7.6829999999999996E-2</v>
      </c>
      <c r="U467">
        <v>1.3679999999999999E-2</v>
      </c>
      <c r="V467">
        <v>1.5259999999999999E-2</v>
      </c>
      <c r="W467">
        <v>8.1329999999999996E-3</v>
      </c>
      <c r="X467">
        <v>15.44</v>
      </c>
      <c r="Y467">
        <v>25.5</v>
      </c>
      <c r="Z467">
        <v>115</v>
      </c>
      <c r="AA467">
        <v>733.5</v>
      </c>
      <c r="AB467">
        <v>0.1201</v>
      </c>
      <c r="AC467">
        <v>0.56459999999999999</v>
      </c>
      <c r="AD467">
        <v>0.65559999999999996</v>
      </c>
      <c r="AE467">
        <v>0.13569999999999999</v>
      </c>
      <c r="AF467">
        <v>0.28449999999999998</v>
      </c>
      <c r="AG467">
        <v>0.1249</v>
      </c>
    </row>
    <row r="468" spans="1:33">
      <c r="A468">
        <v>467</v>
      </c>
      <c r="B468">
        <v>9113455</v>
      </c>
      <c r="C468" t="s">
        <v>1</v>
      </c>
      <c r="D468">
        <v>13.71</v>
      </c>
      <c r="E468">
        <v>20.74</v>
      </c>
      <c r="F468">
        <v>85.98</v>
      </c>
      <c r="G468">
        <v>536.9</v>
      </c>
      <c r="H468">
        <v>8.6749999999999994E-2</v>
      </c>
      <c r="I468">
        <v>0.1089</v>
      </c>
      <c r="J468">
        <v>0.1085</v>
      </c>
      <c r="K468">
        <v>3.5099999999999999E-2</v>
      </c>
      <c r="L468">
        <v>0.15620000000000001</v>
      </c>
      <c r="M468">
        <v>6.0199999999999997E-2</v>
      </c>
      <c r="N468">
        <v>0.31519999999999998</v>
      </c>
      <c r="O468">
        <v>0.78839999999999999</v>
      </c>
      <c r="P468">
        <v>2.3119999999999998</v>
      </c>
      <c r="Q468">
        <v>27.4</v>
      </c>
      <c r="R468">
        <v>7.2950000000000003E-3</v>
      </c>
      <c r="S468">
        <v>3.1789999999999999E-2</v>
      </c>
      <c r="T468">
        <v>4.6149999999999997E-2</v>
      </c>
      <c r="U468">
        <v>1.2540000000000001E-2</v>
      </c>
      <c r="V468">
        <v>1.5610000000000001E-2</v>
      </c>
      <c r="W468">
        <v>3.2299999999999998E-3</v>
      </c>
      <c r="X468">
        <v>14.8</v>
      </c>
      <c r="Y468">
        <v>25.46</v>
      </c>
      <c r="Z468">
        <v>100.9</v>
      </c>
      <c r="AA468">
        <v>689.1</v>
      </c>
      <c r="AB468">
        <v>0.1351</v>
      </c>
      <c r="AC468">
        <v>0.35489999999999999</v>
      </c>
      <c r="AD468">
        <v>0.45040000000000002</v>
      </c>
      <c r="AE468">
        <v>0.1181</v>
      </c>
      <c r="AF468">
        <v>0.25629999999999997</v>
      </c>
      <c r="AG468">
        <v>8.1739999999999993E-2</v>
      </c>
    </row>
    <row r="469" spans="1:33">
      <c r="A469">
        <v>468</v>
      </c>
      <c r="B469">
        <v>9113514</v>
      </c>
      <c r="C469" t="s">
        <v>1</v>
      </c>
      <c r="D469">
        <v>13.71</v>
      </c>
      <c r="E469">
        <v>18.100000000000001</v>
      </c>
      <c r="F469">
        <v>61.06</v>
      </c>
      <c r="G469">
        <v>286.3</v>
      </c>
      <c r="H469">
        <v>8.3110000000000003E-2</v>
      </c>
      <c r="I469">
        <v>5.4280000000000002E-2</v>
      </c>
      <c r="J469">
        <v>1.4789999999999999E-2</v>
      </c>
      <c r="K469">
        <v>5.7689999999999998E-3</v>
      </c>
      <c r="L469">
        <v>0.16800000000000001</v>
      </c>
      <c r="M469">
        <v>6.4119999999999996E-2</v>
      </c>
      <c r="N469">
        <v>0.34160000000000001</v>
      </c>
      <c r="O469">
        <v>1.3120000000000001</v>
      </c>
      <c r="P469">
        <v>2.2749999999999999</v>
      </c>
      <c r="Q469">
        <v>20.98</v>
      </c>
      <c r="R469">
        <v>1.098E-2</v>
      </c>
      <c r="S469">
        <v>1.257E-2</v>
      </c>
      <c r="T469">
        <v>1.031E-2</v>
      </c>
      <c r="U469">
        <v>3.934E-3</v>
      </c>
      <c r="V469">
        <v>2.6929999999999999E-2</v>
      </c>
      <c r="W469">
        <v>2.9789999999999999E-3</v>
      </c>
      <c r="X469">
        <v>11.15</v>
      </c>
      <c r="Y469">
        <v>24.62</v>
      </c>
      <c r="Z469">
        <v>71.11</v>
      </c>
      <c r="AA469">
        <v>380.2</v>
      </c>
      <c r="AB469">
        <v>0.13880000000000001</v>
      </c>
      <c r="AC469">
        <v>0.1255</v>
      </c>
      <c r="AD469">
        <v>6.4089999999999994E-2</v>
      </c>
      <c r="AE469">
        <v>2.5000000000000001E-2</v>
      </c>
      <c r="AF469">
        <v>0.30570000000000003</v>
      </c>
      <c r="AG469">
        <v>7.8750000000000001E-2</v>
      </c>
    </row>
    <row r="470" spans="1:33">
      <c r="A470">
        <v>469</v>
      </c>
      <c r="B470">
        <v>9113538</v>
      </c>
      <c r="C470" t="s">
        <v>0</v>
      </c>
      <c r="D470">
        <v>13.71</v>
      </c>
      <c r="E470">
        <v>23.33</v>
      </c>
      <c r="F470">
        <v>119</v>
      </c>
      <c r="G470">
        <v>980.5</v>
      </c>
      <c r="H470">
        <v>9.289E-2</v>
      </c>
      <c r="I470">
        <v>0.20039999999999999</v>
      </c>
      <c r="J470">
        <v>0.21360000000000001</v>
      </c>
      <c r="K470">
        <v>0.1002</v>
      </c>
      <c r="L470">
        <v>0.1696</v>
      </c>
      <c r="M470">
        <v>7.3690000000000005E-2</v>
      </c>
      <c r="N470">
        <v>0.92889999999999995</v>
      </c>
      <c r="O470">
        <v>1.4650000000000001</v>
      </c>
      <c r="P470">
        <v>5.8010000000000002</v>
      </c>
      <c r="Q470">
        <v>104.9</v>
      </c>
      <c r="R470">
        <v>6.7660000000000003E-3</v>
      </c>
      <c r="S470">
        <v>7.0250000000000007E-2</v>
      </c>
      <c r="T470">
        <v>6.5909999999999996E-2</v>
      </c>
      <c r="U470">
        <v>2.3109999999999999E-2</v>
      </c>
      <c r="V470">
        <v>1.6729999999999998E-2</v>
      </c>
      <c r="W470">
        <v>1.1299999999999999E-2</v>
      </c>
      <c r="X470">
        <v>21.57</v>
      </c>
      <c r="Y470">
        <v>28.87</v>
      </c>
      <c r="Z470">
        <v>143.6</v>
      </c>
      <c r="AA470">
        <v>1437</v>
      </c>
      <c r="AB470">
        <v>0.1207</v>
      </c>
      <c r="AC470">
        <v>0.47849999999999998</v>
      </c>
      <c r="AD470">
        <v>0.51649999999999996</v>
      </c>
      <c r="AE470">
        <v>0.1996</v>
      </c>
      <c r="AF470">
        <v>0.2301</v>
      </c>
      <c r="AG470">
        <v>0.12239999999999999</v>
      </c>
    </row>
    <row r="471" spans="1:33">
      <c r="A471">
        <v>470</v>
      </c>
      <c r="B471">
        <v>911366</v>
      </c>
      <c r="C471" t="s">
        <v>1</v>
      </c>
      <c r="D471">
        <v>13.71</v>
      </c>
      <c r="E471">
        <v>18.18</v>
      </c>
      <c r="F471">
        <v>76.38</v>
      </c>
      <c r="G471">
        <v>408.8</v>
      </c>
      <c r="H471">
        <v>0.11749999999999999</v>
      </c>
      <c r="I471">
        <v>0.14829999999999999</v>
      </c>
      <c r="J471">
        <v>0.10199999999999999</v>
      </c>
      <c r="K471">
        <v>5.5640000000000002E-2</v>
      </c>
      <c r="L471">
        <v>0.19570000000000001</v>
      </c>
      <c r="M471">
        <v>7.2550000000000003E-2</v>
      </c>
      <c r="N471">
        <v>0.41010000000000002</v>
      </c>
      <c r="O471">
        <v>1.74</v>
      </c>
      <c r="P471">
        <v>3.0270000000000001</v>
      </c>
      <c r="Q471">
        <v>27.85</v>
      </c>
      <c r="R471">
        <v>1.4590000000000001E-2</v>
      </c>
      <c r="S471">
        <v>3.2059999999999998E-2</v>
      </c>
      <c r="T471">
        <v>4.9610000000000001E-2</v>
      </c>
      <c r="U471">
        <v>1.8409999999999999E-2</v>
      </c>
      <c r="V471">
        <v>1.8069999999999999E-2</v>
      </c>
      <c r="W471">
        <v>5.2170000000000003E-3</v>
      </c>
      <c r="X471">
        <v>13.36</v>
      </c>
      <c r="Y471">
        <v>25.4</v>
      </c>
      <c r="Z471">
        <v>88.14</v>
      </c>
      <c r="AA471">
        <v>528.1</v>
      </c>
      <c r="AB471">
        <v>0.17799999999999999</v>
      </c>
      <c r="AC471">
        <v>0.2878</v>
      </c>
      <c r="AD471">
        <v>0.31859999999999999</v>
      </c>
      <c r="AE471">
        <v>0.1416</v>
      </c>
      <c r="AF471">
        <v>0.26600000000000001</v>
      </c>
      <c r="AG471">
        <v>9.2700000000000005E-2</v>
      </c>
    </row>
    <row r="472" spans="1:33">
      <c r="A472">
        <v>471</v>
      </c>
      <c r="B472">
        <v>9113778</v>
      </c>
      <c r="C472" t="s">
        <v>1</v>
      </c>
      <c r="D472">
        <v>13.71</v>
      </c>
      <c r="E472">
        <v>18.489999999999998</v>
      </c>
      <c r="F472">
        <v>61.49</v>
      </c>
      <c r="G472">
        <v>289.10000000000002</v>
      </c>
      <c r="H472">
        <v>8.9459999999999998E-2</v>
      </c>
      <c r="I472">
        <v>6.2579999999999997E-2</v>
      </c>
      <c r="J472">
        <v>2.9479999999999999E-2</v>
      </c>
      <c r="K472">
        <v>1.5140000000000001E-2</v>
      </c>
      <c r="L472">
        <v>0.2238</v>
      </c>
      <c r="M472">
        <v>6.4130000000000006E-2</v>
      </c>
      <c r="N472">
        <v>0.37759999999999999</v>
      </c>
      <c r="O472">
        <v>1.35</v>
      </c>
      <c r="P472">
        <v>2.569</v>
      </c>
      <c r="Q472">
        <v>22.73</v>
      </c>
      <c r="R472">
        <v>7.5009999999999999E-3</v>
      </c>
      <c r="S472">
        <v>1.9890000000000001E-2</v>
      </c>
      <c r="T472">
        <v>2.7140000000000001E-2</v>
      </c>
      <c r="U472">
        <v>9.8829999999999994E-3</v>
      </c>
      <c r="V472">
        <v>1.9599999999999999E-2</v>
      </c>
      <c r="W472">
        <v>3.9129999999999998E-3</v>
      </c>
      <c r="X472">
        <v>11.14</v>
      </c>
      <c r="Y472">
        <v>25.62</v>
      </c>
      <c r="Z472">
        <v>70.88</v>
      </c>
      <c r="AA472">
        <v>385.2</v>
      </c>
      <c r="AB472">
        <v>0.1234</v>
      </c>
      <c r="AC472">
        <v>0.1542</v>
      </c>
      <c r="AD472">
        <v>0.12770000000000001</v>
      </c>
      <c r="AE472">
        <v>6.5600000000000006E-2</v>
      </c>
      <c r="AF472">
        <v>0.31740000000000002</v>
      </c>
      <c r="AG472">
        <v>8.5239999999999996E-2</v>
      </c>
    </row>
    <row r="473" spans="1:33">
      <c r="A473">
        <v>472</v>
      </c>
      <c r="B473">
        <v>9113816</v>
      </c>
      <c r="C473" t="s">
        <v>1</v>
      </c>
      <c r="D473">
        <v>13.71</v>
      </c>
      <c r="E473">
        <v>28.14</v>
      </c>
      <c r="F473">
        <v>76.849999999999994</v>
      </c>
      <c r="G473">
        <v>449.9</v>
      </c>
      <c r="H473">
        <v>8.7520000000000001E-2</v>
      </c>
      <c r="I473">
        <v>0.06</v>
      </c>
      <c r="J473">
        <v>2.367E-2</v>
      </c>
      <c r="K473">
        <v>2.3769999999999999E-2</v>
      </c>
      <c r="L473">
        <v>0.18540000000000001</v>
      </c>
      <c r="M473">
        <v>5.6980000000000003E-2</v>
      </c>
      <c r="N473">
        <v>0.60609999999999997</v>
      </c>
      <c r="O473">
        <v>2.6429999999999998</v>
      </c>
      <c r="P473">
        <v>4.0990000000000002</v>
      </c>
      <c r="Q473">
        <v>44.96</v>
      </c>
      <c r="R473">
        <v>7.5170000000000002E-3</v>
      </c>
      <c r="S473">
        <v>1.555E-2</v>
      </c>
      <c r="T473">
        <v>1.465E-2</v>
      </c>
      <c r="U473">
        <v>1.183E-2</v>
      </c>
      <c r="V473">
        <v>2.0469999999999999E-2</v>
      </c>
      <c r="W473">
        <v>3.8830000000000002E-3</v>
      </c>
      <c r="X473">
        <v>13.6</v>
      </c>
      <c r="Y473">
        <v>33.33</v>
      </c>
      <c r="Z473">
        <v>87.24</v>
      </c>
      <c r="AA473">
        <v>567.6</v>
      </c>
      <c r="AB473">
        <v>0.1041</v>
      </c>
      <c r="AC473">
        <v>9.7259999999999999E-2</v>
      </c>
      <c r="AD473">
        <v>5.5239999999999997E-2</v>
      </c>
      <c r="AE473">
        <v>5.5469999999999998E-2</v>
      </c>
      <c r="AF473">
        <v>0.2404</v>
      </c>
      <c r="AG473">
        <v>6.6390000000000005E-2</v>
      </c>
    </row>
    <row r="474" spans="1:33">
      <c r="A474">
        <v>473</v>
      </c>
      <c r="B474">
        <v>911384</v>
      </c>
      <c r="C474" t="s">
        <v>1</v>
      </c>
      <c r="D474">
        <v>13.71</v>
      </c>
      <c r="E474">
        <v>14.93</v>
      </c>
      <c r="F474">
        <v>96.45</v>
      </c>
      <c r="G474">
        <v>686.9</v>
      </c>
      <c r="H474">
        <v>8.0979999999999996E-2</v>
      </c>
      <c r="I474">
        <v>8.5489999999999997E-2</v>
      </c>
      <c r="J474">
        <v>5.5390000000000002E-2</v>
      </c>
      <c r="K474">
        <v>3.2210000000000003E-2</v>
      </c>
      <c r="L474">
        <v>0.16869999999999999</v>
      </c>
      <c r="M474">
        <v>5.6689999999999997E-2</v>
      </c>
      <c r="N474">
        <v>0.24460000000000001</v>
      </c>
      <c r="O474">
        <v>0.43340000000000001</v>
      </c>
      <c r="P474">
        <v>1.8260000000000001</v>
      </c>
      <c r="Q474">
        <v>23.31</v>
      </c>
      <c r="R474">
        <v>3.271E-3</v>
      </c>
      <c r="S474">
        <v>1.77E-2</v>
      </c>
      <c r="T474">
        <v>2.3099999999999999E-2</v>
      </c>
      <c r="U474">
        <v>8.3990000000000002E-3</v>
      </c>
      <c r="V474">
        <v>1.1480000000000001E-2</v>
      </c>
      <c r="W474">
        <v>2.379E-3</v>
      </c>
      <c r="X474">
        <v>17.18</v>
      </c>
      <c r="Y474">
        <v>18.22</v>
      </c>
      <c r="Z474">
        <v>112</v>
      </c>
      <c r="AA474">
        <v>906.6</v>
      </c>
      <c r="AB474">
        <v>0.1065</v>
      </c>
      <c r="AC474">
        <v>0.27910000000000001</v>
      </c>
      <c r="AD474">
        <v>0.31509999999999999</v>
      </c>
      <c r="AE474">
        <v>0.1147</v>
      </c>
      <c r="AF474">
        <v>0.26879999999999998</v>
      </c>
      <c r="AG474">
        <v>8.2729999999999998E-2</v>
      </c>
    </row>
    <row r="475" spans="1:33">
      <c r="A475">
        <v>474</v>
      </c>
      <c r="B475">
        <v>9113846</v>
      </c>
      <c r="C475" t="s">
        <v>1</v>
      </c>
      <c r="D475">
        <v>13.71</v>
      </c>
      <c r="E475">
        <v>29.97</v>
      </c>
      <c r="F475">
        <v>77.42</v>
      </c>
      <c r="G475">
        <v>465.4</v>
      </c>
      <c r="H475">
        <v>7.6990000000000003E-2</v>
      </c>
      <c r="I475">
        <v>3.3980000000000003E-2</v>
      </c>
      <c r="J475">
        <v>0</v>
      </c>
      <c r="K475">
        <v>0</v>
      </c>
      <c r="L475">
        <v>0.1701</v>
      </c>
      <c r="M475">
        <v>5.96E-2</v>
      </c>
      <c r="N475">
        <v>0.44550000000000001</v>
      </c>
      <c r="O475">
        <v>3.6469999999999998</v>
      </c>
      <c r="P475">
        <v>2.8839999999999999</v>
      </c>
      <c r="Q475">
        <v>35.130000000000003</v>
      </c>
      <c r="R475">
        <v>7.339E-3</v>
      </c>
      <c r="S475">
        <v>8.2430000000000003E-3</v>
      </c>
      <c r="T475">
        <v>0</v>
      </c>
      <c r="U475">
        <v>0</v>
      </c>
      <c r="V475">
        <v>3.141E-2</v>
      </c>
      <c r="W475">
        <v>3.1359999999999999E-3</v>
      </c>
      <c r="X475">
        <v>13.45</v>
      </c>
      <c r="Y475">
        <v>38.049999999999997</v>
      </c>
      <c r="Z475">
        <v>85.08</v>
      </c>
      <c r="AA475">
        <v>558.9</v>
      </c>
      <c r="AB475">
        <v>9.4219999999999998E-2</v>
      </c>
      <c r="AC475">
        <v>5.2130000000000003E-2</v>
      </c>
      <c r="AD475">
        <v>0</v>
      </c>
      <c r="AE475">
        <v>0</v>
      </c>
      <c r="AF475">
        <v>0.2409</v>
      </c>
      <c r="AG475">
        <v>6.7430000000000004E-2</v>
      </c>
    </row>
    <row r="476" spans="1:33">
      <c r="A476">
        <v>475</v>
      </c>
      <c r="B476">
        <v>911391</v>
      </c>
      <c r="C476" t="s">
        <v>1</v>
      </c>
      <c r="D476">
        <v>13.71</v>
      </c>
      <c r="E476">
        <v>15.62</v>
      </c>
      <c r="F476">
        <v>70.41</v>
      </c>
      <c r="G476">
        <v>358.9</v>
      </c>
      <c r="H476">
        <v>0.1007</v>
      </c>
      <c r="I476">
        <v>0.1069</v>
      </c>
      <c r="J476">
        <v>5.1150000000000001E-2</v>
      </c>
      <c r="K476">
        <v>1.5709999999999998E-2</v>
      </c>
      <c r="L476">
        <v>0.18609999999999999</v>
      </c>
      <c r="M476">
        <v>6.837E-2</v>
      </c>
      <c r="N476">
        <v>0.1482</v>
      </c>
      <c r="O476">
        <v>0.53800000000000003</v>
      </c>
      <c r="P476">
        <v>1.3009999999999999</v>
      </c>
      <c r="Q476">
        <v>9.5969999999999995</v>
      </c>
      <c r="R476">
        <v>4.4739999999999997E-3</v>
      </c>
      <c r="S476">
        <v>3.0929999999999999E-2</v>
      </c>
      <c r="T476">
        <v>2.7570000000000001E-2</v>
      </c>
      <c r="U476">
        <v>6.6909999999999999E-3</v>
      </c>
      <c r="V476">
        <v>1.2120000000000001E-2</v>
      </c>
      <c r="W476">
        <v>4.6719999999999999E-3</v>
      </c>
      <c r="X476">
        <v>11.94</v>
      </c>
      <c r="Y476">
        <v>19.350000000000001</v>
      </c>
      <c r="Z476">
        <v>80.78</v>
      </c>
      <c r="AA476">
        <v>433.1</v>
      </c>
      <c r="AB476">
        <v>0.13320000000000001</v>
      </c>
      <c r="AC476">
        <v>0.38979999999999998</v>
      </c>
      <c r="AD476">
        <v>0.33650000000000002</v>
      </c>
      <c r="AE476">
        <v>7.9659999999999995E-2</v>
      </c>
      <c r="AF476">
        <v>0.2581</v>
      </c>
      <c r="AG476">
        <v>0.108</v>
      </c>
    </row>
    <row r="477" spans="1:33">
      <c r="A477">
        <v>476</v>
      </c>
      <c r="B477">
        <v>911408</v>
      </c>
      <c r="C477" t="s">
        <v>1</v>
      </c>
      <c r="D477">
        <v>13.71</v>
      </c>
      <c r="E477">
        <v>15.73</v>
      </c>
      <c r="F477">
        <v>82.89</v>
      </c>
      <c r="G477">
        <v>506.9</v>
      </c>
      <c r="H477">
        <v>9.0399999999999994E-2</v>
      </c>
      <c r="I477">
        <v>8.269E-2</v>
      </c>
      <c r="J477">
        <v>5.8349999999999999E-2</v>
      </c>
      <c r="K477">
        <v>3.0779999999999998E-2</v>
      </c>
      <c r="L477">
        <v>0.17050000000000001</v>
      </c>
      <c r="M477">
        <v>5.9130000000000002E-2</v>
      </c>
      <c r="N477">
        <v>0.14990000000000001</v>
      </c>
      <c r="O477">
        <v>0.48749999999999999</v>
      </c>
      <c r="P477">
        <v>1.1950000000000001</v>
      </c>
      <c r="Q477">
        <v>11.64</v>
      </c>
      <c r="R477">
        <v>4.8729999999999997E-3</v>
      </c>
      <c r="S477">
        <v>1.796E-2</v>
      </c>
      <c r="T477">
        <v>3.3180000000000001E-2</v>
      </c>
      <c r="U477">
        <v>8.3599999999999994E-3</v>
      </c>
      <c r="V477">
        <v>1.601E-2</v>
      </c>
      <c r="W477">
        <v>2.2889999999999998E-3</v>
      </c>
      <c r="X477">
        <v>14.09</v>
      </c>
      <c r="Y477">
        <v>19.350000000000001</v>
      </c>
      <c r="Z477">
        <v>93.22</v>
      </c>
      <c r="AA477">
        <v>605.79999999999995</v>
      </c>
      <c r="AB477">
        <v>0.1326</v>
      </c>
      <c r="AC477">
        <v>0.26100000000000001</v>
      </c>
      <c r="AD477">
        <v>0.34760000000000002</v>
      </c>
      <c r="AE477">
        <v>9.783E-2</v>
      </c>
      <c r="AF477">
        <v>0.30059999999999998</v>
      </c>
      <c r="AG477">
        <v>7.8020000000000006E-2</v>
      </c>
    </row>
    <row r="478" spans="1:33">
      <c r="A478">
        <v>477</v>
      </c>
      <c r="B478">
        <v>911654</v>
      </c>
      <c r="C478" t="s">
        <v>1</v>
      </c>
      <c r="D478">
        <v>13.71</v>
      </c>
      <c r="E478">
        <v>20.53</v>
      </c>
      <c r="F478">
        <v>92.41</v>
      </c>
      <c r="G478">
        <v>618.4</v>
      </c>
      <c r="H478">
        <v>8.931E-2</v>
      </c>
      <c r="I478">
        <v>0.1108</v>
      </c>
      <c r="J478">
        <v>5.0630000000000001E-2</v>
      </c>
      <c r="K478">
        <v>3.058E-2</v>
      </c>
      <c r="L478">
        <v>0.15060000000000001</v>
      </c>
      <c r="M478">
        <v>6.0089999999999998E-2</v>
      </c>
      <c r="N478">
        <v>0.3478</v>
      </c>
      <c r="O478">
        <v>1.018</v>
      </c>
      <c r="P478">
        <v>2.7490000000000001</v>
      </c>
      <c r="Q478">
        <v>31.01</v>
      </c>
      <c r="R478">
        <v>4.1070000000000004E-3</v>
      </c>
      <c r="S478">
        <v>3.288E-2</v>
      </c>
      <c r="T478">
        <v>2.8209999999999999E-2</v>
      </c>
      <c r="U478">
        <v>1.35E-2</v>
      </c>
      <c r="V478">
        <v>1.61E-2</v>
      </c>
      <c r="W478">
        <v>2.7439999999999999E-3</v>
      </c>
      <c r="X478">
        <v>16.45</v>
      </c>
      <c r="Y478">
        <v>27.26</v>
      </c>
      <c r="Z478">
        <v>112.1</v>
      </c>
      <c r="AA478">
        <v>828.5</v>
      </c>
      <c r="AB478">
        <v>0.1153</v>
      </c>
      <c r="AC478">
        <v>0.34289999999999998</v>
      </c>
      <c r="AD478">
        <v>0.25119999999999998</v>
      </c>
      <c r="AE478">
        <v>0.13389999999999999</v>
      </c>
      <c r="AF478">
        <v>0.25340000000000001</v>
      </c>
      <c r="AG478">
        <v>7.8579999999999997E-2</v>
      </c>
    </row>
    <row r="479" spans="1:33">
      <c r="A479">
        <v>478</v>
      </c>
      <c r="B479">
        <v>911673</v>
      </c>
      <c r="C479" t="s">
        <v>1</v>
      </c>
      <c r="D479">
        <v>13.71</v>
      </c>
      <c r="E479">
        <v>16.62</v>
      </c>
      <c r="F479">
        <v>88.97</v>
      </c>
      <c r="G479">
        <v>599.4</v>
      </c>
      <c r="H479">
        <v>6.8279999999999993E-2</v>
      </c>
      <c r="I479">
        <v>5.3190000000000001E-2</v>
      </c>
      <c r="J479">
        <v>2.2239999999999999E-2</v>
      </c>
      <c r="K479">
        <v>1.3390000000000001E-2</v>
      </c>
      <c r="L479">
        <v>0.18129999999999999</v>
      </c>
      <c r="M479">
        <v>5.5359999999999999E-2</v>
      </c>
      <c r="N479">
        <v>0.1555</v>
      </c>
      <c r="O479">
        <v>0.57620000000000005</v>
      </c>
      <c r="P479">
        <v>1.3919999999999999</v>
      </c>
      <c r="Q479">
        <v>14.03</v>
      </c>
      <c r="R479">
        <v>3.3080000000000002E-3</v>
      </c>
      <c r="S479">
        <v>1.315E-2</v>
      </c>
      <c r="T479">
        <v>9.9039999999999996E-3</v>
      </c>
      <c r="U479">
        <v>4.8320000000000004E-3</v>
      </c>
      <c r="V479">
        <v>1.316E-2</v>
      </c>
      <c r="W479">
        <v>2.0950000000000001E-3</v>
      </c>
      <c r="X479">
        <v>15.14</v>
      </c>
      <c r="Y479">
        <v>21.8</v>
      </c>
      <c r="Z479">
        <v>101.2</v>
      </c>
      <c r="AA479">
        <v>718.9</v>
      </c>
      <c r="AB479">
        <v>9.3840000000000007E-2</v>
      </c>
      <c r="AC479">
        <v>0.2006</v>
      </c>
      <c r="AD479">
        <v>0.1384</v>
      </c>
      <c r="AE479">
        <v>6.2219999999999998E-2</v>
      </c>
      <c r="AF479">
        <v>0.26790000000000003</v>
      </c>
      <c r="AG479">
        <v>7.6980000000000007E-2</v>
      </c>
    </row>
    <row r="480" spans="1:33">
      <c r="A480">
        <v>479</v>
      </c>
      <c r="B480">
        <v>911685</v>
      </c>
      <c r="C480" t="s">
        <v>1</v>
      </c>
      <c r="D480">
        <v>13.71</v>
      </c>
      <c r="E480">
        <v>14.59</v>
      </c>
      <c r="F480">
        <v>73.989999999999995</v>
      </c>
      <c r="G480">
        <v>404.9</v>
      </c>
      <c r="H480">
        <v>0.1046</v>
      </c>
      <c r="I480">
        <v>8.2280000000000006E-2</v>
      </c>
      <c r="J480">
        <v>5.3080000000000002E-2</v>
      </c>
      <c r="K480">
        <v>1.9689999999999999E-2</v>
      </c>
      <c r="L480">
        <v>0.1779</v>
      </c>
      <c r="M480">
        <v>6.5740000000000007E-2</v>
      </c>
      <c r="N480">
        <v>0.2034</v>
      </c>
      <c r="O480">
        <v>1.1659999999999999</v>
      </c>
      <c r="P480">
        <v>1.5669999999999999</v>
      </c>
      <c r="Q480">
        <v>14.34</v>
      </c>
      <c r="R480">
        <v>4.9569999999999996E-3</v>
      </c>
      <c r="S480">
        <v>2.1139999999999999E-2</v>
      </c>
      <c r="T480">
        <v>4.156E-2</v>
      </c>
      <c r="U480">
        <v>8.038E-3</v>
      </c>
      <c r="V480">
        <v>1.8429999999999998E-2</v>
      </c>
      <c r="W480">
        <v>3.614E-3</v>
      </c>
      <c r="X480">
        <v>12.4</v>
      </c>
      <c r="Y480">
        <v>21.9</v>
      </c>
      <c r="Z480">
        <v>82.04</v>
      </c>
      <c r="AA480">
        <v>467.6</v>
      </c>
      <c r="AB480">
        <v>0.13519999999999999</v>
      </c>
      <c r="AC480">
        <v>0.20100000000000001</v>
      </c>
      <c r="AD480">
        <v>0.2596</v>
      </c>
      <c r="AE480">
        <v>7.4310000000000001E-2</v>
      </c>
      <c r="AF480">
        <v>0.29409999999999997</v>
      </c>
      <c r="AG480">
        <v>9.1800000000000007E-2</v>
      </c>
    </row>
    <row r="481" spans="1:33">
      <c r="A481">
        <v>480</v>
      </c>
      <c r="B481">
        <v>911916</v>
      </c>
      <c r="C481" t="s">
        <v>0</v>
      </c>
      <c r="D481">
        <v>13.71</v>
      </c>
      <c r="E481">
        <v>19.510000000000002</v>
      </c>
      <c r="F481">
        <v>109.8</v>
      </c>
      <c r="G481">
        <v>815.8</v>
      </c>
      <c r="H481">
        <v>0.1026</v>
      </c>
      <c r="I481">
        <v>0.1893</v>
      </c>
      <c r="J481">
        <v>0.22359999999999999</v>
      </c>
      <c r="K481">
        <v>9.1939999999999994E-2</v>
      </c>
      <c r="L481">
        <v>0.21510000000000001</v>
      </c>
      <c r="M481">
        <v>6.5780000000000005E-2</v>
      </c>
      <c r="N481">
        <v>0.31469999999999998</v>
      </c>
      <c r="O481">
        <v>0.98570000000000002</v>
      </c>
      <c r="P481">
        <v>3.07</v>
      </c>
      <c r="Q481">
        <v>33.119999999999997</v>
      </c>
      <c r="R481">
        <v>9.1970000000000003E-3</v>
      </c>
      <c r="S481">
        <v>5.4699999999999999E-2</v>
      </c>
      <c r="T481">
        <v>8.0790000000000001E-2</v>
      </c>
      <c r="U481">
        <v>2.215E-2</v>
      </c>
      <c r="V481">
        <v>2.7730000000000001E-2</v>
      </c>
      <c r="W481">
        <v>6.3550000000000004E-3</v>
      </c>
      <c r="X481">
        <v>17.39</v>
      </c>
      <c r="Y481">
        <v>23.05</v>
      </c>
      <c r="Z481">
        <v>122.1</v>
      </c>
      <c r="AA481">
        <v>939.7</v>
      </c>
      <c r="AB481">
        <v>0.13769999999999999</v>
      </c>
      <c r="AC481">
        <v>0.44619999999999999</v>
      </c>
      <c r="AD481">
        <v>0.5897</v>
      </c>
      <c r="AE481">
        <v>0.17749999999999999</v>
      </c>
      <c r="AF481">
        <v>0.33179999999999998</v>
      </c>
      <c r="AG481">
        <v>9.1359999999999997E-2</v>
      </c>
    </row>
    <row r="482" spans="1:33">
      <c r="A482">
        <v>481</v>
      </c>
      <c r="B482">
        <v>912193</v>
      </c>
      <c r="C482" t="s">
        <v>1</v>
      </c>
      <c r="D482">
        <v>13.71</v>
      </c>
      <c r="E482">
        <v>18.03</v>
      </c>
      <c r="F482">
        <v>78.290000000000006</v>
      </c>
      <c r="G482">
        <v>455.3</v>
      </c>
      <c r="H482">
        <v>9.0870000000000006E-2</v>
      </c>
      <c r="I482">
        <v>7.8380000000000005E-2</v>
      </c>
      <c r="J482">
        <v>2.9159999999999998E-2</v>
      </c>
      <c r="K482">
        <v>1.5270000000000001E-2</v>
      </c>
      <c r="L482">
        <v>0.1464</v>
      </c>
      <c r="M482">
        <v>6.2839999999999993E-2</v>
      </c>
      <c r="N482">
        <v>0.21940000000000001</v>
      </c>
      <c r="O482">
        <v>1.19</v>
      </c>
      <c r="P482">
        <v>1.6779999999999999</v>
      </c>
      <c r="Q482">
        <v>16.260000000000002</v>
      </c>
      <c r="R482">
        <v>4.9109999999999996E-3</v>
      </c>
      <c r="S482">
        <v>1.6660000000000001E-2</v>
      </c>
      <c r="T482">
        <v>1.397E-2</v>
      </c>
      <c r="U482">
        <v>5.1609999999999998E-3</v>
      </c>
      <c r="V482">
        <v>1.4540000000000001E-2</v>
      </c>
      <c r="W482">
        <v>1.8580000000000001E-3</v>
      </c>
      <c r="X482">
        <v>13.34</v>
      </c>
      <c r="Y482">
        <v>27.87</v>
      </c>
      <c r="Z482">
        <v>88.83</v>
      </c>
      <c r="AA482">
        <v>547.4</v>
      </c>
      <c r="AB482">
        <v>0.1208</v>
      </c>
      <c r="AC482">
        <v>0.22789999999999999</v>
      </c>
      <c r="AD482">
        <v>0.16200000000000001</v>
      </c>
      <c r="AE482">
        <v>5.6899999999999999E-2</v>
      </c>
      <c r="AF482">
        <v>0.24060000000000001</v>
      </c>
      <c r="AG482">
        <v>7.7289999999999998E-2</v>
      </c>
    </row>
    <row r="483" spans="1:33">
      <c r="A483">
        <v>482</v>
      </c>
      <c r="B483">
        <v>91227</v>
      </c>
      <c r="C483" t="s">
        <v>1</v>
      </c>
      <c r="D483">
        <v>13.71</v>
      </c>
      <c r="E483">
        <v>19.239999999999998</v>
      </c>
      <c r="F483">
        <v>88.73</v>
      </c>
      <c r="G483">
        <v>602.9</v>
      </c>
      <c r="H483">
        <v>7.9909999999999995E-2</v>
      </c>
      <c r="I483">
        <v>5.3260000000000002E-2</v>
      </c>
      <c r="J483">
        <v>2.9950000000000001E-2</v>
      </c>
      <c r="K483">
        <v>2.07E-2</v>
      </c>
      <c r="L483">
        <v>0.15790000000000001</v>
      </c>
      <c r="M483">
        <v>5.5939999999999997E-2</v>
      </c>
      <c r="N483">
        <v>0.33160000000000001</v>
      </c>
      <c r="O483">
        <v>0.9264</v>
      </c>
      <c r="P483">
        <v>2.056</v>
      </c>
      <c r="Q483">
        <v>28.41</v>
      </c>
      <c r="R483">
        <v>3.7039999999999998E-3</v>
      </c>
      <c r="S483" t="s">
        <v>78</v>
      </c>
      <c r="T483">
        <v>1.5299999999999999E-2</v>
      </c>
      <c r="U483">
        <v>6.2750000000000002E-3</v>
      </c>
      <c r="V483">
        <v>1.0619999999999999E-2</v>
      </c>
      <c r="W483">
        <v>2.2169999999999998E-3</v>
      </c>
      <c r="X483">
        <v>16.41</v>
      </c>
      <c r="Y483">
        <v>26.42</v>
      </c>
      <c r="Z483">
        <v>104.4</v>
      </c>
      <c r="AA483">
        <v>830.5</v>
      </c>
      <c r="AB483">
        <v>0.10639999999999999</v>
      </c>
      <c r="AC483">
        <v>0.14149999999999999</v>
      </c>
      <c r="AD483">
        <v>0.1673</v>
      </c>
      <c r="AE483">
        <v>8.1500000000000003E-2</v>
      </c>
      <c r="AF483">
        <v>0.2356</v>
      </c>
      <c r="AG483">
        <v>7.603E-2</v>
      </c>
    </row>
    <row r="484" spans="1:33">
      <c r="A484">
        <v>483</v>
      </c>
      <c r="B484">
        <v>912519</v>
      </c>
      <c r="C484" t="s">
        <v>1</v>
      </c>
      <c r="D484">
        <v>13.71</v>
      </c>
      <c r="E484">
        <v>14.06</v>
      </c>
      <c r="F484">
        <v>87.32</v>
      </c>
      <c r="G484">
        <v>546.29999999999995</v>
      </c>
      <c r="H484">
        <v>0.1071</v>
      </c>
      <c r="I484">
        <v>0.11550000000000001</v>
      </c>
      <c r="J484">
        <v>5.7860000000000002E-2</v>
      </c>
      <c r="K484">
        <v>5.2659999999999998E-2</v>
      </c>
      <c r="L484">
        <v>0.1779</v>
      </c>
      <c r="M484">
        <v>6.6390000000000005E-2</v>
      </c>
      <c r="N484">
        <v>0.1588</v>
      </c>
      <c r="O484">
        <v>0.57330000000000003</v>
      </c>
      <c r="P484">
        <v>1.1020000000000001</v>
      </c>
      <c r="Q484">
        <v>12.84</v>
      </c>
      <c r="R484">
        <v>4.45E-3</v>
      </c>
      <c r="S484">
        <v>1.452E-2</v>
      </c>
      <c r="T484">
        <v>1.3339999999999999E-2</v>
      </c>
      <c r="U484">
        <v>8.7910000000000002E-3</v>
      </c>
      <c r="V484">
        <v>1.6979999999999999E-2</v>
      </c>
      <c r="W484">
        <v>2.787E-3</v>
      </c>
      <c r="X484">
        <v>14.83</v>
      </c>
      <c r="Y484">
        <v>18.32</v>
      </c>
      <c r="Z484">
        <v>94.94</v>
      </c>
      <c r="AA484">
        <v>660.2</v>
      </c>
      <c r="AB484">
        <v>0.13930000000000001</v>
      </c>
      <c r="AC484">
        <v>0.24990000000000001</v>
      </c>
      <c r="AD484">
        <v>0.18479999999999999</v>
      </c>
      <c r="AE484">
        <v>0.13350000000000001</v>
      </c>
      <c r="AF484">
        <v>0.32269999999999999</v>
      </c>
      <c r="AG484">
        <v>9.3259999999999996E-2</v>
      </c>
    </row>
    <row r="485" spans="1:33">
      <c r="A485">
        <v>484</v>
      </c>
      <c r="B485">
        <v>912558</v>
      </c>
      <c r="C485" t="s">
        <v>1</v>
      </c>
      <c r="D485">
        <v>13.71</v>
      </c>
      <c r="E485">
        <v>17.64</v>
      </c>
      <c r="F485">
        <v>87.76</v>
      </c>
      <c r="G485">
        <v>571.1</v>
      </c>
      <c r="H485">
        <v>9.9500000000000005E-2</v>
      </c>
      <c r="I485">
        <v>7.9570000000000002E-2</v>
      </c>
      <c r="J485">
        <v>4.548E-2</v>
      </c>
      <c r="K485">
        <v>3.1600000000000003E-2</v>
      </c>
      <c r="L485">
        <v>0.17319999999999999</v>
      </c>
      <c r="M485">
        <v>6.0879999999999997E-2</v>
      </c>
      <c r="N485">
        <v>0.24310000000000001</v>
      </c>
      <c r="O485">
        <v>0.94620000000000004</v>
      </c>
      <c r="P485">
        <v>1.5640000000000001</v>
      </c>
      <c r="Q485">
        <v>20.64</v>
      </c>
      <c r="R485">
        <v>3.2450000000000001E-3</v>
      </c>
      <c r="S485">
        <v>8.1860000000000006E-3</v>
      </c>
      <c r="T485">
        <v>1.6979999999999999E-2</v>
      </c>
      <c r="U485">
        <v>9.2329999999999999E-3</v>
      </c>
      <c r="V485">
        <v>1.285E-2</v>
      </c>
      <c r="W485">
        <v>1.524E-3</v>
      </c>
      <c r="X485">
        <v>14.96</v>
      </c>
      <c r="Y485">
        <v>23.53</v>
      </c>
      <c r="Z485">
        <v>95.78</v>
      </c>
      <c r="AA485">
        <v>686.5</v>
      </c>
      <c r="AB485">
        <v>0.11990000000000001</v>
      </c>
      <c r="AC485">
        <v>0.1346</v>
      </c>
      <c r="AD485">
        <v>0.17419999999999999</v>
      </c>
      <c r="AE485">
        <v>9.0770000000000003E-2</v>
      </c>
      <c r="AF485">
        <v>0.25180000000000002</v>
      </c>
      <c r="AG485">
        <v>6.9599999999999995E-2</v>
      </c>
    </row>
    <row r="486" spans="1:33">
      <c r="A486">
        <v>485</v>
      </c>
      <c r="B486">
        <v>912600</v>
      </c>
      <c r="C486" t="s">
        <v>1</v>
      </c>
      <c r="D486">
        <v>13.71</v>
      </c>
      <c r="E486">
        <v>11.28</v>
      </c>
      <c r="F486">
        <v>102.8</v>
      </c>
      <c r="G486">
        <v>747.2</v>
      </c>
      <c r="H486">
        <v>0.1043</v>
      </c>
      <c r="I486">
        <v>0.12989999999999999</v>
      </c>
      <c r="J486">
        <v>0.1191</v>
      </c>
      <c r="K486">
        <v>6.2109999999999999E-2</v>
      </c>
      <c r="L486">
        <v>0.1784</v>
      </c>
      <c r="M486">
        <v>6.2590000000000007E-2</v>
      </c>
      <c r="N486">
        <v>0.16300000000000001</v>
      </c>
      <c r="O486">
        <v>0.3871</v>
      </c>
      <c r="P486">
        <v>1.143</v>
      </c>
      <c r="Q486">
        <v>13.87</v>
      </c>
      <c r="R486">
        <v>6.0340000000000003E-3</v>
      </c>
      <c r="S486">
        <v>1.8200000000000001E-2</v>
      </c>
      <c r="T486">
        <v>3.3360000000000001E-2</v>
      </c>
      <c r="U486">
        <v>1.0670000000000001E-2</v>
      </c>
      <c r="V486">
        <v>1.175E-2</v>
      </c>
      <c r="W486">
        <v>2.2560000000000002E-3</v>
      </c>
      <c r="X486">
        <v>17.010000000000002</v>
      </c>
      <c r="Y486">
        <v>14.2</v>
      </c>
      <c r="Z486">
        <v>112.5</v>
      </c>
      <c r="AA486">
        <v>854.3</v>
      </c>
      <c r="AB486">
        <v>0.15409999999999999</v>
      </c>
      <c r="AC486">
        <v>0.2979</v>
      </c>
      <c r="AD486">
        <v>0.40039999999999998</v>
      </c>
      <c r="AE486">
        <v>0.1452</v>
      </c>
      <c r="AF486">
        <v>0.25569999999999998</v>
      </c>
      <c r="AG486">
        <v>8.1809999999999994E-2</v>
      </c>
    </row>
    <row r="487" spans="1:33">
      <c r="A487">
        <v>486</v>
      </c>
      <c r="B487">
        <v>913063</v>
      </c>
      <c r="C487" t="s">
        <v>1</v>
      </c>
      <c r="D487">
        <v>13.71</v>
      </c>
      <c r="E487">
        <v>16.41</v>
      </c>
      <c r="F487">
        <v>82.85</v>
      </c>
      <c r="G487">
        <v>476.7</v>
      </c>
      <c r="H487">
        <v>9.5140000000000002E-2</v>
      </c>
      <c r="I487">
        <v>0.15110000000000001</v>
      </c>
      <c r="J487">
        <v>0.15440000000000001</v>
      </c>
      <c r="K487">
        <v>4.8460000000000003E-2</v>
      </c>
      <c r="L487">
        <v>0.2082</v>
      </c>
      <c r="M487">
        <v>7.3249999999999996E-2</v>
      </c>
      <c r="N487">
        <v>0.3921</v>
      </c>
      <c r="O487">
        <v>1.2070000000000001</v>
      </c>
      <c r="P487">
        <v>5.0039999999999996</v>
      </c>
      <c r="Q487">
        <v>30.19</v>
      </c>
      <c r="R487">
        <v>7.234E-3</v>
      </c>
      <c r="S487">
        <v>7.4709999999999999E-2</v>
      </c>
      <c r="T487">
        <v>0.1114</v>
      </c>
      <c r="U487">
        <v>2.7210000000000002E-2</v>
      </c>
      <c r="V487">
        <v>3.2320000000000002E-2</v>
      </c>
      <c r="W487">
        <v>9.6270000000000001E-3</v>
      </c>
      <c r="X487">
        <v>13.78</v>
      </c>
      <c r="Y487">
        <v>21.03</v>
      </c>
      <c r="Z487">
        <v>97.82</v>
      </c>
      <c r="AA487">
        <v>580.6</v>
      </c>
      <c r="AB487">
        <v>0.11749999999999999</v>
      </c>
      <c r="AC487">
        <v>0.40610000000000002</v>
      </c>
      <c r="AD487">
        <v>0.48959999999999998</v>
      </c>
      <c r="AE487">
        <v>0.13420000000000001</v>
      </c>
      <c r="AF487">
        <v>0.3231</v>
      </c>
      <c r="AG487">
        <v>0.10340000000000001</v>
      </c>
    </row>
    <row r="488" spans="1:33">
      <c r="A488">
        <v>487</v>
      </c>
      <c r="B488">
        <v>913102</v>
      </c>
      <c r="C488" t="s">
        <v>1</v>
      </c>
      <c r="D488">
        <v>13.71</v>
      </c>
      <c r="E488">
        <v>16.850000000000001</v>
      </c>
      <c r="F488">
        <v>94.21</v>
      </c>
      <c r="G488">
        <v>666</v>
      </c>
      <c r="H488">
        <v>8.6410000000000001E-2</v>
      </c>
      <c r="I488">
        <v>6.6979999999999998E-2</v>
      </c>
      <c r="J488">
        <v>5.1920000000000001E-2</v>
      </c>
      <c r="K488">
        <v>2.7910000000000001E-2</v>
      </c>
      <c r="L488">
        <v>0.1409</v>
      </c>
      <c r="M488">
        <v>5.355E-2</v>
      </c>
      <c r="N488">
        <v>0.22040000000000001</v>
      </c>
      <c r="O488">
        <v>1.006</v>
      </c>
      <c r="P488">
        <v>1.4710000000000001</v>
      </c>
      <c r="Q488">
        <v>19.98</v>
      </c>
      <c r="R488">
        <v>3.5349999999999999E-3</v>
      </c>
      <c r="S488">
        <v>1.393E-2</v>
      </c>
      <c r="T488">
        <v>1.7999999999999999E-2</v>
      </c>
      <c r="U488">
        <v>6.1440000000000002E-3</v>
      </c>
      <c r="V488">
        <v>1.2540000000000001E-2</v>
      </c>
      <c r="W488">
        <v>1.219E-3</v>
      </c>
      <c r="X488">
        <v>16.46</v>
      </c>
      <c r="Y488">
        <v>25.44</v>
      </c>
      <c r="Z488">
        <v>106</v>
      </c>
      <c r="AA488">
        <v>831</v>
      </c>
      <c r="AB488">
        <v>0.1142</v>
      </c>
      <c r="AC488">
        <v>0.20699999999999999</v>
      </c>
      <c r="AD488">
        <v>0.2437</v>
      </c>
      <c r="AE488">
        <v>7.8280000000000002E-2</v>
      </c>
      <c r="AF488">
        <v>0.2455</v>
      </c>
      <c r="AG488">
        <v>6.5960000000000005E-2</v>
      </c>
    </row>
    <row r="489" spans="1:33">
      <c r="A489">
        <v>488</v>
      </c>
      <c r="B489">
        <v>913505</v>
      </c>
      <c r="C489" t="s">
        <v>0</v>
      </c>
      <c r="D489">
        <v>13.71</v>
      </c>
      <c r="E489">
        <v>18.82</v>
      </c>
      <c r="F489">
        <v>128.1</v>
      </c>
      <c r="G489">
        <v>1167</v>
      </c>
      <c r="H489">
        <v>0.1089</v>
      </c>
      <c r="I489">
        <v>0.14480000000000001</v>
      </c>
      <c r="J489">
        <v>0.22559999999999999</v>
      </c>
      <c r="K489">
        <v>0.11940000000000001</v>
      </c>
      <c r="L489">
        <v>0.18229999999999999</v>
      </c>
      <c r="M489">
        <v>6.1150000000000003E-2</v>
      </c>
      <c r="N489">
        <v>0.56589999999999996</v>
      </c>
      <c r="O489">
        <v>1.4079999999999999</v>
      </c>
      <c r="P489">
        <v>3.6309999999999998</v>
      </c>
      <c r="Q489">
        <v>67.739999999999995</v>
      </c>
      <c r="R489">
        <v>5.2880000000000002E-3</v>
      </c>
      <c r="S489">
        <v>2.8330000000000001E-2</v>
      </c>
      <c r="T489">
        <v>4.2560000000000001E-2</v>
      </c>
      <c r="U489">
        <v>1.176E-2</v>
      </c>
      <c r="V489">
        <v>1.7170000000000001E-2</v>
      </c>
      <c r="W489">
        <v>3.2109999999999999E-3</v>
      </c>
      <c r="X489">
        <v>23.96</v>
      </c>
      <c r="Y489">
        <v>30.39</v>
      </c>
      <c r="Z489">
        <v>153.9</v>
      </c>
      <c r="AA489">
        <v>1740</v>
      </c>
      <c r="AB489">
        <v>0.15140000000000001</v>
      </c>
      <c r="AC489">
        <v>0.3725</v>
      </c>
      <c r="AD489">
        <v>0.59360000000000002</v>
      </c>
      <c r="AE489">
        <v>0.20599999999999999</v>
      </c>
      <c r="AF489">
        <v>0.3266</v>
      </c>
      <c r="AG489">
        <v>9.0090000000000003E-2</v>
      </c>
    </row>
    <row r="490" spans="1:33">
      <c r="A490">
        <v>489</v>
      </c>
      <c r="B490">
        <v>913512</v>
      </c>
      <c r="C490" t="s">
        <v>1</v>
      </c>
      <c r="D490">
        <v>13.71</v>
      </c>
      <c r="E490">
        <v>16.170000000000002</v>
      </c>
      <c r="F490">
        <v>75.489999999999995</v>
      </c>
      <c r="G490">
        <v>420.5</v>
      </c>
      <c r="H490">
        <v>0.1128</v>
      </c>
      <c r="I490">
        <v>9.2630000000000004E-2</v>
      </c>
      <c r="J490">
        <v>4.2790000000000002E-2</v>
      </c>
      <c r="K490">
        <v>3.1320000000000001E-2</v>
      </c>
      <c r="L490">
        <v>0.18529999999999999</v>
      </c>
      <c r="M490">
        <v>6.4009999999999997E-2</v>
      </c>
      <c r="N490">
        <v>0.37130000000000002</v>
      </c>
      <c r="O490">
        <v>1.1539999999999999</v>
      </c>
      <c r="P490">
        <v>2.5539999999999998</v>
      </c>
      <c r="Q490">
        <v>27.57</v>
      </c>
      <c r="R490">
        <v>8.9980000000000008E-3</v>
      </c>
      <c r="S490">
        <v>1.2919999999999999E-2</v>
      </c>
      <c r="T490">
        <v>1.8509999999999999E-2</v>
      </c>
      <c r="U490">
        <v>1.167E-2</v>
      </c>
      <c r="V490">
        <v>2.1520000000000001E-2</v>
      </c>
      <c r="W490">
        <v>3.2130000000000001E-3</v>
      </c>
      <c r="X490">
        <v>13.32</v>
      </c>
      <c r="Y490">
        <v>21.59</v>
      </c>
      <c r="Z490">
        <v>86.57</v>
      </c>
      <c r="AA490">
        <v>549.79999999999995</v>
      </c>
      <c r="AB490">
        <v>0.15260000000000001</v>
      </c>
      <c r="AC490">
        <v>0.1477</v>
      </c>
      <c r="AD490">
        <v>0.14899999999999999</v>
      </c>
      <c r="AE490">
        <v>9.8150000000000001E-2</v>
      </c>
      <c r="AF490">
        <v>0.28039999999999998</v>
      </c>
      <c r="AG490">
        <v>8.0240000000000006E-2</v>
      </c>
    </row>
    <row r="491" spans="1:33">
      <c r="A491">
        <v>490</v>
      </c>
      <c r="B491">
        <v>913535</v>
      </c>
      <c r="C491" t="s">
        <v>0</v>
      </c>
      <c r="D491">
        <v>13.71</v>
      </c>
      <c r="E491">
        <v>20.2</v>
      </c>
      <c r="F491">
        <v>107.1</v>
      </c>
      <c r="G491">
        <v>857.6</v>
      </c>
      <c r="H491">
        <v>7.4969999999999995E-2</v>
      </c>
      <c r="I491">
        <v>7.1120000000000003E-2</v>
      </c>
      <c r="J491">
        <v>3.6490000000000002E-2</v>
      </c>
      <c r="K491">
        <v>2.307E-2</v>
      </c>
      <c r="L491">
        <v>0.18459999999999999</v>
      </c>
      <c r="M491">
        <v>5.3249999999999999E-2</v>
      </c>
      <c r="N491">
        <v>0.24729999999999999</v>
      </c>
      <c r="O491">
        <v>0.56789999999999996</v>
      </c>
      <c r="P491">
        <v>1.7749999999999999</v>
      </c>
      <c r="Q491">
        <v>22.95</v>
      </c>
      <c r="R491">
        <v>2.6670000000000001E-3</v>
      </c>
      <c r="S491">
        <v>1.4460000000000001E-2</v>
      </c>
      <c r="T491">
        <v>1.423E-2</v>
      </c>
      <c r="U491">
        <v>5.2969999999999996E-3</v>
      </c>
      <c r="V491">
        <v>1.9609999999999999E-2</v>
      </c>
      <c r="W491">
        <v>1.6999999999999999E-3</v>
      </c>
      <c r="X491">
        <v>19.18</v>
      </c>
      <c r="Y491">
        <v>26.56</v>
      </c>
      <c r="Z491">
        <v>127.3</v>
      </c>
      <c r="AA491">
        <v>1084</v>
      </c>
      <c r="AB491">
        <v>0.1009</v>
      </c>
      <c r="AC491">
        <v>0.29199999999999998</v>
      </c>
      <c r="AD491">
        <v>0.2477</v>
      </c>
      <c r="AE491">
        <v>8.7370000000000003E-2</v>
      </c>
      <c r="AF491">
        <v>0.4677</v>
      </c>
      <c r="AG491">
        <v>7.6230000000000006E-2</v>
      </c>
    </row>
    <row r="492" spans="1:33">
      <c r="A492">
        <v>491</v>
      </c>
      <c r="B492">
        <v>91376701</v>
      </c>
      <c r="C492" t="s">
        <v>1</v>
      </c>
      <c r="D492">
        <v>13.71</v>
      </c>
      <c r="E492">
        <v>22.44</v>
      </c>
      <c r="F492">
        <v>78.180000000000007</v>
      </c>
      <c r="G492">
        <v>466.5</v>
      </c>
      <c r="H492">
        <v>8.1920000000000007E-2</v>
      </c>
      <c r="I492">
        <v>5.1999999999999998E-2</v>
      </c>
      <c r="J492">
        <v>1.7139999999999999E-2</v>
      </c>
      <c r="K492">
        <v>1.261E-2</v>
      </c>
      <c r="L492">
        <v>0.15440000000000001</v>
      </c>
      <c r="M492">
        <v>5.9760000000000001E-2</v>
      </c>
      <c r="N492">
        <v>0.22389999999999999</v>
      </c>
      <c r="O492">
        <v>1.139</v>
      </c>
      <c r="P492">
        <v>1.577</v>
      </c>
      <c r="Q492">
        <v>18.04</v>
      </c>
      <c r="R492">
        <v>5.0959999999999998E-3</v>
      </c>
      <c r="S492">
        <v>1.205E-2</v>
      </c>
      <c r="T492">
        <v>9.41E-3</v>
      </c>
      <c r="U492">
        <v>4.5510000000000004E-3</v>
      </c>
      <c r="V492">
        <v>1.6080000000000001E-2</v>
      </c>
      <c r="W492">
        <v>2.3990000000000001E-3</v>
      </c>
      <c r="X492">
        <v>14.17</v>
      </c>
      <c r="Y492">
        <v>31.99</v>
      </c>
      <c r="Z492">
        <v>92.74</v>
      </c>
      <c r="AA492">
        <v>622.9</v>
      </c>
      <c r="AB492">
        <v>0.12559999999999999</v>
      </c>
      <c r="AC492">
        <v>0.1804</v>
      </c>
      <c r="AD492">
        <v>0.123</v>
      </c>
      <c r="AE492">
        <v>6.3350000000000004E-2</v>
      </c>
      <c r="AF492">
        <v>0.31</v>
      </c>
      <c r="AG492">
        <v>8.2030000000000006E-2</v>
      </c>
    </row>
    <row r="493" spans="1:33">
      <c r="A493">
        <v>492</v>
      </c>
      <c r="B493">
        <v>91376702</v>
      </c>
      <c r="C493" t="s">
        <v>1</v>
      </c>
      <c r="D493">
        <v>13.71</v>
      </c>
      <c r="E493">
        <v>13.23</v>
      </c>
      <c r="F493">
        <v>114.6</v>
      </c>
      <c r="G493">
        <v>992.1</v>
      </c>
      <c r="H493">
        <v>7.8380000000000005E-2</v>
      </c>
      <c r="I493">
        <v>6.2170000000000003E-2</v>
      </c>
      <c r="J493">
        <v>4.4450000000000003E-2</v>
      </c>
      <c r="K493">
        <v>4.1779999999999998E-2</v>
      </c>
      <c r="L493">
        <v>0.122</v>
      </c>
      <c r="M493">
        <v>5.2429999999999997E-2</v>
      </c>
      <c r="N493">
        <v>0.4834</v>
      </c>
      <c r="O493">
        <v>1.046</v>
      </c>
      <c r="P493">
        <v>3.1629999999999998</v>
      </c>
      <c r="Q493">
        <v>50.95</v>
      </c>
      <c r="R493">
        <v>4.3689999999999996E-3</v>
      </c>
      <c r="S493">
        <v>8.2740000000000001E-3</v>
      </c>
      <c r="T493">
        <v>1.153E-2</v>
      </c>
      <c r="U493">
        <v>7.437E-3</v>
      </c>
      <c r="V493">
        <v>1.302E-2</v>
      </c>
      <c r="W493">
        <v>1.3090000000000001E-3</v>
      </c>
      <c r="X493">
        <v>19.82</v>
      </c>
      <c r="Y493">
        <v>18.420000000000002</v>
      </c>
      <c r="Z493">
        <v>127.1</v>
      </c>
      <c r="AA493">
        <v>1210</v>
      </c>
      <c r="AB493">
        <v>9.8619999999999999E-2</v>
      </c>
      <c r="AC493">
        <v>9.9760000000000001E-2</v>
      </c>
      <c r="AD493">
        <v>0.1048</v>
      </c>
      <c r="AE493">
        <v>8.3409999999999998E-2</v>
      </c>
      <c r="AF493">
        <v>0.17829999999999999</v>
      </c>
      <c r="AG493">
        <v>5.8709999999999998E-2</v>
      </c>
    </row>
    <row r="494" spans="1:33">
      <c r="A494">
        <v>493</v>
      </c>
      <c r="B494">
        <v>914062</v>
      </c>
      <c r="C494" t="s">
        <v>0</v>
      </c>
      <c r="D494">
        <v>13.71</v>
      </c>
      <c r="E494">
        <v>20.56</v>
      </c>
      <c r="F494">
        <v>118.4</v>
      </c>
      <c r="G494">
        <v>1007</v>
      </c>
      <c r="H494">
        <v>0.10009999999999999</v>
      </c>
      <c r="I494">
        <v>0.12889999999999999</v>
      </c>
      <c r="J494">
        <v>0.11700000000000001</v>
      </c>
      <c r="K494">
        <v>7.7619999999999995E-2</v>
      </c>
      <c r="L494">
        <v>0.21160000000000001</v>
      </c>
      <c r="M494">
        <v>6.0769999999999998E-2</v>
      </c>
      <c r="N494">
        <v>0.75480000000000003</v>
      </c>
      <c r="O494">
        <v>1.288</v>
      </c>
      <c r="P494">
        <v>5.3529999999999998</v>
      </c>
      <c r="Q494">
        <v>89.74</v>
      </c>
      <c r="R494">
        <v>7.9970000000000006E-3</v>
      </c>
      <c r="S494">
        <v>2.7E-2</v>
      </c>
      <c r="T494">
        <v>3.737E-2</v>
      </c>
      <c r="U494">
        <v>1.6480000000000002E-2</v>
      </c>
      <c r="V494">
        <v>2.8969999999999999E-2</v>
      </c>
      <c r="W494">
        <v>3.9960000000000004E-3</v>
      </c>
      <c r="X494">
        <v>21.53</v>
      </c>
      <c r="Y494">
        <v>26.06</v>
      </c>
      <c r="Z494">
        <v>143.4</v>
      </c>
      <c r="AA494">
        <v>1426</v>
      </c>
      <c r="AB494">
        <v>0.13089999999999999</v>
      </c>
      <c r="AC494">
        <v>0.23269999999999999</v>
      </c>
      <c r="AD494">
        <v>0.25440000000000002</v>
      </c>
      <c r="AE494">
        <v>0.1489</v>
      </c>
      <c r="AF494">
        <v>0.3251</v>
      </c>
      <c r="AG494">
        <v>7.6249999999999998E-2</v>
      </c>
    </row>
    <row r="495" spans="1:33">
      <c r="A495">
        <v>494</v>
      </c>
      <c r="B495">
        <v>914101</v>
      </c>
      <c r="C495" t="s">
        <v>1</v>
      </c>
      <c r="D495">
        <v>13.71</v>
      </c>
      <c r="E495">
        <v>12.83</v>
      </c>
      <c r="F495">
        <v>78.83</v>
      </c>
      <c r="G495">
        <v>477.3</v>
      </c>
      <c r="H495">
        <v>7.3719999999999994E-2</v>
      </c>
      <c r="I495">
        <v>4.0430000000000001E-2</v>
      </c>
      <c r="J495">
        <v>7.1729999999999997E-3</v>
      </c>
      <c r="K495">
        <v>1.149E-2</v>
      </c>
      <c r="L495">
        <v>0.1613</v>
      </c>
      <c r="M495">
        <v>6.0130000000000003E-2</v>
      </c>
      <c r="N495">
        <v>0.3276</v>
      </c>
      <c r="O495">
        <v>1.486</v>
      </c>
      <c r="P495">
        <v>2.1080000000000001</v>
      </c>
      <c r="Q495">
        <v>24.6</v>
      </c>
      <c r="R495">
        <v>1.039E-2</v>
      </c>
      <c r="S495">
        <v>1.0030000000000001E-2</v>
      </c>
      <c r="T495">
        <v>6.4159999999999998E-3</v>
      </c>
      <c r="U495">
        <v>7.8949999999999992E-3</v>
      </c>
      <c r="V495">
        <v>2.869E-2</v>
      </c>
      <c r="W495">
        <v>4.8209999999999998E-3</v>
      </c>
      <c r="X495">
        <v>13.19</v>
      </c>
      <c r="Y495">
        <v>16.36</v>
      </c>
      <c r="Z495">
        <v>83.24</v>
      </c>
      <c r="AA495">
        <v>534</v>
      </c>
      <c r="AB495">
        <v>9.4390000000000002E-2</v>
      </c>
      <c r="AC495">
        <v>6.4769999999999994E-2</v>
      </c>
      <c r="AD495">
        <v>1.6740000000000001E-2</v>
      </c>
      <c r="AE495">
        <v>2.6800000000000001E-2</v>
      </c>
      <c r="AF495">
        <v>0.22800000000000001</v>
      </c>
      <c r="AG495">
        <v>7.0279999999999995E-2</v>
      </c>
    </row>
    <row r="496" spans="1:33">
      <c r="A496">
        <v>495</v>
      </c>
      <c r="B496">
        <v>914102</v>
      </c>
      <c r="C496" t="s">
        <v>1</v>
      </c>
      <c r="D496">
        <v>13.71</v>
      </c>
      <c r="E496">
        <v>20.54</v>
      </c>
      <c r="F496">
        <v>84.06</v>
      </c>
      <c r="G496">
        <v>538.70000000000005</v>
      </c>
      <c r="H496">
        <v>7.3349999999999999E-2</v>
      </c>
      <c r="I496">
        <v>5.2749999999999998E-2</v>
      </c>
      <c r="J496">
        <v>1.7999999999999999E-2</v>
      </c>
      <c r="K496">
        <v>1.256E-2</v>
      </c>
      <c r="L496">
        <v>0.17130000000000001</v>
      </c>
      <c r="M496">
        <v>5.8880000000000002E-2</v>
      </c>
      <c r="N496">
        <v>0.32369999999999999</v>
      </c>
      <c r="O496">
        <v>1.4730000000000001</v>
      </c>
      <c r="P496">
        <v>2.3260000000000001</v>
      </c>
      <c r="Q496">
        <v>26.07</v>
      </c>
      <c r="R496">
        <v>7.8019999999999999E-3</v>
      </c>
      <c r="S496">
        <v>2.052E-2</v>
      </c>
      <c r="T496">
        <v>1.341E-2</v>
      </c>
      <c r="U496">
        <v>5.5640000000000004E-3</v>
      </c>
      <c r="V496">
        <v>2.086E-2</v>
      </c>
      <c r="W496">
        <v>2.7009999999999998E-3</v>
      </c>
      <c r="X496">
        <v>14.5</v>
      </c>
      <c r="Y496">
        <v>28.46</v>
      </c>
      <c r="Z496">
        <v>95.29</v>
      </c>
      <c r="AA496">
        <v>648.29999999999995</v>
      </c>
      <c r="AB496">
        <v>0.1118</v>
      </c>
      <c r="AC496">
        <v>0.1646</v>
      </c>
      <c r="AD496">
        <v>7.6980000000000007E-2</v>
      </c>
      <c r="AE496">
        <v>4.1950000000000001E-2</v>
      </c>
      <c r="AF496">
        <v>0.26869999999999999</v>
      </c>
      <c r="AG496">
        <v>7.4289999999999995E-2</v>
      </c>
    </row>
    <row r="497" spans="1:33">
      <c r="A497">
        <v>496</v>
      </c>
      <c r="B497">
        <v>914333</v>
      </c>
      <c r="C497" t="s">
        <v>1</v>
      </c>
      <c r="D497">
        <v>13.71</v>
      </c>
      <c r="E497">
        <v>20.21</v>
      </c>
      <c r="F497">
        <v>96.12</v>
      </c>
      <c r="G497">
        <v>680.9</v>
      </c>
      <c r="H497">
        <v>9.5869999999999997E-2</v>
      </c>
      <c r="I497">
        <v>8.3449999999999996E-2</v>
      </c>
      <c r="J497">
        <v>6.8239999999999995E-2</v>
      </c>
      <c r="K497">
        <v>4.9509999999999998E-2</v>
      </c>
      <c r="L497">
        <v>0.1487</v>
      </c>
      <c r="M497">
        <v>5.7480000000000003E-2</v>
      </c>
      <c r="N497">
        <v>0.23230000000000001</v>
      </c>
      <c r="O497">
        <v>1.6359999999999999</v>
      </c>
      <c r="P497">
        <v>1.5960000000000001</v>
      </c>
      <c r="Q497">
        <v>21.84</v>
      </c>
      <c r="R497">
        <v>5.4149999999999997E-3</v>
      </c>
      <c r="S497">
        <v>1.371E-2</v>
      </c>
      <c r="T497">
        <v>2.1530000000000001E-2</v>
      </c>
      <c r="U497">
        <v>1.183E-2</v>
      </c>
      <c r="V497">
        <v>1.959E-2</v>
      </c>
      <c r="W497">
        <v>1.812E-3</v>
      </c>
      <c r="X497">
        <v>16.010000000000002</v>
      </c>
      <c r="Y497">
        <v>28.48</v>
      </c>
      <c r="Z497">
        <v>103.9</v>
      </c>
      <c r="AA497">
        <v>783.6</v>
      </c>
      <c r="AB497">
        <v>0.1216</v>
      </c>
      <c r="AC497">
        <v>0.13880000000000001</v>
      </c>
      <c r="AD497">
        <v>0.17</v>
      </c>
      <c r="AE497">
        <v>0.1017</v>
      </c>
      <c r="AF497">
        <v>0.2369</v>
      </c>
      <c r="AG497">
        <v>6.5989999999999993E-2</v>
      </c>
    </row>
    <row r="498" spans="1:33">
      <c r="A498">
        <v>497</v>
      </c>
      <c r="B498">
        <v>914366</v>
      </c>
      <c r="C498" t="s">
        <v>1</v>
      </c>
      <c r="D498">
        <v>13.71</v>
      </c>
      <c r="E498">
        <v>18.170000000000002</v>
      </c>
      <c r="F498">
        <v>82.69</v>
      </c>
      <c r="G498">
        <v>485.6</v>
      </c>
      <c r="H498">
        <v>0.1076</v>
      </c>
      <c r="I498">
        <v>0.13339999999999999</v>
      </c>
      <c r="J498">
        <v>8.0170000000000005E-2</v>
      </c>
      <c r="K498">
        <v>5.074E-2</v>
      </c>
      <c r="L498">
        <v>0.1641</v>
      </c>
      <c r="M498">
        <v>6.8540000000000004E-2</v>
      </c>
      <c r="N498">
        <v>0.2324</v>
      </c>
      <c r="O498">
        <v>0.63319999999999999</v>
      </c>
      <c r="P498">
        <v>1.696</v>
      </c>
      <c r="Q498">
        <v>18.399999999999999</v>
      </c>
      <c r="R498">
        <v>5.7039999999999999E-3</v>
      </c>
      <c r="S498">
        <v>2.5020000000000001E-2</v>
      </c>
      <c r="T498">
        <v>2.6360000000000001E-2</v>
      </c>
      <c r="U498">
        <v>1.0319999999999999E-2</v>
      </c>
      <c r="V498">
        <v>1.7590000000000001E-2</v>
      </c>
      <c r="W498">
        <v>3.5630000000000002E-3</v>
      </c>
      <c r="X498">
        <v>14.38</v>
      </c>
      <c r="Y498">
        <v>22.15</v>
      </c>
      <c r="Z498">
        <v>95.29</v>
      </c>
      <c r="AA498">
        <v>633.70000000000005</v>
      </c>
      <c r="AB498">
        <v>0.15329999999999999</v>
      </c>
      <c r="AC498">
        <v>0.38419999999999999</v>
      </c>
      <c r="AD498">
        <v>0.35820000000000002</v>
      </c>
      <c r="AE498">
        <v>0.14069999999999999</v>
      </c>
      <c r="AF498">
        <v>0.32300000000000001</v>
      </c>
      <c r="AG498">
        <v>0.1033</v>
      </c>
    </row>
    <row r="499" spans="1:33">
      <c r="A499">
        <v>498</v>
      </c>
      <c r="B499">
        <v>914580</v>
      </c>
      <c r="C499" t="s">
        <v>1</v>
      </c>
      <c r="D499">
        <v>13.71</v>
      </c>
      <c r="E499">
        <v>17.309999999999999</v>
      </c>
      <c r="F499">
        <v>80.45</v>
      </c>
      <c r="G499">
        <v>480.1</v>
      </c>
      <c r="H499">
        <v>8.9279999999999998E-2</v>
      </c>
      <c r="I499">
        <v>7.6300000000000007E-2</v>
      </c>
      <c r="J499">
        <v>3.6089999999999997E-2</v>
      </c>
      <c r="K499">
        <v>2.3689999999999999E-2</v>
      </c>
      <c r="L499">
        <v>0.15260000000000001</v>
      </c>
      <c r="M499">
        <v>6.046E-2</v>
      </c>
      <c r="N499">
        <v>0.1532</v>
      </c>
      <c r="O499">
        <v>0.78100000000000003</v>
      </c>
      <c r="P499">
        <v>1.2529999999999999</v>
      </c>
      <c r="Q499">
        <v>11.91</v>
      </c>
      <c r="R499">
        <v>3.7959999999999999E-3</v>
      </c>
      <c r="S499">
        <v>1.371E-2</v>
      </c>
      <c r="T499">
        <v>1.346E-2</v>
      </c>
      <c r="U499">
        <v>7.0959999999999999E-3</v>
      </c>
      <c r="V499">
        <v>1.536E-2</v>
      </c>
      <c r="W499">
        <v>1.5410000000000001E-3</v>
      </c>
      <c r="X499">
        <v>14.06</v>
      </c>
      <c r="Y499">
        <v>24.34</v>
      </c>
      <c r="Z499">
        <v>92.82</v>
      </c>
      <c r="AA499">
        <v>607.29999999999995</v>
      </c>
      <c r="AB499">
        <v>0.12759999999999999</v>
      </c>
      <c r="AC499">
        <v>0.25059999999999999</v>
      </c>
      <c r="AD499">
        <v>0.20280000000000001</v>
      </c>
      <c r="AE499">
        <v>0.1053</v>
      </c>
      <c r="AF499">
        <v>0.30349999999999999</v>
      </c>
      <c r="AG499">
        <v>7.6609999999999998E-2</v>
      </c>
    </row>
    <row r="500" spans="1:33">
      <c r="A500">
        <v>499</v>
      </c>
      <c r="B500">
        <v>914769</v>
      </c>
      <c r="C500" t="s">
        <v>0</v>
      </c>
      <c r="D500">
        <v>13.71</v>
      </c>
      <c r="E500">
        <v>17.52</v>
      </c>
      <c r="F500">
        <v>121.3</v>
      </c>
      <c r="G500">
        <v>1068</v>
      </c>
      <c r="H500">
        <v>0.1012</v>
      </c>
      <c r="I500">
        <v>0.13170000000000001</v>
      </c>
      <c r="J500">
        <v>0.14910000000000001</v>
      </c>
      <c r="K500">
        <v>9.1829999999999995E-2</v>
      </c>
      <c r="L500">
        <v>0.1832</v>
      </c>
      <c r="M500">
        <v>6.6970000000000002E-2</v>
      </c>
      <c r="N500">
        <v>0.7923</v>
      </c>
      <c r="O500">
        <v>1.0449999999999999</v>
      </c>
      <c r="P500">
        <v>4.851</v>
      </c>
      <c r="Q500">
        <v>95.77</v>
      </c>
      <c r="R500">
        <v>7.9740000000000002E-3</v>
      </c>
      <c r="S500">
        <v>3.2140000000000002E-2</v>
      </c>
      <c r="T500">
        <v>4.4350000000000001E-2</v>
      </c>
      <c r="U500">
        <v>1.5730000000000001E-2</v>
      </c>
      <c r="V500">
        <v>1.617E-2</v>
      </c>
      <c r="W500">
        <v>5.2550000000000001E-3</v>
      </c>
      <c r="X500">
        <v>22.75</v>
      </c>
      <c r="Y500">
        <v>22.88</v>
      </c>
      <c r="Z500">
        <v>146.4</v>
      </c>
      <c r="AA500">
        <v>1600</v>
      </c>
      <c r="AB500">
        <v>0.14119999999999999</v>
      </c>
      <c r="AC500">
        <v>0.30890000000000001</v>
      </c>
      <c r="AD500">
        <v>0.3533</v>
      </c>
      <c r="AE500">
        <v>0.1663</v>
      </c>
      <c r="AF500">
        <v>0.251</v>
      </c>
      <c r="AG500">
        <v>9.4450000000000006E-2</v>
      </c>
    </row>
    <row r="501" spans="1:33">
      <c r="A501">
        <v>500</v>
      </c>
      <c r="B501">
        <v>91485</v>
      </c>
      <c r="C501" t="s">
        <v>0</v>
      </c>
      <c r="D501">
        <v>13.71</v>
      </c>
      <c r="E501">
        <v>21.24</v>
      </c>
      <c r="F501">
        <v>137.80000000000001</v>
      </c>
      <c r="G501">
        <v>1320</v>
      </c>
      <c r="H501">
        <v>0.1085</v>
      </c>
      <c r="I501">
        <v>0.16439999999999999</v>
      </c>
      <c r="J501">
        <v>0.21879999999999999</v>
      </c>
      <c r="K501">
        <v>0.11210000000000001</v>
      </c>
      <c r="L501">
        <v>0.18479999999999999</v>
      </c>
      <c r="M501">
        <v>6.2219999999999998E-2</v>
      </c>
      <c r="N501">
        <v>0.59040000000000004</v>
      </c>
      <c r="O501">
        <v>1.216</v>
      </c>
      <c r="P501">
        <v>4.2060000000000004</v>
      </c>
      <c r="Q501">
        <v>75.09</v>
      </c>
      <c r="R501">
        <v>6.6660000000000001E-3</v>
      </c>
      <c r="S501">
        <v>2.7910000000000001E-2</v>
      </c>
      <c r="T501">
        <v>4.0620000000000003E-2</v>
      </c>
      <c r="U501">
        <v>1.4789999999999999E-2</v>
      </c>
      <c r="V501">
        <v>1.1169999999999999E-2</v>
      </c>
      <c r="W501">
        <v>3.7269999999999998E-3</v>
      </c>
      <c r="X501">
        <v>23.86</v>
      </c>
      <c r="Y501">
        <v>30.76</v>
      </c>
      <c r="Z501">
        <v>163.19999999999999</v>
      </c>
      <c r="AA501">
        <v>1760</v>
      </c>
      <c r="AB501">
        <v>0.1464</v>
      </c>
      <c r="AC501">
        <v>0.35970000000000002</v>
      </c>
      <c r="AD501">
        <v>0.51790000000000003</v>
      </c>
      <c r="AE501">
        <v>0.21129999999999999</v>
      </c>
      <c r="AF501">
        <v>0.248</v>
      </c>
      <c r="AG501">
        <v>8.9990000000000001E-2</v>
      </c>
    </row>
    <row r="502" spans="1:33">
      <c r="A502">
        <v>501</v>
      </c>
      <c r="B502">
        <v>914862</v>
      </c>
      <c r="C502" t="s">
        <v>1</v>
      </c>
      <c r="D502">
        <v>13.71</v>
      </c>
      <c r="E502">
        <v>16.739999999999998</v>
      </c>
      <c r="F502">
        <v>98.73</v>
      </c>
      <c r="G502">
        <v>689.4</v>
      </c>
      <c r="H502">
        <v>9.8830000000000001E-2</v>
      </c>
      <c r="I502">
        <v>0.13639999999999999</v>
      </c>
      <c r="J502">
        <v>7.7210000000000001E-2</v>
      </c>
      <c r="K502">
        <v>6.1420000000000002E-2</v>
      </c>
      <c r="L502">
        <v>0.1668</v>
      </c>
      <c r="M502">
        <v>6.8690000000000001E-2</v>
      </c>
      <c r="N502">
        <v>0.372</v>
      </c>
      <c r="O502">
        <v>0.84230000000000005</v>
      </c>
      <c r="P502">
        <v>2.3039999999999998</v>
      </c>
      <c r="Q502">
        <v>34.840000000000003</v>
      </c>
      <c r="R502">
        <v>4.1229999999999999E-3</v>
      </c>
      <c r="S502">
        <v>1.8190000000000001E-2</v>
      </c>
      <c r="T502">
        <v>1.9959999999999999E-2</v>
      </c>
      <c r="U502">
        <v>1.004E-2</v>
      </c>
      <c r="V502">
        <v>1.055E-2</v>
      </c>
      <c r="W502">
        <v>3.2369999999999999E-3</v>
      </c>
      <c r="X502">
        <v>16.760000000000002</v>
      </c>
      <c r="Y502">
        <v>20.43</v>
      </c>
      <c r="Z502">
        <v>109.7</v>
      </c>
      <c r="AA502">
        <v>856.9</v>
      </c>
      <c r="AB502">
        <v>0.1135</v>
      </c>
      <c r="AC502">
        <v>0.21759999999999999</v>
      </c>
      <c r="AD502">
        <v>0.18559999999999999</v>
      </c>
      <c r="AE502">
        <v>0.1018</v>
      </c>
      <c r="AF502">
        <v>0.2177</v>
      </c>
      <c r="AG502">
        <v>8.5489999999999997E-2</v>
      </c>
    </row>
    <row r="503" spans="1:33">
      <c r="A503">
        <v>502</v>
      </c>
      <c r="B503">
        <v>91504</v>
      </c>
      <c r="C503" t="s">
        <v>0</v>
      </c>
      <c r="D503">
        <v>13.71</v>
      </c>
      <c r="E503">
        <v>24.49</v>
      </c>
      <c r="F503">
        <v>92.33</v>
      </c>
      <c r="G503">
        <v>595.9</v>
      </c>
      <c r="H503">
        <v>0.1162</v>
      </c>
      <c r="I503">
        <v>0.1681</v>
      </c>
      <c r="J503">
        <v>0.13569999999999999</v>
      </c>
      <c r="K503">
        <v>6.7589999999999997E-2</v>
      </c>
      <c r="L503">
        <v>0.22750000000000001</v>
      </c>
      <c r="M503">
        <v>7.2370000000000004E-2</v>
      </c>
      <c r="N503">
        <v>0.47510000000000002</v>
      </c>
      <c r="O503">
        <v>1.528</v>
      </c>
      <c r="P503">
        <v>2.9740000000000002</v>
      </c>
      <c r="Q503">
        <v>39.049999999999997</v>
      </c>
      <c r="R503">
        <v>9.6799999999999994E-3</v>
      </c>
      <c r="S503">
        <v>3.8559999999999997E-2</v>
      </c>
      <c r="T503">
        <v>3.4759999999999999E-2</v>
      </c>
      <c r="U503">
        <v>1.6160000000000001E-2</v>
      </c>
      <c r="V503">
        <v>2.4340000000000001E-2</v>
      </c>
      <c r="W503">
        <v>6.9950000000000003E-3</v>
      </c>
      <c r="X503">
        <v>16.010000000000002</v>
      </c>
      <c r="Y503">
        <v>32.94</v>
      </c>
      <c r="Z503">
        <v>106</v>
      </c>
      <c r="AA503">
        <v>788</v>
      </c>
      <c r="AB503">
        <v>0.1794</v>
      </c>
      <c r="AC503">
        <v>0.39660000000000001</v>
      </c>
      <c r="AD503">
        <v>0.33810000000000001</v>
      </c>
      <c r="AE503">
        <v>0.15210000000000001</v>
      </c>
      <c r="AF503">
        <v>0.36509999999999998</v>
      </c>
      <c r="AG503">
        <v>0.1183</v>
      </c>
    </row>
    <row r="504" spans="1:33">
      <c r="A504">
        <v>503</v>
      </c>
      <c r="B504">
        <v>91505</v>
      </c>
      <c r="C504" t="s">
        <v>1</v>
      </c>
      <c r="D504">
        <v>13.71</v>
      </c>
      <c r="E504">
        <v>16.32</v>
      </c>
      <c r="F504">
        <v>81.25</v>
      </c>
      <c r="G504">
        <v>476.3</v>
      </c>
      <c r="H504">
        <v>0.1158</v>
      </c>
      <c r="I504">
        <v>0.1085</v>
      </c>
      <c r="J504">
        <v>5.9279999999999999E-2</v>
      </c>
      <c r="K504">
        <v>3.279E-2</v>
      </c>
      <c r="L504">
        <v>0.1943</v>
      </c>
      <c r="M504">
        <v>6.6119999999999998E-2</v>
      </c>
      <c r="N504">
        <v>0.25769999999999998</v>
      </c>
      <c r="O504">
        <v>1.095</v>
      </c>
      <c r="P504">
        <v>1.5660000000000001</v>
      </c>
      <c r="Q504">
        <v>18.489999999999998</v>
      </c>
      <c r="R504">
        <v>9.7020000000000006E-3</v>
      </c>
      <c r="S504">
        <v>1.567E-2</v>
      </c>
      <c r="T504">
        <v>2.5749999999999999E-2</v>
      </c>
      <c r="U504">
        <v>1.1610000000000001E-2</v>
      </c>
      <c r="V504">
        <v>2.801E-2</v>
      </c>
      <c r="W504">
        <v>2.48E-3</v>
      </c>
      <c r="X504">
        <v>13.57</v>
      </c>
      <c r="Y504">
        <v>21.4</v>
      </c>
      <c r="Z504">
        <v>86.67</v>
      </c>
      <c r="AA504">
        <v>552</v>
      </c>
      <c r="AB504">
        <v>0.158</v>
      </c>
      <c r="AC504">
        <v>0.17510000000000001</v>
      </c>
      <c r="AD504">
        <v>0.18890000000000001</v>
      </c>
      <c r="AE504">
        <v>8.4110000000000004E-2</v>
      </c>
      <c r="AF504">
        <v>0.3155</v>
      </c>
      <c r="AG504">
        <v>7.5380000000000003E-2</v>
      </c>
    </row>
    <row r="505" spans="1:33">
      <c r="A505">
        <v>504</v>
      </c>
      <c r="B505">
        <v>915143</v>
      </c>
      <c r="C505" t="s">
        <v>0</v>
      </c>
      <c r="D505">
        <v>13.71</v>
      </c>
      <c r="E505">
        <v>19.829999999999998</v>
      </c>
      <c r="F505">
        <v>152.1</v>
      </c>
      <c r="G505">
        <v>1682</v>
      </c>
      <c r="H505">
        <v>9.3420000000000003E-2</v>
      </c>
      <c r="I505">
        <v>0.1275</v>
      </c>
      <c r="J505">
        <v>0.1676</v>
      </c>
      <c r="K505">
        <v>0.1003</v>
      </c>
      <c r="L505">
        <v>0.15049999999999999</v>
      </c>
      <c r="M505">
        <v>5.484E-2</v>
      </c>
      <c r="N505">
        <v>1.2909999999999999</v>
      </c>
      <c r="O505">
        <v>0.74519999999999997</v>
      </c>
      <c r="P505">
        <v>9.6349999999999998</v>
      </c>
      <c r="Q505">
        <v>180.2</v>
      </c>
      <c r="R505">
        <v>5.7530000000000003E-3</v>
      </c>
      <c r="S505">
        <v>3.356E-2</v>
      </c>
      <c r="T505">
        <v>3.9759999999999997E-2</v>
      </c>
      <c r="U505">
        <v>2.1559999999999999E-2</v>
      </c>
      <c r="V505">
        <v>2.2009999999999998E-2</v>
      </c>
      <c r="W505">
        <v>2.8969999999999998E-3</v>
      </c>
      <c r="X505">
        <v>30.79</v>
      </c>
      <c r="Y505">
        <v>23.87</v>
      </c>
      <c r="Z505">
        <v>211.5</v>
      </c>
      <c r="AA505">
        <v>2782</v>
      </c>
      <c r="AB505">
        <v>0.11990000000000001</v>
      </c>
      <c r="AC505">
        <v>0.36249999999999999</v>
      </c>
      <c r="AD505">
        <v>0.37940000000000002</v>
      </c>
      <c r="AE505">
        <v>0.22639999999999999</v>
      </c>
      <c r="AF505">
        <v>0.2908</v>
      </c>
      <c r="AG505">
        <v>7.2770000000000001E-2</v>
      </c>
    </row>
    <row r="506" spans="1:33">
      <c r="A506">
        <v>505</v>
      </c>
      <c r="B506">
        <v>915186</v>
      </c>
      <c r="C506" t="s">
        <v>1</v>
      </c>
      <c r="D506">
        <v>13.71</v>
      </c>
      <c r="E506">
        <v>12.87</v>
      </c>
      <c r="F506">
        <v>61.49</v>
      </c>
      <c r="G506">
        <v>248.7</v>
      </c>
      <c r="H506">
        <v>0.16339999999999999</v>
      </c>
      <c r="I506">
        <v>0.22389999999999999</v>
      </c>
      <c r="J506">
        <v>9.7299999999999998E-2</v>
      </c>
      <c r="K506">
        <v>5.2519999999999997E-2</v>
      </c>
      <c r="L506">
        <v>0.23780000000000001</v>
      </c>
      <c r="M506">
        <v>9.5019999999999993E-2</v>
      </c>
      <c r="N506">
        <v>0.40760000000000002</v>
      </c>
      <c r="O506">
        <v>1.093</v>
      </c>
      <c r="P506">
        <v>3.0139999999999998</v>
      </c>
      <c r="Q506">
        <v>20.04</v>
      </c>
      <c r="R506">
        <v>9.783E-3</v>
      </c>
      <c r="S506">
        <v>4.5420000000000002E-2</v>
      </c>
      <c r="T506">
        <v>3.483E-2</v>
      </c>
      <c r="U506">
        <v>2.188E-2</v>
      </c>
      <c r="V506">
        <v>2.5420000000000002E-2</v>
      </c>
      <c r="W506">
        <v>1.0449999999999999E-2</v>
      </c>
      <c r="X506">
        <v>10.28</v>
      </c>
      <c r="Y506">
        <v>16.38</v>
      </c>
      <c r="Z506">
        <v>69.05</v>
      </c>
      <c r="AA506">
        <v>300.2</v>
      </c>
      <c r="AB506">
        <v>0.19020000000000001</v>
      </c>
      <c r="AC506">
        <v>0.34410000000000002</v>
      </c>
      <c r="AD506">
        <v>0.2099</v>
      </c>
      <c r="AE506">
        <v>0.10249999999999999</v>
      </c>
      <c r="AF506">
        <v>0.30380000000000001</v>
      </c>
      <c r="AG506">
        <v>0.12520000000000001</v>
      </c>
    </row>
    <row r="507" spans="1:33">
      <c r="A507">
        <v>506</v>
      </c>
      <c r="B507">
        <v>915276</v>
      </c>
      <c r="C507" t="s">
        <v>1</v>
      </c>
      <c r="D507">
        <v>13.71</v>
      </c>
      <c r="E507">
        <v>13.14</v>
      </c>
      <c r="F507">
        <v>64.12</v>
      </c>
      <c r="G507">
        <v>272.5</v>
      </c>
      <c r="H507">
        <v>0.1255</v>
      </c>
      <c r="I507">
        <v>0.22040000000000001</v>
      </c>
      <c r="J507">
        <v>0.1188</v>
      </c>
      <c r="K507">
        <v>7.0379999999999998E-2</v>
      </c>
      <c r="L507">
        <v>0.20569999999999999</v>
      </c>
      <c r="M507">
        <v>9.5750000000000002E-2</v>
      </c>
      <c r="N507">
        <v>0.27439999999999998</v>
      </c>
      <c r="O507">
        <v>1.39</v>
      </c>
      <c r="P507">
        <v>1.7869999999999999</v>
      </c>
      <c r="Q507">
        <v>17.670000000000002</v>
      </c>
      <c r="R507">
        <v>2.1770000000000001E-2</v>
      </c>
      <c r="S507">
        <v>4.888E-2</v>
      </c>
      <c r="T507">
        <v>5.1889999999999999E-2</v>
      </c>
      <c r="U507">
        <v>1.4500000000000001E-2</v>
      </c>
      <c r="V507">
        <v>2.632E-2</v>
      </c>
      <c r="W507">
        <v>1.1480000000000001E-2</v>
      </c>
      <c r="X507">
        <v>10.6</v>
      </c>
      <c r="Y507">
        <v>18.04</v>
      </c>
      <c r="Z507">
        <v>69.47</v>
      </c>
      <c r="AA507">
        <v>328.1</v>
      </c>
      <c r="AB507">
        <v>0.2006</v>
      </c>
      <c r="AC507">
        <v>0.36630000000000001</v>
      </c>
      <c r="AD507">
        <v>0.2913</v>
      </c>
      <c r="AE507">
        <v>0.1075</v>
      </c>
      <c r="AF507">
        <v>0.2848</v>
      </c>
      <c r="AG507">
        <v>0.13639999999999999</v>
      </c>
    </row>
    <row r="508" spans="1:33">
      <c r="A508">
        <v>507</v>
      </c>
      <c r="B508">
        <v>91544001</v>
      </c>
      <c r="C508" t="s">
        <v>1</v>
      </c>
      <c r="D508">
        <v>13.71</v>
      </c>
      <c r="E508">
        <v>20.04</v>
      </c>
      <c r="F508">
        <v>79.47</v>
      </c>
      <c r="G508">
        <v>453.1</v>
      </c>
      <c r="H508">
        <v>0.1096</v>
      </c>
      <c r="I508">
        <v>0.1152</v>
      </c>
      <c r="J508">
        <v>8.1750000000000003E-2</v>
      </c>
      <c r="K508">
        <v>2.1659999999999999E-2</v>
      </c>
      <c r="L508">
        <v>0.21240000000000001</v>
      </c>
      <c r="M508">
        <v>6.8940000000000001E-2</v>
      </c>
      <c r="N508">
        <v>0.18110000000000001</v>
      </c>
      <c r="O508">
        <v>0.79590000000000005</v>
      </c>
      <c r="P508">
        <v>0.98570000000000002</v>
      </c>
      <c r="Q508">
        <v>12.58</v>
      </c>
      <c r="R508">
        <v>6.2719999999999998E-3</v>
      </c>
      <c r="S508">
        <v>2.198E-2</v>
      </c>
      <c r="T508">
        <v>3.9660000000000001E-2</v>
      </c>
      <c r="U508">
        <v>9.894E-3</v>
      </c>
      <c r="V508">
        <v>1.32E-2</v>
      </c>
      <c r="W508">
        <v>3.813E-3</v>
      </c>
      <c r="X508">
        <v>13.16</v>
      </c>
      <c r="Y508">
        <v>24.17</v>
      </c>
      <c r="Z508">
        <v>85.13</v>
      </c>
      <c r="AA508">
        <v>515.29999999999995</v>
      </c>
      <c r="AB508">
        <v>0.14019999999999999</v>
      </c>
      <c r="AC508">
        <v>0.23150000000000001</v>
      </c>
      <c r="AD508">
        <v>0.35349999999999998</v>
      </c>
      <c r="AE508">
        <v>8.0879999999999994E-2</v>
      </c>
      <c r="AF508">
        <v>0.27089999999999997</v>
      </c>
      <c r="AG508">
        <v>8.8389999999999996E-2</v>
      </c>
    </row>
    <row r="509" spans="1:33">
      <c r="A509">
        <v>508</v>
      </c>
      <c r="B509">
        <v>91544002</v>
      </c>
      <c r="C509" t="s">
        <v>1</v>
      </c>
      <c r="D509">
        <v>13.71</v>
      </c>
      <c r="E509">
        <v>17.12</v>
      </c>
      <c r="F509">
        <v>71.25</v>
      </c>
      <c r="G509">
        <v>366.5</v>
      </c>
      <c r="H509">
        <v>0.11940000000000001</v>
      </c>
      <c r="I509">
        <v>0.1071</v>
      </c>
      <c r="J509">
        <v>4.0629999999999999E-2</v>
      </c>
      <c r="K509">
        <v>4.2680000000000003E-2</v>
      </c>
      <c r="L509">
        <v>0.19539999999999999</v>
      </c>
      <c r="M509">
        <v>7.9759999999999998E-2</v>
      </c>
      <c r="N509">
        <v>0.1779</v>
      </c>
      <c r="O509">
        <v>1.03</v>
      </c>
      <c r="P509">
        <v>1.3180000000000001</v>
      </c>
      <c r="Q509">
        <v>12.3</v>
      </c>
      <c r="R509">
        <v>1.2619999999999999E-2</v>
      </c>
      <c r="S509">
        <v>2.3480000000000001E-2</v>
      </c>
      <c r="T509">
        <v>1.7999999999999999E-2</v>
      </c>
      <c r="U509">
        <v>1.285E-2</v>
      </c>
      <c r="V509">
        <v>2.2200000000000001E-2</v>
      </c>
      <c r="W509">
        <v>8.3129999999999992E-3</v>
      </c>
      <c r="X509">
        <v>11.69</v>
      </c>
      <c r="Y509">
        <v>20.74</v>
      </c>
      <c r="Z509">
        <v>76.08</v>
      </c>
      <c r="AA509">
        <v>411.1</v>
      </c>
      <c r="AB509">
        <v>0.16619999999999999</v>
      </c>
      <c r="AC509">
        <v>0.2031</v>
      </c>
      <c r="AD509">
        <v>0.12559999999999999</v>
      </c>
      <c r="AE509">
        <v>9.5140000000000002E-2</v>
      </c>
      <c r="AF509">
        <v>0.27800000000000002</v>
      </c>
      <c r="AG509">
        <v>0.1168</v>
      </c>
    </row>
    <row r="510" spans="1:33">
      <c r="A510">
        <v>509</v>
      </c>
      <c r="B510">
        <v>915452</v>
      </c>
      <c r="C510" t="s">
        <v>1</v>
      </c>
      <c r="D510">
        <v>13.71</v>
      </c>
      <c r="E510">
        <v>15.7</v>
      </c>
      <c r="F510">
        <v>104.7</v>
      </c>
      <c r="G510">
        <v>819.8</v>
      </c>
      <c r="H510">
        <v>9.4270000000000007E-2</v>
      </c>
      <c r="I510">
        <v>6.7119999999999999E-2</v>
      </c>
      <c r="J510">
        <v>5.5259999999999997E-2</v>
      </c>
      <c r="K510">
        <v>4.5629999999999997E-2</v>
      </c>
      <c r="L510">
        <v>0.1711</v>
      </c>
      <c r="M510">
        <v>5.6570000000000002E-2</v>
      </c>
      <c r="N510">
        <v>0.20669999999999999</v>
      </c>
      <c r="O510">
        <v>0.47060000000000002</v>
      </c>
      <c r="P510">
        <v>1.1459999999999999</v>
      </c>
      <c r="Q510">
        <v>20.67</v>
      </c>
      <c r="R510">
        <v>7.3940000000000004E-3</v>
      </c>
      <c r="S510">
        <v>1.2030000000000001E-2</v>
      </c>
      <c r="T510">
        <v>2.47E-2</v>
      </c>
      <c r="U510">
        <v>1.431E-2</v>
      </c>
      <c r="V510">
        <v>1.3440000000000001E-2</v>
      </c>
      <c r="W510">
        <v>2.5690000000000001E-3</v>
      </c>
      <c r="X510">
        <v>17.32</v>
      </c>
      <c r="Y510">
        <v>17.760000000000002</v>
      </c>
      <c r="Z510">
        <v>109.8</v>
      </c>
      <c r="AA510">
        <v>928.2</v>
      </c>
      <c r="AB510">
        <v>0.13539999999999999</v>
      </c>
      <c r="AC510">
        <v>0.1361</v>
      </c>
      <c r="AD510">
        <v>0.19470000000000001</v>
      </c>
      <c r="AE510">
        <v>0.13569999999999999</v>
      </c>
      <c r="AF510">
        <v>0.23</v>
      </c>
      <c r="AG510">
        <v>7.2300000000000003E-2</v>
      </c>
    </row>
    <row r="511" spans="1:33">
      <c r="A511">
        <v>510</v>
      </c>
      <c r="B511">
        <v>915460</v>
      </c>
      <c r="C511" t="s">
        <v>0</v>
      </c>
      <c r="D511">
        <v>13.71</v>
      </c>
      <c r="E511">
        <v>23.95</v>
      </c>
      <c r="F511">
        <v>103.8</v>
      </c>
      <c r="G511">
        <v>731.3</v>
      </c>
      <c r="H511">
        <v>0.1183</v>
      </c>
      <c r="I511">
        <v>0.187</v>
      </c>
      <c r="J511">
        <v>0.20300000000000001</v>
      </c>
      <c r="K511">
        <v>8.5199999999999998E-2</v>
      </c>
      <c r="L511">
        <v>0.1807</v>
      </c>
      <c r="M511">
        <v>7.0830000000000004E-2</v>
      </c>
      <c r="N511">
        <v>0.33310000000000001</v>
      </c>
      <c r="O511">
        <v>1.9610000000000001</v>
      </c>
      <c r="P511">
        <v>2.9369999999999998</v>
      </c>
      <c r="Q511">
        <v>32.520000000000003</v>
      </c>
      <c r="R511">
        <v>9.5379999999999996E-3</v>
      </c>
      <c r="S511">
        <v>4.9399999999999999E-2</v>
      </c>
      <c r="T511">
        <v>6.019E-2</v>
      </c>
      <c r="U511">
        <v>2.0410000000000001E-2</v>
      </c>
      <c r="V511">
        <v>2.1049999999999999E-2</v>
      </c>
      <c r="W511">
        <v>6.0000000000000001E-3</v>
      </c>
      <c r="X511">
        <v>17.11</v>
      </c>
      <c r="Y511">
        <v>36.33</v>
      </c>
      <c r="Z511">
        <v>117.7</v>
      </c>
      <c r="AA511">
        <v>909.4</v>
      </c>
      <c r="AB511">
        <v>0.17319999999999999</v>
      </c>
      <c r="AC511">
        <v>0.49669999999999997</v>
      </c>
      <c r="AD511">
        <v>0.59109999999999996</v>
      </c>
      <c r="AE511">
        <v>0.21629999999999999</v>
      </c>
      <c r="AF511">
        <v>0.30130000000000001</v>
      </c>
      <c r="AG511">
        <v>0.1067</v>
      </c>
    </row>
    <row r="512" spans="1:33">
      <c r="A512">
        <v>511</v>
      </c>
      <c r="B512">
        <v>91550</v>
      </c>
      <c r="C512" t="s">
        <v>1</v>
      </c>
      <c r="D512">
        <v>13.71</v>
      </c>
      <c r="E512">
        <v>14.69</v>
      </c>
      <c r="F512">
        <v>76.31</v>
      </c>
      <c r="G512">
        <v>426</v>
      </c>
      <c r="H512">
        <v>8.0990000000000006E-2</v>
      </c>
      <c r="I512">
        <v>9.6610000000000001E-2</v>
      </c>
      <c r="J512">
        <v>6.726E-2</v>
      </c>
      <c r="K512">
        <v>2.639E-2</v>
      </c>
      <c r="L512">
        <v>0.14990000000000001</v>
      </c>
      <c r="M512">
        <v>6.7580000000000001E-2</v>
      </c>
      <c r="N512">
        <v>0.19239999999999999</v>
      </c>
      <c r="O512">
        <v>0.64170000000000005</v>
      </c>
      <c r="P512">
        <v>1.345</v>
      </c>
      <c r="Q512">
        <v>13.04</v>
      </c>
      <c r="R512">
        <v>6.9820000000000004E-3</v>
      </c>
      <c r="S512">
        <v>3.916E-2</v>
      </c>
      <c r="T512">
        <v>4.0169999999999997E-2</v>
      </c>
      <c r="U512">
        <v>1.528E-2</v>
      </c>
      <c r="V512">
        <v>2.2599999999999999E-2</v>
      </c>
      <c r="W512">
        <v>6.8219999999999999E-3</v>
      </c>
      <c r="X512">
        <v>12.45</v>
      </c>
      <c r="Y512">
        <v>17.600000000000001</v>
      </c>
      <c r="Z512">
        <v>81.25</v>
      </c>
      <c r="AA512">
        <v>473.8</v>
      </c>
      <c r="AB512">
        <v>0.10730000000000001</v>
      </c>
      <c r="AC512">
        <v>0.27929999999999999</v>
      </c>
      <c r="AD512">
        <v>0.26900000000000002</v>
      </c>
      <c r="AE512">
        <v>0.1056</v>
      </c>
      <c r="AF512">
        <v>0.26040000000000002</v>
      </c>
      <c r="AG512">
        <v>9.8790000000000003E-2</v>
      </c>
    </row>
    <row r="513" spans="1:33">
      <c r="A513">
        <v>512</v>
      </c>
      <c r="B513">
        <v>915664</v>
      </c>
      <c r="C513" t="s">
        <v>1</v>
      </c>
      <c r="D513">
        <v>13.71</v>
      </c>
      <c r="E513">
        <v>14.7</v>
      </c>
      <c r="F513">
        <v>94.66</v>
      </c>
      <c r="G513">
        <v>680.7</v>
      </c>
      <c r="H513">
        <v>8.4720000000000004E-2</v>
      </c>
      <c r="I513">
        <v>5.0160000000000003E-2</v>
      </c>
      <c r="J513">
        <v>3.4160000000000003E-2</v>
      </c>
      <c r="K513">
        <v>2.5409999999999999E-2</v>
      </c>
      <c r="L513">
        <v>0.16589999999999999</v>
      </c>
      <c r="M513">
        <v>5.348E-2</v>
      </c>
      <c r="N513">
        <v>0.21820000000000001</v>
      </c>
      <c r="O513">
        <v>0.62319999999999998</v>
      </c>
      <c r="P513">
        <v>1.677</v>
      </c>
      <c r="Q513">
        <v>20.72</v>
      </c>
      <c r="R513">
        <v>6.7080000000000004E-3</v>
      </c>
      <c r="S513">
        <v>1.197E-2</v>
      </c>
      <c r="T513">
        <v>1.482E-2</v>
      </c>
      <c r="U513">
        <v>1.056E-2</v>
      </c>
      <c r="V513">
        <v>1.5800000000000002E-2</v>
      </c>
      <c r="W513">
        <v>1.779E-3</v>
      </c>
      <c r="X513">
        <v>15.61</v>
      </c>
      <c r="Y513">
        <v>17.579999999999998</v>
      </c>
      <c r="Z513">
        <v>101.7</v>
      </c>
      <c r="AA513">
        <v>760.2</v>
      </c>
      <c r="AB513">
        <v>0.1139</v>
      </c>
      <c r="AC513">
        <v>0.1011</v>
      </c>
      <c r="AD513">
        <v>0.1101</v>
      </c>
      <c r="AE513">
        <v>7.9549999999999996E-2</v>
      </c>
      <c r="AF513">
        <v>0.2334</v>
      </c>
      <c r="AG513">
        <v>6.1420000000000002E-2</v>
      </c>
    </row>
    <row r="514" spans="1:33">
      <c r="A514">
        <v>513</v>
      </c>
      <c r="B514">
        <v>915691</v>
      </c>
      <c r="C514" t="s">
        <v>0</v>
      </c>
      <c r="D514">
        <v>13.71</v>
      </c>
      <c r="E514">
        <v>20.52</v>
      </c>
      <c r="F514">
        <v>88.64</v>
      </c>
      <c r="G514">
        <v>556.70000000000005</v>
      </c>
      <c r="H514">
        <v>0.1106</v>
      </c>
      <c r="I514">
        <v>0.1469</v>
      </c>
      <c r="J514">
        <v>0.14449999999999999</v>
      </c>
      <c r="K514">
        <v>8.1720000000000001E-2</v>
      </c>
      <c r="L514">
        <v>0.21160000000000001</v>
      </c>
      <c r="M514">
        <v>7.3249999999999996E-2</v>
      </c>
      <c r="N514">
        <v>0.3906</v>
      </c>
      <c r="O514">
        <v>0.93059999999999998</v>
      </c>
      <c r="P514">
        <v>3.093</v>
      </c>
      <c r="Q514">
        <v>33.67</v>
      </c>
      <c r="R514">
        <v>5.4140000000000004E-3</v>
      </c>
      <c r="S514">
        <v>2.265E-2</v>
      </c>
      <c r="T514">
        <v>3.4520000000000002E-2</v>
      </c>
      <c r="U514">
        <v>1.3339999999999999E-2</v>
      </c>
      <c r="V514">
        <v>1.7049999999999999E-2</v>
      </c>
      <c r="W514">
        <v>4.0049999999999999E-3</v>
      </c>
      <c r="X514">
        <v>16.41</v>
      </c>
      <c r="Y514">
        <v>29.66</v>
      </c>
      <c r="Z514">
        <v>113.3</v>
      </c>
      <c r="AA514">
        <v>844.4</v>
      </c>
      <c r="AB514">
        <v>0.15740000000000001</v>
      </c>
      <c r="AC514">
        <v>0.3856</v>
      </c>
      <c r="AD514">
        <v>0.51060000000000005</v>
      </c>
      <c r="AE514">
        <v>0.2051</v>
      </c>
      <c r="AF514">
        <v>0.35849999999999999</v>
      </c>
      <c r="AG514">
        <v>0.1109</v>
      </c>
    </row>
    <row r="515" spans="1:33">
      <c r="A515">
        <v>514</v>
      </c>
      <c r="B515">
        <v>915940</v>
      </c>
      <c r="C515" t="s">
        <v>1</v>
      </c>
      <c r="D515">
        <v>13.71</v>
      </c>
      <c r="E515">
        <v>13.66</v>
      </c>
      <c r="F515">
        <v>94.29</v>
      </c>
      <c r="G515">
        <v>658.8</v>
      </c>
      <c r="H515">
        <v>9.8320000000000005E-2</v>
      </c>
      <c r="I515">
        <v>8.9179999999999995E-2</v>
      </c>
      <c r="J515">
        <v>8.2220000000000001E-2</v>
      </c>
      <c r="K515">
        <v>4.3490000000000001E-2</v>
      </c>
      <c r="L515">
        <v>0.1739</v>
      </c>
      <c r="M515">
        <v>5.6399999999999999E-2</v>
      </c>
      <c r="N515">
        <v>0.41649999999999998</v>
      </c>
      <c r="O515">
        <v>0.62370000000000003</v>
      </c>
      <c r="P515">
        <v>2.5609999999999999</v>
      </c>
      <c r="Q515">
        <v>37.11</v>
      </c>
      <c r="R515">
        <v>4.9529999999999999E-3</v>
      </c>
      <c r="S515">
        <v>1.8120000000000001E-2</v>
      </c>
      <c r="T515">
        <v>3.0349999999999999E-2</v>
      </c>
      <c r="U515">
        <v>8.6479999999999994E-3</v>
      </c>
      <c r="V515">
        <v>1.5389999999999999E-2</v>
      </c>
      <c r="W515">
        <v>2.281E-3</v>
      </c>
      <c r="X515">
        <v>16.760000000000002</v>
      </c>
      <c r="Y515">
        <v>17.239999999999998</v>
      </c>
      <c r="Z515">
        <v>108.5</v>
      </c>
      <c r="AA515">
        <v>862</v>
      </c>
      <c r="AB515">
        <v>0.12230000000000001</v>
      </c>
      <c r="AC515">
        <v>0.1928</v>
      </c>
      <c r="AD515">
        <v>0.2492</v>
      </c>
      <c r="AE515">
        <v>9.1859999999999997E-2</v>
      </c>
      <c r="AF515">
        <v>0.2626</v>
      </c>
      <c r="AG515">
        <v>7.0480000000000001E-2</v>
      </c>
    </row>
    <row r="516" spans="1:33">
      <c r="A516">
        <v>515</v>
      </c>
      <c r="B516">
        <v>91594602</v>
      </c>
      <c r="C516" t="s">
        <v>0</v>
      </c>
      <c r="D516">
        <v>13.71</v>
      </c>
      <c r="E516">
        <v>19.07</v>
      </c>
      <c r="F516">
        <v>97.26</v>
      </c>
      <c r="G516">
        <v>701.9</v>
      </c>
      <c r="H516">
        <v>9.2149999999999996E-2</v>
      </c>
      <c r="I516">
        <v>8.5970000000000005E-2</v>
      </c>
      <c r="J516">
        <v>7.4859999999999996E-2</v>
      </c>
      <c r="K516">
        <v>4.335E-2</v>
      </c>
      <c r="L516">
        <v>0.15609999999999999</v>
      </c>
      <c r="M516">
        <v>5.9150000000000001E-2</v>
      </c>
      <c r="N516">
        <v>0.38600000000000001</v>
      </c>
      <c r="O516">
        <v>1.198</v>
      </c>
      <c r="P516">
        <v>2.63</v>
      </c>
      <c r="Q516">
        <v>38.49</v>
      </c>
      <c r="R516">
        <v>4.9519999999999998E-3</v>
      </c>
      <c r="S516">
        <v>1.6299999999999999E-2</v>
      </c>
      <c r="T516">
        <v>2.9669999999999998E-2</v>
      </c>
      <c r="U516">
        <v>9.4230000000000008E-3</v>
      </c>
      <c r="V516">
        <v>1.1520000000000001E-2</v>
      </c>
      <c r="W516">
        <v>1.7179999999999999E-3</v>
      </c>
      <c r="X516">
        <v>17.579999999999998</v>
      </c>
      <c r="Y516">
        <v>28.06</v>
      </c>
      <c r="Z516">
        <v>113.8</v>
      </c>
      <c r="AA516">
        <v>967</v>
      </c>
      <c r="AB516">
        <v>0.1246</v>
      </c>
      <c r="AC516">
        <v>0.21010000000000001</v>
      </c>
      <c r="AD516">
        <v>0.28660000000000002</v>
      </c>
      <c r="AE516">
        <v>0.112</v>
      </c>
      <c r="AF516">
        <v>0.22819999999999999</v>
      </c>
      <c r="AG516">
        <v>6.9540000000000005E-2</v>
      </c>
    </row>
    <row r="517" spans="1:33">
      <c r="A517">
        <v>516</v>
      </c>
      <c r="B517">
        <v>916221</v>
      </c>
      <c r="C517" t="s">
        <v>1</v>
      </c>
      <c r="D517">
        <v>13.71</v>
      </c>
      <c r="E517">
        <v>18.61</v>
      </c>
      <c r="F517">
        <v>72.760000000000005</v>
      </c>
      <c r="G517">
        <v>391.2</v>
      </c>
      <c r="H517">
        <v>0.10489999999999999</v>
      </c>
      <c r="I517">
        <v>8.4989999999999996E-2</v>
      </c>
      <c r="J517">
        <v>4.3020000000000003E-2</v>
      </c>
      <c r="K517">
        <v>2.5940000000000001E-2</v>
      </c>
      <c r="L517">
        <v>0.19270000000000001</v>
      </c>
      <c r="M517">
        <v>6.2109999999999999E-2</v>
      </c>
      <c r="N517">
        <v>0.24299999999999999</v>
      </c>
      <c r="O517">
        <v>1.01</v>
      </c>
      <c r="P517">
        <v>1.4910000000000001</v>
      </c>
      <c r="Q517">
        <v>18.190000000000001</v>
      </c>
      <c r="R517">
        <v>8.5769999999999996E-3</v>
      </c>
      <c r="S517">
        <v>1.6410000000000001E-2</v>
      </c>
      <c r="T517">
        <v>2.0990000000000002E-2</v>
      </c>
      <c r="U517">
        <v>1.107E-2</v>
      </c>
      <c r="V517">
        <v>2.4340000000000001E-2</v>
      </c>
      <c r="W517">
        <v>1.217E-3</v>
      </c>
      <c r="X517">
        <v>12.47</v>
      </c>
      <c r="Y517">
        <v>23.03</v>
      </c>
      <c r="Z517">
        <v>79.150000000000006</v>
      </c>
      <c r="AA517">
        <v>478.6</v>
      </c>
      <c r="AB517">
        <v>0.14829999999999999</v>
      </c>
      <c r="AC517">
        <v>0.15740000000000001</v>
      </c>
      <c r="AD517">
        <v>0.16239999999999999</v>
      </c>
      <c r="AE517">
        <v>8.5419999999999996E-2</v>
      </c>
      <c r="AF517">
        <v>0.30599999999999999</v>
      </c>
      <c r="AG517">
        <v>6.7830000000000001E-2</v>
      </c>
    </row>
    <row r="518" spans="1:33">
      <c r="A518">
        <v>517</v>
      </c>
      <c r="B518">
        <v>916799</v>
      </c>
      <c r="C518" t="s">
        <v>0</v>
      </c>
      <c r="D518">
        <v>13.71</v>
      </c>
      <c r="E518">
        <v>20.58</v>
      </c>
      <c r="F518">
        <v>120.8</v>
      </c>
      <c r="G518">
        <v>1052</v>
      </c>
      <c r="H518">
        <v>0.10680000000000001</v>
      </c>
      <c r="I518">
        <v>0.12479999999999999</v>
      </c>
      <c r="J518">
        <v>0.15690000000000001</v>
      </c>
      <c r="K518">
        <v>9.4509999999999997E-2</v>
      </c>
      <c r="L518">
        <v>0.186</v>
      </c>
      <c r="M518">
        <v>5.9409999999999998E-2</v>
      </c>
      <c r="N518">
        <v>0.54490000000000005</v>
      </c>
      <c r="O518">
        <v>0.92249999999999999</v>
      </c>
      <c r="P518">
        <v>3.218</v>
      </c>
      <c r="Q518">
        <v>67.36</v>
      </c>
      <c r="R518">
        <v>6.1760000000000001E-3</v>
      </c>
      <c r="S518">
        <v>1.8769999999999998E-2</v>
      </c>
      <c r="T518">
        <v>2.913E-2</v>
      </c>
      <c r="U518">
        <v>1.0460000000000001E-2</v>
      </c>
      <c r="V518">
        <v>1.559E-2</v>
      </c>
      <c r="W518">
        <v>2.725E-3</v>
      </c>
      <c r="X518">
        <v>21.86</v>
      </c>
      <c r="Y518">
        <v>26.2</v>
      </c>
      <c r="Z518">
        <v>142.19999999999999</v>
      </c>
      <c r="AA518">
        <v>1493</v>
      </c>
      <c r="AB518">
        <v>0.1492</v>
      </c>
      <c r="AC518">
        <v>0.25359999999999999</v>
      </c>
      <c r="AD518">
        <v>0.37590000000000001</v>
      </c>
      <c r="AE518">
        <v>0.151</v>
      </c>
      <c r="AF518">
        <v>0.30740000000000001</v>
      </c>
      <c r="AG518">
        <v>7.8630000000000005E-2</v>
      </c>
    </row>
    <row r="519" spans="1:33">
      <c r="A519">
        <v>518</v>
      </c>
      <c r="B519">
        <v>916838</v>
      </c>
      <c r="C519" t="s">
        <v>0</v>
      </c>
      <c r="D519">
        <v>13.71</v>
      </c>
      <c r="E519">
        <v>20.260000000000002</v>
      </c>
      <c r="F519">
        <v>130.5</v>
      </c>
      <c r="G519">
        <v>1214</v>
      </c>
      <c r="H519">
        <v>0.1037</v>
      </c>
      <c r="I519">
        <v>0.13100000000000001</v>
      </c>
      <c r="J519">
        <v>0.1411</v>
      </c>
      <c r="K519">
        <v>9.4310000000000005E-2</v>
      </c>
      <c r="L519">
        <v>0.1802</v>
      </c>
      <c r="M519">
        <v>6.1879999999999998E-2</v>
      </c>
      <c r="N519">
        <v>0.50790000000000002</v>
      </c>
      <c r="O519">
        <v>0.87370000000000003</v>
      </c>
      <c r="P519">
        <v>3.6539999999999999</v>
      </c>
      <c r="Q519">
        <v>59.7</v>
      </c>
      <c r="R519">
        <v>5.0889999999999998E-3</v>
      </c>
      <c r="S519">
        <v>2.3029999999999998E-2</v>
      </c>
      <c r="T519">
        <v>3.0519999999999999E-2</v>
      </c>
      <c r="U519">
        <v>1.1780000000000001E-2</v>
      </c>
      <c r="V519">
        <v>1.057E-2</v>
      </c>
      <c r="W519">
        <v>3.3909999999999999E-3</v>
      </c>
      <c r="X519">
        <v>23.73</v>
      </c>
      <c r="Y519">
        <v>25.23</v>
      </c>
      <c r="Z519">
        <v>160.5</v>
      </c>
      <c r="AA519">
        <v>1646</v>
      </c>
      <c r="AB519">
        <v>0.14169999999999999</v>
      </c>
      <c r="AC519">
        <v>0.33090000000000003</v>
      </c>
      <c r="AD519">
        <v>0.41849999999999998</v>
      </c>
      <c r="AE519">
        <v>0.1613</v>
      </c>
      <c r="AF519">
        <v>0.25490000000000002</v>
      </c>
      <c r="AG519">
        <v>9.1359999999999997E-2</v>
      </c>
    </row>
    <row r="520" spans="1:33">
      <c r="A520">
        <v>519</v>
      </c>
      <c r="B520">
        <v>917062</v>
      </c>
      <c r="C520" t="s">
        <v>1</v>
      </c>
      <c r="D520">
        <v>13.71</v>
      </c>
      <c r="E520">
        <v>18.22</v>
      </c>
      <c r="F520">
        <v>84.45</v>
      </c>
      <c r="G520">
        <v>493.1</v>
      </c>
      <c r="H520">
        <v>0.12180000000000001</v>
      </c>
      <c r="I520">
        <v>0.1661</v>
      </c>
      <c r="J520">
        <v>4.8250000000000001E-2</v>
      </c>
      <c r="K520">
        <v>5.3030000000000001E-2</v>
      </c>
      <c r="L520">
        <v>0.1709</v>
      </c>
      <c r="M520">
        <v>7.2529999999999997E-2</v>
      </c>
      <c r="N520">
        <v>0.44259999999999999</v>
      </c>
      <c r="O520">
        <v>1.169</v>
      </c>
      <c r="P520">
        <v>3.1760000000000002</v>
      </c>
      <c r="Q520">
        <v>34.369999999999997</v>
      </c>
      <c r="R520">
        <v>5.2729999999999999E-3</v>
      </c>
      <c r="S520">
        <v>2.3290000000000002E-2</v>
      </c>
      <c r="T520">
        <v>1.405E-2</v>
      </c>
      <c r="U520">
        <v>1.244E-2</v>
      </c>
      <c r="V520">
        <v>1.8159999999999999E-2</v>
      </c>
      <c r="W520">
        <v>3.2989999999999998E-3</v>
      </c>
      <c r="X520">
        <v>15.05</v>
      </c>
      <c r="Y520">
        <v>24.37</v>
      </c>
      <c r="Z520">
        <v>99.31</v>
      </c>
      <c r="AA520">
        <v>674.7</v>
      </c>
      <c r="AB520">
        <v>0.14560000000000001</v>
      </c>
      <c r="AC520">
        <v>0.29609999999999997</v>
      </c>
      <c r="AD520">
        <v>0.1246</v>
      </c>
      <c r="AE520">
        <v>0.1096</v>
      </c>
      <c r="AF520">
        <v>0.25819999999999999</v>
      </c>
      <c r="AG520">
        <v>8.8929999999999995E-2</v>
      </c>
    </row>
    <row r="521" spans="1:33">
      <c r="A521">
        <v>520</v>
      </c>
      <c r="B521">
        <v>917080</v>
      </c>
      <c r="C521" t="s">
        <v>1</v>
      </c>
      <c r="D521">
        <v>13.71</v>
      </c>
      <c r="E521">
        <v>16.7</v>
      </c>
      <c r="F521">
        <v>82.51</v>
      </c>
      <c r="G521">
        <v>493.8</v>
      </c>
      <c r="H521">
        <v>0.1125</v>
      </c>
      <c r="I521">
        <v>0.11169999999999999</v>
      </c>
      <c r="J521">
        <v>3.8800000000000001E-2</v>
      </c>
      <c r="K521">
        <v>2.9950000000000001E-2</v>
      </c>
      <c r="L521">
        <v>0.21199999999999999</v>
      </c>
      <c r="M521">
        <v>6.6229999999999997E-2</v>
      </c>
      <c r="N521">
        <v>0.38340000000000002</v>
      </c>
      <c r="O521">
        <v>1.0029999999999999</v>
      </c>
      <c r="P521">
        <v>2.4950000000000001</v>
      </c>
      <c r="Q521">
        <v>28.62</v>
      </c>
      <c r="R521">
        <v>7.509E-3</v>
      </c>
      <c r="S521">
        <v>1.5610000000000001E-2</v>
      </c>
      <c r="T521">
        <v>1.9769999999999999E-2</v>
      </c>
      <c r="U521">
        <v>9.1990000000000006E-3</v>
      </c>
      <c r="V521">
        <v>1.805E-2</v>
      </c>
      <c r="W521">
        <v>3.6289999999999998E-3</v>
      </c>
      <c r="X521">
        <v>14.45</v>
      </c>
      <c r="Y521">
        <v>21.74</v>
      </c>
      <c r="Z521">
        <v>93.63</v>
      </c>
      <c r="AA521">
        <v>624.1</v>
      </c>
      <c r="AB521">
        <v>0.14749999999999999</v>
      </c>
      <c r="AC521">
        <v>0.19789999999999999</v>
      </c>
      <c r="AD521">
        <v>0.14230000000000001</v>
      </c>
      <c r="AE521">
        <v>8.0449999999999994E-2</v>
      </c>
      <c r="AF521">
        <v>0.30709999999999998</v>
      </c>
      <c r="AG521">
        <v>8.5569999999999993E-2</v>
      </c>
    </row>
    <row r="522" spans="1:33">
      <c r="A522">
        <v>521</v>
      </c>
      <c r="B522">
        <v>917092</v>
      </c>
      <c r="C522" t="s">
        <v>1</v>
      </c>
      <c r="D522">
        <v>13.71</v>
      </c>
      <c r="E522">
        <v>13.9</v>
      </c>
      <c r="F522">
        <v>59.96</v>
      </c>
      <c r="G522">
        <v>257.8</v>
      </c>
      <c r="H522">
        <v>0.1371</v>
      </c>
      <c r="I522">
        <v>0.1225</v>
      </c>
      <c r="J522">
        <v>3.3320000000000002E-2</v>
      </c>
      <c r="K522">
        <v>2.4209999999999999E-2</v>
      </c>
      <c r="L522">
        <v>0.21970000000000001</v>
      </c>
      <c r="M522">
        <v>7.6960000000000001E-2</v>
      </c>
      <c r="N522">
        <v>0.3538</v>
      </c>
      <c r="O522">
        <v>1.1299999999999999</v>
      </c>
      <c r="P522">
        <v>2.3879999999999999</v>
      </c>
      <c r="Q522">
        <v>19.63</v>
      </c>
      <c r="R522">
        <v>1.546E-2</v>
      </c>
      <c r="S522">
        <v>2.5399999999999999E-2</v>
      </c>
      <c r="T522">
        <v>2.197E-2</v>
      </c>
      <c r="U522">
        <v>1.5800000000000002E-2</v>
      </c>
      <c r="V522">
        <v>3.9969999999999999E-2</v>
      </c>
      <c r="W522">
        <v>3.901E-3</v>
      </c>
      <c r="X522">
        <v>10.57</v>
      </c>
      <c r="Y522">
        <v>17.84</v>
      </c>
      <c r="Z522">
        <v>67.84</v>
      </c>
      <c r="AA522">
        <v>326.60000000000002</v>
      </c>
      <c r="AB522">
        <v>0.185</v>
      </c>
      <c r="AC522">
        <v>0.2097</v>
      </c>
      <c r="AD522">
        <v>9.9959999999999993E-2</v>
      </c>
      <c r="AE522">
        <v>7.2620000000000004E-2</v>
      </c>
      <c r="AF522">
        <v>0.36809999999999998</v>
      </c>
      <c r="AG522">
        <v>8.9819999999999997E-2</v>
      </c>
    </row>
    <row r="523" spans="1:33">
      <c r="A523">
        <v>522</v>
      </c>
      <c r="B523">
        <v>91762702</v>
      </c>
      <c r="C523" t="s">
        <v>0</v>
      </c>
      <c r="D523">
        <v>13.71</v>
      </c>
      <c r="E523">
        <v>21.6</v>
      </c>
      <c r="F523">
        <v>165.5</v>
      </c>
      <c r="G523">
        <v>1841</v>
      </c>
      <c r="H523">
        <v>0.10299999999999999</v>
      </c>
      <c r="I523">
        <v>0.21060000000000001</v>
      </c>
      <c r="J523">
        <v>0.23100000000000001</v>
      </c>
      <c r="K523">
        <v>0.14710000000000001</v>
      </c>
      <c r="L523">
        <v>0.1991</v>
      </c>
      <c r="M523">
        <v>6.7390000000000005E-2</v>
      </c>
      <c r="N523">
        <v>0.99150000000000005</v>
      </c>
      <c r="O523">
        <v>0.90039999999999998</v>
      </c>
      <c r="P523">
        <v>7.05</v>
      </c>
      <c r="Q523">
        <v>139.9</v>
      </c>
      <c r="R523">
        <v>4.9890000000000004E-3</v>
      </c>
      <c r="S523">
        <v>3.2120000000000003E-2</v>
      </c>
      <c r="T523">
        <v>3.5709999999999999E-2</v>
      </c>
      <c r="U523">
        <v>1.5970000000000002E-2</v>
      </c>
      <c r="V523">
        <v>1.8790000000000001E-2</v>
      </c>
      <c r="W523">
        <v>4.7600000000000003E-3</v>
      </c>
      <c r="X523">
        <v>29.92</v>
      </c>
      <c r="Y523">
        <v>26.93</v>
      </c>
      <c r="Z523">
        <v>205.7</v>
      </c>
      <c r="AA523">
        <v>2642</v>
      </c>
      <c r="AB523">
        <v>0.13420000000000001</v>
      </c>
      <c r="AC523">
        <v>0.41880000000000001</v>
      </c>
      <c r="AD523">
        <v>0.46579999999999999</v>
      </c>
      <c r="AE523">
        <v>0.2475</v>
      </c>
      <c r="AF523">
        <v>0.31569999999999998</v>
      </c>
      <c r="AG523">
        <v>9.6710000000000004E-2</v>
      </c>
    </row>
    <row r="524" spans="1:33">
      <c r="A524">
        <v>523</v>
      </c>
      <c r="B524">
        <v>91789</v>
      </c>
      <c r="C524" t="s">
        <v>1</v>
      </c>
      <c r="D524">
        <v>13.71</v>
      </c>
      <c r="E524">
        <v>19.829999999999998</v>
      </c>
      <c r="F524">
        <v>71.3</v>
      </c>
      <c r="G524">
        <v>388.1</v>
      </c>
      <c r="H524">
        <v>8.5110000000000005E-2</v>
      </c>
      <c r="I524">
        <v>4.4130000000000003E-2</v>
      </c>
      <c r="J524">
        <v>5.0670000000000003E-3</v>
      </c>
      <c r="K524">
        <v>5.6639999999999998E-3</v>
      </c>
      <c r="L524">
        <v>0.16370000000000001</v>
      </c>
      <c r="M524">
        <v>6.343E-2</v>
      </c>
      <c r="N524">
        <v>0.13439999999999999</v>
      </c>
      <c r="O524">
        <v>1.083</v>
      </c>
      <c r="P524">
        <v>0.98119999999999996</v>
      </c>
      <c r="Q524">
        <v>9.3320000000000007</v>
      </c>
      <c r="R524">
        <v>4.1999999999999997E-3</v>
      </c>
      <c r="S524">
        <v>5.8999999999999999E-3</v>
      </c>
      <c r="T524">
        <v>3.846E-3</v>
      </c>
      <c r="U524">
        <v>4.065E-3</v>
      </c>
      <c r="V524">
        <v>1.487E-2</v>
      </c>
      <c r="W524">
        <v>2.2950000000000002E-3</v>
      </c>
      <c r="X524">
        <v>11.93</v>
      </c>
      <c r="Y524">
        <v>26.43</v>
      </c>
      <c r="Z524">
        <v>76.38</v>
      </c>
      <c r="AA524">
        <v>435.9</v>
      </c>
      <c r="AB524">
        <v>0.1108</v>
      </c>
      <c r="AC524">
        <v>7.7229999999999993E-2</v>
      </c>
      <c r="AD524">
        <v>2.5329999999999998E-2</v>
      </c>
      <c r="AE524">
        <v>2.8320000000000001E-2</v>
      </c>
      <c r="AF524">
        <v>0.25569999999999998</v>
      </c>
      <c r="AG524">
        <v>7.6130000000000003E-2</v>
      </c>
    </row>
    <row r="525" spans="1:33">
      <c r="A525">
        <v>524</v>
      </c>
      <c r="B525">
        <v>917896</v>
      </c>
      <c r="C525" t="s">
        <v>1</v>
      </c>
      <c r="D525">
        <v>13.71</v>
      </c>
      <c r="E525">
        <v>18.68</v>
      </c>
      <c r="F525">
        <v>88.73</v>
      </c>
      <c r="G525">
        <v>571</v>
      </c>
      <c r="H525">
        <v>9.9159999999999998E-2</v>
      </c>
      <c r="I525">
        <v>0.107</v>
      </c>
      <c r="J525">
        <v>5.3850000000000002E-2</v>
      </c>
      <c r="K525">
        <v>3.7830000000000003E-2</v>
      </c>
      <c r="L525">
        <v>0.1714</v>
      </c>
      <c r="M525">
        <v>6.8430000000000005E-2</v>
      </c>
      <c r="N525">
        <v>0.31909999999999999</v>
      </c>
      <c r="O525">
        <v>1.2490000000000001</v>
      </c>
      <c r="P525">
        <v>2.2839999999999998</v>
      </c>
      <c r="Q525">
        <v>26.45</v>
      </c>
      <c r="R525">
        <v>6.7390000000000002E-3</v>
      </c>
      <c r="S525">
        <v>2.2509999999999999E-2</v>
      </c>
      <c r="T525">
        <v>2.086E-2</v>
      </c>
      <c r="U525">
        <v>1.3520000000000001E-2</v>
      </c>
      <c r="V525">
        <v>1.8700000000000001E-2</v>
      </c>
      <c r="W525">
        <v>3.7469999999999999E-3</v>
      </c>
      <c r="X525">
        <v>15.11</v>
      </c>
      <c r="Y525">
        <v>25.63</v>
      </c>
      <c r="Z525">
        <v>99.43</v>
      </c>
      <c r="AA525">
        <v>701.9</v>
      </c>
      <c r="AB525">
        <v>0.14249999999999999</v>
      </c>
      <c r="AC525">
        <v>0.25659999999999999</v>
      </c>
      <c r="AD525">
        <v>0.19350000000000001</v>
      </c>
      <c r="AE525">
        <v>0.12839999999999999</v>
      </c>
      <c r="AF525">
        <v>0.28489999999999999</v>
      </c>
      <c r="AG525">
        <v>9.0310000000000001E-2</v>
      </c>
    </row>
    <row r="526" spans="1:33">
      <c r="A526">
        <v>525</v>
      </c>
      <c r="B526">
        <v>917897</v>
      </c>
      <c r="C526" t="s">
        <v>1</v>
      </c>
      <c r="D526">
        <v>13.71</v>
      </c>
      <c r="E526">
        <v>15.68</v>
      </c>
      <c r="F526">
        <v>63</v>
      </c>
      <c r="G526">
        <v>293.2</v>
      </c>
      <c r="H526">
        <v>9.4920000000000004E-2</v>
      </c>
      <c r="I526">
        <v>8.4190000000000001E-2</v>
      </c>
      <c r="J526">
        <v>2.3300000000000001E-2</v>
      </c>
      <c r="K526">
        <v>2.4160000000000001E-2</v>
      </c>
      <c r="L526">
        <v>0.13869999999999999</v>
      </c>
      <c r="M526">
        <v>6.8909999999999999E-2</v>
      </c>
      <c r="N526">
        <v>0.24979999999999999</v>
      </c>
      <c r="O526">
        <v>1.216</v>
      </c>
      <c r="P526">
        <v>1.976</v>
      </c>
      <c r="Q526">
        <v>15.24</v>
      </c>
      <c r="R526">
        <v>8.7320000000000002E-3</v>
      </c>
      <c r="S526">
        <v>2.0420000000000001E-2</v>
      </c>
      <c r="T526">
        <v>1.0619999999999999E-2</v>
      </c>
      <c r="U526">
        <v>6.8009999999999998E-3</v>
      </c>
      <c r="V526">
        <v>1.8239999999999999E-2</v>
      </c>
      <c r="W526">
        <v>3.4940000000000001E-3</v>
      </c>
      <c r="X526">
        <v>11.24</v>
      </c>
      <c r="Y526">
        <v>22.99</v>
      </c>
      <c r="Z526">
        <v>74.319999999999993</v>
      </c>
      <c r="AA526">
        <v>376.5</v>
      </c>
      <c r="AB526">
        <v>0.1419</v>
      </c>
      <c r="AC526">
        <v>0.2243</v>
      </c>
      <c r="AD526">
        <v>8.4339999999999998E-2</v>
      </c>
      <c r="AE526">
        <v>6.5280000000000005E-2</v>
      </c>
      <c r="AF526">
        <v>0.25019999999999998</v>
      </c>
      <c r="AG526">
        <v>9.2090000000000005E-2</v>
      </c>
    </row>
    <row r="527" spans="1:33">
      <c r="A527">
        <v>526</v>
      </c>
      <c r="B527">
        <v>91805</v>
      </c>
      <c r="C527" t="s">
        <v>1</v>
      </c>
      <c r="D527">
        <v>13.71</v>
      </c>
      <c r="E527">
        <v>13.1</v>
      </c>
      <c r="F527">
        <v>54.53</v>
      </c>
      <c r="G527">
        <v>221.3</v>
      </c>
      <c r="H527">
        <v>0.1036</v>
      </c>
      <c r="I527">
        <v>7.6319999999999999E-2</v>
      </c>
      <c r="J527">
        <v>2.5649999999999999E-2</v>
      </c>
      <c r="K527">
        <v>1.5100000000000001E-2</v>
      </c>
      <c r="L527">
        <v>0.1678</v>
      </c>
      <c r="M527">
        <v>7.1260000000000004E-2</v>
      </c>
      <c r="N527">
        <v>0.12670000000000001</v>
      </c>
      <c r="O527">
        <v>0.67930000000000001</v>
      </c>
      <c r="P527">
        <v>1.069</v>
      </c>
      <c r="Q527">
        <v>7.2539999999999996</v>
      </c>
      <c r="R527">
        <v>7.8969999999999995E-3</v>
      </c>
      <c r="S527">
        <v>1.762E-2</v>
      </c>
      <c r="T527">
        <v>1.8010000000000002E-2</v>
      </c>
      <c r="U527">
        <v>7.3200000000000001E-3</v>
      </c>
      <c r="V527">
        <v>1.592E-2</v>
      </c>
      <c r="W527">
        <v>3.9249999999999997E-3</v>
      </c>
      <c r="X527">
        <v>9.4730000000000008</v>
      </c>
      <c r="Y527">
        <v>18.45</v>
      </c>
      <c r="Z527">
        <v>63.3</v>
      </c>
      <c r="AA527">
        <v>275.60000000000002</v>
      </c>
      <c r="AB527">
        <v>0.1641</v>
      </c>
      <c r="AC527">
        <v>0.2235</v>
      </c>
      <c r="AD527">
        <v>0.1754</v>
      </c>
      <c r="AE527">
        <v>8.5120000000000001E-2</v>
      </c>
      <c r="AF527">
        <v>0.29830000000000001</v>
      </c>
      <c r="AG527">
        <v>0.10489999999999999</v>
      </c>
    </row>
    <row r="528" spans="1:33">
      <c r="A528">
        <v>527</v>
      </c>
      <c r="B528">
        <v>91813701</v>
      </c>
      <c r="C528" t="s">
        <v>1</v>
      </c>
      <c r="D528">
        <v>13.71</v>
      </c>
      <c r="E528">
        <v>18.75</v>
      </c>
      <c r="F528">
        <v>87.44</v>
      </c>
      <c r="G528">
        <v>551.1</v>
      </c>
      <c r="H528">
        <v>0.1075</v>
      </c>
      <c r="I528">
        <v>0.1138</v>
      </c>
      <c r="J528">
        <v>4.2009999999999999E-2</v>
      </c>
      <c r="K528">
        <v>3.1519999999999999E-2</v>
      </c>
      <c r="L528">
        <v>0.17230000000000001</v>
      </c>
      <c r="M528">
        <v>6.3170000000000004E-2</v>
      </c>
      <c r="N528">
        <v>0.19980000000000001</v>
      </c>
      <c r="O528">
        <v>0.60680000000000001</v>
      </c>
      <c r="P528">
        <v>1.4430000000000001</v>
      </c>
      <c r="Q528">
        <v>16.07</v>
      </c>
      <c r="R528">
        <v>4.4130000000000003E-3</v>
      </c>
      <c r="S528">
        <v>1.443E-2</v>
      </c>
      <c r="T528">
        <v>1.5089999999999999E-2</v>
      </c>
      <c r="U528">
        <v>7.3689999999999997E-3</v>
      </c>
      <c r="V528">
        <v>1.354E-2</v>
      </c>
      <c r="W528">
        <v>1.787E-3</v>
      </c>
      <c r="X528">
        <v>15.35</v>
      </c>
      <c r="Y528">
        <v>25.16</v>
      </c>
      <c r="Z528">
        <v>101.9</v>
      </c>
      <c r="AA528">
        <v>719.8</v>
      </c>
      <c r="AB528">
        <v>0.16239999999999999</v>
      </c>
      <c r="AC528">
        <v>0.31240000000000001</v>
      </c>
      <c r="AD528">
        <v>0.26540000000000002</v>
      </c>
      <c r="AE528">
        <v>0.14269999999999999</v>
      </c>
      <c r="AF528">
        <v>0.3518</v>
      </c>
      <c r="AG528">
        <v>8.6650000000000005E-2</v>
      </c>
    </row>
    <row r="529" spans="1:33">
      <c r="A529">
        <v>528</v>
      </c>
      <c r="B529">
        <v>91813702</v>
      </c>
      <c r="C529" t="s">
        <v>1</v>
      </c>
      <c r="D529">
        <v>13.71</v>
      </c>
      <c r="E529">
        <v>12.27</v>
      </c>
      <c r="F529">
        <v>78.94</v>
      </c>
      <c r="G529">
        <v>468.5</v>
      </c>
      <c r="H529">
        <v>9.0029999999999999E-2</v>
      </c>
      <c r="I529">
        <v>6.3070000000000001E-2</v>
      </c>
      <c r="J529">
        <v>2.9579999999999999E-2</v>
      </c>
      <c r="K529">
        <v>2.647E-2</v>
      </c>
      <c r="L529">
        <v>0.16889999999999999</v>
      </c>
      <c r="M529">
        <v>5.808E-2</v>
      </c>
      <c r="N529">
        <v>0.1166</v>
      </c>
      <c r="O529">
        <v>0.49569999999999997</v>
      </c>
      <c r="P529">
        <v>0.77139999999999997</v>
      </c>
      <c r="Q529">
        <v>8.9550000000000001</v>
      </c>
      <c r="R529">
        <v>3.6809999999999998E-3</v>
      </c>
      <c r="S529">
        <v>9.1690000000000001E-3</v>
      </c>
      <c r="T529">
        <v>8.7320000000000002E-3</v>
      </c>
      <c r="U529">
        <v>5.7400000000000003E-3</v>
      </c>
      <c r="V529">
        <v>1.129E-2</v>
      </c>
      <c r="W529">
        <v>1.366E-3</v>
      </c>
      <c r="X529">
        <v>13.61</v>
      </c>
      <c r="Y529">
        <v>19.27</v>
      </c>
      <c r="Z529">
        <v>87.22</v>
      </c>
      <c r="AA529">
        <v>564.9</v>
      </c>
      <c r="AB529">
        <v>0.12920000000000001</v>
      </c>
      <c r="AC529">
        <v>0.2074</v>
      </c>
      <c r="AD529">
        <v>0.17910000000000001</v>
      </c>
      <c r="AE529">
        <v>0.107</v>
      </c>
      <c r="AF529">
        <v>0.311</v>
      </c>
      <c r="AG529">
        <v>7.5920000000000001E-2</v>
      </c>
    </row>
    <row r="530" spans="1:33">
      <c r="A530">
        <v>529</v>
      </c>
      <c r="B530">
        <v>918192</v>
      </c>
      <c r="C530" t="s">
        <v>1</v>
      </c>
      <c r="D530">
        <v>13.71</v>
      </c>
      <c r="E530">
        <v>13.17</v>
      </c>
      <c r="F530">
        <v>90.31</v>
      </c>
      <c r="G530">
        <v>594.20000000000005</v>
      </c>
      <c r="H530">
        <v>0.12479999999999999</v>
      </c>
      <c r="I530">
        <v>9.7549999999999998E-2</v>
      </c>
      <c r="J530">
        <v>0.10100000000000001</v>
      </c>
      <c r="K530">
        <v>6.615E-2</v>
      </c>
      <c r="L530">
        <v>0.1976</v>
      </c>
      <c r="M530">
        <v>6.4570000000000002E-2</v>
      </c>
      <c r="N530">
        <v>0.54610000000000003</v>
      </c>
      <c r="O530">
        <v>2.6349999999999998</v>
      </c>
      <c r="P530">
        <v>4.0910000000000002</v>
      </c>
      <c r="Q530">
        <v>44.74</v>
      </c>
      <c r="R530">
        <v>1.004E-2</v>
      </c>
      <c r="S530">
        <v>3.2469999999999999E-2</v>
      </c>
      <c r="T530">
        <v>4.7629999999999999E-2</v>
      </c>
      <c r="U530">
        <v>2.853E-2</v>
      </c>
      <c r="V530">
        <v>1.7149999999999999E-2</v>
      </c>
      <c r="W530">
        <v>5.5279999999999999E-3</v>
      </c>
      <c r="X530">
        <v>14.62</v>
      </c>
      <c r="Y530">
        <v>15.38</v>
      </c>
      <c r="Z530">
        <v>94.52</v>
      </c>
      <c r="AA530">
        <v>653.29999999999995</v>
      </c>
      <c r="AB530">
        <v>0.1394</v>
      </c>
      <c r="AC530">
        <v>0.13639999999999999</v>
      </c>
      <c r="AD530">
        <v>0.15590000000000001</v>
      </c>
      <c r="AE530">
        <v>0.10150000000000001</v>
      </c>
      <c r="AF530">
        <v>0.216</v>
      </c>
      <c r="AG530">
        <v>7.2529999999999997E-2</v>
      </c>
    </row>
    <row r="531" spans="1:33">
      <c r="A531">
        <v>530</v>
      </c>
      <c r="B531">
        <v>918465</v>
      </c>
      <c r="C531" t="s">
        <v>1</v>
      </c>
      <c r="D531">
        <v>13.71</v>
      </c>
      <c r="E531">
        <v>13.44</v>
      </c>
      <c r="F531">
        <v>77.83</v>
      </c>
      <c r="G531">
        <v>445.2</v>
      </c>
      <c r="H531">
        <v>0.11</v>
      </c>
      <c r="I531">
        <v>9.0090000000000003E-2</v>
      </c>
      <c r="J531">
        <v>3.7810000000000003E-2</v>
      </c>
      <c r="K531">
        <v>2.7980000000000001E-2</v>
      </c>
      <c r="L531">
        <v>0.16569999999999999</v>
      </c>
      <c r="M531">
        <v>6.608E-2</v>
      </c>
      <c r="N531">
        <v>0.25130000000000002</v>
      </c>
      <c r="O531">
        <v>0.504</v>
      </c>
      <c r="P531">
        <v>1.714</v>
      </c>
      <c r="Q531">
        <v>18.54</v>
      </c>
      <c r="R531">
        <v>7.3270000000000002E-3</v>
      </c>
      <c r="S531">
        <v>1.153E-2</v>
      </c>
      <c r="T531">
        <v>1.7979999999999999E-2</v>
      </c>
      <c r="U531">
        <v>7.986E-3</v>
      </c>
      <c r="V531">
        <v>1.9619999999999999E-2</v>
      </c>
      <c r="W531">
        <v>2.2339999999999999E-3</v>
      </c>
      <c r="X531">
        <v>13.45</v>
      </c>
      <c r="Y531">
        <v>15.77</v>
      </c>
      <c r="Z531">
        <v>86.92</v>
      </c>
      <c r="AA531">
        <v>549.9</v>
      </c>
      <c r="AB531">
        <v>0.15210000000000001</v>
      </c>
      <c r="AC531">
        <v>0.16320000000000001</v>
      </c>
      <c r="AD531">
        <v>0.16220000000000001</v>
      </c>
      <c r="AE531">
        <v>7.3929999999999996E-2</v>
      </c>
      <c r="AF531">
        <v>0.27810000000000001</v>
      </c>
      <c r="AG531">
        <v>8.0519999999999994E-2</v>
      </c>
    </row>
    <row r="532" spans="1:33">
      <c r="A532">
        <v>531</v>
      </c>
      <c r="B532">
        <v>91858</v>
      </c>
      <c r="C532" t="s">
        <v>1</v>
      </c>
      <c r="D532">
        <v>13.71</v>
      </c>
      <c r="E532">
        <v>17.559999999999999</v>
      </c>
      <c r="F532">
        <v>75.89</v>
      </c>
      <c r="G532">
        <v>422.9</v>
      </c>
      <c r="H532">
        <v>0.10730000000000001</v>
      </c>
      <c r="I532">
        <v>9.7129999999999994E-2</v>
      </c>
      <c r="J532">
        <v>5.2819999999999999E-2</v>
      </c>
      <c r="K532">
        <v>4.4400000000000002E-2</v>
      </c>
      <c r="L532">
        <v>0.1598</v>
      </c>
      <c r="M532">
        <v>6.6769999999999996E-2</v>
      </c>
      <c r="N532">
        <v>0.43840000000000001</v>
      </c>
      <c r="O532">
        <v>1.907</v>
      </c>
      <c r="P532">
        <v>3.149</v>
      </c>
      <c r="Q532">
        <v>30.66</v>
      </c>
      <c r="R532">
        <v>6.587E-3</v>
      </c>
      <c r="S532">
        <v>1.8149999999999999E-2</v>
      </c>
      <c r="T532">
        <v>1.737E-2</v>
      </c>
      <c r="U532">
        <v>1.316E-2</v>
      </c>
      <c r="V532">
        <v>1.8350000000000002E-2</v>
      </c>
      <c r="W532">
        <v>2.3180000000000002E-3</v>
      </c>
      <c r="X532">
        <v>13.5</v>
      </c>
      <c r="Y532">
        <v>27.98</v>
      </c>
      <c r="Z532">
        <v>88.52</v>
      </c>
      <c r="AA532">
        <v>552.29999999999995</v>
      </c>
      <c r="AB532">
        <v>0.13489999999999999</v>
      </c>
      <c r="AC532">
        <v>0.18540000000000001</v>
      </c>
      <c r="AD532">
        <v>0.1366</v>
      </c>
      <c r="AE532">
        <v>0.10100000000000001</v>
      </c>
      <c r="AF532">
        <v>0.24779999999999999</v>
      </c>
      <c r="AG532">
        <v>7.757E-2</v>
      </c>
    </row>
    <row r="533" spans="1:33">
      <c r="A533">
        <v>532</v>
      </c>
      <c r="B533">
        <v>91903901</v>
      </c>
      <c r="C533" t="s">
        <v>1</v>
      </c>
      <c r="D533">
        <v>13.71</v>
      </c>
      <c r="E533">
        <v>20.02</v>
      </c>
      <c r="F533">
        <v>75.209999999999994</v>
      </c>
      <c r="G533">
        <v>416.2</v>
      </c>
      <c r="H533">
        <v>0.1016</v>
      </c>
      <c r="I533">
        <v>9.4530000000000003E-2</v>
      </c>
      <c r="J533">
        <v>4.2000000000000003E-2</v>
      </c>
      <c r="K533">
        <v>2.1569999999999999E-2</v>
      </c>
      <c r="L533">
        <v>0.18590000000000001</v>
      </c>
      <c r="M533">
        <v>6.4610000000000001E-2</v>
      </c>
      <c r="N533">
        <v>0.20669999999999999</v>
      </c>
      <c r="O533">
        <v>0.87450000000000006</v>
      </c>
      <c r="P533">
        <v>1.393</v>
      </c>
      <c r="Q533">
        <v>15.34</v>
      </c>
      <c r="R533">
        <v>5.2509999999999996E-3</v>
      </c>
      <c r="S533">
        <v>1.7270000000000001E-2</v>
      </c>
      <c r="T533">
        <v>1.84E-2</v>
      </c>
      <c r="U533">
        <v>5.2979999999999998E-3</v>
      </c>
      <c r="V533">
        <v>1.4489999999999999E-2</v>
      </c>
      <c r="W533">
        <v>2.6710000000000002E-3</v>
      </c>
      <c r="X533">
        <v>13.35</v>
      </c>
      <c r="Y533">
        <v>28.81</v>
      </c>
      <c r="Z533">
        <v>87</v>
      </c>
      <c r="AA533">
        <v>550.6</v>
      </c>
      <c r="AB533">
        <v>0.155</v>
      </c>
      <c r="AC533">
        <v>0.2964</v>
      </c>
      <c r="AD533">
        <v>0.27579999999999999</v>
      </c>
      <c r="AE533">
        <v>8.1199999999999994E-2</v>
      </c>
      <c r="AF533">
        <v>0.3206</v>
      </c>
      <c r="AG533">
        <v>8.9499999999999996E-2</v>
      </c>
    </row>
    <row r="534" spans="1:33">
      <c r="A534">
        <v>533</v>
      </c>
      <c r="B534">
        <v>91903902</v>
      </c>
      <c r="C534" t="s">
        <v>1</v>
      </c>
      <c r="D534">
        <v>13.71</v>
      </c>
      <c r="E534">
        <v>16.329999999999998</v>
      </c>
      <c r="F534">
        <v>87.76</v>
      </c>
      <c r="G534">
        <v>575.5</v>
      </c>
      <c r="H534">
        <v>9.2770000000000005E-2</v>
      </c>
      <c r="I534">
        <v>7.2550000000000003E-2</v>
      </c>
      <c r="J534">
        <v>1.7520000000000001E-2</v>
      </c>
      <c r="K534">
        <v>1.8800000000000001E-2</v>
      </c>
      <c r="L534">
        <v>0.16309999999999999</v>
      </c>
      <c r="M534">
        <v>6.1550000000000001E-2</v>
      </c>
      <c r="N534">
        <v>0.20469999999999999</v>
      </c>
      <c r="O534">
        <v>0.48010000000000003</v>
      </c>
      <c r="P534">
        <v>1.373</v>
      </c>
      <c r="Q534">
        <v>17.25</v>
      </c>
      <c r="R534">
        <v>3.8279999999999998E-3</v>
      </c>
      <c r="S534">
        <v>7.228E-3</v>
      </c>
      <c r="T534">
        <v>7.0780000000000001E-3</v>
      </c>
      <c r="U534">
        <v>5.0769999999999999E-3</v>
      </c>
      <c r="V534">
        <v>1.0540000000000001E-2</v>
      </c>
      <c r="W534">
        <v>1.6969999999999999E-3</v>
      </c>
      <c r="X534">
        <v>15.85</v>
      </c>
      <c r="Y534">
        <v>20.2</v>
      </c>
      <c r="Z534">
        <v>101.6</v>
      </c>
      <c r="AA534">
        <v>773.4</v>
      </c>
      <c r="AB534">
        <v>0.12640000000000001</v>
      </c>
      <c r="AC534">
        <v>0.15640000000000001</v>
      </c>
      <c r="AD534">
        <v>0.1206</v>
      </c>
      <c r="AE534">
        <v>8.7040000000000006E-2</v>
      </c>
      <c r="AF534">
        <v>0.28060000000000002</v>
      </c>
      <c r="AG534">
        <v>7.782E-2</v>
      </c>
    </row>
    <row r="535" spans="1:33">
      <c r="A535">
        <v>534</v>
      </c>
      <c r="B535">
        <v>91930402</v>
      </c>
      <c r="C535" t="s">
        <v>0</v>
      </c>
      <c r="D535">
        <v>13.71</v>
      </c>
      <c r="E535">
        <v>20.67</v>
      </c>
      <c r="F535">
        <v>134.69999999999999</v>
      </c>
      <c r="G535">
        <v>1299</v>
      </c>
      <c r="H535">
        <v>9.1560000000000002E-2</v>
      </c>
      <c r="I535">
        <v>0.1313</v>
      </c>
      <c r="J535">
        <v>0.15229999999999999</v>
      </c>
      <c r="K535">
        <v>0.10150000000000001</v>
      </c>
      <c r="L535">
        <v>0.21659999999999999</v>
      </c>
      <c r="M535">
        <v>5.4190000000000002E-2</v>
      </c>
      <c r="N535">
        <v>0.83360000000000001</v>
      </c>
      <c r="O535">
        <v>1.736</v>
      </c>
      <c r="P535">
        <v>5.1680000000000001</v>
      </c>
      <c r="Q535">
        <v>100.4</v>
      </c>
      <c r="R535">
        <v>4.9379999999999997E-3</v>
      </c>
      <c r="S535">
        <v>3.0890000000000001E-2</v>
      </c>
      <c r="T535">
        <v>4.0930000000000001E-2</v>
      </c>
      <c r="U535">
        <v>1.6990000000000002E-2</v>
      </c>
      <c r="V535">
        <v>2.8160000000000001E-2</v>
      </c>
      <c r="W535">
        <v>2.7190000000000001E-3</v>
      </c>
      <c r="X535">
        <v>23.23</v>
      </c>
      <c r="Y535">
        <v>27.15</v>
      </c>
      <c r="Z535">
        <v>152</v>
      </c>
      <c r="AA535">
        <v>1645</v>
      </c>
      <c r="AB535">
        <v>0.10970000000000001</v>
      </c>
      <c r="AC535">
        <v>0.25340000000000001</v>
      </c>
      <c r="AD535">
        <v>0.30919999999999997</v>
      </c>
      <c r="AE535">
        <v>0.1613</v>
      </c>
      <c r="AF535">
        <v>0.32200000000000001</v>
      </c>
      <c r="AG535">
        <v>6.386E-2</v>
      </c>
    </row>
    <row r="536" spans="1:33">
      <c r="A536">
        <v>535</v>
      </c>
      <c r="B536">
        <v>919537</v>
      </c>
      <c r="C536" t="s">
        <v>1</v>
      </c>
      <c r="D536">
        <v>13.71</v>
      </c>
      <c r="E536">
        <v>17.62</v>
      </c>
      <c r="F536">
        <v>70.790000000000006</v>
      </c>
      <c r="G536">
        <v>365.6</v>
      </c>
      <c r="H536">
        <v>9.6869999999999998E-2</v>
      </c>
      <c r="I536">
        <v>9.7519999999999996E-2</v>
      </c>
      <c r="J536">
        <v>5.2630000000000003E-2</v>
      </c>
      <c r="K536">
        <v>2.7879999999999999E-2</v>
      </c>
      <c r="L536">
        <v>0.16189999999999999</v>
      </c>
      <c r="M536">
        <v>6.4079999999999998E-2</v>
      </c>
      <c r="N536">
        <v>0.1507</v>
      </c>
      <c r="O536">
        <v>1.583</v>
      </c>
      <c r="P536">
        <v>1.165</v>
      </c>
      <c r="Q536">
        <v>10.09</v>
      </c>
      <c r="R536">
        <v>9.5010000000000008E-3</v>
      </c>
      <c r="S536">
        <v>3.3779999999999998E-2</v>
      </c>
      <c r="T536">
        <v>4.4010000000000001E-2</v>
      </c>
      <c r="U536">
        <v>1.346E-2</v>
      </c>
      <c r="V536">
        <v>1.3220000000000001E-2</v>
      </c>
      <c r="W536">
        <v>3.5339999999999998E-3</v>
      </c>
      <c r="X536">
        <v>11.62</v>
      </c>
      <c r="Y536">
        <v>26.51</v>
      </c>
      <c r="Z536">
        <v>76.430000000000007</v>
      </c>
      <c r="AA536">
        <v>407.5</v>
      </c>
      <c r="AB536">
        <v>0.14280000000000001</v>
      </c>
      <c r="AC536">
        <v>0.251</v>
      </c>
      <c r="AD536">
        <v>0.21229999999999999</v>
      </c>
      <c r="AE536">
        <v>9.8610000000000003E-2</v>
      </c>
      <c r="AF536">
        <v>0.22889999999999999</v>
      </c>
      <c r="AG536">
        <v>8.2780000000000006E-2</v>
      </c>
    </row>
    <row r="537" spans="1:33">
      <c r="A537">
        <v>536</v>
      </c>
      <c r="B537">
        <v>919555</v>
      </c>
      <c r="C537" t="s">
        <v>0</v>
      </c>
      <c r="D537">
        <v>13.71</v>
      </c>
      <c r="E537">
        <v>20.86</v>
      </c>
      <c r="F537">
        <v>137.80000000000001</v>
      </c>
      <c r="G537">
        <v>1308</v>
      </c>
      <c r="H537">
        <v>0.1046</v>
      </c>
      <c r="I537">
        <v>0.1739</v>
      </c>
      <c r="J537">
        <v>0.20849999999999999</v>
      </c>
      <c r="K537">
        <v>0.13220000000000001</v>
      </c>
      <c r="L537">
        <v>0.2127</v>
      </c>
      <c r="M537">
        <v>6.2509999999999996E-2</v>
      </c>
      <c r="N537">
        <v>0.6986</v>
      </c>
      <c r="O537">
        <v>0.99009999999999998</v>
      </c>
      <c r="P537">
        <v>4.7060000000000004</v>
      </c>
      <c r="Q537">
        <v>87.78</v>
      </c>
      <c r="R537">
        <v>4.5779999999999996E-3</v>
      </c>
      <c r="S537">
        <v>2.6159999999999999E-2</v>
      </c>
      <c r="T537">
        <v>4.0050000000000002E-2</v>
      </c>
      <c r="U537">
        <v>1.421E-2</v>
      </c>
      <c r="V537">
        <v>1.9480000000000001E-2</v>
      </c>
      <c r="W537">
        <v>2.689E-3</v>
      </c>
      <c r="X537">
        <v>24.3</v>
      </c>
      <c r="Y537">
        <v>25.48</v>
      </c>
      <c r="Z537">
        <v>160.19999999999999</v>
      </c>
      <c r="AA537">
        <v>1809</v>
      </c>
      <c r="AB537">
        <v>0.1268</v>
      </c>
      <c r="AC537">
        <v>0.3135</v>
      </c>
      <c r="AD537">
        <v>0.44330000000000003</v>
      </c>
      <c r="AE537">
        <v>0.21479999999999999</v>
      </c>
      <c r="AF537">
        <v>0.30769999999999997</v>
      </c>
      <c r="AG537">
        <v>7.5689999999999993E-2</v>
      </c>
    </row>
    <row r="538" spans="1:33">
      <c r="A538">
        <v>537</v>
      </c>
      <c r="B538">
        <v>91979701</v>
      </c>
      <c r="C538" t="s">
        <v>0</v>
      </c>
      <c r="D538">
        <v>13.71</v>
      </c>
      <c r="E538">
        <v>22.55</v>
      </c>
      <c r="F538">
        <v>93.77</v>
      </c>
      <c r="G538">
        <v>629.79999999999995</v>
      </c>
      <c r="H538">
        <v>0.1038</v>
      </c>
      <c r="I538">
        <v>0.1154</v>
      </c>
      <c r="J538">
        <v>0.14630000000000001</v>
      </c>
      <c r="K538">
        <v>6.139E-2</v>
      </c>
      <c r="L538">
        <v>0.19259999999999999</v>
      </c>
      <c r="M538">
        <v>5.9819999999999998E-2</v>
      </c>
      <c r="N538">
        <v>0.20269999999999999</v>
      </c>
      <c r="O538">
        <v>1.851</v>
      </c>
      <c r="P538">
        <v>1.895</v>
      </c>
      <c r="Q538">
        <v>18.54</v>
      </c>
      <c r="R538">
        <v>6.1130000000000004E-3</v>
      </c>
      <c r="S538">
        <v>2.5829999999999999E-2</v>
      </c>
      <c r="T538">
        <v>4.6449999999999998E-2</v>
      </c>
      <c r="U538">
        <v>1.2760000000000001E-2</v>
      </c>
      <c r="V538">
        <v>1.451E-2</v>
      </c>
      <c r="W538">
        <v>3.7559999999999998E-3</v>
      </c>
      <c r="X538">
        <v>15.29</v>
      </c>
      <c r="Y538">
        <v>34.270000000000003</v>
      </c>
      <c r="Z538">
        <v>104.3</v>
      </c>
      <c r="AA538">
        <v>728.3</v>
      </c>
      <c r="AB538">
        <v>0.13800000000000001</v>
      </c>
      <c r="AC538">
        <v>0.27329999999999999</v>
      </c>
      <c r="AD538">
        <v>0.4234</v>
      </c>
      <c r="AE538">
        <v>0.13619999999999999</v>
      </c>
      <c r="AF538">
        <v>0.26979999999999998</v>
      </c>
      <c r="AG538">
        <v>8.3510000000000001E-2</v>
      </c>
    </row>
    <row r="539" spans="1:33">
      <c r="A539">
        <v>538</v>
      </c>
      <c r="B539">
        <v>919812</v>
      </c>
      <c r="C539" t="s">
        <v>1</v>
      </c>
      <c r="D539">
        <v>13.71</v>
      </c>
      <c r="E539">
        <v>24.44</v>
      </c>
      <c r="F539">
        <v>76.37</v>
      </c>
      <c r="G539">
        <v>406.4</v>
      </c>
      <c r="H539">
        <v>0.1236</v>
      </c>
      <c r="I539">
        <v>0.1552</v>
      </c>
      <c r="J539">
        <v>4.5150000000000003E-2</v>
      </c>
      <c r="K539">
        <v>4.5310000000000003E-2</v>
      </c>
      <c r="L539">
        <v>0.21310000000000001</v>
      </c>
      <c r="M539">
        <v>7.4050000000000005E-2</v>
      </c>
      <c r="N539">
        <v>0.29570000000000002</v>
      </c>
      <c r="O539">
        <v>1.978</v>
      </c>
      <c r="P539">
        <v>2.1579999999999999</v>
      </c>
      <c r="Q539">
        <v>20.95</v>
      </c>
      <c r="R539">
        <v>1.2880000000000001E-2</v>
      </c>
      <c r="S539">
        <v>3.4950000000000002E-2</v>
      </c>
      <c r="T539">
        <v>1.865E-2</v>
      </c>
      <c r="U539">
        <v>1.7659999999999999E-2</v>
      </c>
      <c r="V539">
        <v>1.5599999999999999E-2</v>
      </c>
      <c r="W539">
        <v>5.8240000000000002E-3</v>
      </c>
      <c r="X539">
        <v>12.98</v>
      </c>
      <c r="Y539">
        <v>32.19</v>
      </c>
      <c r="Z539">
        <v>86.12</v>
      </c>
      <c r="AA539">
        <v>487.7</v>
      </c>
      <c r="AB539">
        <v>0.17680000000000001</v>
      </c>
      <c r="AC539">
        <v>0.3251</v>
      </c>
      <c r="AD539">
        <v>0.13950000000000001</v>
      </c>
      <c r="AE539">
        <v>0.1308</v>
      </c>
      <c r="AF539">
        <v>0.28029999999999999</v>
      </c>
      <c r="AG539">
        <v>9.9699999999999997E-2</v>
      </c>
    </row>
    <row r="540" spans="1:33">
      <c r="A540">
        <v>539</v>
      </c>
      <c r="B540">
        <v>921092</v>
      </c>
      <c r="C540" t="s">
        <v>1</v>
      </c>
      <c r="D540">
        <v>13.71</v>
      </c>
      <c r="E540">
        <v>25.49</v>
      </c>
      <c r="F540">
        <v>47.98</v>
      </c>
      <c r="G540">
        <v>178.8</v>
      </c>
      <c r="H540">
        <v>8.0979999999999996E-2</v>
      </c>
      <c r="I540">
        <v>4.8779999999999997E-2</v>
      </c>
      <c r="J540">
        <v>0</v>
      </c>
      <c r="K540">
        <v>0</v>
      </c>
      <c r="L540">
        <v>0.187</v>
      </c>
      <c r="M540">
        <v>7.2849999999999998E-2</v>
      </c>
      <c r="N540">
        <v>0.37769999999999998</v>
      </c>
      <c r="O540">
        <v>1.462</v>
      </c>
      <c r="P540">
        <v>2.492</v>
      </c>
      <c r="Q540">
        <v>19.14</v>
      </c>
      <c r="R540">
        <v>1.2659999999999999E-2</v>
      </c>
      <c r="S540">
        <v>9.6919999999999992E-3</v>
      </c>
      <c r="T540">
        <v>0</v>
      </c>
      <c r="U540">
        <v>0</v>
      </c>
      <c r="V540">
        <v>2.8819999999999998E-2</v>
      </c>
      <c r="W540">
        <v>6.8719999999999996E-3</v>
      </c>
      <c r="X540">
        <v>9.077</v>
      </c>
      <c r="Y540">
        <v>30.92</v>
      </c>
      <c r="Z540">
        <v>57.17</v>
      </c>
      <c r="AA540">
        <v>248</v>
      </c>
      <c r="AB540">
        <v>0.12559999999999999</v>
      </c>
      <c r="AC540">
        <v>8.3400000000000002E-2</v>
      </c>
      <c r="AD540">
        <v>0</v>
      </c>
      <c r="AE540">
        <v>0</v>
      </c>
      <c r="AF540">
        <v>0.30580000000000002</v>
      </c>
      <c r="AG540">
        <v>9.9379999999999996E-2</v>
      </c>
    </row>
    <row r="541" spans="1:33">
      <c r="A541">
        <v>540</v>
      </c>
      <c r="B541">
        <v>921362</v>
      </c>
      <c r="C541" t="s">
        <v>1</v>
      </c>
      <c r="D541">
        <v>13.71</v>
      </c>
      <c r="E541">
        <v>25.44</v>
      </c>
      <c r="F541">
        <v>48.34</v>
      </c>
      <c r="G541">
        <v>170.4</v>
      </c>
      <c r="H541">
        <v>8.6679999999999993E-2</v>
      </c>
      <c r="I541">
        <v>0.11990000000000001</v>
      </c>
      <c r="J541">
        <v>9.2520000000000005E-2</v>
      </c>
      <c r="K541">
        <v>1.3639999999999999E-2</v>
      </c>
      <c r="L541">
        <v>0.20369999999999999</v>
      </c>
      <c r="M541">
        <v>7.7509999999999996E-2</v>
      </c>
      <c r="N541">
        <v>0.21959999999999999</v>
      </c>
      <c r="O541">
        <v>1.4790000000000001</v>
      </c>
      <c r="P541">
        <v>1.4450000000000001</v>
      </c>
      <c r="Q541">
        <v>11.73</v>
      </c>
      <c r="R541">
        <v>1.5469999999999999E-2</v>
      </c>
      <c r="S541">
        <v>6.4570000000000002E-2</v>
      </c>
      <c r="T541">
        <v>9.2520000000000005E-2</v>
      </c>
      <c r="U541">
        <v>1.3639999999999999E-2</v>
      </c>
      <c r="V541">
        <v>2.1049999999999999E-2</v>
      </c>
      <c r="W541">
        <v>7.5510000000000004E-3</v>
      </c>
      <c r="X541">
        <v>8.6780000000000008</v>
      </c>
      <c r="Y541">
        <v>31.89</v>
      </c>
      <c r="Z541">
        <v>54.49</v>
      </c>
      <c r="AA541">
        <v>223.6</v>
      </c>
      <c r="AB541">
        <v>0.15959999999999999</v>
      </c>
      <c r="AC541">
        <v>0.30640000000000001</v>
      </c>
      <c r="AD541">
        <v>0.33929999999999999</v>
      </c>
      <c r="AE541">
        <v>0.05</v>
      </c>
      <c r="AF541">
        <v>0.27900000000000003</v>
      </c>
      <c r="AG541">
        <v>0.1066</v>
      </c>
    </row>
    <row r="542" spans="1:33">
      <c r="A542">
        <v>541</v>
      </c>
      <c r="B542">
        <v>921385</v>
      </c>
      <c r="C542" t="s">
        <v>1</v>
      </c>
      <c r="D542">
        <v>13.71</v>
      </c>
      <c r="E542">
        <v>14.44</v>
      </c>
      <c r="F542">
        <v>74.650000000000006</v>
      </c>
      <c r="G542">
        <v>402.9</v>
      </c>
      <c r="H542">
        <v>9.9839999999999998E-2</v>
      </c>
      <c r="I542">
        <v>0.112</v>
      </c>
      <c r="J542">
        <v>6.7369999999999999E-2</v>
      </c>
      <c r="K542">
        <v>2.5940000000000001E-2</v>
      </c>
      <c r="L542">
        <v>0.18179999999999999</v>
      </c>
      <c r="M542">
        <v>6.7820000000000005E-2</v>
      </c>
      <c r="N542">
        <v>0.27839999999999998</v>
      </c>
      <c r="O542">
        <v>1.768</v>
      </c>
      <c r="P542">
        <v>1.6279999999999999</v>
      </c>
      <c r="Q542">
        <v>20.86</v>
      </c>
      <c r="R542">
        <v>1.2149999999999999E-2</v>
      </c>
      <c r="S542">
        <v>4.1119999999999997E-2</v>
      </c>
      <c r="T542">
        <v>5.5530000000000003E-2</v>
      </c>
      <c r="U542">
        <v>1.494E-2</v>
      </c>
      <c r="V542">
        <v>1.84E-2</v>
      </c>
      <c r="W542">
        <v>5.5120000000000004E-3</v>
      </c>
      <c r="X542">
        <v>12.26</v>
      </c>
      <c r="Y542">
        <v>19.68</v>
      </c>
      <c r="Z542">
        <v>78.78</v>
      </c>
      <c r="AA542">
        <v>457.8</v>
      </c>
      <c r="AB542">
        <v>0.13450000000000001</v>
      </c>
      <c r="AC542">
        <v>0.21179999999999999</v>
      </c>
      <c r="AD542">
        <v>0.1797</v>
      </c>
      <c r="AE542">
        <v>6.9180000000000005E-2</v>
      </c>
      <c r="AF542">
        <v>0.2329</v>
      </c>
      <c r="AG542">
        <v>8.1339999999999996E-2</v>
      </c>
    </row>
    <row r="543" spans="1:33">
      <c r="A543">
        <v>542</v>
      </c>
      <c r="B543">
        <v>921386</v>
      </c>
      <c r="C543" t="s">
        <v>1</v>
      </c>
      <c r="D543">
        <v>13.71</v>
      </c>
      <c r="E543">
        <v>24.99</v>
      </c>
      <c r="F543">
        <v>95.81</v>
      </c>
      <c r="G543">
        <v>656.4</v>
      </c>
      <c r="H543">
        <v>8.8370000000000004E-2</v>
      </c>
      <c r="I543">
        <v>0.123</v>
      </c>
      <c r="J543">
        <v>0.1009</v>
      </c>
      <c r="K543">
        <v>3.8899999999999997E-2</v>
      </c>
      <c r="L543">
        <v>0.18720000000000001</v>
      </c>
      <c r="M543">
        <v>6.3409999999999994E-2</v>
      </c>
      <c r="N543">
        <v>0.25419999999999998</v>
      </c>
      <c r="O543">
        <v>1.079</v>
      </c>
      <c r="P543">
        <v>2.6150000000000002</v>
      </c>
      <c r="Q543">
        <v>23.11</v>
      </c>
      <c r="R543">
        <v>7.1380000000000002E-3</v>
      </c>
      <c r="S543">
        <v>4.6530000000000002E-2</v>
      </c>
      <c r="T543">
        <v>3.8289999999999998E-2</v>
      </c>
      <c r="U543">
        <v>1.162E-2</v>
      </c>
      <c r="V543">
        <v>2.068E-2</v>
      </c>
      <c r="W543">
        <v>6.1110000000000001E-3</v>
      </c>
      <c r="X543">
        <v>16.22</v>
      </c>
      <c r="Y543">
        <v>31.73</v>
      </c>
      <c r="Z543">
        <v>113.5</v>
      </c>
      <c r="AA543">
        <v>808.9</v>
      </c>
      <c r="AB543">
        <v>0.13400000000000001</v>
      </c>
      <c r="AC543">
        <v>0.42020000000000002</v>
      </c>
      <c r="AD543">
        <v>0.40400000000000003</v>
      </c>
      <c r="AE543">
        <v>0.1205</v>
      </c>
      <c r="AF543">
        <v>0.31869999999999998</v>
      </c>
      <c r="AG543">
        <v>0.1023</v>
      </c>
    </row>
    <row r="544" spans="1:33">
      <c r="A544">
        <v>543</v>
      </c>
      <c r="B544">
        <v>921644</v>
      </c>
      <c r="C544" t="s">
        <v>1</v>
      </c>
      <c r="D544">
        <v>13.71</v>
      </c>
      <c r="E544">
        <v>25.42</v>
      </c>
      <c r="F544">
        <v>94.7</v>
      </c>
      <c r="G544">
        <v>668.6</v>
      </c>
      <c r="H544">
        <v>8.2750000000000004E-2</v>
      </c>
      <c r="I544">
        <v>7.2139999999999996E-2</v>
      </c>
      <c r="J544">
        <v>4.1050000000000003E-2</v>
      </c>
      <c r="K544">
        <v>3.0269999999999998E-2</v>
      </c>
      <c r="L544">
        <v>0.184</v>
      </c>
      <c r="M544">
        <v>5.6800000000000003E-2</v>
      </c>
      <c r="N544">
        <v>0.30309999999999998</v>
      </c>
      <c r="O544">
        <v>1.385</v>
      </c>
      <c r="P544">
        <v>2.177</v>
      </c>
      <c r="Q544">
        <v>27.41</v>
      </c>
      <c r="R544">
        <v>4.7749999999999997E-3</v>
      </c>
      <c r="S544">
        <v>1.172E-2</v>
      </c>
      <c r="T544">
        <v>1.9470000000000001E-2</v>
      </c>
      <c r="U544">
        <v>1.269E-2</v>
      </c>
      <c r="V544">
        <v>1.8700000000000001E-2</v>
      </c>
      <c r="W544">
        <v>2.6259999999999999E-3</v>
      </c>
      <c r="X544">
        <v>16.510000000000002</v>
      </c>
      <c r="Y544">
        <v>32.29</v>
      </c>
      <c r="Z544">
        <v>107.4</v>
      </c>
      <c r="AA544">
        <v>826.4</v>
      </c>
      <c r="AB544">
        <v>0.106</v>
      </c>
      <c r="AC544">
        <v>0.1376</v>
      </c>
      <c r="AD544">
        <v>0.16109999999999999</v>
      </c>
      <c r="AE544">
        <v>0.1095</v>
      </c>
      <c r="AF544">
        <v>0.2722</v>
      </c>
      <c r="AG544">
        <v>6.9559999999999997E-2</v>
      </c>
    </row>
    <row r="545" spans="1:33">
      <c r="A545">
        <v>544</v>
      </c>
      <c r="B545">
        <v>922296</v>
      </c>
      <c r="C545" t="s">
        <v>1</v>
      </c>
      <c r="D545">
        <v>13.71</v>
      </c>
      <c r="E545">
        <v>28.06</v>
      </c>
      <c r="F545">
        <v>84.88</v>
      </c>
      <c r="G545">
        <v>538.4</v>
      </c>
      <c r="H545">
        <v>8.6709999999999995E-2</v>
      </c>
      <c r="I545">
        <v>6.8769999999999998E-2</v>
      </c>
      <c r="J545">
        <v>2.9870000000000001E-2</v>
      </c>
      <c r="K545">
        <v>3.2750000000000001E-2</v>
      </c>
      <c r="L545">
        <v>0.1628</v>
      </c>
      <c r="M545">
        <v>5.781E-2</v>
      </c>
      <c r="N545">
        <v>0.2351</v>
      </c>
      <c r="O545">
        <v>1.597</v>
      </c>
      <c r="P545">
        <v>1.5389999999999999</v>
      </c>
      <c r="Q545">
        <v>17.850000000000001</v>
      </c>
      <c r="R545">
        <v>4.973E-3</v>
      </c>
      <c r="S545">
        <v>1.372E-2</v>
      </c>
      <c r="T545">
        <v>1.498E-2</v>
      </c>
      <c r="U545">
        <v>9.1170000000000001E-3</v>
      </c>
      <c r="V545">
        <v>1.7239999999999998E-2</v>
      </c>
      <c r="W545">
        <v>1.343E-3</v>
      </c>
      <c r="X545">
        <v>14.37</v>
      </c>
      <c r="Y545">
        <v>37.17</v>
      </c>
      <c r="Z545">
        <v>92.48</v>
      </c>
      <c r="AA545">
        <v>629.6</v>
      </c>
      <c r="AB545">
        <v>0.1072</v>
      </c>
      <c r="AC545">
        <v>0.1381</v>
      </c>
      <c r="AD545">
        <v>0.1062</v>
      </c>
      <c r="AE545">
        <v>7.9579999999999998E-2</v>
      </c>
      <c r="AF545">
        <v>0.24729999999999999</v>
      </c>
      <c r="AG545">
        <v>6.4430000000000001E-2</v>
      </c>
    </row>
    <row r="546" spans="1:33">
      <c r="A546">
        <v>545</v>
      </c>
      <c r="B546">
        <v>922297</v>
      </c>
      <c r="C546" t="s">
        <v>1</v>
      </c>
      <c r="D546">
        <v>13.71</v>
      </c>
      <c r="E546">
        <v>20.7</v>
      </c>
      <c r="F546">
        <v>89.77</v>
      </c>
      <c r="G546">
        <v>584.79999999999995</v>
      </c>
      <c r="H546">
        <v>9.5780000000000004E-2</v>
      </c>
      <c r="I546">
        <v>0.1018</v>
      </c>
      <c r="J546">
        <v>3.6880000000000003E-2</v>
      </c>
      <c r="K546">
        <v>2.3689999999999999E-2</v>
      </c>
      <c r="L546">
        <v>0.16200000000000001</v>
      </c>
      <c r="M546">
        <v>6.6879999999999995E-2</v>
      </c>
      <c r="N546">
        <v>0.27200000000000002</v>
      </c>
      <c r="O546">
        <v>1.0469999999999999</v>
      </c>
      <c r="P546">
        <v>2.0760000000000001</v>
      </c>
      <c r="Q546">
        <v>23.12</v>
      </c>
      <c r="R546">
        <v>6.2979999999999998E-3</v>
      </c>
      <c r="S546">
        <v>2.172E-2</v>
      </c>
      <c r="T546">
        <v>2.615E-2</v>
      </c>
      <c r="U546">
        <v>9.0609999999999996E-3</v>
      </c>
      <c r="V546">
        <v>1.49E-2</v>
      </c>
      <c r="W546">
        <v>3.5990000000000002E-3</v>
      </c>
      <c r="X546">
        <v>15.05</v>
      </c>
      <c r="Y546">
        <v>24.75</v>
      </c>
      <c r="Z546">
        <v>99.17</v>
      </c>
      <c r="AA546">
        <v>688.6</v>
      </c>
      <c r="AB546">
        <v>0.12640000000000001</v>
      </c>
      <c r="AC546">
        <v>0.20369999999999999</v>
      </c>
      <c r="AD546">
        <v>0.13769999999999999</v>
      </c>
      <c r="AE546">
        <v>6.8449999999999997E-2</v>
      </c>
      <c r="AF546">
        <v>0.22489999999999999</v>
      </c>
      <c r="AG546">
        <v>8.4919999999999995E-2</v>
      </c>
    </row>
    <row r="547" spans="1:33">
      <c r="A547">
        <v>546</v>
      </c>
      <c r="B547">
        <v>922576</v>
      </c>
      <c r="C547" t="s">
        <v>1</v>
      </c>
      <c r="D547">
        <v>13.71</v>
      </c>
      <c r="E547">
        <v>23.23</v>
      </c>
      <c r="F547">
        <v>87.19</v>
      </c>
      <c r="G547">
        <v>573.20000000000005</v>
      </c>
      <c r="H547">
        <v>9.2460000000000001E-2</v>
      </c>
      <c r="I547">
        <v>6.7470000000000002E-2</v>
      </c>
      <c r="J547">
        <v>2.9739999999999999E-2</v>
      </c>
      <c r="K547">
        <v>2.443E-2</v>
      </c>
      <c r="L547">
        <v>0.16639999999999999</v>
      </c>
      <c r="M547">
        <v>5.8009999999999999E-2</v>
      </c>
      <c r="N547">
        <v>0.34599999999999997</v>
      </c>
      <c r="O547">
        <v>1.3360000000000001</v>
      </c>
      <c r="P547">
        <v>2.0659999999999998</v>
      </c>
      <c r="Q547">
        <v>31.24</v>
      </c>
      <c r="R547">
        <v>5.868E-3</v>
      </c>
      <c r="S547">
        <v>2.0990000000000002E-2</v>
      </c>
      <c r="T547">
        <v>2.0209999999999999E-2</v>
      </c>
      <c r="U547">
        <v>9.0639999999999991E-3</v>
      </c>
      <c r="V547">
        <v>2.087E-2</v>
      </c>
      <c r="W547">
        <v>2.5829999999999998E-3</v>
      </c>
      <c r="X547">
        <v>15.35</v>
      </c>
      <c r="Y547">
        <v>29.09</v>
      </c>
      <c r="Z547">
        <v>97.58</v>
      </c>
      <c r="AA547">
        <v>729.8</v>
      </c>
      <c r="AB547">
        <v>0.1216</v>
      </c>
      <c r="AC547">
        <v>0.1517</v>
      </c>
      <c r="AD547">
        <v>0.10489999999999999</v>
      </c>
      <c r="AE547">
        <v>7.1739999999999998E-2</v>
      </c>
      <c r="AF547">
        <v>0.26419999999999999</v>
      </c>
      <c r="AG547">
        <v>6.9529999999999995E-2</v>
      </c>
    </row>
    <row r="548" spans="1:33">
      <c r="A548">
        <v>547</v>
      </c>
      <c r="B548">
        <v>922577</v>
      </c>
      <c r="C548" t="s">
        <v>1</v>
      </c>
      <c r="D548">
        <v>13.71</v>
      </c>
      <c r="E548">
        <v>16.350000000000001</v>
      </c>
      <c r="F548">
        <v>65.31</v>
      </c>
      <c r="G548">
        <v>324.89999999999998</v>
      </c>
      <c r="H548">
        <v>9.4339999999999993E-2</v>
      </c>
      <c r="I548">
        <v>4.9939999999999998E-2</v>
      </c>
      <c r="J548">
        <v>1.0120000000000001E-2</v>
      </c>
      <c r="K548">
        <v>5.4949999999999999E-3</v>
      </c>
      <c r="L548">
        <v>0.1885</v>
      </c>
      <c r="M548">
        <v>6.2010000000000003E-2</v>
      </c>
      <c r="N548">
        <v>0.2104</v>
      </c>
      <c r="O548">
        <v>0.96699999999999997</v>
      </c>
      <c r="P548">
        <v>1.3560000000000001</v>
      </c>
      <c r="Q548">
        <v>12.97</v>
      </c>
      <c r="R548">
        <v>7.0860000000000003E-3</v>
      </c>
      <c r="S548">
        <v>7.247E-3</v>
      </c>
      <c r="T548">
        <v>1.0120000000000001E-2</v>
      </c>
      <c r="U548">
        <v>5.4949999999999999E-3</v>
      </c>
      <c r="V548">
        <v>1.5599999999999999E-2</v>
      </c>
      <c r="W548">
        <v>2.6059999999999998E-3</v>
      </c>
      <c r="X548">
        <v>11.25</v>
      </c>
      <c r="Y548">
        <v>21.77</v>
      </c>
      <c r="Z548">
        <v>71.12</v>
      </c>
      <c r="AA548">
        <v>384.9</v>
      </c>
      <c r="AB548">
        <v>0.1285</v>
      </c>
      <c r="AC548">
        <v>8.8419999999999999E-2</v>
      </c>
      <c r="AD548">
        <v>4.3839999999999997E-2</v>
      </c>
      <c r="AE548">
        <v>2.3810000000000001E-2</v>
      </c>
      <c r="AF548">
        <v>0.2681</v>
      </c>
      <c r="AG548">
        <v>7.399E-2</v>
      </c>
    </row>
    <row r="549" spans="1:33">
      <c r="A549">
        <v>548</v>
      </c>
      <c r="B549">
        <v>922840</v>
      </c>
      <c r="C549" t="s">
        <v>1</v>
      </c>
      <c r="D549">
        <v>13.71</v>
      </c>
      <c r="E549">
        <v>16.579999999999998</v>
      </c>
      <c r="F549">
        <v>65.849999999999994</v>
      </c>
      <c r="G549">
        <v>320.8</v>
      </c>
      <c r="H549">
        <v>8.8770000000000002E-2</v>
      </c>
      <c r="I549">
        <v>8.0659999999999996E-2</v>
      </c>
      <c r="J549">
        <v>4.3580000000000001E-2</v>
      </c>
      <c r="K549">
        <v>2.4379999999999999E-2</v>
      </c>
      <c r="L549">
        <v>0.16689999999999999</v>
      </c>
      <c r="M549">
        <v>6.7140000000000005E-2</v>
      </c>
      <c r="N549">
        <v>0.1144</v>
      </c>
      <c r="O549">
        <v>1.0229999999999999</v>
      </c>
      <c r="P549">
        <v>0.98870000000000002</v>
      </c>
      <c r="Q549">
        <v>7.3259999999999996</v>
      </c>
      <c r="R549">
        <v>1.027E-2</v>
      </c>
      <c r="S549">
        <v>3.0839999999999999E-2</v>
      </c>
      <c r="T549">
        <v>2.613E-2</v>
      </c>
      <c r="U549">
        <v>1.0970000000000001E-2</v>
      </c>
      <c r="V549">
        <v>2.2769999999999999E-2</v>
      </c>
      <c r="W549">
        <v>5.8900000000000003E-3</v>
      </c>
      <c r="X549">
        <v>10.83</v>
      </c>
      <c r="Y549">
        <v>22.04</v>
      </c>
      <c r="Z549">
        <v>71.08</v>
      </c>
      <c r="AA549">
        <v>357.4</v>
      </c>
      <c r="AB549">
        <v>0.14610000000000001</v>
      </c>
      <c r="AC549">
        <v>0.22459999999999999</v>
      </c>
      <c r="AD549">
        <v>0.17829999999999999</v>
      </c>
      <c r="AE549">
        <v>8.3330000000000001E-2</v>
      </c>
      <c r="AF549">
        <v>0.26910000000000001</v>
      </c>
      <c r="AG549">
        <v>9.4789999999999999E-2</v>
      </c>
    </row>
    <row r="550" spans="1:33">
      <c r="A550">
        <v>549</v>
      </c>
      <c r="B550">
        <v>923169</v>
      </c>
      <c r="C550" t="s">
        <v>1</v>
      </c>
      <c r="D550">
        <v>13.71</v>
      </c>
      <c r="E550">
        <v>19.34</v>
      </c>
      <c r="F550">
        <v>61.05</v>
      </c>
      <c r="G550">
        <v>285.7</v>
      </c>
      <c r="H550">
        <v>8.4909999999999999E-2</v>
      </c>
      <c r="I550">
        <v>5.0299999999999997E-2</v>
      </c>
      <c r="J550">
        <v>2.3369999999999998E-2</v>
      </c>
      <c r="K550">
        <v>9.6150000000000003E-3</v>
      </c>
      <c r="L550">
        <v>0.158</v>
      </c>
      <c r="M550">
        <v>6.2350000000000003E-2</v>
      </c>
      <c r="N550">
        <v>0.29570000000000002</v>
      </c>
      <c r="O550">
        <v>1.363</v>
      </c>
      <c r="P550">
        <v>2.0539999999999998</v>
      </c>
      <c r="Q550">
        <v>18.239999999999998</v>
      </c>
      <c r="R550">
        <v>7.4400000000000004E-3</v>
      </c>
      <c r="S550">
        <v>1.123E-2</v>
      </c>
      <c r="T550">
        <v>2.3369999999999998E-2</v>
      </c>
      <c r="U550">
        <v>9.6150000000000003E-3</v>
      </c>
      <c r="V550">
        <v>2.2030000000000001E-2</v>
      </c>
      <c r="W550">
        <v>4.1539999999999997E-3</v>
      </c>
      <c r="X550">
        <v>10.93</v>
      </c>
      <c r="Y550">
        <v>25.59</v>
      </c>
      <c r="Z550">
        <v>69.099999999999994</v>
      </c>
      <c r="AA550">
        <v>364.2</v>
      </c>
      <c r="AB550">
        <v>0.11990000000000001</v>
      </c>
      <c r="AC550">
        <v>9.5460000000000003E-2</v>
      </c>
      <c r="AD550">
        <v>9.35E-2</v>
      </c>
      <c r="AE550">
        <v>3.8460000000000001E-2</v>
      </c>
      <c r="AF550">
        <v>0.25519999999999998</v>
      </c>
      <c r="AG550">
        <v>7.9200000000000007E-2</v>
      </c>
    </row>
    <row r="551" spans="1:33">
      <c r="A551">
        <v>550</v>
      </c>
      <c r="B551">
        <v>923465</v>
      </c>
      <c r="C551" t="s">
        <v>1</v>
      </c>
      <c r="D551">
        <v>13.71</v>
      </c>
      <c r="E551">
        <v>24.21</v>
      </c>
      <c r="F551">
        <v>68.89</v>
      </c>
      <c r="G551">
        <v>361.6</v>
      </c>
      <c r="H551">
        <v>8.1920000000000007E-2</v>
      </c>
      <c r="I551">
        <v>6.6019999999999995E-2</v>
      </c>
      <c r="J551">
        <v>1.5480000000000001E-2</v>
      </c>
      <c r="K551">
        <v>8.1600000000000006E-3</v>
      </c>
      <c r="L551">
        <v>0.1976</v>
      </c>
      <c r="M551">
        <v>6.3280000000000003E-2</v>
      </c>
      <c r="N551">
        <v>0.51959999999999995</v>
      </c>
      <c r="O551">
        <v>1.9179999999999999</v>
      </c>
      <c r="P551">
        <v>3.5640000000000001</v>
      </c>
      <c r="Q551">
        <v>33</v>
      </c>
      <c r="R551">
        <v>8.2629999999999995E-3</v>
      </c>
      <c r="S551">
        <v>1.8700000000000001E-2</v>
      </c>
      <c r="T551">
        <v>1.277E-2</v>
      </c>
      <c r="U551">
        <v>5.9170000000000004E-3</v>
      </c>
      <c r="V551">
        <v>2.4660000000000001E-2</v>
      </c>
      <c r="W551">
        <v>2.977E-3</v>
      </c>
      <c r="X551">
        <v>13.03</v>
      </c>
      <c r="Y551">
        <v>31.45</v>
      </c>
      <c r="Z551">
        <v>83.9</v>
      </c>
      <c r="AA551">
        <v>505.6</v>
      </c>
      <c r="AB551">
        <v>0.12039999999999999</v>
      </c>
      <c r="AC551">
        <v>0.1633</v>
      </c>
      <c r="AD551">
        <v>6.1940000000000002E-2</v>
      </c>
      <c r="AE551">
        <v>3.2640000000000002E-2</v>
      </c>
      <c r="AF551">
        <v>0.30590000000000001</v>
      </c>
      <c r="AG551">
        <v>7.6259999999999994E-2</v>
      </c>
    </row>
    <row r="552" spans="1:33">
      <c r="A552">
        <v>551</v>
      </c>
      <c r="B552">
        <v>923748</v>
      </c>
      <c r="C552" t="s">
        <v>1</v>
      </c>
      <c r="D552">
        <v>13.71</v>
      </c>
      <c r="E552">
        <v>21.48</v>
      </c>
      <c r="F552">
        <v>68.510000000000005</v>
      </c>
      <c r="G552">
        <v>360.5</v>
      </c>
      <c r="H552">
        <v>7.4310000000000001E-2</v>
      </c>
      <c r="I552">
        <v>4.2270000000000002E-2</v>
      </c>
      <c r="J552">
        <v>0</v>
      </c>
      <c r="K552">
        <v>0</v>
      </c>
      <c r="L552">
        <v>0.1661</v>
      </c>
      <c r="M552">
        <v>5.9479999999999998E-2</v>
      </c>
      <c r="N552">
        <v>0.31630000000000003</v>
      </c>
      <c r="O552">
        <v>1.304</v>
      </c>
      <c r="P552">
        <v>2.1150000000000002</v>
      </c>
      <c r="Q552">
        <v>20.67</v>
      </c>
      <c r="R552">
        <v>9.5790000000000007E-3</v>
      </c>
      <c r="S552">
        <v>1.1039999999999999E-2</v>
      </c>
      <c r="T552">
        <v>0</v>
      </c>
      <c r="U552">
        <v>0</v>
      </c>
      <c r="V552">
        <v>3.0040000000000001E-2</v>
      </c>
      <c r="W552">
        <v>2.2279999999999999E-3</v>
      </c>
      <c r="X552">
        <v>11.66</v>
      </c>
      <c r="Y552">
        <v>24.77</v>
      </c>
      <c r="Z552">
        <v>74.08</v>
      </c>
      <c r="AA552">
        <v>412.3</v>
      </c>
      <c r="AB552">
        <v>0.10009999999999999</v>
      </c>
      <c r="AC552">
        <v>7.3480000000000004E-2</v>
      </c>
      <c r="AD552">
        <v>0</v>
      </c>
      <c r="AE552">
        <v>0</v>
      </c>
      <c r="AF552">
        <v>0.24579999999999999</v>
      </c>
      <c r="AG552">
        <v>6.5920000000000006E-2</v>
      </c>
    </row>
    <row r="553" spans="1:33">
      <c r="A553">
        <v>552</v>
      </c>
      <c r="B553">
        <v>923780</v>
      </c>
      <c r="C553" t="s">
        <v>1</v>
      </c>
      <c r="D553">
        <v>13.71</v>
      </c>
      <c r="E553">
        <v>22.44</v>
      </c>
      <c r="F553">
        <v>71.489999999999995</v>
      </c>
      <c r="G553">
        <v>378.4</v>
      </c>
      <c r="H553">
        <v>9.5659999999999995E-2</v>
      </c>
      <c r="I553">
        <v>8.1939999999999999E-2</v>
      </c>
      <c r="J553">
        <v>4.8239999999999998E-2</v>
      </c>
      <c r="K553">
        <v>2.257E-2</v>
      </c>
      <c r="L553">
        <v>0.20300000000000001</v>
      </c>
      <c r="M553">
        <v>6.5519999999999995E-2</v>
      </c>
      <c r="N553">
        <v>0.28000000000000003</v>
      </c>
      <c r="O553">
        <v>1.4670000000000001</v>
      </c>
      <c r="P553">
        <v>1.994</v>
      </c>
      <c r="Q553">
        <v>17.850000000000001</v>
      </c>
      <c r="R553">
        <v>3.4949999999999998E-3</v>
      </c>
      <c r="S553">
        <v>3.0509999999999999E-2</v>
      </c>
      <c r="T553">
        <v>3.4450000000000001E-2</v>
      </c>
      <c r="U553">
        <v>1.0240000000000001E-2</v>
      </c>
      <c r="V553">
        <v>2.912E-2</v>
      </c>
      <c r="W553">
        <v>4.7229999999999998E-3</v>
      </c>
      <c r="X553">
        <v>12.02</v>
      </c>
      <c r="Y553">
        <v>28.26</v>
      </c>
      <c r="Z553">
        <v>77.8</v>
      </c>
      <c r="AA553">
        <v>436.6</v>
      </c>
      <c r="AB553">
        <v>0.1087</v>
      </c>
      <c r="AC553">
        <v>0.1782</v>
      </c>
      <c r="AD553">
        <v>0.15640000000000001</v>
      </c>
      <c r="AE553">
        <v>6.4130000000000006E-2</v>
      </c>
      <c r="AF553">
        <v>0.31690000000000002</v>
      </c>
      <c r="AG553">
        <v>8.0320000000000003E-2</v>
      </c>
    </row>
    <row r="554" spans="1:33">
      <c r="A554">
        <v>553</v>
      </c>
      <c r="B554">
        <v>924084</v>
      </c>
      <c r="C554" t="s">
        <v>1</v>
      </c>
      <c r="D554">
        <v>13.71</v>
      </c>
      <c r="E554">
        <v>29.43</v>
      </c>
      <c r="F554">
        <v>81.349999999999994</v>
      </c>
      <c r="G554">
        <v>507.9</v>
      </c>
      <c r="H554">
        <v>8.276E-2</v>
      </c>
      <c r="I554">
        <v>4.2340000000000003E-2</v>
      </c>
      <c r="J554">
        <v>1.9970000000000002E-2</v>
      </c>
      <c r="K554">
        <v>1.499E-2</v>
      </c>
      <c r="L554">
        <v>0.15390000000000001</v>
      </c>
      <c r="M554">
        <v>5.6370000000000003E-2</v>
      </c>
      <c r="N554">
        <v>0.2409</v>
      </c>
      <c r="O554">
        <v>1.367</v>
      </c>
      <c r="P554">
        <v>1.4770000000000001</v>
      </c>
      <c r="Q554">
        <v>18.760000000000002</v>
      </c>
      <c r="R554">
        <v>8.8350000000000008E-3</v>
      </c>
      <c r="S554">
        <v>1.2330000000000001E-2</v>
      </c>
      <c r="T554">
        <v>1.328E-2</v>
      </c>
      <c r="U554">
        <v>9.3050000000000008E-3</v>
      </c>
      <c r="V554">
        <v>1.8970000000000001E-2</v>
      </c>
      <c r="W554">
        <v>1.7260000000000001E-3</v>
      </c>
      <c r="X554">
        <v>13.87</v>
      </c>
      <c r="Y554">
        <v>36</v>
      </c>
      <c r="Z554">
        <v>88.1</v>
      </c>
      <c r="AA554">
        <v>594.70000000000005</v>
      </c>
      <c r="AB554">
        <v>0.1234</v>
      </c>
      <c r="AC554">
        <v>0.10639999999999999</v>
      </c>
      <c r="AD554">
        <v>8.6529999999999996E-2</v>
      </c>
      <c r="AE554">
        <v>6.4979999999999996E-2</v>
      </c>
      <c r="AF554">
        <v>0.2407</v>
      </c>
      <c r="AG554">
        <v>6.4839999999999995E-2</v>
      </c>
    </row>
    <row r="555" spans="1:33">
      <c r="A555">
        <v>554</v>
      </c>
      <c r="B555">
        <v>924342</v>
      </c>
      <c r="C555" t="s">
        <v>1</v>
      </c>
      <c r="D555">
        <v>13.71</v>
      </c>
      <c r="E555">
        <v>21.94</v>
      </c>
      <c r="F555">
        <v>59.01</v>
      </c>
      <c r="G555">
        <v>264</v>
      </c>
      <c r="H555">
        <v>9.2399999999999996E-2</v>
      </c>
      <c r="I555">
        <v>5.6050000000000003E-2</v>
      </c>
      <c r="J555">
        <v>3.9960000000000002E-2</v>
      </c>
      <c r="K555">
        <v>1.282E-2</v>
      </c>
      <c r="L555">
        <v>0.16919999999999999</v>
      </c>
      <c r="M555">
        <v>6.5759999999999999E-2</v>
      </c>
      <c r="N555">
        <v>0.30130000000000001</v>
      </c>
      <c r="O555">
        <v>1.879</v>
      </c>
      <c r="P555">
        <v>2.121</v>
      </c>
      <c r="Q555">
        <v>17.86</v>
      </c>
      <c r="R555">
        <v>1.094E-2</v>
      </c>
      <c r="S555">
        <v>1.8339999999999999E-2</v>
      </c>
      <c r="T555">
        <v>3.9960000000000002E-2</v>
      </c>
      <c r="U555">
        <v>1.282E-2</v>
      </c>
      <c r="V555">
        <v>3.7589999999999998E-2</v>
      </c>
      <c r="W555">
        <v>4.6230000000000004E-3</v>
      </c>
      <c r="X555">
        <v>9.8450000000000006</v>
      </c>
      <c r="Y555">
        <v>25.05</v>
      </c>
      <c r="Z555">
        <v>62.86</v>
      </c>
      <c r="AA555">
        <v>295.8</v>
      </c>
      <c r="AB555">
        <v>0.1103</v>
      </c>
      <c r="AC555">
        <v>8.2979999999999998E-2</v>
      </c>
      <c r="AD555">
        <v>7.9930000000000001E-2</v>
      </c>
      <c r="AE555">
        <v>2.564E-2</v>
      </c>
      <c r="AF555">
        <v>0.24349999999999999</v>
      </c>
      <c r="AG555">
        <v>7.3929999999999996E-2</v>
      </c>
    </row>
    <row r="556" spans="1:33">
      <c r="A556">
        <v>555</v>
      </c>
      <c r="B556">
        <v>924632</v>
      </c>
      <c r="C556" t="s">
        <v>1</v>
      </c>
      <c r="D556">
        <v>13.71</v>
      </c>
      <c r="E556">
        <v>28.92</v>
      </c>
      <c r="F556">
        <v>82.5</v>
      </c>
      <c r="G556">
        <v>514.29999999999995</v>
      </c>
      <c r="H556">
        <v>8.1229999999999997E-2</v>
      </c>
      <c r="I556">
        <v>5.824E-2</v>
      </c>
      <c r="J556">
        <v>6.1949999999999998E-2</v>
      </c>
      <c r="K556">
        <v>2.3429999999999999E-2</v>
      </c>
      <c r="L556">
        <v>0.15659999999999999</v>
      </c>
      <c r="M556">
        <v>5.7079999999999999E-2</v>
      </c>
      <c r="N556">
        <v>0.21160000000000001</v>
      </c>
      <c r="O556">
        <v>1.36</v>
      </c>
      <c r="P556">
        <v>1.502</v>
      </c>
      <c r="Q556">
        <v>16.829999999999998</v>
      </c>
      <c r="R556">
        <v>8.4119999999999993E-3</v>
      </c>
      <c r="S556">
        <v>2.1530000000000001E-2</v>
      </c>
      <c r="T556">
        <v>3.8980000000000001E-2</v>
      </c>
      <c r="U556">
        <v>7.62E-3</v>
      </c>
      <c r="V556">
        <v>1.695E-2</v>
      </c>
      <c r="W556">
        <v>2.8010000000000001E-3</v>
      </c>
      <c r="X556">
        <v>13.89</v>
      </c>
      <c r="Y556">
        <v>35.74</v>
      </c>
      <c r="Z556">
        <v>88.84</v>
      </c>
      <c r="AA556">
        <v>595.70000000000005</v>
      </c>
      <c r="AB556">
        <v>0.1227</v>
      </c>
      <c r="AC556">
        <v>0.16200000000000001</v>
      </c>
      <c r="AD556">
        <v>0.24390000000000001</v>
      </c>
      <c r="AE556">
        <v>6.4930000000000002E-2</v>
      </c>
      <c r="AF556">
        <v>0.23719999999999999</v>
      </c>
      <c r="AG556">
        <v>7.2419999999999998E-2</v>
      </c>
    </row>
    <row r="557" spans="1:33">
      <c r="A557">
        <v>556</v>
      </c>
      <c r="B557">
        <v>924934</v>
      </c>
      <c r="C557" t="s">
        <v>1</v>
      </c>
      <c r="D557">
        <v>13.71</v>
      </c>
      <c r="E557">
        <v>27.61</v>
      </c>
      <c r="F557">
        <v>65.67</v>
      </c>
      <c r="G557">
        <v>321.39999999999998</v>
      </c>
      <c r="H557">
        <v>9.0300000000000005E-2</v>
      </c>
      <c r="I557">
        <v>7.6579999999999995E-2</v>
      </c>
      <c r="J557">
        <v>5.9990000000000002E-2</v>
      </c>
      <c r="K557">
        <v>2.7380000000000002E-2</v>
      </c>
      <c r="L557">
        <v>0.1593</v>
      </c>
      <c r="M557">
        <v>6.1269999999999998E-2</v>
      </c>
      <c r="N557">
        <v>0.21990000000000001</v>
      </c>
      <c r="O557">
        <v>2.2389999999999999</v>
      </c>
      <c r="P557">
        <v>1.4370000000000001</v>
      </c>
      <c r="Q557">
        <v>14.46</v>
      </c>
      <c r="R557">
        <v>1.205E-2</v>
      </c>
      <c r="S557">
        <v>2.7359999999999999E-2</v>
      </c>
      <c r="T557">
        <v>4.8039999999999999E-2</v>
      </c>
      <c r="U557">
        <v>1.721E-2</v>
      </c>
      <c r="V557">
        <v>1.8429999999999998E-2</v>
      </c>
      <c r="W557">
        <v>4.9379999999999997E-3</v>
      </c>
      <c r="X557">
        <v>10.84</v>
      </c>
      <c r="Y557">
        <v>34.909999999999997</v>
      </c>
      <c r="Z557">
        <v>69.569999999999993</v>
      </c>
      <c r="AA557">
        <v>357.6</v>
      </c>
      <c r="AB557">
        <v>0.1384</v>
      </c>
      <c r="AC557">
        <v>0.17100000000000001</v>
      </c>
      <c r="AD557">
        <v>0.2</v>
      </c>
      <c r="AE557">
        <v>9.1270000000000004E-2</v>
      </c>
      <c r="AF557">
        <v>0.22259999999999999</v>
      </c>
      <c r="AG557">
        <v>8.2830000000000001E-2</v>
      </c>
    </row>
    <row r="558" spans="1:33">
      <c r="A558">
        <v>557</v>
      </c>
      <c r="B558">
        <v>924964</v>
      </c>
      <c r="C558" t="s">
        <v>1</v>
      </c>
      <c r="D558">
        <v>13.71</v>
      </c>
      <c r="E558">
        <v>19.59</v>
      </c>
      <c r="F558">
        <v>64.73</v>
      </c>
      <c r="G558">
        <v>311.7</v>
      </c>
      <c r="H558">
        <v>0.1003</v>
      </c>
      <c r="I558">
        <v>7.5039999999999996E-2</v>
      </c>
      <c r="J558">
        <v>5.025E-3</v>
      </c>
      <c r="K558">
        <v>1.116E-2</v>
      </c>
      <c r="L558">
        <v>0.17910000000000001</v>
      </c>
      <c r="M558">
        <v>6.3310000000000005E-2</v>
      </c>
      <c r="N558">
        <v>0.24410000000000001</v>
      </c>
      <c r="O558">
        <v>2.09</v>
      </c>
      <c r="P558">
        <v>1.6479999999999999</v>
      </c>
      <c r="Q558">
        <v>16.8</v>
      </c>
      <c r="R558">
        <v>1.291E-2</v>
      </c>
      <c r="S558">
        <v>2.222E-2</v>
      </c>
      <c r="T558">
        <v>4.1739999999999998E-3</v>
      </c>
      <c r="U558">
        <v>7.0819999999999998E-3</v>
      </c>
      <c r="V558">
        <v>2.572E-2</v>
      </c>
      <c r="W558">
        <v>2.2780000000000001E-3</v>
      </c>
      <c r="X558">
        <v>10.65</v>
      </c>
      <c r="Y558">
        <v>22.88</v>
      </c>
      <c r="Z558">
        <v>67.88</v>
      </c>
      <c r="AA558">
        <v>347.3</v>
      </c>
      <c r="AB558">
        <v>0.1265</v>
      </c>
      <c r="AC558">
        <v>0.12</v>
      </c>
      <c r="AD558">
        <v>1.005E-2</v>
      </c>
      <c r="AE558">
        <v>2.232E-2</v>
      </c>
      <c r="AF558">
        <v>0.22620000000000001</v>
      </c>
      <c r="AG558">
        <v>6.7419999999999994E-2</v>
      </c>
    </row>
    <row r="559" spans="1:33">
      <c r="A559">
        <v>558</v>
      </c>
      <c r="B559">
        <v>925236</v>
      </c>
      <c r="C559" t="s">
        <v>1</v>
      </c>
      <c r="D559">
        <v>13.71</v>
      </c>
      <c r="E559">
        <v>27.88</v>
      </c>
      <c r="F559">
        <v>59.26</v>
      </c>
      <c r="G559">
        <v>271.3</v>
      </c>
      <c r="H559">
        <v>8.1229999999999997E-2</v>
      </c>
      <c r="I559">
        <v>4.9709999999999997E-2</v>
      </c>
      <c r="J559">
        <v>0</v>
      </c>
      <c r="K559">
        <v>0</v>
      </c>
      <c r="L559">
        <v>0.17419999999999999</v>
      </c>
      <c r="M559">
        <v>6.0589999999999998E-2</v>
      </c>
      <c r="N559">
        <v>0.53749999999999998</v>
      </c>
      <c r="O559">
        <v>2.927</v>
      </c>
      <c r="P559">
        <v>3.6179999999999999</v>
      </c>
      <c r="Q559">
        <v>29.11</v>
      </c>
      <c r="R559">
        <v>1.159E-2</v>
      </c>
      <c r="S559">
        <v>1.124E-2</v>
      </c>
      <c r="T559">
        <v>0</v>
      </c>
      <c r="U559">
        <v>0</v>
      </c>
      <c r="V559">
        <v>3.0040000000000001E-2</v>
      </c>
      <c r="W559">
        <v>3.3240000000000001E-3</v>
      </c>
      <c r="X559">
        <v>10.49</v>
      </c>
      <c r="Y559">
        <v>34.24</v>
      </c>
      <c r="Z559">
        <v>66.5</v>
      </c>
      <c r="AA559">
        <v>330.6</v>
      </c>
      <c r="AB559">
        <v>0.10730000000000001</v>
      </c>
      <c r="AC559">
        <v>7.1580000000000005E-2</v>
      </c>
      <c r="AD559">
        <v>0</v>
      </c>
      <c r="AE559">
        <v>0</v>
      </c>
      <c r="AF559">
        <v>0.2475</v>
      </c>
      <c r="AG559">
        <v>6.9690000000000002E-2</v>
      </c>
    </row>
    <row r="560" spans="1:33">
      <c r="A560">
        <v>559</v>
      </c>
      <c r="B560">
        <v>925277</v>
      </c>
      <c r="C560" t="s">
        <v>1</v>
      </c>
      <c r="D560">
        <v>13.71</v>
      </c>
      <c r="E560">
        <v>22.68</v>
      </c>
      <c r="F560">
        <v>96.39</v>
      </c>
      <c r="G560">
        <v>657.1</v>
      </c>
      <c r="H560">
        <v>8.473E-2</v>
      </c>
      <c r="I560">
        <v>0.13300000000000001</v>
      </c>
      <c r="J560">
        <v>0.10290000000000001</v>
      </c>
      <c r="K560">
        <v>3.7359999999999997E-2</v>
      </c>
      <c r="L560">
        <v>0.1454</v>
      </c>
      <c r="M560">
        <v>6.1469999999999997E-2</v>
      </c>
      <c r="N560">
        <v>0.22539999999999999</v>
      </c>
      <c r="O560">
        <v>1.1080000000000001</v>
      </c>
      <c r="P560">
        <v>2.2240000000000002</v>
      </c>
      <c r="Q560">
        <v>19.54</v>
      </c>
      <c r="R560">
        <v>4.2420000000000001E-3</v>
      </c>
      <c r="S560">
        <v>4.6390000000000001E-2</v>
      </c>
      <c r="T560">
        <v>6.5780000000000005E-2</v>
      </c>
      <c r="U560">
        <v>1.6060000000000001E-2</v>
      </c>
      <c r="V560">
        <v>1.6379999999999999E-2</v>
      </c>
      <c r="W560">
        <v>4.4060000000000002E-3</v>
      </c>
      <c r="X560">
        <v>15.48</v>
      </c>
      <c r="Y560">
        <v>27.27</v>
      </c>
      <c r="Z560">
        <v>105.9</v>
      </c>
      <c r="AA560">
        <v>733.5</v>
      </c>
      <c r="AB560">
        <v>0.1026</v>
      </c>
      <c r="AC560">
        <v>0.31709999999999999</v>
      </c>
      <c r="AD560">
        <v>0.36620000000000003</v>
      </c>
      <c r="AE560">
        <v>0.1105</v>
      </c>
      <c r="AF560">
        <v>0.2258</v>
      </c>
      <c r="AG560">
        <v>8.004E-2</v>
      </c>
    </row>
    <row r="561" spans="1:33">
      <c r="A561">
        <v>560</v>
      </c>
      <c r="B561">
        <v>925291</v>
      </c>
      <c r="C561" t="s">
        <v>1</v>
      </c>
      <c r="D561">
        <v>13.71</v>
      </c>
      <c r="E561">
        <v>23.93</v>
      </c>
      <c r="F561">
        <v>74.52</v>
      </c>
      <c r="G561">
        <v>403.5</v>
      </c>
      <c r="H561">
        <v>9.2609999999999998E-2</v>
      </c>
      <c r="I561">
        <v>0.1021</v>
      </c>
      <c r="J561">
        <v>0.11119999999999999</v>
      </c>
      <c r="K561">
        <v>4.1050000000000003E-2</v>
      </c>
      <c r="L561">
        <v>0.13880000000000001</v>
      </c>
      <c r="M561">
        <v>6.5699999999999995E-2</v>
      </c>
      <c r="N561">
        <v>0.23880000000000001</v>
      </c>
      <c r="O561">
        <v>2.9039999999999999</v>
      </c>
      <c r="P561">
        <v>1.9359999999999999</v>
      </c>
      <c r="Q561">
        <v>16.97</v>
      </c>
      <c r="R561">
        <v>8.2000000000000007E-3</v>
      </c>
      <c r="S561">
        <v>2.9819999999999999E-2</v>
      </c>
      <c r="T561">
        <v>5.738E-2</v>
      </c>
      <c r="U561">
        <v>1.2670000000000001E-2</v>
      </c>
      <c r="V561">
        <v>1.4880000000000001E-2</v>
      </c>
      <c r="W561">
        <v>4.738E-3</v>
      </c>
      <c r="X561">
        <v>12.48</v>
      </c>
      <c r="Y561">
        <v>37.159999999999997</v>
      </c>
      <c r="Z561">
        <v>82.28</v>
      </c>
      <c r="AA561">
        <v>474.2</v>
      </c>
      <c r="AB561">
        <v>0.1298</v>
      </c>
      <c r="AC561">
        <v>0.25169999999999998</v>
      </c>
      <c r="AD561">
        <v>0.36299999999999999</v>
      </c>
      <c r="AE561">
        <v>9.6530000000000005E-2</v>
      </c>
      <c r="AF561">
        <v>0.2112</v>
      </c>
      <c r="AG561">
        <v>8.7319999999999995E-2</v>
      </c>
    </row>
    <row r="562" spans="1:33">
      <c r="A562">
        <v>561</v>
      </c>
      <c r="B562">
        <v>925292</v>
      </c>
      <c r="C562" t="s">
        <v>1</v>
      </c>
      <c r="D562">
        <v>13.71</v>
      </c>
      <c r="E562">
        <v>27.15</v>
      </c>
      <c r="F562">
        <v>91.38</v>
      </c>
      <c r="G562">
        <v>600.4</v>
      </c>
      <c r="H562">
        <v>9.9290000000000003E-2</v>
      </c>
      <c r="I562">
        <v>0.11260000000000001</v>
      </c>
      <c r="J562">
        <v>4.462E-2</v>
      </c>
      <c r="K562">
        <v>4.3040000000000002E-2</v>
      </c>
      <c r="L562">
        <v>0.1537</v>
      </c>
      <c r="M562">
        <v>6.1710000000000001E-2</v>
      </c>
      <c r="N562">
        <v>0.36449999999999999</v>
      </c>
      <c r="O562">
        <v>1.492</v>
      </c>
      <c r="P562">
        <v>2.8879999999999999</v>
      </c>
      <c r="Q562">
        <v>29.84</v>
      </c>
      <c r="R562">
        <v>7.2560000000000003E-3</v>
      </c>
      <c r="S562">
        <v>2.6780000000000002E-2</v>
      </c>
      <c r="T562">
        <v>2.0709999999999999E-2</v>
      </c>
      <c r="U562">
        <v>1.626E-2</v>
      </c>
      <c r="V562">
        <v>2.0799999999999999E-2</v>
      </c>
      <c r="W562">
        <v>5.3039999999999997E-3</v>
      </c>
      <c r="X562">
        <v>15.3</v>
      </c>
      <c r="Y562">
        <v>33.17</v>
      </c>
      <c r="Z562">
        <v>100.2</v>
      </c>
      <c r="AA562">
        <v>706.7</v>
      </c>
      <c r="AB562">
        <v>0.1241</v>
      </c>
      <c r="AC562">
        <v>0.22639999999999999</v>
      </c>
      <c r="AD562">
        <v>0.1326</v>
      </c>
      <c r="AE562">
        <v>0.1048</v>
      </c>
      <c r="AF562">
        <v>0.22500000000000001</v>
      </c>
      <c r="AG562">
        <v>8.3210000000000006E-2</v>
      </c>
    </row>
    <row r="563" spans="1:33">
      <c r="A563">
        <v>562</v>
      </c>
      <c r="B563">
        <v>925311</v>
      </c>
      <c r="C563" t="s">
        <v>1</v>
      </c>
      <c r="D563">
        <v>13.71</v>
      </c>
      <c r="E563">
        <v>29.37</v>
      </c>
      <c r="F563">
        <v>70.67</v>
      </c>
      <c r="G563">
        <v>386</v>
      </c>
      <c r="H563">
        <v>7.4490000000000001E-2</v>
      </c>
      <c r="I563">
        <v>3.5580000000000001E-2</v>
      </c>
      <c r="J563">
        <v>0</v>
      </c>
      <c r="K563">
        <v>0</v>
      </c>
      <c r="L563">
        <v>0.106</v>
      </c>
      <c r="M563">
        <v>5.5019999999999999E-2</v>
      </c>
      <c r="N563">
        <v>0.31409999999999999</v>
      </c>
      <c r="O563">
        <v>3.8959999999999999</v>
      </c>
      <c r="P563">
        <v>2.0409999999999999</v>
      </c>
      <c r="Q563">
        <v>22.81</v>
      </c>
      <c r="R563">
        <v>7.5940000000000001E-3</v>
      </c>
      <c r="S563">
        <v>8.8780000000000005E-3</v>
      </c>
      <c r="T563">
        <v>0</v>
      </c>
      <c r="U563">
        <v>0</v>
      </c>
      <c r="V563">
        <v>1.9890000000000001E-2</v>
      </c>
      <c r="W563">
        <v>1.7730000000000001E-3</v>
      </c>
      <c r="X563">
        <v>11.92</v>
      </c>
      <c r="Y563">
        <v>38.299999999999997</v>
      </c>
      <c r="Z563">
        <v>75.19</v>
      </c>
      <c r="AA563">
        <v>439.6</v>
      </c>
      <c r="AB563">
        <v>9.2670000000000002E-2</v>
      </c>
      <c r="AC563">
        <v>5.4940000000000003E-2</v>
      </c>
      <c r="AD563">
        <v>0</v>
      </c>
      <c r="AE563">
        <v>0</v>
      </c>
      <c r="AF563">
        <v>0.15659999999999999</v>
      </c>
      <c r="AG563">
        <v>5.9049999999999998E-2</v>
      </c>
    </row>
    <row r="564" spans="1:33">
      <c r="A564">
        <v>563</v>
      </c>
      <c r="B564">
        <v>925622</v>
      </c>
      <c r="C564" t="s">
        <v>0</v>
      </c>
      <c r="D564">
        <v>13.71</v>
      </c>
      <c r="E564">
        <v>30.62</v>
      </c>
      <c r="F564">
        <v>103.4</v>
      </c>
      <c r="G564">
        <v>716.9</v>
      </c>
      <c r="H564" t="s">
        <v>78</v>
      </c>
      <c r="I564">
        <v>0.2087</v>
      </c>
      <c r="J564">
        <v>0.255</v>
      </c>
      <c r="K564">
        <v>9.4289999999999999E-2</v>
      </c>
      <c r="L564">
        <v>0.21279999999999999</v>
      </c>
      <c r="M564">
        <v>7.152E-2</v>
      </c>
      <c r="N564">
        <v>0.26019999999999999</v>
      </c>
      <c r="O564">
        <v>1.2050000000000001</v>
      </c>
      <c r="P564">
        <v>2.3620000000000001</v>
      </c>
      <c r="Q564">
        <v>22.65</v>
      </c>
      <c r="R564">
        <v>4.6249999999999998E-3</v>
      </c>
      <c r="S564">
        <v>4.8439999999999997E-2</v>
      </c>
      <c r="T564">
        <v>7.3590000000000003E-2</v>
      </c>
      <c r="U564">
        <v>1.6080000000000001E-2</v>
      </c>
      <c r="V564">
        <v>2.137E-2</v>
      </c>
      <c r="W564">
        <v>6.1419999999999999E-3</v>
      </c>
      <c r="X564">
        <v>17.52</v>
      </c>
      <c r="Y564">
        <v>42.79</v>
      </c>
      <c r="Z564">
        <v>128.69999999999999</v>
      </c>
      <c r="AA564">
        <v>915</v>
      </c>
      <c r="AB564">
        <v>0.14169999999999999</v>
      </c>
      <c r="AC564">
        <v>0.79169999999999996</v>
      </c>
      <c r="AD564">
        <v>1.17</v>
      </c>
      <c r="AE564">
        <v>0.2356</v>
      </c>
      <c r="AF564">
        <v>0.40889999999999999</v>
      </c>
      <c r="AG564">
        <v>0.1409</v>
      </c>
    </row>
    <row r="565" spans="1:33">
      <c r="A565">
        <v>564</v>
      </c>
      <c r="B565">
        <v>926125</v>
      </c>
      <c r="C565" t="s">
        <v>0</v>
      </c>
      <c r="D565">
        <v>13.71</v>
      </c>
      <c r="E565">
        <v>25.09</v>
      </c>
      <c r="F565">
        <v>143</v>
      </c>
      <c r="G565">
        <v>1347</v>
      </c>
      <c r="H565">
        <v>0.1099</v>
      </c>
      <c r="I565">
        <v>0.22359999999999999</v>
      </c>
      <c r="J565">
        <v>0.31740000000000002</v>
      </c>
      <c r="K565">
        <v>0.1474</v>
      </c>
      <c r="L565">
        <v>0.21490000000000001</v>
      </c>
      <c r="M565">
        <v>6.8790000000000004E-2</v>
      </c>
      <c r="N565">
        <v>0.96220000000000006</v>
      </c>
      <c r="O565">
        <v>1.026</v>
      </c>
      <c r="P565">
        <v>8.7579999999999991</v>
      </c>
      <c r="Q565">
        <v>118.8</v>
      </c>
      <c r="R565">
        <v>6.3990000000000002E-3</v>
      </c>
      <c r="S565">
        <v>4.3099999999999999E-2</v>
      </c>
      <c r="T565">
        <v>7.8450000000000006E-2</v>
      </c>
      <c r="U565">
        <v>2.6239999999999999E-2</v>
      </c>
      <c r="V565">
        <v>2.0570000000000001E-2</v>
      </c>
      <c r="W565">
        <v>6.2129999999999998E-3</v>
      </c>
      <c r="X565">
        <v>24.29</v>
      </c>
      <c r="Y565">
        <v>29.41</v>
      </c>
      <c r="Z565">
        <v>179.1</v>
      </c>
      <c r="AA565">
        <v>1819</v>
      </c>
      <c r="AB565">
        <v>0.14069999999999999</v>
      </c>
      <c r="AC565">
        <v>0.41860000000000003</v>
      </c>
      <c r="AD565">
        <v>0.65990000000000004</v>
      </c>
      <c r="AE565">
        <v>0.25419999999999998</v>
      </c>
      <c r="AF565">
        <v>0.29289999999999999</v>
      </c>
      <c r="AG565">
        <v>9.8729999999999998E-2</v>
      </c>
    </row>
    <row r="566" spans="1:33">
      <c r="A566">
        <v>565</v>
      </c>
      <c r="B566">
        <v>926424</v>
      </c>
      <c r="C566" t="s">
        <v>0</v>
      </c>
      <c r="D566">
        <v>13.71</v>
      </c>
      <c r="E566">
        <v>22.39</v>
      </c>
      <c r="F566">
        <v>142</v>
      </c>
      <c r="G566">
        <v>1479</v>
      </c>
      <c r="H566">
        <v>0.111</v>
      </c>
      <c r="I566">
        <v>0.1159</v>
      </c>
      <c r="J566">
        <v>0.24390000000000001</v>
      </c>
      <c r="K566">
        <v>0.1389</v>
      </c>
      <c r="L566">
        <v>0.1726</v>
      </c>
      <c r="M566">
        <v>5.6230000000000002E-2</v>
      </c>
      <c r="N566">
        <v>1.1759999999999999</v>
      </c>
      <c r="O566">
        <v>1.256</v>
      </c>
      <c r="P566">
        <v>7.673</v>
      </c>
      <c r="Q566">
        <v>158.69999999999999</v>
      </c>
      <c r="R566">
        <v>1.03E-2</v>
      </c>
      <c r="S566">
        <v>2.8910000000000002E-2</v>
      </c>
      <c r="T566">
        <v>5.1979999999999998E-2</v>
      </c>
      <c r="U566">
        <v>2.4539999999999999E-2</v>
      </c>
      <c r="V566">
        <v>1.1140000000000001E-2</v>
      </c>
      <c r="W566">
        <v>4.2389999999999997E-3</v>
      </c>
      <c r="X566">
        <v>25.45</v>
      </c>
      <c r="Y566">
        <v>26.4</v>
      </c>
      <c r="Z566">
        <v>166.1</v>
      </c>
      <c r="AA566">
        <v>2027</v>
      </c>
      <c r="AB566">
        <v>0.14099999999999999</v>
      </c>
      <c r="AC566">
        <v>0.21129999999999999</v>
      </c>
      <c r="AD566">
        <v>0.41070000000000001</v>
      </c>
      <c r="AE566">
        <v>0.22159999999999999</v>
      </c>
      <c r="AF566">
        <v>0.20599999999999999</v>
      </c>
      <c r="AG566">
        <v>7.1150000000000005E-2</v>
      </c>
    </row>
    <row r="567" spans="1:33">
      <c r="A567">
        <v>566</v>
      </c>
      <c r="B567">
        <v>926682</v>
      </c>
      <c r="C567" t="s">
        <v>0</v>
      </c>
      <c r="D567">
        <v>13.71</v>
      </c>
      <c r="E567">
        <v>28.25</v>
      </c>
      <c r="F567">
        <v>131.19999999999999</v>
      </c>
      <c r="G567">
        <v>1261</v>
      </c>
      <c r="H567">
        <v>9.7799999999999998E-2</v>
      </c>
      <c r="I567">
        <v>0.10340000000000001</v>
      </c>
      <c r="J567">
        <v>0.14399999999999999</v>
      </c>
      <c r="K567">
        <v>9.7909999999999997E-2</v>
      </c>
      <c r="L567">
        <v>0.17519999999999999</v>
      </c>
      <c r="M567">
        <v>5.5329999999999997E-2</v>
      </c>
      <c r="N567">
        <v>0.76549999999999996</v>
      </c>
      <c r="O567">
        <v>2.4630000000000001</v>
      </c>
      <c r="P567">
        <v>5.2030000000000003</v>
      </c>
      <c r="Q567">
        <v>99.04</v>
      </c>
      <c r="R567">
        <v>5.7689999999999998E-3</v>
      </c>
      <c r="S567">
        <v>2.4230000000000002E-2</v>
      </c>
      <c r="T567">
        <v>3.95E-2</v>
      </c>
      <c r="U567">
        <v>1.678E-2</v>
      </c>
      <c r="V567">
        <v>1.898E-2</v>
      </c>
      <c r="W567">
        <v>2.4979999999999998E-3</v>
      </c>
      <c r="X567">
        <v>23.69</v>
      </c>
      <c r="Y567">
        <v>38.25</v>
      </c>
      <c r="Z567">
        <v>155</v>
      </c>
      <c r="AA567">
        <v>1731</v>
      </c>
      <c r="AB567">
        <v>0.1166</v>
      </c>
      <c r="AC567">
        <v>0.19220000000000001</v>
      </c>
      <c r="AD567">
        <v>0.32150000000000001</v>
      </c>
      <c r="AE567">
        <v>0.1628</v>
      </c>
      <c r="AF567">
        <v>0.25719999999999998</v>
      </c>
      <c r="AG567">
        <v>6.6369999999999998E-2</v>
      </c>
    </row>
    <row r="568" spans="1:33">
      <c r="A568">
        <v>567</v>
      </c>
      <c r="B568">
        <v>926954</v>
      </c>
      <c r="C568" t="s">
        <v>0</v>
      </c>
      <c r="D568">
        <v>13.71</v>
      </c>
      <c r="E568">
        <v>28.08</v>
      </c>
      <c r="F568">
        <v>108.3</v>
      </c>
      <c r="G568">
        <v>858.1</v>
      </c>
      <c r="H568">
        <v>8.455E-2</v>
      </c>
      <c r="I568">
        <v>0.1023</v>
      </c>
      <c r="J568">
        <v>9.2509999999999995E-2</v>
      </c>
      <c r="K568">
        <v>5.3019999999999998E-2</v>
      </c>
      <c r="L568">
        <v>0.159</v>
      </c>
      <c r="M568">
        <v>5.6480000000000002E-2</v>
      </c>
      <c r="N568">
        <v>0.45639999999999997</v>
      </c>
      <c r="O568">
        <v>1.075</v>
      </c>
      <c r="P568">
        <v>3.4249999999999998</v>
      </c>
      <c r="Q568">
        <v>48.55</v>
      </c>
      <c r="R568">
        <v>5.9030000000000003E-3</v>
      </c>
      <c r="S568">
        <v>3.7310000000000003E-2</v>
      </c>
      <c r="T568">
        <v>4.7300000000000002E-2</v>
      </c>
      <c r="U568">
        <v>1.5570000000000001E-2</v>
      </c>
      <c r="V568">
        <v>1.3180000000000001E-2</v>
      </c>
      <c r="W568">
        <v>3.8920000000000001E-3</v>
      </c>
      <c r="X568">
        <v>18.98</v>
      </c>
      <c r="Y568">
        <v>34.119999999999997</v>
      </c>
      <c r="Z568">
        <v>126.7</v>
      </c>
      <c r="AA568">
        <v>1124</v>
      </c>
      <c r="AB568">
        <v>0.1139</v>
      </c>
      <c r="AC568">
        <v>0.30940000000000001</v>
      </c>
      <c r="AD568">
        <v>0.34029999999999999</v>
      </c>
      <c r="AE568">
        <v>0.14180000000000001</v>
      </c>
      <c r="AF568">
        <v>0.2218</v>
      </c>
      <c r="AG568">
        <v>7.8200000000000006E-2</v>
      </c>
    </row>
    <row r="569" spans="1:33">
      <c r="A569">
        <v>568</v>
      </c>
      <c r="B569">
        <v>927241</v>
      </c>
      <c r="C569" t="s">
        <v>0</v>
      </c>
      <c r="D569">
        <v>13.71</v>
      </c>
      <c r="E569">
        <v>29.33</v>
      </c>
      <c r="F569">
        <v>140.1</v>
      </c>
      <c r="G569">
        <v>1265</v>
      </c>
      <c r="H569">
        <v>0.1178</v>
      </c>
      <c r="I569">
        <v>0.27700000000000002</v>
      </c>
      <c r="J569">
        <v>0.35139999999999999</v>
      </c>
      <c r="K569">
        <v>0.152</v>
      </c>
      <c r="L569">
        <v>0.2397</v>
      </c>
      <c r="M569">
        <v>7.016E-2</v>
      </c>
      <c r="N569">
        <v>0.72599999999999998</v>
      </c>
      <c r="O569">
        <v>1.595</v>
      </c>
      <c r="P569">
        <v>5.7720000000000002</v>
      </c>
      <c r="Q569">
        <v>86.22</v>
      </c>
      <c r="R569">
        <v>6.522E-3</v>
      </c>
      <c r="S569">
        <v>6.1580000000000003E-2</v>
      </c>
      <c r="T569">
        <v>7.1169999999999997E-2</v>
      </c>
      <c r="U569">
        <v>1.6639999999999999E-2</v>
      </c>
      <c r="V569">
        <v>2.324E-2</v>
      </c>
      <c r="W569">
        <v>6.1850000000000004E-3</v>
      </c>
      <c r="X569">
        <v>25.74</v>
      </c>
      <c r="Y569">
        <v>39.42</v>
      </c>
      <c r="Z569">
        <v>184.6</v>
      </c>
      <c r="AA569">
        <v>1821</v>
      </c>
      <c r="AB569">
        <v>0.16500000000000001</v>
      </c>
      <c r="AC569">
        <v>0.86809999999999998</v>
      </c>
      <c r="AD569">
        <v>0.93869999999999998</v>
      </c>
      <c r="AE569">
        <v>0.26500000000000001</v>
      </c>
      <c r="AF569">
        <v>0.40870000000000001</v>
      </c>
      <c r="AG569">
        <v>0.124</v>
      </c>
    </row>
    <row r="570" spans="1:33">
      <c r="A570">
        <v>569</v>
      </c>
      <c r="B570">
        <v>92751</v>
      </c>
      <c r="C570" t="s">
        <v>1</v>
      </c>
      <c r="D570">
        <v>13.71</v>
      </c>
      <c r="E570">
        <v>24.54</v>
      </c>
      <c r="F570">
        <v>47.92</v>
      </c>
      <c r="G570">
        <v>181</v>
      </c>
      <c r="H570">
        <v>5.2630000000000003E-2</v>
      </c>
      <c r="I570">
        <v>4.3619999999999999E-2</v>
      </c>
      <c r="J570">
        <v>0</v>
      </c>
      <c r="K570">
        <v>0</v>
      </c>
      <c r="L570">
        <v>0.15870000000000001</v>
      </c>
      <c r="M570">
        <v>5.8840000000000003E-2</v>
      </c>
      <c r="N570">
        <v>0.38569999999999999</v>
      </c>
      <c r="O570">
        <v>1.4279999999999999</v>
      </c>
      <c r="P570">
        <v>2.548</v>
      </c>
      <c r="Q570">
        <v>19.149999999999999</v>
      </c>
      <c r="R570">
        <v>7.1890000000000001E-3</v>
      </c>
      <c r="S570">
        <v>4.6600000000000001E-3</v>
      </c>
      <c r="T570">
        <v>0</v>
      </c>
      <c r="U570">
        <v>0</v>
      </c>
      <c r="V570">
        <v>2.6759999999999999E-2</v>
      </c>
      <c r="W570">
        <v>2.7829999999999999E-3</v>
      </c>
      <c r="X570">
        <v>9.4559999999999995</v>
      </c>
      <c r="Y570">
        <v>30.37</v>
      </c>
      <c r="Z570">
        <v>59.16</v>
      </c>
      <c r="AA570">
        <v>268.60000000000002</v>
      </c>
      <c r="AB570">
        <v>8.9959999999999998E-2</v>
      </c>
      <c r="AC570">
        <v>6.4439999999999997E-2</v>
      </c>
      <c r="AD570">
        <v>0</v>
      </c>
      <c r="AE570">
        <v>0</v>
      </c>
      <c r="AF570">
        <v>0.28710000000000002</v>
      </c>
      <c r="AG570">
        <v>7.0389999999999994E-2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77EF-06A2-494A-BEAE-DAD2CB2B1AE9}">
  <dimension ref="B1:CV602"/>
  <sheetViews>
    <sheetView showGridLines="0" topLeftCell="L21" zoomScale="85" zoomScaleNormal="85" workbookViewId="0">
      <selection activeCell="R45" sqref="R45"/>
    </sheetView>
  </sheetViews>
  <sheetFormatPr defaultRowHeight="14.4"/>
  <cols>
    <col min="3" max="3" width="11" customWidth="1"/>
    <col min="4" max="4" width="16.33203125" customWidth="1"/>
    <col min="6" max="6" width="11.21875" customWidth="1"/>
    <col min="7" max="9" width="18.109375" customWidth="1"/>
    <col min="10" max="10" width="29.109375" bestFit="1" customWidth="1"/>
    <col min="11" max="15" width="18.109375" customWidth="1"/>
    <col min="16" max="36" width="19.109375" customWidth="1"/>
  </cols>
  <sheetData>
    <row r="1" spans="2:100" ht="18">
      <c r="B1" s="8" t="s">
        <v>79</v>
      </c>
      <c r="N1" t="s">
        <v>726</v>
      </c>
      <c r="CV1" s="15" t="s">
        <v>108</v>
      </c>
    </row>
    <row r="3" spans="2:100" ht="15.6">
      <c r="B3" s="17" t="s">
        <v>80</v>
      </c>
      <c r="C3" s="18"/>
      <c r="D3" s="18"/>
      <c r="E3" s="19"/>
      <c r="J3" s="17" t="s">
        <v>103</v>
      </c>
      <c r="K3" s="18"/>
      <c r="L3" s="18"/>
      <c r="M3" s="19"/>
    </row>
    <row r="4" spans="2:100">
      <c r="B4" s="16" t="s">
        <v>81</v>
      </c>
      <c r="C4" s="16"/>
      <c r="D4" s="16" t="s">
        <v>82</v>
      </c>
      <c r="E4" s="16"/>
      <c r="J4" s="14" t="s">
        <v>104</v>
      </c>
      <c r="K4" s="14" t="s">
        <v>105</v>
      </c>
      <c r="L4" s="14" t="s">
        <v>106</v>
      </c>
      <c r="M4" s="14" t="s">
        <v>107</v>
      </c>
    </row>
    <row r="5" spans="2:100">
      <c r="J5" s="12">
        <v>62</v>
      </c>
      <c r="K5" s="12">
        <v>60</v>
      </c>
      <c r="L5" s="12">
        <v>1</v>
      </c>
      <c r="M5" s="12">
        <v>123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</row>
    <row r="13" spans="2:100">
      <c r="C13" s="20" t="s">
        <v>84</v>
      </c>
      <c r="D13" s="20"/>
      <c r="E13" s="21"/>
      <c r="F13" s="24" t="s">
        <v>98</v>
      </c>
      <c r="G13" s="24"/>
      <c r="H13" s="24"/>
      <c r="I13" s="24"/>
    </row>
    <row r="14" spans="2:100">
      <c r="C14" s="20" t="s">
        <v>85</v>
      </c>
      <c r="D14" s="20"/>
      <c r="E14" s="21"/>
      <c r="F14" s="24" t="s">
        <v>83</v>
      </c>
      <c r="G14" s="24"/>
      <c r="H14" s="24"/>
      <c r="I14" s="24"/>
    </row>
    <row r="15" spans="2:100">
      <c r="C15" s="20" t="s">
        <v>86</v>
      </c>
      <c r="D15" s="20"/>
      <c r="E15" s="21"/>
      <c r="F15" s="24" t="s">
        <v>99</v>
      </c>
      <c r="G15" s="24"/>
      <c r="H15" s="24"/>
      <c r="I15" s="24"/>
    </row>
    <row r="16" spans="2:100">
      <c r="C16" s="20" t="s">
        <v>87</v>
      </c>
      <c r="D16" s="20"/>
      <c r="E16" s="21"/>
      <c r="F16" s="23">
        <v>569</v>
      </c>
      <c r="G16" s="23"/>
      <c r="H16" s="23"/>
      <c r="I16" s="23"/>
    </row>
    <row r="18" spans="2:38" ht="15.6">
      <c r="C18" s="22" t="s">
        <v>88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2:38">
      <c r="C19" s="20" t="s">
        <v>89</v>
      </c>
      <c r="D19" s="20"/>
      <c r="E19" s="21"/>
      <c r="F19" s="23">
        <v>33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2:38">
      <c r="C20" s="20" t="s">
        <v>90</v>
      </c>
      <c r="D20" s="20"/>
      <c r="E20" s="21"/>
      <c r="F20" s="12" t="s">
        <v>77</v>
      </c>
      <c r="G20" s="12" t="s">
        <v>76</v>
      </c>
      <c r="H20" s="12" t="s">
        <v>2</v>
      </c>
      <c r="I20" s="12" t="s">
        <v>46</v>
      </c>
      <c r="J20" s="12" t="s">
        <v>47</v>
      </c>
      <c r="K20" s="12" t="s">
        <v>48</v>
      </c>
      <c r="L20" s="12" t="s">
        <v>49</v>
      </c>
      <c r="M20" s="12" t="s">
        <v>50</v>
      </c>
      <c r="N20" s="12" t="s">
        <v>51</v>
      </c>
      <c r="O20" s="12" t="s">
        <v>52</v>
      </c>
      <c r="P20" s="12" t="s">
        <v>53</v>
      </c>
      <c r="Q20" s="12" t="s">
        <v>54</v>
      </c>
      <c r="R20" s="12" t="s">
        <v>55</v>
      </c>
      <c r="S20" s="12" t="s">
        <v>56</v>
      </c>
      <c r="T20" s="12" t="s">
        <v>57</v>
      </c>
      <c r="U20" s="12" t="s">
        <v>58</v>
      </c>
      <c r="V20" s="12" t="s">
        <v>59</v>
      </c>
      <c r="W20" s="12" t="s">
        <v>60</v>
      </c>
      <c r="X20" s="12" t="s">
        <v>61</v>
      </c>
      <c r="Y20" s="12" t="s">
        <v>62</v>
      </c>
      <c r="Z20" s="12" t="s">
        <v>63</v>
      </c>
      <c r="AA20" s="12" t="s">
        <v>64</v>
      </c>
      <c r="AB20" s="12" t="s">
        <v>65</v>
      </c>
      <c r="AC20" s="12" t="s">
        <v>66</v>
      </c>
      <c r="AD20" s="12" t="s">
        <v>67</v>
      </c>
      <c r="AE20" s="12" t="s">
        <v>68</v>
      </c>
      <c r="AF20" s="12" t="s">
        <v>69</v>
      </c>
      <c r="AG20" s="12" t="s">
        <v>70</v>
      </c>
      <c r="AH20" s="12" t="s">
        <v>71</v>
      </c>
      <c r="AI20" s="12" t="s">
        <v>72</v>
      </c>
      <c r="AJ20" s="12" t="s">
        <v>73</v>
      </c>
      <c r="AK20" s="12" t="s">
        <v>74</v>
      </c>
      <c r="AL20" s="12" t="s">
        <v>75</v>
      </c>
    </row>
    <row r="22" spans="2:38" ht="15.6">
      <c r="C22" s="22" t="s">
        <v>91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2:38">
      <c r="C23" s="20" t="s">
        <v>92</v>
      </c>
      <c r="D23" s="20"/>
      <c r="E23" s="21"/>
      <c r="F23" s="13" t="s">
        <v>77</v>
      </c>
      <c r="G23" s="13" t="s">
        <v>76</v>
      </c>
      <c r="H23" s="13" t="s">
        <v>2</v>
      </c>
      <c r="I23" s="13" t="s">
        <v>46</v>
      </c>
      <c r="J23" s="13" t="s">
        <v>47</v>
      </c>
      <c r="K23" s="13" t="s">
        <v>48</v>
      </c>
      <c r="L23" s="13" t="s">
        <v>49</v>
      </c>
      <c r="M23" s="13" t="s">
        <v>50</v>
      </c>
      <c r="N23" s="13" t="s">
        <v>51</v>
      </c>
      <c r="O23" s="13" t="s">
        <v>52</v>
      </c>
      <c r="P23" s="13" t="s">
        <v>53</v>
      </c>
      <c r="Q23" s="13" t="s">
        <v>54</v>
      </c>
      <c r="R23" s="13" t="s">
        <v>55</v>
      </c>
      <c r="S23" s="13" t="s">
        <v>56</v>
      </c>
      <c r="T23" s="13" t="s">
        <v>57</v>
      </c>
      <c r="U23" s="13" t="s">
        <v>58</v>
      </c>
      <c r="V23" s="13" t="s">
        <v>59</v>
      </c>
      <c r="W23" s="13" t="s">
        <v>60</v>
      </c>
      <c r="X23" s="13" t="s">
        <v>61</v>
      </c>
      <c r="Y23" s="13" t="s">
        <v>62</v>
      </c>
      <c r="Z23" s="13" t="s">
        <v>63</v>
      </c>
      <c r="AA23" s="13" t="s">
        <v>64</v>
      </c>
      <c r="AB23" s="13" t="s">
        <v>65</v>
      </c>
      <c r="AC23" s="13" t="s">
        <v>66</v>
      </c>
      <c r="AD23" s="13" t="s">
        <v>67</v>
      </c>
      <c r="AE23" s="13" t="s">
        <v>68</v>
      </c>
      <c r="AF23" s="13" t="s">
        <v>69</v>
      </c>
      <c r="AG23" s="13" t="s">
        <v>70</v>
      </c>
      <c r="AH23" s="13" t="s">
        <v>71</v>
      </c>
      <c r="AI23" s="13" t="s">
        <v>72</v>
      </c>
      <c r="AJ23" s="13" t="s">
        <v>73</v>
      </c>
      <c r="AK23" s="13" t="s">
        <v>74</v>
      </c>
      <c r="AL23" s="13" t="s">
        <v>75</v>
      </c>
    </row>
    <row r="24" spans="2:38">
      <c r="C24" s="20" t="s">
        <v>93</v>
      </c>
      <c r="D24" s="20"/>
      <c r="E24" s="21"/>
      <c r="F24" s="13" t="s">
        <v>100</v>
      </c>
      <c r="G24" s="13" t="s">
        <v>100</v>
      </c>
      <c r="H24" s="13" t="s">
        <v>101</v>
      </c>
      <c r="I24" s="13" t="s">
        <v>102</v>
      </c>
      <c r="J24" s="13" t="s">
        <v>102</v>
      </c>
      <c r="K24" s="13" t="s">
        <v>102</v>
      </c>
      <c r="L24" s="13" t="s">
        <v>102</v>
      </c>
      <c r="M24" s="13" t="s">
        <v>102</v>
      </c>
      <c r="N24" s="13" t="s">
        <v>102</v>
      </c>
      <c r="O24" s="13" t="s">
        <v>102</v>
      </c>
      <c r="P24" s="13" t="s">
        <v>102</v>
      </c>
      <c r="Q24" s="13" t="s">
        <v>102</v>
      </c>
      <c r="R24" s="13" t="s">
        <v>102</v>
      </c>
      <c r="S24" s="13" t="s">
        <v>102</v>
      </c>
      <c r="T24" s="13" t="s">
        <v>102</v>
      </c>
      <c r="U24" s="13" t="s">
        <v>102</v>
      </c>
      <c r="V24" s="13" t="s">
        <v>102</v>
      </c>
      <c r="W24" s="13" t="s">
        <v>102</v>
      </c>
      <c r="X24" s="13" t="s">
        <v>102</v>
      </c>
      <c r="Y24" s="13" t="s">
        <v>102</v>
      </c>
      <c r="Z24" s="13" t="s">
        <v>102</v>
      </c>
      <c r="AA24" s="13" t="s">
        <v>102</v>
      </c>
      <c r="AB24" s="13" t="s">
        <v>102</v>
      </c>
      <c r="AC24" s="13" t="s">
        <v>102</v>
      </c>
      <c r="AD24" s="13" t="s">
        <v>102</v>
      </c>
      <c r="AE24" s="13" t="s">
        <v>102</v>
      </c>
      <c r="AF24" s="13" t="s">
        <v>102</v>
      </c>
      <c r="AG24" s="13" t="s">
        <v>102</v>
      </c>
      <c r="AH24" s="13" t="s">
        <v>102</v>
      </c>
      <c r="AI24" s="13" t="s">
        <v>102</v>
      </c>
      <c r="AJ24" s="13" t="s">
        <v>102</v>
      </c>
      <c r="AK24" s="13" t="s">
        <v>102</v>
      </c>
      <c r="AL24" s="13" t="s">
        <v>102</v>
      </c>
    </row>
    <row r="25" spans="2:38">
      <c r="C25" s="20" t="s">
        <v>94</v>
      </c>
      <c r="D25" s="20"/>
      <c r="E25" s="21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1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1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</row>
    <row r="26" spans="2:38">
      <c r="C26" s="20" t="s">
        <v>95</v>
      </c>
      <c r="D26" s="20"/>
      <c r="E26" s="21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2:38">
      <c r="C27" s="20" t="s">
        <v>96</v>
      </c>
      <c r="D27" s="20"/>
      <c r="E27" s="21"/>
      <c r="F27" s="23">
        <v>569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2:38">
      <c r="C28" s="20" t="s">
        <v>97</v>
      </c>
      <c r="D28" s="20"/>
      <c r="E28" s="21"/>
      <c r="F28" s="23">
        <v>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31" spans="2:38" ht="18">
      <c r="B31" s="9" t="s">
        <v>82</v>
      </c>
    </row>
    <row r="33" spans="3:36">
      <c r="C33" s="11" t="s">
        <v>109</v>
      </c>
      <c r="D33" t="s">
        <v>77</v>
      </c>
      <c r="E33" t="s">
        <v>76</v>
      </c>
      <c r="F33" t="s">
        <v>2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  <c r="N33" t="s">
        <v>117</v>
      </c>
      <c r="O33" t="s">
        <v>118</v>
      </c>
      <c r="P33" t="s">
        <v>119</v>
      </c>
      <c r="Q33" t="s">
        <v>120</v>
      </c>
      <c r="R33" t="s">
        <v>121</v>
      </c>
      <c r="S33" t="s">
        <v>122</v>
      </c>
      <c r="T33" t="s">
        <v>123</v>
      </c>
      <c r="U33" t="s">
        <v>124</v>
      </c>
      <c r="V33" t="s">
        <v>125</v>
      </c>
      <c r="W33" t="s">
        <v>126</v>
      </c>
      <c r="X33" t="s">
        <v>127</v>
      </c>
      <c r="Y33" t="s">
        <v>128</v>
      </c>
      <c r="Z33" t="s">
        <v>129</v>
      </c>
      <c r="AA33" t="s">
        <v>130</v>
      </c>
      <c r="AB33" t="s">
        <v>131</v>
      </c>
      <c r="AC33" t="s">
        <v>132</v>
      </c>
      <c r="AD33" t="s">
        <v>133</v>
      </c>
      <c r="AE33" t="s">
        <v>134</v>
      </c>
      <c r="AF33" t="s">
        <v>135</v>
      </c>
      <c r="AG33" t="s">
        <v>136</v>
      </c>
      <c r="AH33" t="s">
        <v>137</v>
      </c>
      <c r="AI33" t="s">
        <v>138</v>
      </c>
      <c r="AJ33" t="s">
        <v>139</v>
      </c>
    </row>
    <row r="34" spans="3:36">
      <c r="C34" s="11" t="s">
        <v>140</v>
      </c>
      <c r="D34" s="10">
        <v>1</v>
      </c>
      <c r="E34" s="10">
        <v>842302</v>
      </c>
      <c r="F34" s="10" t="s">
        <v>0</v>
      </c>
      <c r="G34" s="10">
        <v>17.989999999999998</v>
      </c>
      <c r="H34" s="10">
        <v>10.38</v>
      </c>
      <c r="I34" s="10">
        <v>122.8</v>
      </c>
      <c r="J34" s="10">
        <v>1001</v>
      </c>
      <c r="K34" s="10">
        <v>0.11840000000000001</v>
      </c>
      <c r="L34" s="10">
        <v>0.27760000000000001</v>
      </c>
      <c r="M34" s="10">
        <v>0.30009999999999998</v>
      </c>
      <c r="N34" s="10">
        <v>0.14710000000000001</v>
      </c>
      <c r="O34" s="10">
        <v>0.2419</v>
      </c>
      <c r="P34" s="10">
        <v>7.8710000000000002E-2</v>
      </c>
      <c r="Q34" s="10">
        <v>1.095</v>
      </c>
      <c r="R34" s="10">
        <v>0.90529999999999999</v>
      </c>
      <c r="S34" s="10">
        <v>8.5890000000000004</v>
      </c>
      <c r="T34" s="10">
        <v>153.4</v>
      </c>
      <c r="U34" s="10">
        <v>6.3990000000000002E-3</v>
      </c>
      <c r="V34" s="10">
        <v>4.904E-2</v>
      </c>
      <c r="W34" s="10">
        <v>5.373E-2</v>
      </c>
      <c r="X34" s="10">
        <v>1.5869999999999999E-2</v>
      </c>
      <c r="Y34" s="10">
        <v>3.0030000000000001E-2</v>
      </c>
      <c r="Z34" s="10">
        <v>6.1929999999999997E-3</v>
      </c>
      <c r="AA34" s="10">
        <v>25.38</v>
      </c>
      <c r="AB34" s="10">
        <v>17.329999999999998</v>
      </c>
      <c r="AC34" s="10">
        <v>184.6</v>
      </c>
      <c r="AD34" s="10">
        <v>2019</v>
      </c>
      <c r="AE34" s="10">
        <v>0.16220000000000001</v>
      </c>
      <c r="AF34" s="10">
        <v>0.66559999999999997</v>
      </c>
      <c r="AG34" s="10">
        <v>0.71189999999999998</v>
      </c>
      <c r="AH34" s="10">
        <v>0.26540000000000002</v>
      </c>
      <c r="AI34" s="10">
        <v>0.46010000000000001</v>
      </c>
      <c r="AJ34">
        <v>0.11890000000000001</v>
      </c>
    </row>
    <row r="35" spans="3:36">
      <c r="C35" s="11" t="s">
        <v>141</v>
      </c>
      <c r="D35" s="10">
        <v>2</v>
      </c>
      <c r="E35" s="10">
        <v>842517</v>
      </c>
      <c r="F35" s="10" t="s">
        <v>0</v>
      </c>
      <c r="G35" s="10">
        <v>20.57</v>
      </c>
      <c r="H35" s="10">
        <v>17.77</v>
      </c>
      <c r="I35" s="10">
        <v>132.9</v>
      </c>
      <c r="J35" s="10">
        <v>1326</v>
      </c>
      <c r="K35" s="10">
        <v>8.4739999999999996E-2</v>
      </c>
      <c r="L35" s="10">
        <v>7.8640000000000002E-2</v>
      </c>
      <c r="M35" s="10">
        <v>8.6900000000000005E-2</v>
      </c>
      <c r="N35" s="10">
        <v>7.0169999999999996E-2</v>
      </c>
      <c r="O35" s="10">
        <v>0.1812</v>
      </c>
      <c r="P35" s="10">
        <v>5.6669999999999998E-2</v>
      </c>
      <c r="Q35" s="10">
        <v>0.54349999999999998</v>
      </c>
      <c r="R35" s="10">
        <v>0.7339</v>
      </c>
      <c r="S35" s="10">
        <v>3.3980000000000001</v>
      </c>
      <c r="T35" s="10">
        <v>74.08</v>
      </c>
      <c r="U35" s="10">
        <v>5.2249999999999996E-3</v>
      </c>
      <c r="V35" s="10">
        <v>1.308E-2</v>
      </c>
      <c r="W35" s="10">
        <v>1.8599999999999998E-2</v>
      </c>
      <c r="X35" s="10">
        <v>1.34E-2</v>
      </c>
      <c r="Y35" s="10">
        <v>1.389E-2</v>
      </c>
      <c r="Z35" s="10">
        <v>3.532E-3</v>
      </c>
      <c r="AA35" s="10">
        <v>24.99</v>
      </c>
      <c r="AB35" s="10">
        <v>23.41</v>
      </c>
      <c r="AC35" s="10">
        <v>158.80000000000001</v>
      </c>
      <c r="AD35" s="10">
        <v>1956</v>
      </c>
      <c r="AE35" s="10">
        <v>0.12379999999999999</v>
      </c>
      <c r="AF35" s="10">
        <v>0.18659999999999999</v>
      </c>
      <c r="AG35" s="10">
        <v>0.24160000000000001</v>
      </c>
      <c r="AH35" s="10">
        <v>0.186</v>
      </c>
      <c r="AI35" s="10">
        <v>0.27500000000000002</v>
      </c>
      <c r="AJ35">
        <v>8.9020000000000002E-2</v>
      </c>
    </row>
    <row r="36" spans="3:36">
      <c r="C36" s="11" t="s">
        <v>142</v>
      </c>
      <c r="D36" s="10">
        <v>3</v>
      </c>
      <c r="E36" s="10">
        <v>84300903</v>
      </c>
      <c r="F36" s="10" t="s">
        <v>0</v>
      </c>
      <c r="G36" s="10">
        <v>19.690000000000001</v>
      </c>
      <c r="H36" s="10">
        <v>21.25</v>
      </c>
      <c r="I36" s="10">
        <v>130</v>
      </c>
      <c r="J36" s="10">
        <v>1203</v>
      </c>
      <c r="K36" s="10">
        <v>0.1096</v>
      </c>
      <c r="L36" s="10">
        <v>0.15989999999999999</v>
      </c>
      <c r="M36" s="10">
        <v>0.19739999999999999</v>
      </c>
      <c r="N36" s="10">
        <v>0.12790000000000001</v>
      </c>
      <c r="O36" s="10">
        <v>0.2069</v>
      </c>
      <c r="P36" s="10">
        <v>5.9990000000000002E-2</v>
      </c>
      <c r="Q36" s="10">
        <v>0.74560000000000004</v>
      </c>
      <c r="R36" s="10">
        <v>0.78690000000000004</v>
      </c>
      <c r="S36" s="10">
        <v>4.585</v>
      </c>
      <c r="T36" s="10">
        <v>94.03</v>
      </c>
      <c r="U36" s="10">
        <v>6.1500000000000001E-3</v>
      </c>
      <c r="V36" s="10">
        <v>4.0059999999999998E-2</v>
      </c>
      <c r="W36" s="10">
        <v>3.832E-2</v>
      </c>
      <c r="X36" s="10">
        <v>2.0580000000000001E-2</v>
      </c>
      <c r="Y36" s="10">
        <v>2.2499999999999999E-2</v>
      </c>
      <c r="Z36" s="10">
        <v>4.5710000000000004E-3</v>
      </c>
      <c r="AA36" s="10">
        <v>23.57</v>
      </c>
      <c r="AB36" s="10">
        <v>25.53</v>
      </c>
      <c r="AC36" s="10">
        <v>152.5</v>
      </c>
      <c r="AD36" s="10">
        <v>1709</v>
      </c>
      <c r="AE36" s="10">
        <v>0.1444</v>
      </c>
      <c r="AF36" s="10">
        <v>0.42449999999999999</v>
      </c>
      <c r="AG36" s="10">
        <v>0.45040000000000002</v>
      </c>
      <c r="AH36" s="10">
        <v>0.24299999999999999</v>
      </c>
      <c r="AI36" s="10">
        <v>0.36130000000000001</v>
      </c>
      <c r="AJ36">
        <v>8.7580000000000005E-2</v>
      </c>
    </row>
    <row r="37" spans="3:36">
      <c r="C37" s="11" t="s">
        <v>143</v>
      </c>
      <c r="D37" s="10">
        <v>4</v>
      </c>
      <c r="E37" s="10">
        <v>84348301</v>
      </c>
      <c r="F37" s="10" t="s">
        <v>0</v>
      </c>
      <c r="G37" s="10">
        <v>11.42</v>
      </c>
      <c r="H37" s="10">
        <v>20.38</v>
      </c>
      <c r="I37" s="10">
        <v>77.58</v>
      </c>
      <c r="J37" s="10">
        <v>386.1</v>
      </c>
      <c r="K37" s="10">
        <v>0.14249999999999999</v>
      </c>
      <c r="L37" s="10">
        <v>0.28389999999999999</v>
      </c>
      <c r="M37" s="10">
        <v>0.2414</v>
      </c>
      <c r="N37" s="10">
        <v>0.1052</v>
      </c>
      <c r="O37" s="10">
        <v>0.25969999999999999</v>
      </c>
      <c r="P37" s="10">
        <v>9.7439999999999999E-2</v>
      </c>
      <c r="Q37" s="10">
        <v>0.49559999999999998</v>
      </c>
      <c r="R37" s="10">
        <v>1.1559999999999999</v>
      </c>
      <c r="S37" s="10">
        <v>3.4449999999999998</v>
      </c>
      <c r="T37" s="10">
        <v>27.23</v>
      </c>
      <c r="U37" s="10">
        <v>9.11E-3</v>
      </c>
      <c r="V37" s="10">
        <v>7.4579999999999994E-2</v>
      </c>
      <c r="W37" s="10">
        <v>5.6610000000000001E-2</v>
      </c>
      <c r="X37" s="10">
        <v>1.8669999999999999E-2</v>
      </c>
      <c r="Y37" s="10">
        <v>5.9630000000000002E-2</v>
      </c>
      <c r="Z37" s="10">
        <v>9.2079999999999992E-3</v>
      </c>
      <c r="AA37" s="10">
        <v>14.91</v>
      </c>
      <c r="AB37" s="10">
        <v>26.5</v>
      </c>
      <c r="AC37" s="10">
        <v>98.87</v>
      </c>
      <c r="AD37" s="10">
        <v>567.70000000000005</v>
      </c>
      <c r="AE37" s="10">
        <v>0.20979999999999999</v>
      </c>
      <c r="AF37" s="10">
        <v>0.86629999999999996</v>
      </c>
      <c r="AG37" s="10">
        <v>0.68689999999999996</v>
      </c>
      <c r="AH37" s="10">
        <v>0.25750000000000001</v>
      </c>
      <c r="AI37" s="10">
        <v>0.66379999999999995</v>
      </c>
      <c r="AJ37">
        <v>0.17299999999999999</v>
      </c>
    </row>
    <row r="38" spans="3:36">
      <c r="C38" s="11" t="s">
        <v>144</v>
      </c>
      <c r="D38" s="10">
        <v>5</v>
      </c>
      <c r="E38" s="10">
        <v>84358402</v>
      </c>
      <c r="F38" s="10" t="s">
        <v>0</v>
      </c>
      <c r="G38" s="10">
        <v>20.29</v>
      </c>
      <c r="H38" s="10">
        <v>14.34</v>
      </c>
      <c r="I38" s="10">
        <v>135.1</v>
      </c>
      <c r="J38" s="10">
        <v>1297</v>
      </c>
      <c r="K38" s="10">
        <v>0.1003</v>
      </c>
      <c r="L38" s="10">
        <v>0.1328</v>
      </c>
      <c r="M38" s="10">
        <v>0.19800000000000001</v>
      </c>
      <c r="N38" s="10">
        <v>0.1043</v>
      </c>
      <c r="O38" s="10">
        <v>0.18090000000000001</v>
      </c>
      <c r="P38" s="10">
        <v>5.883E-2</v>
      </c>
      <c r="Q38" s="10">
        <v>0.75719999999999998</v>
      </c>
      <c r="R38" s="10">
        <v>0.78129999999999999</v>
      </c>
      <c r="S38" s="10">
        <v>5.4379999999999997</v>
      </c>
      <c r="T38" s="10">
        <v>94.44</v>
      </c>
      <c r="U38" s="10">
        <v>1.149E-2</v>
      </c>
      <c r="V38" s="10">
        <v>2.461E-2</v>
      </c>
      <c r="W38" s="10">
        <v>5.688E-2</v>
      </c>
      <c r="X38" s="10">
        <v>1.8849999999999999E-2</v>
      </c>
      <c r="Y38" s="10">
        <v>1.7559999999999999E-2</v>
      </c>
      <c r="Z38" s="10">
        <v>5.1149999999999998E-3</v>
      </c>
      <c r="AA38" s="10">
        <v>22.54</v>
      </c>
      <c r="AB38" s="10">
        <v>16.670000000000002</v>
      </c>
      <c r="AC38" s="10">
        <v>152.19999999999999</v>
      </c>
      <c r="AD38" s="10">
        <v>1575</v>
      </c>
      <c r="AE38" s="10">
        <v>0.13739999999999999</v>
      </c>
      <c r="AF38" s="10">
        <v>0.20499999999999999</v>
      </c>
      <c r="AG38" s="10">
        <v>0.4</v>
      </c>
      <c r="AH38" s="10">
        <v>0.16250000000000001</v>
      </c>
      <c r="AI38" s="10">
        <v>0.2364</v>
      </c>
      <c r="AJ38">
        <v>7.6780000000000001E-2</v>
      </c>
    </row>
    <row r="39" spans="3:36">
      <c r="C39" s="11" t="s">
        <v>145</v>
      </c>
      <c r="D39" s="10">
        <v>6</v>
      </c>
      <c r="E39" s="10">
        <v>843786</v>
      </c>
      <c r="F39" s="10" t="s">
        <v>0</v>
      </c>
      <c r="G39" s="10">
        <v>12.45</v>
      </c>
      <c r="H39" s="10">
        <v>15.7</v>
      </c>
      <c r="I39" s="10">
        <v>82.57</v>
      </c>
      <c r="J39" s="10">
        <v>477.1</v>
      </c>
      <c r="K39" s="10">
        <v>0.1278</v>
      </c>
      <c r="L39" s="10">
        <v>0.17</v>
      </c>
      <c r="M39" s="10">
        <v>0.1578</v>
      </c>
      <c r="N39" s="10">
        <v>8.0890000000000004E-2</v>
      </c>
      <c r="O39" s="10">
        <v>0.2087</v>
      </c>
      <c r="P39" s="10">
        <v>7.6130000000000003E-2</v>
      </c>
      <c r="Q39" s="10">
        <v>0.33450000000000002</v>
      </c>
      <c r="R39" s="10">
        <v>0.89019999999999999</v>
      </c>
      <c r="S39" s="10">
        <v>2.2170000000000001</v>
      </c>
      <c r="T39" s="10">
        <v>27.19</v>
      </c>
      <c r="U39" s="10">
        <v>7.5100000000000002E-3</v>
      </c>
      <c r="V39" s="10">
        <v>3.3450000000000001E-2</v>
      </c>
      <c r="W39" s="10">
        <v>3.6720000000000003E-2</v>
      </c>
      <c r="X39" s="10">
        <v>1.137E-2</v>
      </c>
      <c r="Y39" s="10">
        <v>2.1649999999999999E-2</v>
      </c>
      <c r="Z39" s="10">
        <v>5.0819999999999997E-3</v>
      </c>
      <c r="AA39" s="10">
        <v>15.47</v>
      </c>
      <c r="AB39" s="10">
        <v>23.75</v>
      </c>
      <c r="AC39" s="10">
        <v>103.4</v>
      </c>
      <c r="AD39" s="10">
        <v>741.6</v>
      </c>
      <c r="AE39" s="10">
        <v>0.17910000000000001</v>
      </c>
      <c r="AF39" s="10">
        <v>0.52490000000000003</v>
      </c>
      <c r="AG39" s="10">
        <v>0.53549999999999998</v>
      </c>
      <c r="AH39" s="10">
        <v>0.1741</v>
      </c>
      <c r="AI39" s="10">
        <v>0.39850000000000002</v>
      </c>
      <c r="AJ39">
        <v>0.1244</v>
      </c>
    </row>
    <row r="40" spans="3:36">
      <c r="C40" s="11" t="s">
        <v>146</v>
      </c>
      <c r="D40" s="10">
        <v>7</v>
      </c>
      <c r="E40" s="10">
        <v>844359</v>
      </c>
      <c r="F40" s="10" t="s">
        <v>0</v>
      </c>
      <c r="G40" s="10">
        <v>18.25</v>
      </c>
      <c r="H40" s="10">
        <v>19.98</v>
      </c>
      <c r="I40" s="10">
        <v>119.6</v>
      </c>
      <c r="J40" s="10">
        <v>1040</v>
      </c>
      <c r="K40" s="10">
        <v>9.4630000000000006E-2</v>
      </c>
      <c r="L40" s="10">
        <v>0.109</v>
      </c>
      <c r="M40" s="10">
        <v>0.11269999999999999</v>
      </c>
      <c r="N40" s="10">
        <v>7.3999999999999996E-2</v>
      </c>
      <c r="O40" s="10">
        <v>0.1794</v>
      </c>
      <c r="P40" s="10">
        <v>5.7419999999999999E-2</v>
      </c>
      <c r="Q40" s="10">
        <v>0.44669999999999999</v>
      </c>
      <c r="R40" s="10">
        <v>0.7732</v>
      </c>
      <c r="S40" s="10">
        <v>3.18</v>
      </c>
      <c r="T40" s="10">
        <v>53.91</v>
      </c>
      <c r="U40" s="10">
        <v>4.3140000000000001E-3</v>
      </c>
      <c r="V40" s="10">
        <v>1.3820000000000001E-2</v>
      </c>
      <c r="W40" s="10">
        <v>2.2540000000000001E-2</v>
      </c>
      <c r="X40" s="10">
        <v>1.039E-2</v>
      </c>
      <c r="Y40" s="10">
        <v>1.3690000000000001E-2</v>
      </c>
      <c r="Z40" s="10">
        <v>2.1789999999999999E-3</v>
      </c>
      <c r="AA40" s="10">
        <v>22.88</v>
      </c>
      <c r="AB40" s="10">
        <v>27.66</v>
      </c>
      <c r="AC40" s="10">
        <v>153.19999999999999</v>
      </c>
      <c r="AD40" s="10">
        <v>1606</v>
      </c>
      <c r="AE40" s="10">
        <v>0.14419999999999999</v>
      </c>
      <c r="AF40" s="10">
        <v>0.2576</v>
      </c>
      <c r="AG40" s="10">
        <v>0.37840000000000001</v>
      </c>
      <c r="AH40" s="10">
        <v>0.19320000000000001</v>
      </c>
      <c r="AI40" s="10">
        <v>0.30630000000000002</v>
      </c>
      <c r="AJ40">
        <v>8.3680000000000004E-2</v>
      </c>
    </row>
    <row r="41" spans="3:36">
      <c r="C41" s="11" t="s">
        <v>147</v>
      </c>
      <c r="D41" s="10">
        <v>8</v>
      </c>
      <c r="E41" s="10">
        <v>84458202</v>
      </c>
      <c r="F41" s="10" t="s">
        <v>0</v>
      </c>
      <c r="G41" s="10">
        <v>13.71</v>
      </c>
      <c r="H41" s="10">
        <v>20.83</v>
      </c>
      <c r="I41" s="10">
        <v>90.2</v>
      </c>
      <c r="J41" s="10">
        <v>577.9</v>
      </c>
      <c r="K41" s="10">
        <v>0.11890000000000001</v>
      </c>
      <c r="L41" s="10">
        <v>0.16450000000000001</v>
      </c>
      <c r="M41" s="10">
        <v>9.3659999999999993E-2</v>
      </c>
      <c r="N41" s="10">
        <v>5.985E-2</v>
      </c>
      <c r="O41" s="10">
        <v>0.21959999999999999</v>
      </c>
      <c r="P41" s="10">
        <v>7.4510000000000007E-2</v>
      </c>
      <c r="Q41" s="10">
        <v>0.58350000000000002</v>
      </c>
      <c r="R41" s="10">
        <v>1.377</v>
      </c>
      <c r="S41" s="10">
        <v>3.8559999999999999</v>
      </c>
      <c r="T41" s="10">
        <v>50.96</v>
      </c>
      <c r="U41" s="10">
        <v>8.8050000000000003E-3</v>
      </c>
      <c r="V41" s="10">
        <v>3.0290000000000001E-2</v>
      </c>
      <c r="W41" s="10">
        <v>2.4879999999999999E-2</v>
      </c>
      <c r="X41" s="10">
        <v>1.448E-2</v>
      </c>
      <c r="Y41" s="10">
        <v>1.486E-2</v>
      </c>
      <c r="Z41" s="10">
        <v>5.4120000000000001E-3</v>
      </c>
      <c r="AA41" s="10">
        <v>17.059999999999999</v>
      </c>
      <c r="AB41" s="10">
        <v>28.14</v>
      </c>
      <c r="AC41" s="10">
        <v>110.6</v>
      </c>
      <c r="AD41" s="10">
        <v>897</v>
      </c>
      <c r="AE41" s="10">
        <v>0.16539999999999999</v>
      </c>
      <c r="AF41" s="10">
        <v>0.36820000000000003</v>
      </c>
      <c r="AG41" s="10">
        <v>0.26779999999999998</v>
      </c>
      <c r="AH41" s="10">
        <v>0.15559999999999999</v>
      </c>
      <c r="AI41" s="10">
        <v>0.3196</v>
      </c>
      <c r="AJ41">
        <v>0.11509999999999999</v>
      </c>
    </row>
    <row r="42" spans="3:36">
      <c r="C42" s="11" t="s">
        <v>148</v>
      </c>
      <c r="D42" s="10">
        <v>9</v>
      </c>
      <c r="E42" s="10">
        <v>844981</v>
      </c>
      <c r="F42" s="10" t="s">
        <v>0</v>
      </c>
      <c r="G42" s="10">
        <v>13.71</v>
      </c>
      <c r="H42" s="10">
        <v>21.82</v>
      </c>
      <c r="I42" s="10">
        <v>87.5</v>
      </c>
      <c r="J42" s="10">
        <v>519.79999999999995</v>
      </c>
      <c r="K42" s="10">
        <v>0.1273</v>
      </c>
      <c r="L42" s="10">
        <v>0.19320000000000001</v>
      </c>
      <c r="M42" s="10">
        <v>0.18590000000000001</v>
      </c>
      <c r="N42" s="10">
        <v>9.3530000000000002E-2</v>
      </c>
      <c r="O42" s="10">
        <v>0.23499999999999999</v>
      </c>
      <c r="P42" s="10">
        <v>7.3889999999999997E-2</v>
      </c>
      <c r="Q42" s="10">
        <v>0.30630000000000002</v>
      </c>
      <c r="R42" s="10">
        <v>1.002</v>
      </c>
      <c r="S42" s="10">
        <v>2.4060000000000001</v>
      </c>
      <c r="T42" s="10">
        <v>24.32</v>
      </c>
      <c r="U42" s="10">
        <v>5.731E-3</v>
      </c>
      <c r="V42" s="10">
        <v>3.5020000000000003E-2</v>
      </c>
      <c r="W42" s="10">
        <v>3.5529999999999999E-2</v>
      </c>
      <c r="X42" s="10">
        <v>1.226E-2</v>
      </c>
      <c r="Y42" s="10">
        <v>2.1430000000000001E-2</v>
      </c>
      <c r="Z42" s="10">
        <v>3.7490000000000002E-3</v>
      </c>
      <c r="AA42" s="10">
        <v>15.49</v>
      </c>
      <c r="AB42" s="10">
        <v>30.73</v>
      </c>
      <c r="AC42" s="10">
        <v>106.2</v>
      </c>
      <c r="AD42" s="10">
        <v>739.3</v>
      </c>
      <c r="AE42" s="10">
        <v>0.17030000000000001</v>
      </c>
      <c r="AF42" s="10">
        <v>0.54010000000000002</v>
      </c>
      <c r="AG42" s="10">
        <v>0.53900000000000003</v>
      </c>
      <c r="AH42" s="10">
        <v>0.20599999999999999</v>
      </c>
      <c r="AI42" s="10">
        <v>0.43780000000000002</v>
      </c>
      <c r="AJ42">
        <v>0.1072</v>
      </c>
    </row>
    <row r="43" spans="3:36">
      <c r="C43" s="11" t="s">
        <v>149</v>
      </c>
      <c r="D43" s="10">
        <v>10</v>
      </c>
      <c r="E43" s="10">
        <v>84501001</v>
      </c>
      <c r="F43" s="10" t="s">
        <v>0</v>
      </c>
      <c r="G43" s="10">
        <v>13.71</v>
      </c>
      <c r="H43" s="10">
        <v>24.04</v>
      </c>
      <c r="I43" s="10">
        <v>83.97</v>
      </c>
      <c r="J43" s="10">
        <v>475.9</v>
      </c>
      <c r="K43" s="10">
        <v>0.1186</v>
      </c>
      <c r="L43" s="10">
        <v>0.23960000000000001</v>
      </c>
      <c r="M43" s="10">
        <v>0.2273</v>
      </c>
      <c r="N43" s="10">
        <v>8.5430000000000006E-2</v>
      </c>
      <c r="O43" s="10">
        <v>0.20300000000000001</v>
      </c>
      <c r="P43" s="10">
        <v>8.2430000000000003E-2</v>
      </c>
      <c r="Q43" s="10">
        <v>0.29759999999999998</v>
      </c>
      <c r="R43" s="10">
        <v>1.599</v>
      </c>
      <c r="S43" s="10">
        <v>2.0390000000000001</v>
      </c>
      <c r="T43" s="10">
        <v>23.94</v>
      </c>
      <c r="U43" s="10">
        <v>7.149E-3</v>
      </c>
      <c r="V43" s="10">
        <v>7.2169999999999998E-2</v>
      </c>
      <c r="W43" s="10">
        <v>7.7429999999999999E-2</v>
      </c>
      <c r="X43" s="10">
        <v>1.4319999999999999E-2</v>
      </c>
      <c r="Y43" s="10">
        <v>1.789E-2</v>
      </c>
      <c r="Z43" s="10">
        <v>1.008E-2</v>
      </c>
      <c r="AA43" s="10">
        <v>15.09</v>
      </c>
      <c r="AB43" s="10">
        <v>40.68</v>
      </c>
      <c r="AC43" s="10">
        <v>97.65</v>
      </c>
      <c r="AD43" s="10">
        <v>711.4</v>
      </c>
      <c r="AE43" s="10">
        <v>0.18529999999999999</v>
      </c>
      <c r="AF43" s="10">
        <v>1.0580000000000001</v>
      </c>
      <c r="AG43" s="10">
        <v>1.105</v>
      </c>
      <c r="AH43" s="10">
        <v>0.221</v>
      </c>
      <c r="AI43" s="10">
        <v>0.43659999999999999</v>
      </c>
      <c r="AJ43">
        <v>0.20749999999999999</v>
      </c>
    </row>
    <row r="44" spans="3:36">
      <c r="C44" s="11" t="s">
        <v>150</v>
      </c>
      <c r="D44" s="10">
        <v>11</v>
      </c>
      <c r="E44" s="10">
        <v>845636</v>
      </c>
      <c r="F44" s="10" t="s">
        <v>0</v>
      </c>
      <c r="G44" s="10">
        <v>13.71</v>
      </c>
      <c r="H44" s="10">
        <v>23.24</v>
      </c>
      <c r="I44" s="10">
        <v>102.7</v>
      </c>
      <c r="J44" s="10">
        <v>797.8</v>
      </c>
      <c r="K44" s="10">
        <v>8.2059999999999994E-2</v>
      </c>
      <c r="L44" s="10">
        <v>6.6689999999999999E-2</v>
      </c>
      <c r="M44" s="10">
        <v>3.2989999999999998E-2</v>
      </c>
      <c r="N44" s="10">
        <v>3.3230000000000003E-2</v>
      </c>
      <c r="O44" s="10">
        <v>0.15279999999999999</v>
      </c>
      <c r="P44" s="10">
        <v>5.697E-2</v>
      </c>
      <c r="Q44" s="10">
        <v>0.3795</v>
      </c>
      <c r="R44" s="10">
        <v>1.1870000000000001</v>
      </c>
      <c r="S44" s="10">
        <v>2.4660000000000002</v>
      </c>
      <c r="T44" s="10">
        <v>40.51</v>
      </c>
      <c r="U44" s="10">
        <v>4.0289999999999996E-3</v>
      </c>
      <c r="V44" s="10">
        <v>9.2689999999999995E-3</v>
      </c>
      <c r="W44" s="10">
        <v>1.1010000000000001E-2</v>
      </c>
      <c r="X44" s="10">
        <v>7.5909999999999997E-3</v>
      </c>
      <c r="Y44" s="10">
        <v>1.46E-2</v>
      </c>
      <c r="Z44" s="10">
        <v>3.042E-3</v>
      </c>
      <c r="AA44" s="10">
        <v>19.190000000000001</v>
      </c>
      <c r="AB44" s="10">
        <v>33.880000000000003</v>
      </c>
      <c r="AC44" s="10">
        <v>123.8</v>
      </c>
      <c r="AD44" s="10">
        <v>1150</v>
      </c>
      <c r="AE44" s="10">
        <v>0.1181</v>
      </c>
      <c r="AF44" s="10">
        <v>0.15509999999999999</v>
      </c>
      <c r="AG44" s="10">
        <v>0.1459</v>
      </c>
      <c r="AH44" s="10">
        <v>9.9750000000000005E-2</v>
      </c>
      <c r="AI44" s="10">
        <v>0.29480000000000001</v>
      </c>
      <c r="AJ44">
        <v>8.4519999999999998E-2</v>
      </c>
    </row>
    <row r="45" spans="3:36">
      <c r="C45" s="11" t="s">
        <v>151</v>
      </c>
      <c r="D45" s="10">
        <v>12</v>
      </c>
      <c r="E45" s="10">
        <v>84610002</v>
      </c>
      <c r="F45" s="10" t="s">
        <v>0</v>
      </c>
      <c r="G45" s="10">
        <v>13.71</v>
      </c>
      <c r="H45" s="10">
        <v>17.89</v>
      </c>
      <c r="I45" s="10">
        <v>103.6</v>
      </c>
      <c r="J45" s="10">
        <v>781</v>
      </c>
      <c r="K45" s="10">
        <v>9.7100000000000006E-2</v>
      </c>
      <c r="L45" s="10">
        <v>0.12920000000000001</v>
      </c>
      <c r="M45" s="10">
        <v>9.9540000000000003E-2</v>
      </c>
      <c r="N45" s="10">
        <v>6.6059999999999994E-2</v>
      </c>
      <c r="O45" s="10">
        <v>0.1842</v>
      </c>
      <c r="P45" s="10">
        <v>6.0819999999999999E-2</v>
      </c>
      <c r="Q45" s="10">
        <v>0.50580000000000003</v>
      </c>
      <c r="R45" s="10">
        <v>0.9849</v>
      </c>
      <c r="S45" s="10">
        <v>3.5640000000000001</v>
      </c>
      <c r="T45" s="10">
        <v>54.16</v>
      </c>
      <c r="U45" s="10">
        <v>5.7710000000000001E-3</v>
      </c>
      <c r="V45" s="10">
        <v>4.061E-2</v>
      </c>
      <c r="W45" s="10">
        <v>2.7910000000000001E-2</v>
      </c>
      <c r="X45" s="10">
        <v>1.282E-2</v>
      </c>
      <c r="Y45" s="10">
        <v>2.0080000000000001E-2</v>
      </c>
      <c r="Z45" s="10">
        <v>4.1440000000000001E-3</v>
      </c>
      <c r="AA45" s="10">
        <v>20.420000000000002</v>
      </c>
      <c r="AB45" s="10">
        <v>27.28</v>
      </c>
      <c r="AC45" s="10">
        <v>136.5</v>
      </c>
      <c r="AD45" s="10">
        <v>1299</v>
      </c>
      <c r="AE45" s="10">
        <v>0.1396</v>
      </c>
      <c r="AF45" s="10">
        <v>0.56089999999999995</v>
      </c>
      <c r="AG45" s="10">
        <v>0.39650000000000002</v>
      </c>
      <c r="AH45" s="10">
        <v>0.18099999999999999</v>
      </c>
      <c r="AI45" s="10">
        <v>0.37919999999999998</v>
      </c>
      <c r="AJ45">
        <v>0.1048</v>
      </c>
    </row>
    <row r="46" spans="3:36">
      <c r="C46" s="11" t="s">
        <v>152</v>
      </c>
      <c r="D46" s="10">
        <v>13</v>
      </c>
      <c r="E46" s="10">
        <v>846226</v>
      </c>
      <c r="F46" s="10" t="s">
        <v>0</v>
      </c>
      <c r="G46" s="10">
        <v>13.71</v>
      </c>
      <c r="H46" s="10">
        <v>24.8</v>
      </c>
      <c r="I46" s="10">
        <v>132.4</v>
      </c>
      <c r="J46" s="10">
        <v>1123</v>
      </c>
      <c r="K46" s="10">
        <v>9.74E-2</v>
      </c>
      <c r="L46" s="10">
        <v>0.24579999999999999</v>
      </c>
      <c r="M46" s="10">
        <v>0.20649999999999999</v>
      </c>
      <c r="N46" s="10">
        <v>0.1118</v>
      </c>
      <c r="O46" s="10">
        <v>0.2397</v>
      </c>
      <c r="P46" s="10">
        <v>7.8E-2</v>
      </c>
      <c r="Q46" s="10">
        <v>0.95550000000000002</v>
      </c>
      <c r="R46" s="10">
        <v>3.5680000000000001</v>
      </c>
      <c r="S46" s="10">
        <v>11.07</v>
      </c>
      <c r="T46" s="10">
        <v>116.2</v>
      </c>
      <c r="U46" s="10">
        <v>3.1389999999999999E-3</v>
      </c>
      <c r="V46" s="10">
        <v>8.2970000000000002E-2</v>
      </c>
      <c r="W46" s="10">
        <v>8.8900000000000007E-2</v>
      </c>
      <c r="X46" s="10">
        <v>4.0899999999999999E-2</v>
      </c>
      <c r="Y46" s="10">
        <v>4.4839999999999998E-2</v>
      </c>
      <c r="Z46" s="10">
        <v>1.2840000000000001E-2</v>
      </c>
      <c r="AA46" s="10">
        <v>20.96</v>
      </c>
      <c r="AB46" s="10">
        <v>29.94</v>
      </c>
      <c r="AC46" s="10">
        <v>151.69999999999999</v>
      </c>
      <c r="AD46" s="10">
        <v>1332</v>
      </c>
      <c r="AE46" s="10">
        <v>0.1037</v>
      </c>
      <c r="AF46" s="10">
        <v>0.39029999999999998</v>
      </c>
      <c r="AG46" s="10">
        <v>0.3639</v>
      </c>
      <c r="AH46" s="10">
        <v>0.1767</v>
      </c>
      <c r="AI46" s="10">
        <v>0.31759999999999999</v>
      </c>
      <c r="AJ46">
        <v>0.1023</v>
      </c>
    </row>
    <row r="47" spans="3:36">
      <c r="C47" s="11" t="s">
        <v>153</v>
      </c>
      <c r="D47" s="10">
        <v>14</v>
      </c>
      <c r="E47" s="10">
        <v>846381</v>
      </c>
      <c r="F47" s="10" t="s">
        <v>0</v>
      </c>
      <c r="G47" s="10">
        <v>13.71</v>
      </c>
      <c r="H47" s="10">
        <v>23.95</v>
      </c>
      <c r="I47" s="10">
        <v>103.7</v>
      </c>
      <c r="J47" s="10">
        <v>782.7</v>
      </c>
      <c r="K47" s="10">
        <v>8.4010000000000001E-2</v>
      </c>
      <c r="L47" s="10">
        <v>0.1002</v>
      </c>
      <c r="M47" s="10">
        <v>9.9379999999999996E-2</v>
      </c>
      <c r="N47" s="10">
        <v>5.364E-2</v>
      </c>
      <c r="O47" s="10">
        <v>0.1847</v>
      </c>
      <c r="P47" s="10">
        <v>5.3379999999999997E-2</v>
      </c>
      <c r="Q47" s="10">
        <v>0.40329999999999999</v>
      </c>
      <c r="R47" s="10">
        <v>1.0780000000000001</v>
      </c>
      <c r="S47" s="10">
        <v>2.903</v>
      </c>
      <c r="T47" s="10">
        <v>36.58</v>
      </c>
      <c r="U47" s="10">
        <v>9.7689999999999999E-3</v>
      </c>
      <c r="V47" s="10">
        <v>3.1260000000000003E-2</v>
      </c>
      <c r="W47" s="10">
        <v>5.0509999999999999E-2</v>
      </c>
      <c r="X47" s="10">
        <v>1.992E-2</v>
      </c>
      <c r="Y47" s="10">
        <v>2.981E-2</v>
      </c>
      <c r="Z47" s="10">
        <v>3.0019999999999999E-3</v>
      </c>
      <c r="AA47" s="10">
        <v>16.84</v>
      </c>
      <c r="AB47" s="10">
        <v>27.66</v>
      </c>
      <c r="AC47" s="10">
        <v>112</v>
      </c>
      <c r="AD47" s="10">
        <v>876.5</v>
      </c>
      <c r="AE47" s="10">
        <v>0.11310000000000001</v>
      </c>
      <c r="AF47" s="10">
        <v>0.19239999999999999</v>
      </c>
      <c r="AG47" s="10">
        <v>0.23219999999999999</v>
      </c>
      <c r="AH47" s="10">
        <v>0.1119</v>
      </c>
      <c r="AI47" s="10">
        <v>0.28089999999999998</v>
      </c>
      <c r="AJ47">
        <v>6.2869999999999995E-2</v>
      </c>
    </row>
    <row r="48" spans="3:36">
      <c r="C48" s="11" t="s">
        <v>154</v>
      </c>
      <c r="D48" s="10">
        <v>15</v>
      </c>
      <c r="E48" s="10">
        <v>84667401</v>
      </c>
      <c r="F48" s="10" t="s">
        <v>0</v>
      </c>
      <c r="G48" s="10">
        <v>13.71</v>
      </c>
      <c r="H48" s="10">
        <v>22.61</v>
      </c>
      <c r="I48" s="10">
        <v>93.6</v>
      </c>
      <c r="J48" s="10">
        <v>578.29999999999995</v>
      </c>
      <c r="K48" s="10">
        <v>0.11310000000000001</v>
      </c>
      <c r="L48" s="10">
        <v>0.2293</v>
      </c>
      <c r="M48" s="10">
        <v>0.21279999999999999</v>
      </c>
      <c r="N48" s="10">
        <v>8.0250000000000002E-2</v>
      </c>
      <c r="O48" s="10">
        <v>0.2069</v>
      </c>
      <c r="P48" s="10">
        <v>7.6819999999999999E-2</v>
      </c>
      <c r="Q48" s="10">
        <v>0.21210000000000001</v>
      </c>
      <c r="R48" s="10">
        <v>1.169</v>
      </c>
      <c r="S48" s="10">
        <v>2.0609999999999999</v>
      </c>
      <c r="T48" s="10">
        <v>19.21</v>
      </c>
      <c r="U48" s="10">
        <v>6.4289999999999998E-3</v>
      </c>
      <c r="V48" s="10">
        <v>5.9360000000000003E-2</v>
      </c>
      <c r="W48" s="10">
        <v>5.5010000000000003E-2</v>
      </c>
      <c r="X48" s="10">
        <v>1.6279999999999999E-2</v>
      </c>
      <c r="Y48" s="10">
        <v>1.9609999999999999E-2</v>
      </c>
      <c r="Z48" s="10">
        <v>8.0929999999999995E-3</v>
      </c>
      <c r="AA48" s="10">
        <v>15.03</v>
      </c>
      <c r="AB48" s="10">
        <v>32.01</v>
      </c>
      <c r="AC48" s="10">
        <v>108.8</v>
      </c>
      <c r="AD48" s="10">
        <v>697.7</v>
      </c>
      <c r="AE48" s="10">
        <v>0.1651</v>
      </c>
      <c r="AF48" s="10">
        <v>0.77249999999999996</v>
      </c>
      <c r="AG48" s="10">
        <v>0.69430000000000003</v>
      </c>
      <c r="AH48" s="10">
        <v>0.2208</v>
      </c>
      <c r="AI48" s="10">
        <v>0.35959999999999998</v>
      </c>
      <c r="AJ48">
        <v>0.1431</v>
      </c>
    </row>
    <row r="49" spans="3:36">
      <c r="C49" s="11" t="s">
        <v>155</v>
      </c>
      <c r="D49" s="10">
        <v>16</v>
      </c>
      <c r="E49" s="10">
        <v>84799002</v>
      </c>
      <c r="F49" s="10" t="s">
        <v>0</v>
      </c>
      <c r="G49" s="10">
        <v>13.71</v>
      </c>
      <c r="H49" s="10">
        <v>27.54</v>
      </c>
      <c r="I49" s="10">
        <v>96.73</v>
      </c>
      <c r="J49" s="10">
        <v>658.8</v>
      </c>
      <c r="K49" s="10">
        <v>0.1139</v>
      </c>
      <c r="L49" s="10">
        <v>0.1595</v>
      </c>
      <c r="M49" s="10">
        <v>0.16389999999999999</v>
      </c>
      <c r="N49" s="10">
        <v>7.3639999999999997E-2</v>
      </c>
      <c r="O49" s="10">
        <v>0.2303</v>
      </c>
      <c r="P49" s="10">
        <v>7.077E-2</v>
      </c>
      <c r="Q49" s="10">
        <v>0.37</v>
      </c>
      <c r="R49" s="10">
        <v>1.0329999999999999</v>
      </c>
      <c r="S49" s="10">
        <v>2.879</v>
      </c>
      <c r="T49" s="10">
        <v>32.549999999999997</v>
      </c>
      <c r="U49" s="10">
        <v>5.607E-3</v>
      </c>
      <c r="V49" s="10">
        <v>4.24E-2</v>
      </c>
      <c r="W49" s="10">
        <v>4.7410000000000001E-2</v>
      </c>
      <c r="X49" s="10">
        <v>1.09E-2</v>
      </c>
      <c r="Y49" s="10">
        <v>1.857E-2</v>
      </c>
      <c r="Z49" s="10">
        <v>5.4660000000000004E-3</v>
      </c>
      <c r="AA49" s="10">
        <v>17.46</v>
      </c>
      <c r="AB49" s="10">
        <v>37.130000000000003</v>
      </c>
      <c r="AC49" s="10">
        <v>124.1</v>
      </c>
      <c r="AD49" s="10">
        <v>943.2</v>
      </c>
      <c r="AE49" s="10">
        <v>0.1678</v>
      </c>
      <c r="AF49" s="10">
        <v>0.65769999999999995</v>
      </c>
      <c r="AG49" s="10">
        <v>0.7026</v>
      </c>
      <c r="AH49" s="10">
        <v>0.17119999999999999</v>
      </c>
      <c r="AI49" s="10">
        <v>0.42180000000000001</v>
      </c>
      <c r="AJ49">
        <v>0.1341</v>
      </c>
    </row>
    <row r="50" spans="3:36">
      <c r="C50" s="11" t="s">
        <v>156</v>
      </c>
      <c r="D50" s="10">
        <v>17</v>
      </c>
      <c r="E50" s="10">
        <v>848406</v>
      </c>
      <c r="F50" s="10" t="s">
        <v>0</v>
      </c>
      <c r="G50" s="10">
        <v>13.71</v>
      </c>
      <c r="H50" s="10">
        <v>20.13</v>
      </c>
      <c r="I50" s="10">
        <v>94.74</v>
      </c>
      <c r="J50" s="10">
        <v>684.5</v>
      </c>
      <c r="K50" s="10">
        <v>9.8669999999999994E-2</v>
      </c>
      <c r="L50" s="10">
        <v>7.1999999999999995E-2</v>
      </c>
      <c r="M50" s="10">
        <v>7.3950000000000002E-2</v>
      </c>
      <c r="N50" s="10">
        <v>5.2589999999999998E-2</v>
      </c>
      <c r="O50" s="10">
        <v>0.15859999999999999</v>
      </c>
      <c r="P50" s="10">
        <v>5.9220000000000002E-2</v>
      </c>
      <c r="Q50" s="10">
        <v>0.47270000000000001</v>
      </c>
      <c r="R50" s="10">
        <v>1.24</v>
      </c>
      <c r="S50" s="10">
        <v>3.1949999999999998</v>
      </c>
      <c r="T50" s="10">
        <v>45.4</v>
      </c>
      <c r="U50" s="10">
        <v>5.718E-3</v>
      </c>
      <c r="V50" s="10">
        <v>1.162E-2</v>
      </c>
      <c r="W50" s="10">
        <v>1.9980000000000001E-2</v>
      </c>
      <c r="X50" s="10">
        <v>1.1089999999999999E-2</v>
      </c>
      <c r="Y50" s="10">
        <v>1.41E-2</v>
      </c>
      <c r="Z50" s="10">
        <v>2.085E-3</v>
      </c>
      <c r="AA50" s="10">
        <v>19.07</v>
      </c>
      <c r="AB50" s="10">
        <v>30.88</v>
      </c>
      <c r="AC50" s="10">
        <v>123.4</v>
      </c>
      <c r="AD50" s="10">
        <v>1138</v>
      </c>
      <c r="AE50" s="10">
        <v>0.1464</v>
      </c>
      <c r="AF50" s="10">
        <v>0.18709999999999999</v>
      </c>
      <c r="AG50" s="10">
        <v>0.29139999999999999</v>
      </c>
      <c r="AH50" s="10">
        <v>0.16089999999999999</v>
      </c>
      <c r="AI50" s="10">
        <v>0.3029</v>
      </c>
      <c r="AJ50">
        <v>8.2159999999999997E-2</v>
      </c>
    </row>
    <row r="51" spans="3:36">
      <c r="C51" s="11" t="s">
        <v>157</v>
      </c>
      <c r="D51" s="10">
        <v>18</v>
      </c>
      <c r="E51" s="10">
        <v>84862001</v>
      </c>
      <c r="F51" s="10" t="s">
        <v>0</v>
      </c>
      <c r="G51" s="10">
        <v>13.71</v>
      </c>
      <c r="H51" s="10">
        <v>20.68</v>
      </c>
      <c r="I51" s="10">
        <v>108.1</v>
      </c>
      <c r="J51" s="10">
        <v>798.8</v>
      </c>
      <c r="K51" s="10">
        <v>0.11700000000000001</v>
      </c>
      <c r="L51" s="10">
        <v>0.20219999999999999</v>
      </c>
      <c r="M51" s="10">
        <v>0.17219999999999999</v>
      </c>
      <c r="N51" s="10">
        <v>0.1028</v>
      </c>
      <c r="O51" s="10">
        <v>0.21640000000000001</v>
      </c>
      <c r="P51" s="10">
        <v>7.356E-2</v>
      </c>
      <c r="Q51" s="10">
        <v>0.56920000000000004</v>
      </c>
      <c r="R51" s="10">
        <v>1.073</v>
      </c>
      <c r="S51" s="10">
        <v>3.8540000000000001</v>
      </c>
      <c r="T51" s="10">
        <v>54.18</v>
      </c>
      <c r="U51" s="10">
        <v>7.0260000000000001E-3</v>
      </c>
      <c r="V51" s="10">
        <v>2.5010000000000001E-2</v>
      </c>
      <c r="W51" s="10">
        <v>3.1879999999999999E-2</v>
      </c>
      <c r="X51" s="10">
        <v>1.2970000000000001E-2</v>
      </c>
      <c r="Y51" s="10">
        <v>1.6889999999999999E-2</v>
      </c>
      <c r="Z51" s="10">
        <v>4.1419999999999998E-3</v>
      </c>
      <c r="AA51" s="10">
        <v>20.96</v>
      </c>
      <c r="AB51" s="10">
        <v>31.48</v>
      </c>
      <c r="AC51" s="10">
        <v>136.80000000000001</v>
      </c>
      <c r="AD51" s="10">
        <v>1315</v>
      </c>
      <c r="AE51" s="10">
        <v>0.1789</v>
      </c>
      <c r="AF51" s="10">
        <v>0.42330000000000001</v>
      </c>
      <c r="AG51" s="10">
        <v>0.47839999999999999</v>
      </c>
      <c r="AH51" s="10">
        <v>0.20730000000000001</v>
      </c>
      <c r="AI51" s="10">
        <v>0.37059999999999998</v>
      </c>
      <c r="AJ51">
        <v>0.1142</v>
      </c>
    </row>
    <row r="52" spans="3:36">
      <c r="C52" s="11" t="s">
        <v>158</v>
      </c>
      <c r="D52" s="10">
        <v>19</v>
      </c>
      <c r="E52" s="10">
        <v>849014</v>
      </c>
      <c r="F52" s="10" t="s">
        <v>0</v>
      </c>
      <c r="G52" s="10">
        <v>13.71</v>
      </c>
      <c r="H52" s="10">
        <v>22.15</v>
      </c>
      <c r="I52" s="10">
        <v>130</v>
      </c>
      <c r="J52" s="10">
        <v>1260</v>
      </c>
      <c r="K52" s="10">
        <v>9.8309999999999995E-2</v>
      </c>
      <c r="L52" s="10">
        <v>0.1027</v>
      </c>
      <c r="M52" s="10">
        <v>0.1479</v>
      </c>
      <c r="N52" s="10">
        <v>9.4979999999999995E-2</v>
      </c>
      <c r="O52" s="10">
        <v>0.15820000000000001</v>
      </c>
      <c r="P52" s="10">
        <v>5.3949999999999998E-2</v>
      </c>
      <c r="Q52" s="10">
        <v>0.75819999999999999</v>
      </c>
      <c r="R52" s="10">
        <v>1.0169999999999999</v>
      </c>
      <c r="S52" s="10">
        <v>5.8650000000000002</v>
      </c>
      <c r="T52" s="10">
        <v>112.4</v>
      </c>
      <c r="U52" s="10">
        <v>6.4939999999999998E-3</v>
      </c>
      <c r="V52" s="10">
        <v>1.8929999999999999E-2</v>
      </c>
      <c r="W52" s="10">
        <v>3.3910000000000003E-2</v>
      </c>
      <c r="X52" s="10">
        <v>1.521E-2</v>
      </c>
      <c r="Y52" s="10">
        <v>1.3559999999999999E-2</v>
      </c>
      <c r="Z52" s="10">
        <v>1.9970000000000001E-3</v>
      </c>
      <c r="AA52" s="10">
        <v>27.32</v>
      </c>
      <c r="AB52" s="10">
        <v>30.88</v>
      </c>
      <c r="AC52" s="10">
        <v>186.8</v>
      </c>
      <c r="AD52" s="10">
        <v>2398</v>
      </c>
      <c r="AE52" s="10">
        <v>0.1512</v>
      </c>
      <c r="AF52" s="10">
        <v>0.315</v>
      </c>
      <c r="AG52" s="10">
        <v>0.53720000000000001</v>
      </c>
      <c r="AH52" s="10">
        <v>0.23880000000000001</v>
      </c>
      <c r="AI52" s="10">
        <v>0.27679999999999999</v>
      </c>
      <c r="AJ52">
        <v>7.6149999999999995E-2</v>
      </c>
    </row>
    <row r="53" spans="3:36">
      <c r="C53" s="11" t="s">
        <v>159</v>
      </c>
      <c r="D53" s="10">
        <v>20</v>
      </c>
      <c r="E53" s="10">
        <v>8510426</v>
      </c>
      <c r="F53" s="10" t="s">
        <v>1</v>
      </c>
      <c r="G53" s="10">
        <v>13.71</v>
      </c>
      <c r="H53" s="10">
        <v>14.36</v>
      </c>
      <c r="I53" s="10">
        <v>87.46</v>
      </c>
      <c r="J53" s="10">
        <v>566.29999999999995</v>
      </c>
      <c r="K53" s="10">
        <v>9.7790000000000002E-2</v>
      </c>
      <c r="L53" s="10">
        <v>8.1290000000000001E-2</v>
      </c>
      <c r="M53" s="10">
        <v>6.6640000000000005E-2</v>
      </c>
      <c r="N53" s="10">
        <v>4.7809999999999998E-2</v>
      </c>
      <c r="O53" s="10">
        <v>0.1885</v>
      </c>
      <c r="P53" s="10">
        <v>5.7660000000000003E-2</v>
      </c>
      <c r="Q53" s="10">
        <v>0.26989999999999997</v>
      </c>
      <c r="R53" s="10">
        <v>0.78859999999999997</v>
      </c>
      <c r="S53" s="10">
        <v>2.0579999999999998</v>
      </c>
      <c r="T53" s="10">
        <v>23.56</v>
      </c>
      <c r="U53" s="10">
        <v>8.4620000000000008E-3</v>
      </c>
      <c r="V53" s="10">
        <v>1.46E-2</v>
      </c>
      <c r="W53" s="10">
        <v>2.3869999999999999E-2</v>
      </c>
      <c r="X53" s="10">
        <v>1.315E-2</v>
      </c>
      <c r="Y53" s="10">
        <v>1.9800000000000002E-2</v>
      </c>
      <c r="Z53" s="10">
        <v>2.3E-3</v>
      </c>
      <c r="AA53" s="10">
        <v>15.11</v>
      </c>
      <c r="AB53" s="10">
        <v>19.260000000000002</v>
      </c>
      <c r="AC53" s="10">
        <v>99.7</v>
      </c>
      <c r="AD53" s="10">
        <v>711.2</v>
      </c>
      <c r="AE53" s="10">
        <v>0.14399999999999999</v>
      </c>
      <c r="AF53" s="10">
        <v>0.17730000000000001</v>
      </c>
      <c r="AG53" s="10">
        <v>0.23899999999999999</v>
      </c>
      <c r="AH53" s="10">
        <v>0.1288</v>
      </c>
      <c r="AI53" s="10">
        <v>0.29770000000000002</v>
      </c>
      <c r="AJ53">
        <v>7.2590000000000002E-2</v>
      </c>
    </row>
    <row r="54" spans="3:36">
      <c r="C54" s="11" t="s">
        <v>160</v>
      </c>
      <c r="D54" s="10">
        <v>21</v>
      </c>
      <c r="E54" s="10">
        <v>8510653</v>
      </c>
      <c r="F54" s="10" t="s">
        <v>1</v>
      </c>
      <c r="G54" s="10">
        <v>13.71</v>
      </c>
      <c r="H54" s="10">
        <v>15.71</v>
      </c>
      <c r="I54" s="10">
        <v>85.63</v>
      </c>
      <c r="J54" s="10">
        <v>520</v>
      </c>
      <c r="K54" s="10">
        <v>0.1075</v>
      </c>
      <c r="L54" s="10">
        <v>0.127</v>
      </c>
      <c r="M54" s="10">
        <v>4.5679999999999998E-2</v>
      </c>
      <c r="N54" s="10">
        <v>3.1099999999999999E-2</v>
      </c>
      <c r="O54" s="10">
        <v>0.19670000000000001</v>
      </c>
      <c r="P54" s="10">
        <v>6.8110000000000004E-2</v>
      </c>
      <c r="Q54" s="10">
        <v>0.1852</v>
      </c>
      <c r="R54" s="10">
        <v>0.74770000000000003</v>
      </c>
      <c r="S54" s="10">
        <v>1.383</v>
      </c>
      <c r="T54" s="10">
        <v>14.67</v>
      </c>
      <c r="U54" s="10">
        <v>4.0969999999999999E-3</v>
      </c>
      <c r="V54" s="10">
        <v>1.898E-2</v>
      </c>
      <c r="W54" s="10">
        <v>1.6979999999999999E-2</v>
      </c>
      <c r="X54" s="10">
        <v>6.4900000000000001E-3</v>
      </c>
      <c r="Y54" s="10">
        <v>1.678E-2</v>
      </c>
      <c r="Z54" s="10">
        <v>2.4250000000000001E-3</v>
      </c>
      <c r="AA54" s="10">
        <v>14.5</v>
      </c>
      <c r="AB54" s="10">
        <v>20.49</v>
      </c>
      <c r="AC54" s="10">
        <v>96.09</v>
      </c>
      <c r="AD54" s="10">
        <v>630.5</v>
      </c>
      <c r="AE54" s="10">
        <v>0.13120000000000001</v>
      </c>
      <c r="AF54" s="10">
        <v>0.27760000000000001</v>
      </c>
      <c r="AG54" s="10">
        <v>0.189</v>
      </c>
      <c r="AH54" s="10">
        <v>7.2830000000000006E-2</v>
      </c>
      <c r="AI54" s="10">
        <v>0.31840000000000002</v>
      </c>
      <c r="AJ54">
        <v>8.183E-2</v>
      </c>
    </row>
    <row r="55" spans="3:36">
      <c r="C55" s="11" t="s">
        <v>161</v>
      </c>
      <c r="D55" s="10">
        <v>22</v>
      </c>
      <c r="E55" s="10">
        <v>8510824</v>
      </c>
      <c r="F55" s="10" t="s">
        <v>1</v>
      </c>
      <c r="G55" s="10">
        <v>13.71</v>
      </c>
      <c r="H55" s="10">
        <v>12.44</v>
      </c>
      <c r="I55" s="10">
        <v>60.34</v>
      </c>
      <c r="J55" s="10">
        <v>273.89999999999998</v>
      </c>
      <c r="K55" s="10">
        <v>0.1024</v>
      </c>
      <c r="L55" s="10">
        <v>6.4920000000000005E-2</v>
      </c>
      <c r="M55" s="10">
        <v>2.9559999999999999E-2</v>
      </c>
      <c r="N55" s="10">
        <v>2.0760000000000001E-2</v>
      </c>
      <c r="O55" s="10">
        <v>0.18149999999999999</v>
      </c>
      <c r="P55" s="10">
        <v>6.905E-2</v>
      </c>
      <c r="Q55" s="10">
        <v>0.27729999999999999</v>
      </c>
      <c r="R55" s="10">
        <v>0.9768</v>
      </c>
      <c r="S55" s="10">
        <v>1.909</v>
      </c>
      <c r="T55" s="10">
        <v>15.7</v>
      </c>
      <c r="U55" s="10">
        <v>9.606E-3</v>
      </c>
      <c r="V55" s="10">
        <v>1.4319999999999999E-2</v>
      </c>
      <c r="W55" s="10">
        <v>1.985E-2</v>
      </c>
      <c r="X55" s="10">
        <v>1.421E-2</v>
      </c>
      <c r="Y55" s="10">
        <v>2.027E-2</v>
      </c>
      <c r="Z55" s="10">
        <v>2.9680000000000002E-3</v>
      </c>
      <c r="AA55" s="10">
        <v>10.23</v>
      </c>
      <c r="AB55" s="10">
        <v>15.66</v>
      </c>
      <c r="AC55" s="10">
        <v>65.13</v>
      </c>
      <c r="AD55" s="10">
        <v>314.89999999999998</v>
      </c>
      <c r="AE55" s="10">
        <v>0.13239999999999999</v>
      </c>
      <c r="AF55" s="10">
        <v>0.1148</v>
      </c>
      <c r="AG55" s="10">
        <v>8.8669999999999999E-2</v>
      </c>
      <c r="AH55" s="10">
        <v>6.2269999999999999E-2</v>
      </c>
      <c r="AI55" s="10">
        <v>0.245</v>
      </c>
      <c r="AJ55">
        <v>7.7729999999999994E-2</v>
      </c>
    </row>
    <row r="56" spans="3:36">
      <c r="C56" s="11" t="s">
        <v>162</v>
      </c>
      <c r="D56" s="10">
        <v>23</v>
      </c>
      <c r="E56" s="10">
        <v>8511133</v>
      </c>
      <c r="F56" s="10" t="s">
        <v>0</v>
      </c>
      <c r="G56" s="10">
        <v>13.71</v>
      </c>
      <c r="H56" s="10">
        <v>14.26</v>
      </c>
      <c r="I56" s="10">
        <v>102.5</v>
      </c>
      <c r="J56" s="10">
        <v>704.4</v>
      </c>
      <c r="K56" s="10">
        <v>0.10730000000000001</v>
      </c>
      <c r="L56" s="10">
        <v>0.2135</v>
      </c>
      <c r="M56" s="10">
        <v>0.2077</v>
      </c>
      <c r="N56" s="10">
        <v>9.7559999999999994E-2</v>
      </c>
      <c r="O56" s="10">
        <v>0.25209999999999999</v>
      </c>
      <c r="P56" s="10">
        <v>7.0319999999999994E-2</v>
      </c>
      <c r="Q56" s="10">
        <v>0.43880000000000002</v>
      </c>
      <c r="R56" s="10">
        <v>0.70960000000000001</v>
      </c>
      <c r="S56" s="10">
        <v>3.3839999999999999</v>
      </c>
      <c r="T56" s="10">
        <v>44.91</v>
      </c>
      <c r="U56" s="10">
        <v>6.7889999999999999E-3</v>
      </c>
      <c r="V56" s="10">
        <v>5.3280000000000001E-2</v>
      </c>
      <c r="W56" s="10">
        <v>6.4460000000000003E-2</v>
      </c>
      <c r="X56" s="10">
        <v>2.2519999999999998E-2</v>
      </c>
      <c r="Y56" s="10">
        <v>3.6720000000000003E-2</v>
      </c>
      <c r="Z56" s="10">
        <v>4.3940000000000003E-3</v>
      </c>
      <c r="AA56" s="10">
        <v>18.07</v>
      </c>
      <c r="AB56" s="10">
        <v>19.079999999999998</v>
      </c>
      <c r="AC56" s="10">
        <v>125.1</v>
      </c>
      <c r="AD56" s="10">
        <v>980.9</v>
      </c>
      <c r="AE56" s="10">
        <v>0.13900000000000001</v>
      </c>
      <c r="AF56" s="10">
        <v>0.59540000000000004</v>
      </c>
      <c r="AG56" s="10">
        <v>0.63049999999999995</v>
      </c>
      <c r="AH56" s="10">
        <v>0.23930000000000001</v>
      </c>
      <c r="AI56" s="10">
        <v>0.4667</v>
      </c>
      <c r="AJ56">
        <v>9.9460000000000007E-2</v>
      </c>
    </row>
    <row r="57" spans="3:36">
      <c r="C57" s="11" t="s">
        <v>163</v>
      </c>
      <c r="D57" s="10">
        <v>24</v>
      </c>
      <c r="E57" s="10">
        <v>851509</v>
      </c>
      <c r="F57" s="10" t="s">
        <v>0</v>
      </c>
      <c r="G57" s="10">
        <v>13.71</v>
      </c>
      <c r="H57" s="10">
        <v>23.04</v>
      </c>
      <c r="I57" s="10">
        <v>137.19999999999999</v>
      </c>
      <c r="J57" s="10">
        <v>1404</v>
      </c>
      <c r="K57" s="10">
        <v>9.4280000000000003E-2</v>
      </c>
      <c r="L57" s="10">
        <v>0.1022</v>
      </c>
      <c r="M57" s="10">
        <v>0.10970000000000001</v>
      </c>
      <c r="N57" s="10">
        <v>8.6319999999999994E-2</v>
      </c>
      <c r="O57" s="10">
        <v>0.1769</v>
      </c>
      <c r="P57" s="10">
        <v>5.2780000000000001E-2</v>
      </c>
      <c r="Q57" s="10">
        <v>0.69169999999999998</v>
      </c>
      <c r="R57" s="10">
        <v>1.127</v>
      </c>
      <c r="S57" s="10">
        <v>4.3029999999999999</v>
      </c>
      <c r="T57" s="10">
        <v>93.99</v>
      </c>
      <c r="U57" s="10">
        <v>4.7280000000000004E-3</v>
      </c>
      <c r="V57" s="10">
        <v>1.259E-2</v>
      </c>
      <c r="W57" s="10">
        <v>1.7149999999999999E-2</v>
      </c>
      <c r="X57" s="10">
        <v>1.038E-2</v>
      </c>
      <c r="Y57" s="10">
        <v>1.0829999999999999E-2</v>
      </c>
      <c r="Z57" s="10">
        <v>1.9870000000000001E-3</v>
      </c>
      <c r="AA57" s="10">
        <v>29.17</v>
      </c>
      <c r="AB57" s="10">
        <v>35.590000000000003</v>
      </c>
      <c r="AC57" s="10">
        <v>188</v>
      </c>
      <c r="AD57" s="10">
        <v>2615</v>
      </c>
      <c r="AE57" s="10">
        <v>0.1401</v>
      </c>
      <c r="AF57" s="10">
        <v>0.26</v>
      </c>
      <c r="AG57" s="10">
        <v>0.3155</v>
      </c>
      <c r="AH57" s="10">
        <v>0.2009</v>
      </c>
      <c r="AI57" s="10">
        <v>0.28220000000000001</v>
      </c>
      <c r="AJ57">
        <v>7.5259999999999994E-2</v>
      </c>
    </row>
    <row r="58" spans="3:36">
      <c r="C58" s="11" t="s">
        <v>164</v>
      </c>
      <c r="D58" s="10">
        <v>25</v>
      </c>
      <c r="E58" s="10">
        <v>852552</v>
      </c>
      <c r="F58" s="10" t="s">
        <v>0</v>
      </c>
      <c r="G58" s="10">
        <v>13.71</v>
      </c>
      <c r="H58" s="10">
        <v>21.38</v>
      </c>
      <c r="I58" s="10">
        <v>110</v>
      </c>
      <c r="J58" s="10">
        <v>904.6</v>
      </c>
      <c r="K58" s="10">
        <v>0.11210000000000001</v>
      </c>
      <c r="L58" s="10">
        <v>0.1457</v>
      </c>
      <c r="M58" s="10">
        <v>0.1525</v>
      </c>
      <c r="N58" s="10">
        <v>9.1700000000000004E-2</v>
      </c>
      <c r="O58" s="10">
        <v>0.19950000000000001</v>
      </c>
      <c r="P58" s="10">
        <v>6.3299999999999995E-2</v>
      </c>
      <c r="Q58" s="10">
        <v>0.80679999999999996</v>
      </c>
      <c r="R58" s="10">
        <v>0.90169999999999995</v>
      </c>
      <c r="S58" s="10">
        <v>5.4550000000000001</v>
      </c>
      <c r="T58" s="10">
        <v>102.6</v>
      </c>
      <c r="U58" s="10">
        <v>6.0480000000000004E-3</v>
      </c>
      <c r="V58" s="10">
        <v>1.882E-2</v>
      </c>
      <c r="W58" s="10">
        <v>2.741E-2</v>
      </c>
      <c r="X58" s="10">
        <v>1.1299999999999999E-2</v>
      </c>
      <c r="Y58" s="10">
        <v>1.468E-2</v>
      </c>
      <c r="Z58" s="10">
        <v>2.8010000000000001E-3</v>
      </c>
      <c r="AA58" s="10">
        <v>26.46</v>
      </c>
      <c r="AB58" s="10">
        <v>31.56</v>
      </c>
      <c r="AC58" s="10">
        <v>177</v>
      </c>
      <c r="AD58" s="10">
        <v>2215</v>
      </c>
      <c r="AE58" s="10">
        <v>0.18049999999999999</v>
      </c>
      <c r="AF58" s="10">
        <v>0.35780000000000001</v>
      </c>
      <c r="AG58" s="10">
        <v>0.46949999999999997</v>
      </c>
      <c r="AH58" s="10">
        <v>0.20949999999999999</v>
      </c>
      <c r="AI58" s="10">
        <v>0.36130000000000001</v>
      </c>
      <c r="AJ58">
        <v>9.5640000000000003E-2</v>
      </c>
    </row>
    <row r="59" spans="3:36">
      <c r="C59" s="11" t="s">
        <v>165</v>
      </c>
      <c r="D59" s="10">
        <v>26</v>
      </c>
      <c r="E59" s="10">
        <v>852631</v>
      </c>
      <c r="F59" s="10" t="s">
        <v>0</v>
      </c>
      <c r="G59" s="10">
        <v>13.71</v>
      </c>
      <c r="H59" s="10">
        <v>16.399999999999999</v>
      </c>
      <c r="I59" s="10">
        <v>116</v>
      </c>
      <c r="J59" s="10">
        <v>912.7</v>
      </c>
      <c r="K59" s="10">
        <v>0.1186</v>
      </c>
      <c r="L59" s="10">
        <v>0.2276</v>
      </c>
      <c r="M59" s="10">
        <v>0.22289999999999999</v>
      </c>
      <c r="N59" s="10">
        <v>0.1401</v>
      </c>
      <c r="O59" s="10">
        <v>0.30399999999999999</v>
      </c>
      <c r="P59" s="10">
        <v>7.4130000000000001E-2</v>
      </c>
      <c r="Q59" s="10">
        <v>1.046</v>
      </c>
      <c r="R59" s="10">
        <v>0.97599999999999998</v>
      </c>
      <c r="S59" s="10">
        <v>7.2759999999999998</v>
      </c>
      <c r="T59" s="10">
        <v>111.4</v>
      </c>
      <c r="U59" s="10">
        <v>8.0289999999999997E-3</v>
      </c>
      <c r="V59" s="10">
        <v>3.7990000000000003E-2</v>
      </c>
      <c r="W59" s="10">
        <v>3.7319999999999999E-2</v>
      </c>
      <c r="X59" s="10">
        <v>2.3970000000000002E-2</v>
      </c>
      <c r="Y59" s="10">
        <v>2.308E-2</v>
      </c>
      <c r="Z59" s="10">
        <v>7.4440000000000001E-3</v>
      </c>
      <c r="AA59" s="10">
        <v>22.25</v>
      </c>
      <c r="AB59" s="10">
        <v>21.4</v>
      </c>
      <c r="AC59" s="10">
        <v>152.4</v>
      </c>
      <c r="AD59" s="10">
        <v>1461</v>
      </c>
      <c r="AE59" s="10">
        <v>0.1545</v>
      </c>
      <c r="AF59" s="10">
        <v>0.39489999999999997</v>
      </c>
      <c r="AG59" s="10">
        <v>0.38529999999999998</v>
      </c>
      <c r="AH59" s="10">
        <v>0.255</v>
      </c>
      <c r="AI59" s="10">
        <v>0.40660000000000002</v>
      </c>
      <c r="AJ59">
        <v>0.10589999999999999</v>
      </c>
    </row>
    <row r="60" spans="3:36">
      <c r="C60" s="11" t="s">
        <v>166</v>
      </c>
      <c r="D60" s="10">
        <v>27</v>
      </c>
      <c r="E60" s="10">
        <v>852763</v>
      </c>
      <c r="F60" s="10" t="s">
        <v>0</v>
      </c>
      <c r="G60" s="10">
        <v>13.71</v>
      </c>
      <c r="H60" s="10">
        <v>21.53</v>
      </c>
      <c r="I60" s="10">
        <v>97.41</v>
      </c>
      <c r="J60" s="10">
        <v>644.79999999999995</v>
      </c>
      <c r="K60" s="10">
        <v>0.10539999999999999</v>
      </c>
      <c r="L60" s="10">
        <v>0.18679999999999999</v>
      </c>
      <c r="M60" s="10">
        <v>0.14249999999999999</v>
      </c>
      <c r="N60" s="10">
        <v>8.7830000000000005E-2</v>
      </c>
      <c r="O60" s="10">
        <v>0.22520000000000001</v>
      </c>
      <c r="P60" s="10">
        <v>6.9239999999999996E-2</v>
      </c>
      <c r="Q60" s="10">
        <v>0.2545</v>
      </c>
      <c r="R60" s="10">
        <v>0.98319999999999996</v>
      </c>
      <c r="S60" s="10">
        <v>2.11</v>
      </c>
      <c r="T60" s="10">
        <v>21.05</v>
      </c>
      <c r="U60" s="10">
        <v>4.4520000000000002E-3</v>
      </c>
      <c r="V60" s="10">
        <v>3.0550000000000001E-2</v>
      </c>
      <c r="W60" s="10">
        <v>2.681E-2</v>
      </c>
      <c r="X60" s="10">
        <v>1.3520000000000001E-2</v>
      </c>
      <c r="Y60" s="10">
        <v>1.4540000000000001E-2</v>
      </c>
      <c r="Z60" s="10">
        <v>3.7109999999999999E-3</v>
      </c>
      <c r="AA60" s="10">
        <v>17.62</v>
      </c>
      <c r="AB60" s="10">
        <v>33.21</v>
      </c>
      <c r="AC60" s="10">
        <v>122.4</v>
      </c>
      <c r="AD60" s="10">
        <v>896.9</v>
      </c>
      <c r="AE60" s="10">
        <v>0.1525</v>
      </c>
      <c r="AF60" s="10">
        <v>0.6643</v>
      </c>
      <c r="AG60" s="10">
        <v>0.55389999999999995</v>
      </c>
      <c r="AH60" s="10">
        <v>0.27010000000000001</v>
      </c>
      <c r="AI60" s="10">
        <v>0.4264</v>
      </c>
      <c r="AJ60">
        <v>0.1275</v>
      </c>
    </row>
    <row r="61" spans="3:36">
      <c r="C61" s="11" t="s">
        <v>167</v>
      </c>
      <c r="D61" s="10">
        <v>28</v>
      </c>
      <c r="E61" s="10">
        <v>852781</v>
      </c>
      <c r="F61" s="10" t="s">
        <v>0</v>
      </c>
      <c r="G61" s="10">
        <v>13.71</v>
      </c>
      <c r="H61" s="10">
        <v>20.25</v>
      </c>
      <c r="I61" s="10">
        <v>122.1</v>
      </c>
      <c r="J61" s="10">
        <v>1094</v>
      </c>
      <c r="K61" s="10">
        <v>9.4399999999999998E-2</v>
      </c>
      <c r="L61" s="10">
        <v>0.1066</v>
      </c>
      <c r="M61" s="10">
        <v>0.14899999999999999</v>
      </c>
      <c r="N61" s="10">
        <v>7.7310000000000004E-2</v>
      </c>
      <c r="O61" s="10">
        <v>0.16969999999999999</v>
      </c>
      <c r="P61" s="10">
        <v>5.6989999999999999E-2</v>
      </c>
      <c r="Q61" s="10">
        <v>0.85289999999999999</v>
      </c>
      <c r="R61" s="10">
        <v>1.849</v>
      </c>
      <c r="S61" s="10">
        <v>5.6319999999999997</v>
      </c>
      <c r="T61" s="10">
        <v>93.54</v>
      </c>
      <c r="U61" s="10">
        <v>1.0749999999999999E-2</v>
      </c>
      <c r="V61" s="10">
        <v>2.7220000000000001E-2</v>
      </c>
      <c r="W61" s="10">
        <v>5.0810000000000001E-2</v>
      </c>
      <c r="X61" s="10">
        <v>1.9109999999999999E-2</v>
      </c>
      <c r="Y61" s="10">
        <v>2.2929999999999999E-2</v>
      </c>
      <c r="Z61" s="10">
        <v>4.2170000000000003E-3</v>
      </c>
      <c r="AA61" s="10">
        <v>21.31</v>
      </c>
      <c r="AB61" s="10">
        <v>27.26</v>
      </c>
      <c r="AC61" s="10">
        <v>139.9</v>
      </c>
      <c r="AD61" s="10">
        <v>1403</v>
      </c>
      <c r="AE61" s="10">
        <v>0.1338</v>
      </c>
      <c r="AF61" s="10">
        <v>0.2117</v>
      </c>
      <c r="AG61" s="10">
        <v>0.34460000000000002</v>
      </c>
      <c r="AH61" s="10">
        <v>0.14899999999999999</v>
      </c>
      <c r="AI61" s="10">
        <v>0.2341</v>
      </c>
      <c r="AJ61">
        <v>7.4209999999999998E-2</v>
      </c>
    </row>
    <row r="62" spans="3:36">
      <c r="C62" s="11" t="s">
        <v>168</v>
      </c>
      <c r="D62" s="10">
        <v>29</v>
      </c>
      <c r="E62" s="10">
        <v>852973</v>
      </c>
      <c r="F62" s="10" t="s">
        <v>0</v>
      </c>
      <c r="G62" s="10">
        <v>13.71</v>
      </c>
      <c r="H62" s="10">
        <v>25.27</v>
      </c>
      <c r="I62" s="10">
        <v>102.4</v>
      </c>
      <c r="J62" s="10">
        <v>732.4</v>
      </c>
      <c r="K62" s="10">
        <v>0.1082</v>
      </c>
      <c r="L62" s="10">
        <v>0.16969999999999999</v>
      </c>
      <c r="M62" s="10">
        <v>0.16830000000000001</v>
      </c>
      <c r="N62" s="10">
        <v>8.7510000000000004E-2</v>
      </c>
      <c r="O62" s="10">
        <v>0.19259999999999999</v>
      </c>
      <c r="P62" s="10">
        <v>6.54E-2</v>
      </c>
      <c r="Q62" s="10">
        <v>0.439</v>
      </c>
      <c r="R62" s="10">
        <v>1.012</v>
      </c>
      <c r="S62" s="10">
        <v>3.4980000000000002</v>
      </c>
      <c r="T62" s="10">
        <v>43.5</v>
      </c>
      <c r="U62" s="10">
        <v>5.2329999999999998E-3</v>
      </c>
      <c r="V62" s="10">
        <v>3.057E-2</v>
      </c>
      <c r="W62" s="10">
        <v>3.576E-2</v>
      </c>
      <c r="X62" s="10">
        <v>1.0829999999999999E-2</v>
      </c>
      <c r="Y62" s="10">
        <v>1.7680000000000001E-2</v>
      </c>
      <c r="Z62" s="10">
        <v>2.967E-3</v>
      </c>
      <c r="AA62" s="10">
        <v>20.27</v>
      </c>
      <c r="AB62" s="10">
        <v>36.71</v>
      </c>
      <c r="AC62" s="10">
        <v>149.30000000000001</v>
      </c>
      <c r="AD62" s="10">
        <v>1269</v>
      </c>
      <c r="AE62" s="10">
        <v>0.1641</v>
      </c>
      <c r="AF62" s="10">
        <v>0.61099999999999999</v>
      </c>
      <c r="AG62" s="10">
        <v>0.63349999999999995</v>
      </c>
      <c r="AH62" s="10">
        <v>0.2024</v>
      </c>
      <c r="AI62" s="10">
        <v>0.4027</v>
      </c>
      <c r="AJ62">
        <v>9.8760000000000001E-2</v>
      </c>
    </row>
    <row r="63" spans="3:36">
      <c r="C63" s="11" t="s">
        <v>169</v>
      </c>
      <c r="D63" s="10">
        <v>30</v>
      </c>
      <c r="E63" s="10">
        <v>853201</v>
      </c>
      <c r="F63" s="10" t="s">
        <v>0</v>
      </c>
      <c r="G63" s="10">
        <v>13.71</v>
      </c>
      <c r="H63" s="10">
        <v>15.05</v>
      </c>
      <c r="I63" s="10">
        <v>115</v>
      </c>
      <c r="J63" s="10">
        <v>955.1</v>
      </c>
      <c r="K63" s="10">
        <v>9.8470000000000002E-2</v>
      </c>
      <c r="L63" s="10">
        <v>0.1157</v>
      </c>
      <c r="M63" s="10">
        <v>9.8750000000000004E-2</v>
      </c>
      <c r="N63" s="10">
        <v>7.9530000000000003E-2</v>
      </c>
      <c r="O63" s="10">
        <v>0.1739</v>
      </c>
      <c r="P63" s="10">
        <v>6.1490000000000003E-2</v>
      </c>
      <c r="Q63" s="10">
        <v>0.60029999999999994</v>
      </c>
      <c r="R63" s="10">
        <v>0.82250000000000001</v>
      </c>
      <c r="S63" s="10">
        <v>4.6550000000000002</v>
      </c>
      <c r="T63" s="10">
        <v>61.1</v>
      </c>
      <c r="U63" s="10">
        <v>5.6270000000000001E-3</v>
      </c>
      <c r="V63" s="10">
        <v>3.0329999999999999E-2</v>
      </c>
      <c r="W63" s="10">
        <v>3.4070000000000003E-2</v>
      </c>
      <c r="X63" s="10">
        <v>1.354E-2</v>
      </c>
      <c r="Y63" s="10">
        <v>1.925E-2</v>
      </c>
      <c r="Z63" s="10">
        <v>3.7420000000000001E-3</v>
      </c>
      <c r="AA63" s="10">
        <v>20.010000000000002</v>
      </c>
      <c r="AB63" s="10">
        <v>19.52</v>
      </c>
      <c r="AC63" s="10">
        <v>134.9</v>
      </c>
      <c r="AD63" s="10">
        <v>1227</v>
      </c>
      <c r="AE63" s="10">
        <v>0.1255</v>
      </c>
      <c r="AF63" s="10">
        <v>0.28120000000000001</v>
      </c>
      <c r="AG63" s="10">
        <v>0.24890000000000001</v>
      </c>
      <c r="AH63" s="10">
        <v>0.14560000000000001</v>
      </c>
      <c r="AI63" s="10">
        <v>0.27560000000000001</v>
      </c>
      <c r="AJ63">
        <v>7.9189999999999997E-2</v>
      </c>
    </row>
    <row r="64" spans="3:36">
      <c r="C64" s="11" t="s">
        <v>170</v>
      </c>
      <c r="D64" s="10">
        <v>31</v>
      </c>
      <c r="E64" s="10">
        <v>853401</v>
      </c>
      <c r="F64" s="10" t="s">
        <v>0</v>
      </c>
      <c r="G64" s="10">
        <v>13.71</v>
      </c>
      <c r="H64" s="10">
        <v>25.11</v>
      </c>
      <c r="I64" s="10">
        <v>124.8</v>
      </c>
      <c r="J64" s="10">
        <v>1088</v>
      </c>
      <c r="K64" s="10">
        <v>0.10639999999999999</v>
      </c>
      <c r="L64" s="10">
        <v>0.18870000000000001</v>
      </c>
      <c r="M64" s="10">
        <v>0.2319</v>
      </c>
      <c r="N64" s="10">
        <v>0.1244</v>
      </c>
      <c r="O64" s="10">
        <v>0.21829999999999999</v>
      </c>
      <c r="P64" s="10">
        <v>6.1969999999999997E-2</v>
      </c>
      <c r="Q64" s="10">
        <v>0.83069999999999999</v>
      </c>
      <c r="R64" s="10">
        <v>1.466</v>
      </c>
      <c r="S64" s="10">
        <v>5.5739999999999998</v>
      </c>
      <c r="T64" s="10">
        <v>105</v>
      </c>
      <c r="U64" s="10">
        <v>6.2480000000000001E-3</v>
      </c>
      <c r="V64" s="10">
        <v>3.3739999999999999E-2</v>
      </c>
      <c r="W64" s="10">
        <v>5.1959999999999999E-2</v>
      </c>
      <c r="X64" s="10">
        <v>1.158E-2</v>
      </c>
      <c r="Y64" s="10">
        <v>2.0070000000000001E-2</v>
      </c>
      <c r="Z64" s="10">
        <v>4.5599999999999998E-3</v>
      </c>
      <c r="AA64" s="10">
        <v>23.15</v>
      </c>
      <c r="AB64" s="10">
        <v>34.01</v>
      </c>
      <c r="AC64" s="10">
        <v>160.5</v>
      </c>
      <c r="AD64" s="10">
        <v>1670</v>
      </c>
      <c r="AE64" s="10">
        <v>0.14910000000000001</v>
      </c>
      <c r="AF64" s="10">
        <v>0.42570000000000002</v>
      </c>
      <c r="AG64" s="10">
        <v>0.61329999999999996</v>
      </c>
      <c r="AH64" s="10">
        <v>0.18479999999999999</v>
      </c>
      <c r="AI64" s="10">
        <v>0.34439999999999998</v>
      </c>
      <c r="AJ64">
        <v>9.7820000000000004E-2</v>
      </c>
    </row>
    <row r="65" spans="3:36">
      <c r="C65" s="11" t="s">
        <v>171</v>
      </c>
      <c r="D65" s="10">
        <v>32</v>
      </c>
      <c r="E65" s="10">
        <v>853612</v>
      </c>
      <c r="F65" s="10" t="s">
        <v>0</v>
      </c>
      <c r="G65" s="10">
        <v>13.71</v>
      </c>
      <c r="H65" s="10">
        <v>18.7</v>
      </c>
      <c r="I65" s="10">
        <v>77.930000000000007</v>
      </c>
      <c r="J65" s="10">
        <v>440.6</v>
      </c>
      <c r="K65" s="10">
        <v>0.1109</v>
      </c>
      <c r="L65" s="10">
        <v>0.15160000000000001</v>
      </c>
      <c r="M65" s="10">
        <v>0.12180000000000001</v>
      </c>
      <c r="N65" s="10">
        <v>5.1819999999999998E-2</v>
      </c>
      <c r="O65" s="10">
        <v>0.2301</v>
      </c>
      <c r="P65" s="10">
        <v>7.7990000000000004E-2</v>
      </c>
      <c r="Q65" s="10">
        <v>0.48249999999999998</v>
      </c>
      <c r="R65" s="10">
        <v>1.03</v>
      </c>
      <c r="S65" s="10">
        <v>3.4750000000000001</v>
      </c>
      <c r="T65" s="10">
        <v>41</v>
      </c>
      <c r="U65" s="10">
        <v>5.5510000000000004E-3</v>
      </c>
      <c r="V65" s="10">
        <v>3.4139999999999997E-2</v>
      </c>
      <c r="W65" s="10">
        <v>4.2049999999999997E-2</v>
      </c>
      <c r="X65" s="10">
        <v>1.044E-2</v>
      </c>
      <c r="Y65" s="10">
        <v>2.273E-2</v>
      </c>
      <c r="Z65" s="10">
        <v>5.6670000000000002E-3</v>
      </c>
      <c r="AA65" s="10">
        <v>16.82</v>
      </c>
      <c r="AB65" s="10">
        <v>28.12</v>
      </c>
      <c r="AC65" s="10">
        <v>119.4</v>
      </c>
      <c r="AD65" s="10">
        <v>888.7</v>
      </c>
      <c r="AE65" s="10">
        <v>0.16370000000000001</v>
      </c>
      <c r="AF65" s="10">
        <v>0.57750000000000001</v>
      </c>
      <c r="AG65" s="10">
        <v>0.6956</v>
      </c>
      <c r="AH65" s="10">
        <v>0.15459999999999999</v>
      </c>
      <c r="AI65" s="10">
        <v>0.47610000000000002</v>
      </c>
      <c r="AJ65">
        <v>0.14019999999999999</v>
      </c>
    </row>
    <row r="66" spans="3:36">
      <c r="C66" s="11" t="s">
        <v>172</v>
      </c>
      <c r="D66" s="10">
        <v>33</v>
      </c>
      <c r="E66" s="10">
        <v>85382601</v>
      </c>
      <c r="F66" s="10" t="s">
        <v>0</v>
      </c>
      <c r="G66" s="10">
        <v>13.71</v>
      </c>
      <c r="H66" s="10">
        <v>23.98</v>
      </c>
      <c r="I66" s="10">
        <v>112.8</v>
      </c>
      <c r="J66" s="10">
        <v>899.3</v>
      </c>
      <c r="K66" s="10">
        <v>0.1197</v>
      </c>
      <c r="L66" s="10">
        <v>0.14960000000000001</v>
      </c>
      <c r="M66" s="10">
        <v>0.2417</v>
      </c>
      <c r="N66" s="10">
        <v>0.1203</v>
      </c>
      <c r="O66" s="10">
        <v>0.2248</v>
      </c>
      <c r="P66" s="10">
        <v>6.3820000000000002E-2</v>
      </c>
      <c r="Q66" s="10">
        <v>0.60089999999999999</v>
      </c>
      <c r="R66" s="10">
        <v>1.3979999999999999</v>
      </c>
      <c r="S66" s="10">
        <v>3.9990000000000001</v>
      </c>
      <c r="T66" s="10">
        <v>67.78</v>
      </c>
      <c r="U66" s="10">
        <v>8.2679999999999993E-3</v>
      </c>
      <c r="V66" s="10">
        <v>3.082E-2</v>
      </c>
      <c r="W66" s="10">
        <v>5.042E-2</v>
      </c>
      <c r="X66" s="10">
        <v>1.112E-2</v>
      </c>
      <c r="Y66" s="10">
        <v>2.102E-2</v>
      </c>
      <c r="Z66" s="10">
        <v>3.8539999999999998E-3</v>
      </c>
      <c r="AA66" s="10">
        <v>20.88</v>
      </c>
      <c r="AB66" s="10">
        <v>32.090000000000003</v>
      </c>
      <c r="AC66" s="10">
        <v>136.1</v>
      </c>
      <c r="AD66" s="10">
        <v>1344</v>
      </c>
      <c r="AE66" s="10">
        <v>0.16339999999999999</v>
      </c>
      <c r="AF66" s="10">
        <v>0.35589999999999999</v>
      </c>
      <c r="AG66" s="10">
        <v>0.55879999999999996</v>
      </c>
      <c r="AH66" s="10">
        <v>0.1847</v>
      </c>
      <c r="AI66" s="10">
        <v>0.35299999999999998</v>
      </c>
      <c r="AJ66">
        <v>8.4820000000000007E-2</v>
      </c>
    </row>
    <row r="67" spans="3:36">
      <c r="C67" s="11" t="s">
        <v>173</v>
      </c>
      <c r="D67" s="10">
        <v>34</v>
      </c>
      <c r="E67" s="10">
        <v>854002</v>
      </c>
      <c r="F67" s="10" t="s">
        <v>0</v>
      </c>
      <c r="G67" s="10">
        <v>13.71</v>
      </c>
      <c r="H67" s="10">
        <v>26.47</v>
      </c>
      <c r="I67" s="10">
        <v>127.9</v>
      </c>
      <c r="J67" s="10">
        <v>1162</v>
      </c>
      <c r="K67" s="10">
        <v>9.4009999999999996E-2</v>
      </c>
      <c r="L67" s="10">
        <v>0.1719</v>
      </c>
      <c r="M67" s="10">
        <v>0.16569999999999999</v>
      </c>
      <c r="N67" s="10">
        <v>7.5929999999999997E-2</v>
      </c>
      <c r="O67" s="10">
        <v>0.18529999999999999</v>
      </c>
      <c r="P67" s="10">
        <v>6.2609999999999999E-2</v>
      </c>
      <c r="Q67" s="10">
        <v>0.55579999999999996</v>
      </c>
      <c r="R67" s="10">
        <v>0.60619999999999996</v>
      </c>
      <c r="S67" s="10">
        <v>3.528</v>
      </c>
      <c r="T67" s="10">
        <v>68.17</v>
      </c>
      <c r="U67" s="10">
        <v>5.0150000000000004E-3</v>
      </c>
      <c r="V67" s="10">
        <v>3.3180000000000001E-2</v>
      </c>
      <c r="W67" s="10">
        <v>3.4970000000000001E-2</v>
      </c>
      <c r="X67" s="10">
        <v>9.6430000000000005E-3</v>
      </c>
      <c r="Y67" s="10">
        <v>1.5429999999999999E-2</v>
      </c>
      <c r="Z67" s="10">
        <v>3.8960000000000002E-3</v>
      </c>
      <c r="AA67" s="10">
        <v>24.15</v>
      </c>
      <c r="AB67" s="10">
        <v>30.9</v>
      </c>
      <c r="AC67" s="10">
        <v>161.4</v>
      </c>
      <c r="AD67" s="10">
        <v>1813</v>
      </c>
      <c r="AE67" s="10">
        <v>0.15090000000000001</v>
      </c>
      <c r="AF67" s="10">
        <v>0.65900000000000003</v>
      </c>
      <c r="AG67" s="10">
        <v>0.60909999999999997</v>
      </c>
      <c r="AH67" s="10">
        <v>0.17849999999999999</v>
      </c>
      <c r="AI67" s="10">
        <v>0.36720000000000003</v>
      </c>
      <c r="AJ67">
        <v>0.1123</v>
      </c>
    </row>
    <row r="68" spans="3:36">
      <c r="C68" s="11" t="s">
        <v>174</v>
      </c>
      <c r="D68" s="10">
        <v>35</v>
      </c>
      <c r="E68" s="10">
        <v>854039</v>
      </c>
      <c r="F68" s="10" t="s">
        <v>0</v>
      </c>
      <c r="G68" s="10">
        <v>13.71</v>
      </c>
      <c r="H68" s="10">
        <v>17.88</v>
      </c>
      <c r="I68" s="10">
        <v>107</v>
      </c>
      <c r="J68" s="10">
        <v>807.2</v>
      </c>
      <c r="K68" s="10">
        <v>0.104</v>
      </c>
      <c r="L68" s="10">
        <v>0.15590000000000001</v>
      </c>
      <c r="M68" s="10">
        <v>0.13539999999999999</v>
      </c>
      <c r="N68" s="10">
        <v>7.7520000000000006E-2</v>
      </c>
      <c r="O68" s="10">
        <v>0.19980000000000001</v>
      </c>
      <c r="P68" s="10">
        <v>6.515E-2</v>
      </c>
      <c r="Q68" s="10">
        <v>0.33400000000000002</v>
      </c>
      <c r="R68" s="10">
        <v>0.68569999999999998</v>
      </c>
      <c r="S68" s="10">
        <v>2.1829999999999998</v>
      </c>
      <c r="T68" s="10">
        <v>35.03</v>
      </c>
      <c r="U68" s="10">
        <v>4.1850000000000004E-3</v>
      </c>
      <c r="V68" s="10">
        <v>2.8680000000000001E-2</v>
      </c>
      <c r="W68" s="10">
        <v>2.664E-2</v>
      </c>
      <c r="X68" s="10">
        <v>9.0670000000000004E-3</v>
      </c>
      <c r="Y68" s="10">
        <v>1.703E-2</v>
      </c>
      <c r="Z68" s="10">
        <v>3.8170000000000001E-3</v>
      </c>
      <c r="AA68" s="10">
        <v>20.21</v>
      </c>
      <c r="AB68" s="10">
        <v>27.26</v>
      </c>
      <c r="AC68" s="10">
        <v>132.69999999999999</v>
      </c>
      <c r="AD68" s="10">
        <v>1261</v>
      </c>
      <c r="AE68" s="10">
        <v>0.14460000000000001</v>
      </c>
      <c r="AF68" s="10">
        <v>0.58040000000000003</v>
      </c>
      <c r="AG68" s="10">
        <v>0.52739999999999998</v>
      </c>
      <c r="AH68" s="10">
        <v>0.18640000000000001</v>
      </c>
      <c r="AI68" s="10">
        <v>0.42699999999999999</v>
      </c>
      <c r="AJ68">
        <v>0.12330000000000001</v>
      </c>
    </row>
    <row r="69" spans="3:36">
      <c r="C69" s="11" t="s">
        <v>175</v>
      </c>
      <c r="D69" s="10">
        <v>36</v>
      </c>
      <c r="E69" s="10">
        <v>854253</v>
      </c>
      <c r="F69" s="10" t="s">
        <v>0</v>
      </c>
      <c r="G69" s="10">
        <v>13.71</v>
      </c>
      <c r="H69" s="10">
        <v>21.59</v>
      </c>
      <c r="I69" s="10">
        <v>110.1</v>
      </c>
      <c r="J69" s="10">
        <v>869.5</v>
      </c>
      <c r="K69" s="10">
        <v>9.6100000000000005E-2</v>
      </c>
      <c r="L69" s="10">
        <v>0.1336</v>
      </c>
      <c r="M69" s="10">
        <v>0.1348</v>
      </c>
      <c r="N69" s="10">
        <v>6.0179999999999997E-2</v>
      </c>
      <c r="O69" s="10">
        <v>0.18959999999999999</v>
      </c>
      <c r="P69" s="10">
        <v>5.6559999999999999E-2</v>
      </c>
      <c r="Q69" s="10">
        <v>0.46150000000000002</v>
      </c>
      <c r="R69" s="10">
        <v>0.91969999999999996</v>
      </c>
      <c r="S69" s="10">
        <v>3.008</v>
      </c>
      <c r="T69" s="10">
        <v>45.19</v>
      </c>
      <c r="U69" s="10">
        <v>5.7759999999999999E-3</v>
      </c>
      <c r="V69" s="10">
        <v>2.4989999999999998E-2</v>
      </c>
      <c r="W69" s="10">
        <v>3.6949999999999997E-2</v>
      </c>
      <c r="X69" s="10">
        <v>1.1950000000000001E-2</v>
      </c>
      <c r="Y69" s="10">
        <v>2.7890000000000002E-2</v>
      </c>
      <c r="Z69" s="10">
        <v>2.6649999999999998E-3</v>
      </c>
      <c r="AA69" s="10">
        <v>20.010000000000002</v>
      </c>
      <c r="AB69" s="10">
        <v>29.02</v>
      </c>
      <c r="AC69" s="10">
        <v>133.5</v>
      </c>
      <c r="AD69" s="10">
        <v>1229</v>
      </c>
      <c r="AE69" s="10">
        <v>0.15629999999999999</v>
      </c>
      <c r="AF69" s="10">
        <v>0.38350000000000001</v>
      </c>
      <c r="AG69" s="10">
        <v>0.54090000000000005</v>
      </c>
      <c r="AH69" s="10">
        <v>0.18129999999999999</v>
      </c>
      <c r="AI69" s="10">
        <v>0.48630000000000001</v>
      </c>
      <c r="AJ69">
        <v>8.6330000000000004E-2</v>
      </c>
    </row>
    <row r="70" spans="3:36">
      <c r="C70" s="11" t="s">
        <v>176</v>
      </c>
      <c r="D70" s="10">
        <v>37</v>
      </c>
      <c r="E70" s="10">
        <v>854268</v>
      </c>
      <c r="F70" s="10" t="s">
        <v>0</v>
      </c>
      <c r="G70" s="10">
        <v>13.71</v>
      </c>
      <c r="H70" s="10">
        <v>21.72</v>
      </c>
      <c r="I70" s="10">
        <v>93.63</v>
      </c>
      <c r="J70" s="10">
        <v>633</v>
      </c>
      <c r="K70" s="10">
        <v>9.8229999999999998E-2</v>
      </c>
      <c r="L70" s="10">
        <v>0.10979999999999999</v>
      </c>
      <c r="M70" s="10">
        <v>0.13189999999999999</v>
      </c>
      <c r="N70" s="10">
        <v>5.5980000000000002E-2</v>
      </c>
      <c r="O70" s="10">
        <v>0.1885</v>
      </c>
      <c r="P70" s="10">
        <v>6.1249999999999999E-2</v>
      </c>
      <c r="Q70" s="10">
        <v>0.28599999999999998</v>
      </c>
      <c r="R70" s="10">
        <v>1.0189999999999999</v>
      </c>
      <c r="S70" s="10">
        <v>2.657</v>
      </c>
      <c r="T70" s="10">
        <v>24.91</v>
      </c>
      <c r="U70" s="10">
        <v>5.8780000000000004E-3</v>
      </c>
      <c r="V70" s="10">
        <v>2.9950000000000001E-2</v>
      </c>
      <c r="W70" s="10">
        <v>4.8149999999999998E-2</v>
      </c>
      <c r="X70" s="10">
        <v>1.1610000000000001E-2</v>
      </c>
      <c r="Y70" s="10">
        <v>2.0279999999999999E-2</v>
      </c>
      <c r="Z70" s="10">
        <v>4.0220000000000004E-3</v>
      </c>
      <c r="AA70" s="10">
        <v>15.89</v>
      </c>
      <c r="AB70" s="10">
        <v>30.36</v>
      </c>
      <c r="AC70" s="10">
        <v>116.2</v>
      </c>
      <c r="AD70" s="10">
        <v>799.6</v>
      </c>
      <c r="AE70" s="10">
        <v>0.14460000000000001</v>
      </c>
      <c r="AF70" s="10">
        <v>0.42380000000000001</v>
      </c>
      <c r="AG70" s="10">
        <v>0.51859999999999995</v>
      </c>
      <c r="AH70" s="10">
        <v>0.1447</v>
      </c>
      <c r="AI70" s="10">
        <v>0.35909999999999997</v>
      </c>
      <c r="AJ70">
        <v>0.1014</v>
      </c>
    </row>
    <row r="71" spans="3:36">
      <c r="C71" s="11" t="s">
        <v>177</v>
      </c>
      <c r="D71" s="10">
        <v>38</v>
      </c>
      <c r="E71" s="10">
        <v>854941</v>
      </c>
      <c r="F71" s="10" t="s">
        <v>1</v>
      </c>
      <c r="G71" s="10">
        <v>13.71</v>
      </c>
      <c r="H71" s="10">
        <v>18.420000000000002</v>
      </c>
      <c r="I71" s="10">
        <v>82.61</v>
      </c>
      <c r="J71" s="10">
        <v>523.79999999999995</v>
      </c>
      <c r="K71" s="10">
        <v>8.9829999999999993E-2</v>
      </c>
      <c r="L71" s="10">
        <v>3.7659999999999999E-2</v>
      </c>
      <c r="M71" s="10">
        <v>2.562E-2</v>
      </c>
      <c r="N71" s="10">
        <v>2.9229999999999999E-2</v>
      </c>
      <c r="O71" s="10">
        <v>0.1467</v>
      </c>
      <c r="P71" s="10">
        <v>5.8630000000000002E-2</v>
      </c>
      <c r="Q71" s="10">
        <v>0.18390000000000001</v>
      </c>
      <c r="R71" s="10">
        <v>2.3420000000000001</v>
      </c>
      <c r="S71" s="10">
        <v>1.17</v>
      </c>
      <c r="T71" s="10">
        <v>14.16</v>
      </c>
      <c r="U71" s="10">
        <v>4.352E-3</v>
      </c>
      <c r="V71" s="10">
        <v>4.8989999999999997E-3</v>
      </c>
      <c r="W71" s="10">
        <v>1.3429999999999999E-2</v>
      </c>
      <c r="X71" s="10">
        <v>1.1639999999999999E-2</v>
      </c>
      <c r="Y71" s="10">
        <v>2.6710000000000001E-2</v>
      </c>
      <c r="Z71" s="10">
        <v>1.7769999999999999E-3</v>
      </c>
      <c r="AA71" s="10">
        <v>13.3</v>
      </c>
      <c r="AB71" s="10">
        <v>22.81</v>
      </c>
      <c r="AC71" s="10">
        <v>84.46</v>
      </c>
      <c r="AD71" s="10">
        <v>545.9</v>
      </c>
      <c r="AE71" s="10">
        <v>9.7009999999999999E-2</v>
      </c>
      <c r="AF71" s="10">
        <v>4.6190000000000002E-2</v>
      </c>
      <c r="AG71" s="10">
        <v>4.8329999999999998E-2</v>
      </c>
      <c r="AH71" s="10">
        <v>5.0130000000000001E-2</v>
      </c>
      <c r="AI71" s="10">
        <v>0.19869999999999999</v>
      </c>
      <c r="AJ71">
        <v>6.1690000000000002E-2</v>
      </c>
    </row>
    <row r="72" spans="3:36">
      <c r="C72" s="11" t="s">
        <v>178</v>
      </c>
      <c r="D72" s="10">
        <v>39</v>
      </c>
      <c r="E72" s="10">
        <v>855133</v>
      </c>
      <c r="F72" s="10" t="s">
        <v>0</v>
      </c>
      <c r="G72" s="10">
        <v>13.71</v>
      </c>
      <c r="H72" s="10">
        <v>25.2</v>
      </c>
      <c r="I72" s="10">
        <v>95.54</v>
      </c>
      <c r="J72" s="10">
        <v>698.8</v>
      </c>
      <c r="K72" s="10">
        <v>9.3869999999999995E-2</v>
      </c>
      <c r="L72" s="10">
        <v>5.1310000000000001E-2</v>
      </c>
      <c r="M72" s="10">
        <v>2.3980000000000001E-2</v>
      </c>
      <c r="N72" s="10">
        <v>2.8989999999999998E-2</v>
      </c>
      <c r="O72" s="10">
        <v>0.1565</v>
      </c>
      <c r="P72" s="10">
        <v>5.5039999999999999E-2</v>
      </c>
      <c r="Q72" s="10">
        <v>1.214</v>
      </c>
      <c r="R72" s="10">
        <v>2.1880000000000002</v>
      </c>
      <c r="S72" s="10">
        <v>8.077</v>
      </c>
      <c r="T72" s="10">
        <v>106</v>
      </c>
      <c r="U72" s="10">
        <v>6.8830000000000002E-3</v>
      </c>
      <c r="V72" s="10">
        <v>1.094E-2</v>
      </c>
      <c r="W72" s="10">
        <v>1.8180000000000002E-2</v>
      </c>
      <c r="X72" s="10">
        <v>1.917E-2</v>
      </c>
      <c r="Y72" s="10">
        <v>7.8820000000000001E-3</v>
      </c>
      <c r="Z72" s="10">
        <v>1.7539999999999999E-3</v>
      </c>
      <c r="AA72" s="10">
        <v>14.99</v>
      </c>
      <c r="AB72" s="10">
        <v>25.2</v>
      </c>
      <c r="AC72" s="10">
        <v>95.54</v>
      </c>
      <c r="AD72" s="10">
        <v>698.8</v>
      </c>
      <c r="AE72" s="10">
        <v>9.3869999999999995E-2</v>
      </c>
      <c r="AF72" s="10">
        <v>5.1310000000000001E-2</v>
      </c>
      <c r="AG72" s="10">
        <v>2.3980000000000001E-2</v>
      </c>
      <c r="AH72" s="10">
        <v>2.8989999999999998E-2</v>
      </c>
      <c r="AI72" s="10">
        <v>0.1565</v>
      </c>
      <c r="AJ72">
        <v>5.5039999999999999E-2</v>
      </c>
    </row>
    <row r="73" spans="3:36">
      <c r="C73" s="11" t="s">
        <v>179</v>
      </c>
      <c r="D73" s="10">
        <v>40</v>
      </c>
      <c r="E73" s="10">
        <v>855138</v>
      </c>
      <c r="F73" s="10" t="s">
        <v>0</v>
      </c>
      <c r="G73" s="10">
        <v>13.71</v>
      </c>
      <c r="H73" s="10">
        <v>20.82</v>
      </c>
      <c r="I73" s="10">
        <v>88.4</v>
      </c>
      <c r="J73" s="10">
        <v>559.20000000000005</v>
      </c>
      <c r="K73" s="10">
        <v>0.1016</v>
      </c>
      <c r="L73" s="10">
        <v>0.1255</v>
      </c>
      <c r="M73" s="10">
        <v>0.10630000000000001</v>
      </c>
      <c r="N73" s="10">
        <v>5.4390000000000001E-2</v>
      </c>
      <c r="O73" s="10">
        <v>0.17199999999999999</v>
      </c>
      <c r="P73" s="10">
        <v>6.4189999999999997E-2</v>
      </c>
      <c r="Q73" s="10">
        <v>0.21299999999999999</v>
      </c>
      <c r="R73" s="10">
        <v>0.59140000000000004</v>
      </c>
      <c r="S73" s="10">
        <v>1.5449999999999999</v>
      </c>
      <c r="T73" s="10">
        <v>18.52</v>
      </c>
      <c r="U73" s="10">
        <v>5.3670000000000002E-3</v>
      </c>
      <c r="V73" s="10">
        <v>2.239E-2</v>
      </c>
      <c r="W73" s="10">
        <v>3.049E-2</v>
      </c>
      <c r="X73" s="10">
        <v>1.2619999999999999E-2</v>
      </c>
      <c r="Y73" s="10">
        <v>1.3769999999999999E-2</v>
      </c>
      <c r="Z73" s="10">
        <v>3.1870000000000002E-3</v>
      </c>
      <c r="AA73" s="10">
        <v>15.53</v>
      </c>
      <c r="AB73" s="10">
        <v>26.02</v>
      </c>
      <c r="AC73" s="10">
        <v>107.3</v>
      </c>
      <c r="AD73" s="10">
        <v>740.4</v>
      </c>
      <c r="AE73" s="10">
        <v>0.161</v>
      </c>
      <c r="AF73" s="10">
        <v>0.42249999999999999</v>
      </c>
      <c r="AG73" s="10">
        <v>0.503</v>
      </c>
      <c r="AH73" s="10">
        <v>0.2258</v>
      </c>
      <c r="AI73" s="10">
        <v>0.28070000000000001</v>
      </c>
      <c r="AJ73">
        <v>0.1071</v>
      </c>
    </row>
    <row r="74" spans="3:36">
      <c r="C74" s="11" t="s">
        <v>180</v>
      </c>
      <c r="D74" s="10">
        <v>41</v>
      </c>
      <c r="E74" s="10">
        <v>855167</v>
      </c>
      <c r="F74" s="10" t="s">
        <v>0</v>
      </c>
      <c r="G74" s="10">
        <v>13.71</v>
      </c>
      <c r="H74" s="10">
        <v>21.58</v>
      </c>
      <c r="I74" s="10">
        <v>86.18</v>
      </c>
      <c r="J74" s="10">
        <v>563</v>
      </c>
      <c r="K74" s="10">
        <v>8.1619999999999998E-2</v>
      </c>
      <c r="L74" s="10">
        <v>6.0310000000000002E-2</v>
      </c>
      <c r="M74" s="10">
        <v>3.1099999999999999E-2</v>
      </c>
      <c r="N74" s="10">
        <v>2.0310000000000002E-2</v>
      </c>
      <c r="O74" s="10">
        <v>0.1784</v>
      </c>
      <c r="P74" s="10">
        <v>5.5870000000000003E-2</v>
      </c>
      <c r="Q74" s="10">
        <v>0.23849999999999999</v>
      </c>
      <c r="R74" s="10">
        <v>0.82650000000000001</v>
      </c>
      <c r="S74" s="10">
        <v>1.5720000000000001</v>
      </c>
      <c r="T74" s="10">
        <v>20.53</v>
      </c>
      <c r="U74" s="10">
        <v>3.2799999999999999E-3</v>
      </c>
      <c r="V74" s="10">
        <v>1.102E-2</v>
      </c>
      <c r="W74" s="10">
        <v>1.3899999999999999E-2</v>
      </c>
      <c r="X74" s="10">
        <v>6.881E-3</v>
      </c>
      <c r="Y74" s="10">
        <v>1.38E-2</v>
      </c>
      <c r="Z74" s="10">
        <v>1.286E-3</v>
      </c>
      <c r="AA74" s="10">
        <v>15.93</v>
      </c>
      <c r="AB74" s="10">
        <v>30.25</v>
      </c>
      <c r="AC74" s="10">
        <v>102.5</v>
      </c>
      <c r="AD74" s="10">
        <v>787.9</v>
      </c>
      <c r="AE74" s="10">
        <v>0.1094</v>
      </c>
      <c r="AF74" s="10">
        <v>0.20430000000000001</v>
      </c>
      <c r="AG74" s="10">
        <v>0.20849999999999999</v>
      </c>
      <c r="AH74" s="10">
        <v>0.11119999999999999</v>
      </c>
      <c r="AI74" s="10">
        <v>0.2994</v>
      </c>
      <c r="AJ74">
        <v>7.1459999999999996E-2</v>
      </c>
    </row>
    <row r="75" spans="3:36">
      <c r="C75" s="11" t="s">
        <v>181</v>
      </c>
      <c r="D75" s="10">
        <v>42</v>
      </c>
      <c r="E75" s="10">
        <v>855563</v>
      </c>
      <c r="F75" s="10" t="s">
        <v>0</v>
      </c>
      <c r="G75" s="10">
        <v>13.71</v>
      </c>
      <c r="H75" s="10">
        <v>21.35</v>
      </c>
      <c r="I75" s="10">
        <v>71.900000000000006</v>
      </c>
      <c r="J75" s="10">
        <v>371.1</v>
      </c>
      <c r="K75" s="10">
        <v>0.1227</v>
      </c>
      <c r="L75" s="10">
        <v>0.12180000000000001</v>
      </c>
      <c r="M75" s="10">
        <v>0.10440000000000001</v>
      </c>
      <c r="N75" s="10">
        <v>5.6689999999999997E-2</v>
      </c>
      <c r="O75" s="10">
        <v>0.1895</v>
      </c>
      <c r="P75" s="10">
        <v>6.8699999999999997E-2</v>
      </c>
      <c r="Q75" s="10">
        <v>0.2366</v>
      </c>
      <c r="R75" s="10">
        <v>1.4279999999999999</v>
      </c>
      <c r="S75" s="10">
        <v>1.8220000000000001</v>
      </c>
      <c r="T75" s="10">
        <v>16.97</v>
      </c>
      <c r="U75" s="10">
        <v>8.064E-3</v>
      </c>
      <c r="V75" s="10">
        <v>1.7639999999999999E-2</v>
      </c>
      <c r="W75" s="10">
        <v>2.5950000000000001E-2</v>
      </c>
      <c r="X75" s="10">
        <v>1.0370000000000001E-2</v>
      </c>
      <c r="Y75" s="10">
        <v>1.357E-2</v>
      </c>
      <c r="Z75" s="10">
        <v>3.0400000000000002E-3</v>
      </c>
      <c r="AA75" s="10">
        <v>12.84</v>
      </c>
      <c r="AB75" s="10">
        <v>35.340000000000003</v>
      </c>
      <c r="AC75" s="10">
        <v>87.22</v>
      </c>
      <c r="AD75" s="10">
        <v>514</v>
      </c>
      <c r="AE75" s="10">
        <v>0.19089999999999999</v>
      </c>
      <c r="AF75" s="10">
        <v>0.26979999999999998</v>
      </c>
      <c r="AG75" s="10">
        <v>0.40229999999999999</v>
      </c>
      <c r="AH75" s="10">
        <v>0.1424</v>
      </c>
      <c r="AI75" s="10">
        <v>0.2964</v>
      </c>
      <c r="AJ75">
        <v>9.6060000000000006E-2</v>
      </c>
    </row>
    <row r="76" spans="3:36">
      <c r="C76" s="11" t="s">
        <v>182</v>
      </c>
      <c r="D76" s="10">
        <v>43</v>
      </c>
      <c r="E76" s="10">
        <v>855625</v>
      </c>
      <c r="F76" s="10" t="s">
        <v>0</v>
      </c>
      <c r="G76" s="10">
        <v>13.71</v>
      </c>
      <c r="H76" s="10">
        <v>24.81</v>
      </c>
      <c r="I76" s="10">
        <v>128.30000000000001</v>
      </c>
      <c r="J76" s="10">
        <v>1104</v>
      </c>
      <c r="K76" s="10">
        <v>9.0810000000000002E-2</v>
      </c>
      <c r="L76" s="10">
        <v>0.219</v>
      </c>
      <c r="M76" s="10">
        <v>0.2107</v>
      </c>
      <c r="N76" s="10">
        <v>9.9610000000000004E-2</v>
      </c>
      <c r="O76" s="10">
        <v>0.23100000000000001</v>
      </c>
      <c r="P76" s="10">
        <v>6.343E-2</v>
      </c>
      <c r="Q76" s="10">
        <v>0.98109999999999997</v>
      </c>
      <c r="R76" s="10">
        <v>1.6659999999999999</v>
      </c>
      <c r="S76" s="10">
        <v>8.83</v>
      </c>
      <c r="T76" s="10">
        <v>104.9</v>
      </c>
      <c r="U76" s="10">
        <v>6.548E-3</v>
      </c>
      <c r="V76" s="10">
        <v>0.10059999999999999</v>
      </c>
      <c r="W76" s="10">
        <v>9.7229999999999997E-2</v>
      </c>
      <c r="X76" s="10">
        <v>2.6380000000000001E-2</v>
      </c>
      <c r="Y76" s="10">
        <v>5.3330000000000002E-2</v>
      </c>
      <c r="Z76" s="10">
        <v>7.646E-3</v>
      </c>
      <c r="AA76" s="10">
        <v>24.09</v>
      </c>
      <c r="AB76" s="10">
        <v>33.17</v>
      </c>
      <c r="AC76" s="10">
        <v>177.4</v>
      </c>
      <c r="AD76" s="10">
        <v>1651</v>
      </c>
      <c r="AE76" s="10">
        <v>0.12470000000000001</v>
      </c>
      <c r="AF76" s="10">
        <v>0.74439999999999995</v>
      </c>
      <c r="AG76" s="10">
        <v>0.72419999999999995</v>
      </c>
      <c r="AH76" s="10">
        <v>0.24929999999999999</v>
      </c>
      <c r="AI76" s="10">
        <v>0.46700000000000003</v>
      </c>
      <c r="AJ76">
        <v>0.1038</v>
      </c>
    </row>
    <row r="77" spans="3:36">
      <c r="C77" s="11" t="s">
        <v>183</v>
      </c>
      <c r="D77" s="10">
        <v>44</v>
      </c>
      <c r="E77" s="10">
        <v>856106</v>
      </c>
      <c r="F77" s="10" t="s">
        <v>0</v>
      </c>
      <c r="G77" s="10">
        <v>13.71</v>
      </c>
      <c r="H77" s="10">
        <v>20.28</v>
      </c>
      <c r="I77" s="10">
        <v>87.32</v>
      </c>
      <c r="J77" s="10">
        <v>545.20000000000005</v>
      </c>
      <c r="K77" s="10">
        <v>0.1041</v>
      </c>
      <c r="L77" s="10">
        <v>0.14360000000000001</v>
      </c>
      <c r="M77" s="10">
        <v>9.8470000000000002E-2</v>
      </c>
      <c r="N77" s="10">
        <v>6.1580000000000003E-2</v>
      </c>
      <c r="O77" s="10">
        <v>0.19739999999999999</v>
      </c>
      <c r="P77" s="10">
        <v>6.7820000000000005E-2</v>
      </c>
      <c r="Q77" s="10">
        <v>0.37040000000000001</v>
      </c>
      <c r="R77" s="10">
        <v>0.82489999999999997</v>
      </c>
      <c r="S77" s="10">
        <v>2.427</v>
      </c>
      <c r="T77" s="10">
        <v>31.33</v>
      </c>
      <c r="U77" s="10">
        <v>5.0720000000000001E-3</v>
      </c>
      <c r="V77" s="10">
        <v>2.147E-2</v>
      </c>
      <c r="W77" s="10">
        <v>2.1850000000000001E-2</v>
      </c>
      <c r="X77" s="10">
        <v>9.5600000000000008E-3</v>
      </c>
      <c r="Y77" s="10">
        <v>1.719E-2</v>
      </c>
      <c r="Z77" s="10">
        <v>3.3170000000000001E-3</v>
      </c>
      <c r="AA77" s="10">
        <v>17.38</v>
      </c>
      <c r="AB77" s="10">
        <v>28</v>
      </c>
      <c r="AC77" s="10">
        <v>113.1</v>
      </c>
      <c r="AD77" s="10">
        <v>907.2</v>
      </c>
      <c r="AE77" s="10">
        <v>0.153</v>
      </c>
      <c r="AF77" s="10">
        <v>0.37240000000000001</v>
      </c>
      <c r="AG77" s="10">
        <v>0.3664</v>
      </c>
      <c r="AH77" s="10">
        <v>0.1492</v>
      </c>
      <c r="AI77" s="10">
        <v>0.37390000000000001</v>
      </c>
      <c r="AJ77">
        <v>0.1027</v>
      </c>
    </row>
    <row r="78" spans="3:36">
      <c r="C78" s="11" t="s">
        <v>184</v>
      </c>
      <c r="D78" s="10">
        <v>45</v>
      </c>
      <c r="E78" s="10">
        <v>85638502</v>
      </c>
      <c r="F78" s="10" t="s">
        <v>0</v>
      </c>
      <c r="G78" s="10">
        <v>13.71</v>
      </c>
      <c r="H78" s="10">
        <v>21.81</v>
      </c>
      <c r="I78" s="10">
        <v>85.42</v>
      </c>
      <c r="J78" s="10">
        <v>531.5</v>
      </c>
      <c r="K78" s="10">
        <v>9.7140000000000004E-2</v>
      </c>
      <c r="L78" s="10">
        <v>0.1047</v>
      </c>
      <c r="M78" s="10">
        <v>8.2589999999999997E-2</v>
      </c>
      <c r="N78" s="10">
        <v>5.2519999999999997E-2</v>
      </c>
      <c r="O78" s="10">
        <v>0.17460000000000001</v>
      </c>
      <c r="P78" s="10">
        <v>6.1769999999999999E-2</v>
      </c>
      <c r="Q78" s="10">
        <v>0.1938</v>
      </c>
      <c r="R78" s="10">
        <v>0.61229999999999996</v>
      </c>
      <c r="S78" s="10">
        <v>1.3340000000000001</v>
      </c>
      <c r="T78" s="10">
        <v>14.49</v>
      </c>
      <c r="U78" s="10">
        <v>3.3500000000000001E-3</v>
      </c>
      <c r="V78" s="10">
        <v>1.384E-2</v>
      </c>
      <c r="W78" s="10">
        <v>1.452E-2</v>
      </c>
      <c r="X78" s="10">
        <v>6.8529999999999997E-3</v>
      </c>
      <c r="Y78" s="10">
        <v>1.1129999999999999E-2</v>
      </c>
      <c r="Z78" s="10">
        <v>1.72E-3</v>
      </c>
      <c r="AA78" s="10">
        <v>16.23</v>
      </c>
      <c r="AB78" s="10">
        <v>29.89</v>
      </c>
      <c r="AC78" s="10">
        <v>105.5</v>
      </c>
      <c r="AD78" s="10">
        <v>740.7</v>
      </c>
      <c r="AE78" s="10">
        <v>0.15029999999999999</v>
      </c>
      <c r="AF78" s="10">
        <v>0.39040000000000002</v>
      </c>
      <c r="AG78" s="10">
        <v>0.37280000000000002</v>
      </c>
      <c r="AH78" s="10">
        <v>0.16070000000000001</v>
      </c>
      <c r="AI78" s="10">
        <v>0.36930000000000002</v>
      </c>
      <c r="AJ78">
        <v>9.6180000000000002E-2</v>
      </c>
    </row>
    <row r="79" spans="3:36">
      <c r="C79" s="11" t="s">
        <v>185</v>
      </c>
      <c r="D79" s="10">
        <v>46</v>
      </c>
      <c r="E79" s="10">
        <v>857010</v>
      </c>
      <c r="F79" s="10" t="s">
        <v>0</v>
      </c>
      <c r="G79" s="10">
        <v>13.71</v>
      </c>
      <c r="H79" s="10">
        <v>17.600000000000001</v>
      </c>
      <c r="I79" s="10">
        <v>123.7</v>
      </c>
      <c r="J79" s="10">
        <v>1076</v>
      </c>
      <c r="K79" s="10">
        <v>0.1099</v>
      </c>
      <c r="L79" s="10">
        <v>0.1686</v>
      </c>
      <c r="M79" s="10">
        <v>0.19739999999999999</v>
      </c>
      <c r="N79" s="10">
        <v>0.1009</v>
      </c>
      <c r="O79" s="10">
        <v>0.19070000000000001</v>
      </c>
      <c r="P79" s="10">
        <v>6.0490000000000002E-2</v>
      </c>
      <c r="Q79" s="10">
        <v>0.62890000000000001</v>
      </c>
      <c r="R79" s="10">
        <v>0.6633</v>
      </c>
      <c r="S79" s="10">
        <v>4.2930000000000001</v>
      </c>
      <c r="T79" s="10">
        <v>71.56</v>
      </c>
      <c r="U79" s="10">
        <v>6.2940000000000001E-3</v>
      </c>
      <c r="V79" s="10">
        <v>3.9940000000000003E-2</v>
      </c>
      <c r="W79" s="10">
        <v>5.5539999999999999E-2</v>
      </c>
      <c r="X79" s="10">
        <v>1.695E-2</v>
      </c>
      <c r="Y79" s="10">
        <v>2.4279999999999999E-2</v>
      </c>
      <c r="Z79" s="10">
        <v>3.5349999999999999E-3</v>
      </c>
      <c r="AA79" s="10">
        <v>22.82</v>
      </c>
      <c r="AB79" s="10">
        <v>21.32</v>
      </c>
      <c r="AC79" s="10">
        <v>150.6</v>
      </c>
      <c r="AD79" s="10">
        <v>1567</v>
      </c>
      <c r="AE79" s="10">
        <v>0.16789999999999999</v>
      </c>
      <c r="AF79" s="10">
        <v>0.50900000000000001</v>
      </c>
      <c r="AG79" s="10">
        <v>0.73450000000000004</v>
      </c>
      <c r="AH79" s="10">
        <v>0.23780000000000001</v>
      </c>
      <c r="AI79" s="10">
        <v>0.37990000000000002</v>
      </c>
      <c r="AJ79">
        <v>9.1850000000000001E-2</v>
      </c>
    </row>
    <row r="80" spans="3:36">
      <c r="C80" s="11" t="s">
        <v>186</v>
      </c>
      <c r="D80" s="10">
        <v>47</v>
      </c>
      <c r="E80" s="10">
        <v>85713702</v>
      </c>
      <c r="F80" s="10" t="s">
        <v>1</v>
      </c>
      <c r="G80" s="10">
        <v>13.71</v>
      </c>
      <c r="H80" s="10">
        <v>16.84</v>
      </c>
      <c r="I80" s="10">
        <v>51.71</v>
      </c>
      <c r="J80" s="10">
        <v>201.9</v>
      </c>
      <c r="K80" s="10">
        <v>8.5999999999999993E-2</v>
      </c>
      <c r="L80" s="10">
        <v>5.9429999999999997E-2</v>
      </c>
      <c r="M80" s="10">
        <v>1.5879999999999998E-2</v>
      </c>
      <c r="N80" s="10">
        <v>5.9170000000000004E-3</v>
      </c>
      <c r="O80" s="10">
        <v>0.1769</v>
      </c>
      <c r="P80" s="10">
        <v>6.5030000000000004E-2</v>
      </c>
      <c r="Q80" s="10">
        <v>0.15629999999999999</v>
      </c>
      <c r="R80" s="10">
        <v>0.95669999999999999</v>
      </c>
      <c r="S80" s="10">
        <v>1.0940000000000001</v>
      </c>
      <c r="T80" s="10">
        <v>8.2050000000000001</v>
      </c>
      <c r="U80" s="10">
        <v>8.9680000000000003E-3</v>
      </c>
      <c r="V80" s="10">
        <v>1.6459999999999999E-2</v>
      </c>
      <c r="W80" s="10">
        <v>1.5879999999999998E-2</v>
      </c>
      <c r="X80" s="10">
        <v>5.9170000000000004E-3</v>
      </c>
      <c r="Y80" s="10">
        <v>2.5739999999999999E-2</v>
      </c>
      <c r="Z80" s="10">
        <v>2.5820000000000001E-3</v>
      </c>
      <c r="AA80" s="10">
        <v>8.9640000000000004</v>
      </c>
      <c r="AB80" s="10">
        <v>21.96</v>
      </c>
      <c r="AC80" s="10">
        <v>57.26</v>
      </c>
      <c r="AD80" s="10">
        <v>242.2</v>
      </c>
      <c r="AE80" s="10">
        <v>0.12970000000000001</v>
      </c>
      <c r="AF80" s="10">
        <v>0.13569999999999999</v>
      </c>
      <c r="AG80" s="10">
        <v>6.88E-2</v>
      </c>
      <c r="AH80" s="10">
        <v>2.564E-2</v>
      </c>
      <c r="AI80" s="10">
        <v>0.3105</v>
      </c>
      <c r="AJ80">
        <v>7.4090000000000003E-2</v>
      </c>
    </row>
    <row r="81" spans="3:36">
      <c r="C81" s="11" t="s">
        <v>187</v>
      </c>
      <c r="D81" s="10">
        <v>48</v>
      </c>
      <c r="E81" s="10">
        <v>85715</v>
      </c>
      <c r="F81" s="10" t="s">
        <v>0</v>
      </c>
      <c r="G81" s="10">
        <v>13.71</v>
      </c>
      <c r="H81" s="10">
        <v>18.66</v>
      </c>
      <c r="I81" s="10">
        <v>85.98</v>
      </c>
      <c r="J81" s="10">
        <v>534.6</v>
      </c>
      <c r="K81" s="10">
        <v>0.1158</v>
      </c>
      <c r="L81" s="10">
        <v>0.1231</v>
      </c>
      <c r="M81" s="10">
        <v>0.1226</v>
      </c>
      <c r="N81" s="10">
        <v>7.3400000000000007E-2</v>
      </c>
      <c r="O81" s="10">
        <v>0.21279999999999999</v>
      </c>
      <c r="P81" s="10">
        <v>6.7769999999999997E-2</v>
      </c>
      <c r="Q81" s="10">
        <v>0.28710000000000002</v>
      </c>
      <c r="R81" s="10">
        <v>0.89370000000000005</v>
      </c>
      <c r="S81" s="10">
        <v>1.897</v>
      </c>
      <c r="T81" s="10">
        <v>24.25</v>
      </c>
      <c r="U81" s="10">
        <v>6.5319999999999996E-3</v>
      </c>
      <c r="V81" s="10">
        <v>2.3359999999999999E-2</v>
      </c>
      <c r="W81" s="10">
        <v>2.9049999999999999E-2</v>
      </c>
      <c r="X81" s="10">
        <v>1.2149999999999999E-2</v>
      </c>
      <c r="Y81" s="10">
        <v>1.7430000000000001E-2</v>
      </c>
      <c r="Z81" s="10">
        <v>3.643E-3</v>
      </c>
      <c r="AA81" s="10">
        <v>15.67</v>
      </c>
      <c r="AB81" s="10">
        <v>27.95</v>
      </c>
      <c r="AC81" s="10">
        <v>102.8</v>
      </c>
      <c r="AD81" s="10">
        <v>759.4</v>
      </c>
      <c r="AE81" s="10">
        <v>0.17860000000000001</v>
      </c>
      <c r="AF81" s="10">
        <v>0.41660000000000003</v>
      </c>
      <c r="AG81" s="10">
        <v>0.50060000000000004</v>
      </c>
      <c r="AH81" s="10">
        <v>0.20880000000000001</v>
      </c>
      <c r="AI81" s="10">
        <v>0.39</v>
      </c>
      <c r="AJ81">
        <v>0.1179</v>
      </c>
    </row>
    <row r="82" spans="3:36">
      <c r="C82" s="11" t="s">
        <v>188</v>
      </c>
      <c r="D82" s="10">
        <v>49</v>
      </c>
      <c r="E82" s="10">
        <v>857155</v>
      </c>
      <c r="F82" s="10" t="s">
        <v>1</v>
      </c>
      <c r="G82" s="10">
        <v>13.71</v>
      </c>
      <c r="H82" s="10">
        <v>14.63</v>
      </c>
      <c r="I82" s="10">
        <v>78.040000000000006</v>
      </c>
      <c r="J82" s="10">
        <v>449.3</v>
      </c>
      <c r="K82" s="10">
        <v>0.1031</v>
      </c>
      <c r="L82" s="10">
        <v>9.0920000000000001E-2</v>
      </c>
      <c r="M82" s="10">
        <v>6.5920000000000006E-2</v>
      </c>
      <c r="N82" s="10">
        <v>2.7490000000000001E-2</v>
      </c>
      <c r="O82" s="10">
        <v>0.16750000000000001</v>
      </c>
      <c r="P82" s="10">
        <v>6.0429999999999998E-2</v>
      </c>
      <c r="Q82" s="10">
        <v>0.2636</v>
      </c>
      <c r="R82" s="10">
        <v>0.72940000000000005</v>
      </c>
      <c r="S82" s="10">
        <v>1.8480000000000001</v>
      </c>
      <c r="T82" s="10">
        <v>19.87</v>
      </c>
      <c r="U82" s="10">
        <v>5.4879999999999998E-3</v>
      </c>
      <c r="V82" s="10">
        <v>1.427E-2</v>
      </c>
      <c r="W82" s="10">
        <v>2.3220000000000001E-2</v>
      </c>
      <c r="X82" s="10">
        <v>5.6600000000000001E-3</v>
      </c>
      <c r="Y82" s="10">
        <v>1.4279999999999999E-2</v>
      </c>
      <c r="Z82" s="10">
        <v>2.4220000000000001E-3</v>
      </c>
      <c r="AA82" s="10">
        <v>13.76</v>
      </c>
      <c r="AB82" s="10">
        <v>20.7</v>
      </c>
      <c r="AC82" s="10">
        <v>89.88</v>
      </c>
      <c r="AD82" s="10">
        <v>582.6</v>
      </c>
      <c r="AE82" s="10">
        <v>0.14940000000000001</v>
      </c>
      <c r="AF82" s="10">
        <v>0.21560000000000001</v>
      </c>
      <c r="AG82" s="10">
        <v>0.30499999999999999</v>
      </c>
      <c r="AH82" s="10">
        <v>6.5479999999999997E-2</v>
      </c>
      <c r="AI82" s="10">
        <v>0.2747</v>
      </c>
      <c r="AJ82">
        <v>8.301E-2</v>
      </c>
    </row>
    <row r="83" spans="3:36">
      <c r="C83" s="11" t="s">
        <v>189</v>
      </c>
      <c r="D83" s="10">
        <v>50</v>
      </c>
      <c r="E83" s="10">
        <v>857156</v>
      </c>
      <c r="F83" s="10" t="s">
        <v>1</v>
      </c>
      <c r="G83" s="10">
        <v>13.71</v>
      </c>
      <c r="H83" s="10">
        <v>22.3</v>
      </c>
      <c r="I83" s="10">
        <v>86.91</v>
      </c>
      <c r="J83" s="10">
        <v>561</v>
      </c>
      <c r="K83" s="10">
        <v>8.7520000000000001E-2</v>
      </c>
      <c r="L83" s="10">
        <v>7.6980000000000007E-2</v>
      </c>
      <c r="M83" s="10">
        <v>4.7509999999999997E-2</v>
      </c>
      <c r="N83" s="10">
        <v>3.3840000000000002E-2</v>
      </c>
      <c r="O83" s="10">
        <v>0.18090000000000001</v>
      </c>
      <c r="P83" s="10">
        <v>5.7180000000000002E-2</v>
      </c>
      <c r="Q83" s="10">
        <v>0.23380000000000001</v>
      </c>
      <c r="R83" s="10">
        <v>1.353</v>
      </c>
      <c r="S83" s="10">
        <v>1.7350000000000001</v>
      </c>
      <c r="T83" s="10">
        <v>20.2</v>
      </c>
      <c r="U83" s="10">
        <v>4.4549999999999998E-3</v>
      </c>
      <c r="V83" s="10">
        <v>1.3820000000000001E-2</v>
      </c>
      <c r="W83" s="10">
        <v>2.095E-2</v>
      </c>
      <c r="X83" s="10">
        <v>1.184E-2</v>
      </c>
      <c r="Y83" s="10">
        <v>1.6410000000000001E-2</v>
      </c>
      <c r="Z83" s="10">
        <v>1.9559999999999998E-3</v>
      </c>
      <c r="AA83" s="10">
        <v>15.15</v>
      </c>
      <c r="AB83" s="10">
        <v>31.82</v>
      </c>
      <c r="AC83" s="10">
        <v>99</v>
      </c>
      <c r="AD83" s="10">
        <v>698.8</v>
      </c>
      <c r="AE83" s="10">
        <v>0.1162</v>
      </c>
      <c r="AF83" s="10">
        <v>0.1711</v>
      </c>
      <c r="AG83" s="10">
        <v>0.22819999999999999</v>
      </c>
      <c r="AH83" s="10">
        <v>0.12820000000000001</v>
      </c>
      <c r="AI83" s="10">
        <v>0.28710000000000002</v>
      </c>
      <c r="AJ83">
        <v>6.9169999999999995E-2</v>
      </c>
    </row>
    <row r="84" spans="3:36">
      <c r="C84" s="11" t="s">
        <v>190</v>
      </c>
      <c r="D84" s="10">
        <v>51</v>
      </c>
      <c r="E84" s="10">
        <v>857343</v>
      </c>
      <c r="F84" s="10" t="s">
        <v>1</v>
      </c>
      <c r="G84" s="10">
        <v>13.71</v>
      </c>
      <c r="H84" s="10">
        <v>21.6</v>
      </c>
      <c r="I84" s="10">
        <v>74.72</v>
      </c>
      <c r="J84" s="10">
        <v>427.9</v>
      </c>
      <c r="K84" s="10">
        <v>8.6370000000000002E-2</v>
      </c>
      <c r="L84" s="10">
        <v>4.9660000000000003E-2</v>
      </c>
      <c r="M84" s="10">
        <v>1.6570000000000001E-2</v>
      </c>
      <c r="N84" s="10">
        <v>1.115E-2</v>
      </c>
      <c r="O84" s="10">
        <v>0.14949999999999999</v>
      </c>
      <c r="P84" s="10">
        <v>5.8880000000000002E-2</v>
      </c>
      <c r="Q84" s="10">
        <v>0.40620000000000001</v>
      </c>
      <c r="R84" s="10">
        <v>1.21</v>
      </c>
      <c r="S84" s="10">
        <v>2.6349999999999998</v>
      </c>
      <c r="T84" s="10">
        <v>28.47</v>
      </c>
      <c r="U84" s="10">
        <v>5.8570000000000002E-3</v>
      </c>
      <c r="V84" s="10">
        <v>9.7579999999999993E-3</v>
      </c>
      <c r="W84" s="10">
        <v>1.1679999999999999E-2</v>
      </c>
      <c r="X84" s="10">
        <v>7.4450000000000002E-3</v>
      </c>
      <c r="Y84" s="10">
        <v>2.4060000000000002E-2</v>
      </c>
      <c r="Z84" s="10">
        <v>1.769E-3</v>
      </c>
      <c r="AA84" s="10">
        <v>12.98</v>
      </c>
      <c r="AB84" s="10">
        <v>25.72</v>
      </c>
      <c r="AC84" s="10">
        <v>82.98</v>
      </c>
      <c r="AD84" s="10">
        <v>516.5</v>
      </c>
      <c r="AE84" s="10">
        <v>0.1085</v>
      </c>
      <c r="AF84" s="10">
        <v>8.6150000000000004E-2</v>
      </c>
      <c r="AG84" s="10">
        <v>5.5230000000000001E-2</v>
      </c>
      <c r="AH84" s="10">
        <v>3.7150000000000002E-2</v>
      </c>
      <c r="AI84" s="10">
        <v>0.24329999999999999</v>
      </c>
      <c r="AJ84">
        <v>6.5629999999999994E-2</v>
      </c>
    </row>
    <row r="85" spans="3:36">
      <c r="C85" s="11" t="s">
        <v>191</v>
      </c>
      <c r="D85" s="10">
        <v>52</v>
      </c>
      <c r="E85" s="10">
        <v>857373</v>
      </c>
      <c r="F85" s="10" t="s">
        <v>1</v>
      </c>
      <c r="G85" s="10">
        <v>13.71</v>
      </c>
      <c r="H85" s="10">
        <v>16.34</v>
      </c>
      <c r="I85" s="10">
        <v>87.21</v>
      </c>
      <c r="J85" s="10">
        <v>571.79999999999995</v>
      </c>
      <c r="K85" s="10">
        <v>7.6850000000000002E-2</v>
      </c>
      <c r="L85" s="10">
        <v>6.0589999999999998E-2</v>
      </c>
      <c r="M85" s="10">
        <v>1.857E-2</v>
      </c>
      <c r="N85" s="10">
        <v>1.7229999999999999E-2</v>
      </c>
      <c r="O85" s="10">
        <v>0.1353</v>
      </c>
      <c r="P85" s="10">
        <v>5.953E-2</v>
      </c>
      <c r="Q85" s="10">
        <v>0.18720000000000001</v>
      </c>
      <c r="R85" s="10">
        <v>0.9234</v>
      </c>
      <c r="S85" s="10">
        <v>1.4490000000000001</v>
      </c>
      <c r="T85" s="10">
        <v>14.55</v>
      </c>
      <c r="U85" s="10">
        <v>4.4770000000000001E-3</v>
      </c>
      <c r="V85" s="10">
        <v>1.1769999999999999E-2</v>
      </c>
      <c r="W85" s="10">
        <v>1.0789999999999999E-2</v>
      </c>
      <c r="X85" s="10">
        <v>7.9559999999999995E-3</v>
      </c>
      <c r="Y85" s="10">
        <v>1.325E-2</v>
      </c>
      <c r="Z85" s="10">
        <v>2.5509999999999999E-3</v>
      </c>
      <c r="AA85" s="10">
        <v>14.67</v>
      </c>
      <c r="AB85" s="10">
        <v>23.19</v>
      </c>
      <c r="AC85" s="10">
        <v>96.08</v>
      </c>
      <c r="AD85" s="10">
        <v>656.7</v>
      </c>
      <c r="AE85" s="10">
        <v>0.1089</v>
      </c>
      <c r="AF85" s="10">
        <v>0.15820000000000001</v>
      </c>
      <c r="AG85" s="10">
        <v>0.105</v>
      </c>
      <c r="AH85" s="10">
        <v>8.5860000000000006E-2</v>
      </c>
      <c r="AI85" s="10">
        <v>0.2346</v>
      </c>
      <c r="AJ85">
        <v>8.0250000000000002E-2</v>
      </c>
    </row>
    <row r="86" spans="3:36">
      <c r="C86" s="11" t="s">
        <v>192</v>
      </c>
      <c r="D86" s="10">
        <v>53</v>
      </c>
      <c r="E86" s="10">
        <v>857374</v>
      </c>
      <c r="F86" s="10" t="s">
        <v>1</v>
      </c>
      <c r="G86" s="10">
        <v>13.71</v>
      </c>
      <c r="H86" s="10">
        <v>18.239999999999998</v>
      </c>
      <c r="I86" s="10">
        <v>75.709999999999994</v>
      </c>
      <c r="J86" s="10">
        <v>437.6</v>
      </c>
      <c r="K86" s="10">
        <v>8.2610000000000003E-2</v>
      </c>
      <c r="L86" s="10">
        <v>4.7509999999999997E-2</v>
      </c>
      <c r="M86" s="10">
        <v>1.9720000000000001E-2</v>
      </c>
      <c r="N86" s="10">
        <v>1.349E-2</v>
      </c>
      <c r="O86" s="10">
        <v>0.18679999999999999</v>
      </c>
      <c r="P86" s="10">
        <v>6.1100000000000002E-2</v>
      </c>
      <c r="Q86" s="10">
        <v>0.2273</v>
      </c>
      <c r="R86" s="10">
        <v>0.63290000000000002</v>
      </c>
      <c r="S86" s="10">
        <v>1.52</v>
      </c>
      <c r="T86" s="10">
        <v>17.47</v>
      </c>
      <c r="U86" s="10">
        <v>7.2100000000000003E-3</v>
      </c>
      <c r="V86" s="10">
        <v>8.3800000000000003E-3</v>
      </c>
      <c r="W86" s="10">
        <v>1.311E-2</v>
      </c>
      <c r="X86" s="10">
        <v>8.0000000000000002E-3</v>
      </c>
      <c r="Y86" s="10">
        <v>1.9959999999999999E-2</v>
      </c>
      <c r="Z86" s="10">
        <v>2.6350000000000002E-3</v>
      </c>
      <c r="AA86" s="10">
        <v>13.1</v>
      </c>
      <c r="AB86" s="10">
        <v>21.33</v>
      </c>
      <c r="AC86" s="10">
        <v>83.67</v>
      </c>
      <c r="AD86" s="10">
        <v>527.20000000000005</v>
      </c>
      <c r="AE86" s="10">
        <v>0.1144</v>
      </c>
      <c r="AF86" s="10">
        <v>8.906E-2</v>
      </c>
      <c r="AG86" s="10">
        <v>9.2030000000000001E-2</v>
      </c>
      <c r="AH86" s="10">
        <v>6.2960000000000002E-2</v>
      </c>
      <c r="AI86" s="10">
        <v>0.27850000000000003</v>
      </c>
      <c r="AJ86">
        <v>7.4079999999999993E-2</v>
      </c>
    </row>
    <row r="87" spans="3:36">
      <c r="C87" s="11" t="s">
        <v>193</v>
      </c>
      <c r="D87" s="10">
        <v>54</v>
      </c>
      <c r="E87" s="10">
        <v>857392</v>
      </c>
      <c r="F87" s="10" t="s">
        <v>0</v>
      </c>
      <c r="G87" s="10">
        <v>13.71</v>
      </c>
      <c r="H87" s="10">
        <v>18.7</v>
      </c>
      <c r="I87" s="10">
        <v>120.3</v>
      </c>
      <c r="J87" s="10">
        <v>1033</v>
      </c>
      <c r="K87" s="10">
        <v>0.1148</v>
      </c>
      <c r="L87" s="10">
        <v>0.14849999999999999</v>
      </c>
      <c r="M87" s="10">
        <v>0.1772</v>
      </c>
      <c r="N87" s="10">
        <v>0.106</v>
      </c>
      <c r="O87" s="10">
        <v>0.2092</v>
      </c>
      <c r="P87" s="10">
        <v>6.3100000000000003E-2</v>
      </c>
      <c r="Q87" s="10">
        <v>0.8337</v>
      </c>
      <c r="R87" s="10">
        <v>1.593</v>
      </c>
      <c r="S87" s="10">
        <v>4.8769999999999998</v>
      </c>
      <c r="T87" s="10">
        <v>98.81</v>
      </c>
      <c r="U87" s="10">
        <v>3.8990000000000001E-3</v>
      </c>
      <c r="V87" s="10">
        <v>2.9610000000000001E-2</v>
      </c>
      <c r="W87" s="10">
        <v>2.8170000000000001E-2</v>
      </c>
      <c r="X87" s="10">
        <v>9.2219999999999993E-3</v>
      </c>
      <c r="Y87" s="10">
        <v>2.674E-2</v>
      </c>
      <c r="Z87" s="10">
        <v>5.1260000000000003E-3</v>
      </c>
      <c r="AA87" s="10">
        <v>20.6</v>
      </c>
      <c r="AB87" s="10">
        <v>24.13</v>
      </c>
      <c r="AC87" s="10">
        <v>135.1</v>
      </c>
      <c r="AD87" s="10">
        <v>1321</v>
      </c>
      <c r="AE87" s="10">
        <v>0.128</v>
      </c>
      <c r="AF87" s="10">
        <v>0.22969999999999999</v>
      </c>
      <c r="AG87" s="10">
        <v>0.26229999999999998</v>
      </c>
      <c r="AH87" s="10">
        <v>0.13250000000000001</v>
      </c>
      <c r="AI87" s="10">
        <v>0.30209999999999998</v>
      </c>
      <c r="AJ87">
        <v>7.9869999999999997E-2</v>
      </c>
    </row>
    <row r="88" spans="3:36">
      <c r="C88" s="11" t="s">
        <v>194</v>
      </c>
      <c r="D88" s="10">
        <v>55</v>
      </c>
      <c r="E88" s="10">
        <v>857438</v>
      </c>
      <c r="F88" s="10" t="s">
        <v>0</v>
      </c>
      <c r="G88" s="10">
        <v>13.71</v>
      </c>
      <c r="H88" s="10">
        <v>22.02</v>
      </c>
      <c r="I88" s="10">
        <v>97.26</v>
      </c>
      <c r="J88" s="10">
        <v>712.8</v>
      </c>
      <c r="K88" s="10">
        <v>9.0560000000000002E-2</v>
      </c>
      <c r="L88" s="10">
        <v>7.0809999999999998E-2</v>
      </c>
      <c r="M88" s="10">
        <v>5.253E-2</v>
      </c>
      <c r="N88" s="10">
        <v>3.3340000000000002E-2</v>
      </c>
      <c r="O88" s="10">
        <v>0.16159999999999999</v>
      </c>
      <c r="P88" s="10">
        <v>5.6840000000000002E-2</v>
      </c>
      <c r="Q88" s="10">
        <v>0.3105</v>
      </c>
      <c r="R88" s="10">
        <v>0.83389999999999997</v>
      </c>
      <c r="S88" s="10">
        <v>2.097</v>
      </c>
      <c r="T88" s="10">
        <v>29.91</v>
      </c>
      <c r="U88" s="10">
        <v>4.6750000000000003E-3</v>
      </c>
      <c r="V88" s="10">
        <v>1.03E-2</v>
      </c>
      <c r="W88" s="10">
        <v>1.6029999999999999E-2</v>
      </c>
      <c r="X88" s="10">
        <v>9.2219999999999993E-3</v>
      </c>
      <c r="Y88" s="10">
        <v>1.095E-2</v>
      </c>
      <c r="Z88" s="10">
        <v>1.629E-3</v>
      </c>
      <c r="AA88" s="10">
        <v>18.100000000000001</v>
      </c>
      <c r="AB88" s="10">
        <v>31.69</v>
      </c>
      <c r="AC88" s="10">
        <v>117.7</v>
      </c>
      <c r="AD88" s="10">
        <v>1030</v>
      </c>
      <c r="AE88" s="10">
        <v>0.1389</v>
      </c>
      <c r="AF88" s="10">
        <v>0.20569999999999999</v>
      </c>
      <c r="AG88" s="10">
        <v>0.2712</v>
      </c>
      <c r="AH88" s="10">
        <v>0.153</v>
      </c>
      <c r="AI88" s="10">
        <v>0.26750000000000002</v>
      </c>
      <c r="AJ88">
        <v>7.8729999999999994E-2</v>
      </c>
    </row>
    <row r="89" spans="3:36">
      <c r="C89" s="11" t="s">
        <v>195</v>
      </c>
      <c r="D89" s="10">
        <v>56</v>
      </c>
      <c r="E89" s="10">
        <v>85759902</v>
      </c>
      <c r="F89" s="10" t="s">
        <v>1</v>
      </c>
      <c r="G89" s="10">
        <v>13.71</v>
      </c>
      <c r="H89" s="10">
        <v>18.75</v>
      </c>
      <c r="I89" s="10">
        <v>73.34</v>
      </c>
      <c r="J89" s="10">
        <v>409</v>
      </c>
      <c r="K89" s="10">
        <v>9.5240000000000005E-2</v>
      </c>
      <c r="L89" s="10">
        <v>5.4730000000000001E-2</v>
      </c>
      <c r="M89" s="10">
        <v>3.0360000000000002E-2</v>
      </c>
      <c r="N89" s="10">
        <v>2.2780000000000002E-2</v>
      </c>
      <c r="O89" s="10">
        <v>0.192</v>
      </c>
      <c r="P89" s="10">
        <v>5.9069999999999998E-2</v>
      </c>
      <c r="Q89" s="10">
        <v>0.32490000000000002</v>
      </c>
      <c r="R89" s="10">
        <v>0.95909999999999995</v>
      </c>
      <c r="S89" s="10">
        <v>2.1829999999999998</v>
      </c>
      <c r="T89" s="10">
        <v>23.47</v>
      </c>
      <c r="U89" s="10">
        <v>8.3280000000000003E-3</v>
      </c>
      <c r="V89" s="10">
        <v>8.7220000000000006E-3</v>
      </c>
      <c r="W89" s="10">
        <v>1.349E-2</v>
      </c>
      <c r="X89" s="10">
        <v>8.6700000000000006E-3</v>
      </c>
      <c r="Y89" s="10">
        <v>3.218E-2</v>
      </c>
      <c r="Z89" s="10">
        <v>2.3860000000000001E-3</v>
      </c>
      <c r="AA89" s="10">
        <v>12.84</v>
      </c>
      <c r="AB89" s="10">
        <v>22.47</v>
      </c>
      <c r="AC89" s="10">
        <v>81.81</v>
      </c>
      <c r="AD89" s="10">
        <v>506.2</v>
      </c>
      <c r="AE89" s="10">
        <v>0.1249</v>
      </c>
      <c r="AF89" s="10">
        <v>8.72E-2</v>
      </c>
      <c r="AG89" s="10">
        <v>9.0759999999999993E-2</v>
      </c>
      <c r="AH89" s="10">
        <v>6.3159999999999994E-2</v>
      </c>
      <c r="AI89" s="10">
        <v>0.3306</v>
      </c>
      <c r="AJ89">
        <v>7.0360000000000006E-2</v>
      </c>
    </row>
    <row r="90" spans="3:36">
      <c r="C90" s="11" t="s">
        <v>196</v>
      </c>
      <c r="D90" s="10">
        <v>57</v>
      </c>
      <c r="E90" s="10">
        <v>857637</v>
      </c>
      <c r="F90" s="10" t="s">
        <v>0</v>
      </c>
      <c r="G90" s="10">
        <v>13.71</v>
      </c>
      <c r="H90" s="10">
        <v>18.57</v>
      </c>
      <c r="I90" s="10">
        <v>125.5</v>
      </c>
      <c r="J90" s="10">
        <v>1152</v>
      </c>
      <c r="K90" s="10">
        <v>0.1053</v>
      </c>
      <c r="L90" s="10">
        <v>0.12670000000000001</v>
      </c>
      <c r="M90" s="10">
        <v>0.1323</v>
      </c>
      <c r="N90" s="10">
        <v>8.9940000000000006E-2</v>
      </c>
      <c r="O90" s="10">
        <v>0.19170000000000001</v>
      </c>
      <c r="P90" s="10">
        <v>5.9610000000000003E-2</v>
      </c>
      <c r="Q90" s="10">
        <v>0.72750000000000004</v>
      </c>
      <c r="R90" s="10">
        <v>1.1930000000000001</v>
      </c>
      <c r="S90" s="10">
        <v>4.8369999999999997</v>
      </c>
      <c r="T90" s="10">
        <v>102.5</v>
      </c>
      <c r="U90" s="10">
        <v>6.4580000000000002E-3</v>
      </c>
      <c r="V90" s="10">
        <v>2.3060000000000001E-2</v>
      </c>
      <c r="W90" s="10">
        <v>2.945E-2</v>
      </c>
      <c r="X90" s="10">
        <v>1.538E-2</v>
      </c>
      <c r="Y90" s="10">
        <v>1.8519999999999998E-2</v>
      </c>
      <c r="Z90" s="10">
        <v>2.6080000000000001E-3</v>
      </c>
      <c r="AA90" s="10">
        <v>26.14</v>
      </c>
      <c r="AB90" s="10">
        <v>28.14</v>
      </c>
      <c r="AC90" s="10">
        <v>170.1</v>
      </c>
      <c r="AD90" s="10">
        <v>2145</v>
      </c>
      <c r="AE90" s="10">
        <v>0.16239999999999999</v>
      </c>
      <c r="AF90" s="10">
        <v>0.35110000000000002</v>
      </c>
      <c r="AG90" s="10">
        <v>0.38790000000000002</v>
      </c>
      <c r="AH90" s="10">
        <v>0.20910000000000001</v>
      </c>
      <c r="AI90" s="10">
        <v>0.35370000000000001</v>
      </c>
      <c r="AJ90">
        <v>8.294E-2</v>
      </c>
    </row>
    <row r="91" spans="3:36">
      <c r="C91" s="11" t="s">
        <v>197</v>
      </c>
      <c r="D91" s="10">
        <v>58</v>
      </c>
      <c r="E91" s="10">
        <v>857793</v>
      </c>
      <c r="F91" s="10" t="s">
        <v>0</v>
      </c>
      <c r="G91" s="10">
        <v>13.71</v>
      </c>
      <c r="H91" s="10">
        <v>21.59</v>
      </c>
      <c r="I91" s="10">
        <v>95.55</v>
      </c>
      <c r="J91" s="10">
        <v>656.9</v>
      </c>
      <c r="K91" s="10">
        <v>0.1137</v>
      </c>
      <c r="L91" s="10">
        <v>0.13650000000000001</v>
      </c>
      <c r="M91" s="10">
        <v>0.1293</v>
      </c>
      <c r="N91" s="10">
        <v>8.1229999999999997E-2</v>
      </c>
      <c r="O91" s="10">
        <v>0.20269999999999999</v>
      </c>
      <c r="P91" s="10">
        <v>6.7580000000000001E-2</v>
      </c>
      <c r="Q91" s="10">
        <v>0.42259999999999998</v>
      </c>
      <c r="R91" s="10">
        <v>1.1499999999999999</v>
      </c>
      <c r="S91" s="10">
        <v>2.7349999999999999</v>
      </c>
      <c r="T91" s="10">
        <v>40.090000000000003</v>
      </c>
      <c r="U91" s="10">
        <v>3.6589999999999999E-3</v>
      </c>
      <c r="V91" s="10">
        <v>2.8549999999999999E-2</v>
      </c>
      <c r="W91" s="10">
        <v>2.572E-2</v>
      </c>
      <c r="X91" s="10">
        <v>1.272E-2</v>
      </c>
      <c r="Y91" s="10">
        <v>1.8169999999999999E-2</v>
      </c>
      <c r="Z91" s="10">
        <v>4.1079999999999997E-3</v>
      </c>
      <c r="AA91" s="10">
        <v>17.87</v>
      </c>
      <c r="AB91" s="10">
        <v>30.7</v>
      </c>
      <c r="AC91" s="10">
        <v>115.7</v>
      </c>
      <c r="AD91" s="10">
        <v>985.5</v>
      </c>
      <c r="AE91" s="10">
        <v>0.1368</v>
      </c>
      <c r="AF91" s="10">
        <v>0.42899999999999999</v>
      </c>
      <c r="AG91" s="10">
        <v>0.35870000000000002</v>
      </c>
      <c r="AH91" s="10">
        <v>0.18340000000000001</v>
      </c>
      <c r="AI91" s="10">
        <v>0.36980000000000002</v>
      </c>
      <c r="AJ91">
        <v>0.1094</v>
      </c>
    </row>
    <row r="92" spans="3:36">
      <c r="C92" s="11" t="s">
        <v>198</v>
      </c>
      <c r="D92" s="10">
        <v>59</v>
      </c>
      <c r="E92" s="10">
        <v>857810</v>
      </c>
      <c r="F92" s="10" t="s">
        <v>1</v>
      </c>
      <c r="G92" s="10">
        <v>13.71</v>
      </c>
      <c r="H92" s="10">
        <v>19.309999999999999</v>
      </c>
      <c r="I92" s="10">
        <v>82.61</v>
      </c>
      <c r="J92" s="10">
        <v>527.20000000000005</v>
      </c>
      <c r="K92" s="10">
        <v>8.0600000000000005E-2</v>
      </c>
      <c r="L92" s="10">
        <v>3.789E-2</v>
      </c>
      <c r="M92" s="10">
        <v>6.9200000000000002E-4</v>
      </c>
      <c r="N92" s="10">
        <v>4.1669999999999997E-3</v>
      </c>
      <c r="O92" s="10">
        <v>0.18190000000000001</v>
      </c>
      <c r="P92" s="10">
        <v>5.5010000000000003E-2</v>
      </c>
      <c r="Q92" s="10">
        <v>0.40400000000000003</v>
      </c>
      <c r="R92" s="10">
        <v>1.214</v>
      </c>
      <c r="S92" s="10">
        <v>2.5950000000000002</v>
      </c>
      <c r="T92" s="10">
        <v>32.96</v>
      </c>
      <c r="U92" s="10">
        <v>7.4910000000000003E-3</v>
      </c>
      <c r="V92" s="10">
        <v>8.5929999999999999E-3</v>
      </c>
      <c r="W92" s="10">
        <v>6.9200000000000002E-4</v>
      </c>
      <c r="X92" s="10">
        <v>4.1669999999999997E-3</v>
      </c>
      <c r="Y92" s="10">
        <v>2.1899999999999999E-2</v>
      </c>
      <c r="Z92" s="10">
        <v>2.99E-3</v>
      </c>
      <c r="AA92" s="10">
        <v>14.23</v>
      </c>
      <c r="AB92" s="10">
        <v>22.25</v>
      </c>
      <c r="AC92" s="10">
        <v>90.24</v>
      </c>
      <c r="AD92" s="10">
        <v>624.1</v>
      </c>
      <c r="AE92" s="10">
        <v>0.1021</v>
      </c>
      <c r="AF92" s="10">
        <v>6.191E-2</v>
      </c>
      <c r="AG92" s="10">
        <v>1.8450000000000001E-3</v>
      </c>
      <c r="AH92" s="10">
        <v>1.111E-2</v>
      </c>
      <c r="AI92" s="10">
        <v>0.24390000000000001</v>
      </c>
      <c r="AJ92">
        <v>6.2890000000000001E-2</v>
      </c>
    </row>
    <row r="93" spans="3:36">
      <c r="C93" s="11" t="s">
        <v>199</v>
      </c>
      <c r="D93" s="10">
        <v>60</v>
      </c>
      <c r="E93" s="10">
        <v>858477</v>
      </c>
      <c r="F93" s="10" t="s">
        <v>1</v>
      </c>
      <c r="G93" s="10">
        <v>13.71</v>
      </c>
      <c r="H93" s="10">
        <v>11.79</v>
      </c>
      <c r="I93" s="10">
        <v>54.34</v>
      </c>
      <c r="J93" s="10">
        <v>224.5</v>
      </c>
      <c r="K93" s="10">
        <v>9.7519999999999996E-2</v>
      </c>
      <c r="L93" s="10">
        <v>5.2720000000000003E-2</v>
      </c>
      <c r="M93" s="10">
        <v>2.061E-2</v>
      </c>
      <c r="N93" s="10">
        <v>7.7990000000000004E-3</v>
      </c>
      <c r="O93" s="10">
        <v>0.16830000000000001</v>
      </c>
      <c r="P93" s="10">
        <v>7.1870000000000003E-2</v>
      </c>
      <c r="Q93" s="10">
        <v>0.15590000000000001</v>
      </c>
      <c r="R93" s="10">
        <v>0.5796</v>
      </c>
      <c r="S93" s="10">
        <v>1.046</v>
      </c>
      <c r="T93" s="10">
        <v>8.3219999999999992</v>
      </c>
      <c r="U93" s="10">
        <v>1.0109999999999999E-2</v>
      </c>
      <c r="V93" s="10">
        <v>1.055E-2</v>
      </c>
      <c r="W93" s="10">
        <v>1.9810000000000001E-2</v>
      </c>
      <c r="X93" s="10">
        <v>5.7419999999999997E-3</v>
      </c>
      <c r="Y93" s="10">
        <v>2.0899999999999998E-2</v>
      </c>
      <c r="Z93" s="10">
        <v>2.7880000000000001E-3</v>
      </c>
      <c r="AA93" s="10">
        <v>9.5069999999999997</v>
      </c>
      <c r="AB93" s="10">
        <v>15.4</v>
      </c>
      <c r="AC93" s="10">
        <v>59.9</v>
      </c>
      <c r="AD93" s="10">
        <v>274.89999999999998</v>
      </c>
      <c r="AE93" s="10">
        <v>0.17330000000000001</v>
      </c>
      <c r="AF93" s="10">
        <v>0.1239</v>
      </c>
      <c r="AG93" s="10">
        <v>0.1168</v>
      </c>
      <c r="AH93" s="10">
        <v>4.419E-2</v>
      </c>
      <c r="AI93" s="10">
        <v>0.32200000000000001</v>
      </c>
      <c r="AJ93">
        <v>9.0260000000000007E-2</v>
      </c>
    </row>
    <row r="94" spans="3:36">
      <c r="C94" s="11" t="s">
        <v>200</v>
      </c>
      <c r="D94" s="10">
        <v>61</v>
      </c>
      <c r="E94" s="10">
        <v>858970</v>
      </c>
      <c r="F94" s="10" t="s">
        <v>1</v>
      </c>
      <c r="G94" s="10">
        <v>13.71</v>
      </c>
      <c r="H94" s="10">
        <v>14.88</v>
      </c>
      <c r="I94" s="10">
        <v>64.55</v>
      </c>
      <c r="J94" s="10">
        <v>311.89999999999998</v>
      </c>
      <c r="K94" s="10">
        <v>0.1134</v>
      </c>
      <c r="L94" s="10">
        <v>8.0610000000000001E-2</v>
      </c>
      <c r="M94" s="10">
        <v>1.0840000000000001E-2</v>
      </c>
      <c r="N94" s="10">
        <v>1.29E-2</v>
      </c>
      <c r="O94" s="10">
        <v>0.27429999999999999</v>
      </c>
      <c r="P94" s="10">
        <v>6.9599999999999995E-2</v>
      </c>
      <c r="Q94" s="10">
        <v>0.51580000000000004</v>
      </c>
      <c r="R94" s="10">
        <v>1.4410000000000001</v>
      </c>
      <c r="S94" s="10">
        <v>3.3119999999999998</v>
      </c>
      <c r="T94" s="10">
        <v>34.619999999999997</v>
      </c>
      <c r="U94" s="10">
        <v>7.5139999999999998E-3</v>
      </c>
      <c r="V94" s="10">
        <v>1.099E-2</v>
      </c>
      <c r="W94" s="10">
        <v>7.6649999999999999E-3</v>
      </c>
      <c r="X94" s="10">
        <v>8.1930000000000006E-3</v>
      </c>
      <c r="Y94" s="10">
        <v>4.1829999999999999E-2</v>
      </c>
      <c r="Z94" s="10">
        <v>5.953E-3</v>
      </c>
      <c r="AA94" s="10">
        <v>11.02</v>
      </c>
      <c r="AB94" s="10">
        <v>17.45</v>
      </c>
      <c r="AC94" s="10">
        <v>69.86</v>
      </c>
      <c r="AD94" s="10">
        <v>368.6</v>
      </c>
      <c r="AE94" s="10">
        <v>0.1275</v>
      </c>
      <c r="AF94" s="10">
        <v>9.8659999999999998E-2</v>
      </c>
      <c r="AG94" s="10">
        <v>2.1680000000000001E-2</v>
      </c>
      <c r="AH94" s="10">
        <v>2.579E-2</v>
      </c>
      <c r="AI94" s="10">
        <v>0.35570000000000002</v>
      </c>
      <c r="AJ94">
        <v>8.0199999999999994E-2</v>
      </c>
    </row>
    <row r="95" spans="3:36">
      <c r="C95" s="11" t="s">
        <v>201</v>
      </c>
      <c r="D95" s="10">
        <v>62</v>
      </c>
      <c r="E95" s="10">
        <v>858981</v>
      </c>
      <c r="F95" s="10" t="s">
        <v>1</v>
      </c>
      <c r="G95" s="10">
        <v>13.71</v>
      </c>
      <c r="H95" s="10">
        <v>20.98</v>
      </c>
      <c r="I95" s="10">
        <v>54.66</v>
      </c>
      <c r="J95" s="10">
        <v>221.8</v>
      </c>
      <c r="K95" s="10">
        <v>0.12429999999999999</v>
      </c>
      <c r="L95" s="10">
        <v>8.9630000000000001E-2</v>
      </c>
      <c r="M95" s="10">
        <v>0.03</v>
      </c>
      <c r="N95" s="10">
        <v>9.2589999999999999E-3</v>
      </c>
      <c r="O95" s="10">
        <v>0.18279999999999999</v>
      </c>
      <c r="P95" s="10">
        <v>6.7570000000000005E-2</v>
      </c>
      <c r="Q95" s="10">
        <v>0.35820000000000002</v>
      </c>
      <c r="R95" s="10">
        <v>2.0670000000000002</v>
      </c>
      <c r="S95" s="10">
        <v>2.4929999999999999</v>
      </c>
      <c r="T95" s="10">
        <v>18.39</v>
      </c>
      <c r="U95" s="10">
        <v>1.193E-2</v>
      </c>
      <c r="V95" s="10">
        <v>3.1620000000000002E-2</v>
      </c>
      <c r="W95" s="10">
        <v>0.03</v>
      </c>
      <c r="X95" s="10">
        <v>9.2589999999999999E-3</v>
      </c>
      <c r="Y95" s="10">
        <v>3.3570000000000003E-2</v>
      </c>
      <c r="Z95" s="10">
        <v>3.0479999999999999E-3</v>
      </c>
      <c r="AA95" s="10">
        <v>9.5649999999999995</v>
      </c>
      <c r="AB95" s="10">
        <v>27.04</v>
      </c>
      <c r="AC95" s="10">
        <v>62.06</v>
      </c>
      <c r="AD95" s="10">
        <v>273.89999999999998</v>
      </c>
      <c r="AE95" s="10">
        <v>0.16389999999999999</v>
      </c>
      <c r="AF95" s="10">
        <v>0.16980000000000001</v>
      </c>
      <c r="AG95" s="10">
        <v>9.0010000000000007E-2</v>
      </c>
      <c r="AH95" s="10">
        <v>2.7779999999999999E-2</v>
      </c>
      <c r="AI95" s="10">
        <v>0.29720000000000002</v>
      </c>
      <c r="AJ95">
        <v>7.7119999999999994E-2</v>
      </c>
    </row>
    <row r="96" spans="3:36">
      <c r="C96" s="11" t="s">
        <v>202</v>
      </c>
      <c r="D96" s="10">
        <v>63</v>
      </c>
      <c r="E96" s="10">
        <v>858986</v>
      </c>
      <c r="F96" s="10" t="s">
        <v>0</v>
      </c>
      <c r="G96" s="10">
        <v>13.71</v>
      </c>
      <c r="H96" s="10">
        <v>22.15</v>
      </c>
      <c r="I96" s="10">
        <v>96.42</v>
      </c>
      <c r="J96" s="10">
        <v>645.70000000000005</v>
      </c>
      <c r="K96" s="10">
        <v>0.10489999999999999</v>
      </c>
      <c r="L96" s="10">
        <v>0.20080000000000001</v>
      </c>
      <c r="M96" s="10">
        <v>0.2135</v>
      </c>
      <c r="N96" s="10">
        <v>8.6529999999999996E-2</v>
      </c>
      <c r="O96" s="10">
        <v>0.19489999999999999</v>
      </c>
      <c r="P96" s="10">
        <v>7.2919999999999999E-2</v>
      </c>
      <c r="Q96" s="10">
        <v>0.7036</v>
      </c>
      <c r="R96" s="10">
        <v>1.268</v>
      </c>
      <c r="S96" s="10">
        <v>5.3730000000000002</v>
      </c>
      <c r="T96" s="10">
        <v>60.78</v>
      </c>
      <c r="U96" s="10">
        <v>9.4070000000000004E-3</v>
      </c>
      <c r="V96" s="10">
        <v>7.0559999999999998E-2</v>
      </c>
      <c r="W96" s="10">
        <v>6.8989999999999996E-2</v>
      </c>
      <c r="X96" s="10">
        <v>1.848E-2</v>
      </c>
      <c r="Y96" s="10">
        <v>1.7000000000000001E-2</v>
      </c>
      <c r="Z96" s="10">
        <v>6.1130000000000004E-3</v>
      </c>
      <c r="AA96" s="10">
        <v>17.670000000000002</v>
      </c>
      <c r="AB96" s="10">
        <v>29.51</v>
      </c>
      <c r="AC96" s="10">
        <v>119.1</v>
      </c>
      <c r="AD96" s="10">
        <v>959.5</v>
      </c>
      <c r="AE96" s="10">
        <v>0.16400000000000001</v>
      </c>
      <c r="AF96" s="10">
        <v>0.62470000000000003</v>
      </c>
      <c r="AG96" s="10">
        <v>0.69220000000000004</v>
      </c>
      <c r="AH96" s="10">
        <v>0.17849999999999999</v>
      </c>
      <c r="AI96" s="10">
        <v>0.28439999999999999</v>
      </c>
      <c r="AJ96">
        <v>0.1132</v>
      </c>
    </row>
    <row r="97" spans="3:36">
      <c r="C97" s="11" t="s">
        <v>203</v>
      </c>
      <c r="D97" s="10">
        <v>64</v>
      </c>
      <c r="E97" s="10">
        <v>859196</v>
      </c>
      <c r="F97" s="10" t="s">
        <v>1</v>
      </c>
      <c r="G97" s="10">
        <v>13.71</v>
      </c>
      <c r="H97" s="10">
        <v>13.86</v>
      </c>
      <c r="I97" s="10">
        <v>59.2</v>
      </c>
      <c r="J97" s="10">
        <v>260.89999999999998</v>
      </c>
      <c r="K97" s="10">
        <v>7.7210000000000001E-2</v>
      </c>
      <c r="L97" s="10">
        <v>8.7510000000000004E-2</v>
      </c>
      <c r="M97" s="10">
        <v>5.9880000000000003E-2</v>
      </c>
      <c r="N97" s="10">
        <v>2.18E-2</v>
      </c>
      <c r="O97" s="10">
        <v>0.2341</v>
      </c>
      <c r="P97" s="10">
        <v>6.9629999999999997E-2</v>
      </c>
      <c r="Q97" s="10">
        <v>0.4098</v>
      </c>
      <c r="R97" s="10">
        <v>2.2650000000000001</v>
      </c>
      <c r="S97" s="10">
        <v>2.6080000000000001</v>
      </c>
      <c r="T97" s="10">
        <v>23.52</v>
      </c>
      <c r="U97" s="10">
        <v>8.7379999999999992E-3</v>
      </c>
      <c r="V97" s="10">
        <v>3.9379999999999998E-2</v>
      </c>
      <c r="W97" s="10">
        <v>4.3119999999999999E-2</v>
      </c>
      <c r="X97" s="10">
        <v>1.5599999999999999E-2</v>
      </c>
      <c r="Y97" s="10">
        <v>4.1919999999999999E-2</v>
      </c>
      <c r="Z97" s="10">
        <v>5.8219999999999999E-3</v>
      </c>
      <c r="AA97" s="10">
        <v>10.01</v>
      </c>
      <c r="AB97" s="10">
        <v>19.23</v>
      </c>
      <c r="AC97" s="10">
        <v>65.59</v>
      </c>
      <c r="AD97" s="10">
        <v>310.10000000000002</v>
      </c>
      <c r="AE97" s="10">
        <v>9.8360000000000003E-2</v>
      </c>
      <c r="AF97" s="10">
        <v>0.1678</v>
      </c>
      <c r="AG97" s="10">
        <v>0.13969999999999999</v>
      </c>
      <c r="AH97" s="10">
        <v>5.0869999999999999E-2</v>
      </c>
      <c r="AI97" s="10">
        <v>0.32819999999999999</v>
      </c>
      <c r="AJ97">
        <v>8.4900000000000003E-2</v>
      </c>
    </row>
    <row r="98" spans="3:36">
      <c r="C98" s="11" t="s">
        <v>204</v>
      </c>
      <c r="D98" s="10">
        <v>65</v>
      </c>
      <c r="E98" s="10">
        <v>85922302</v>
      </c>
      <c r="F98" s="10" t="s">
        <v>0</v>
      </c>
      <c r="G98" s="10">
        <v>13.71</v>
      </c>
      <c r="H98" s="10">
        <v>23.84</v>
      </c>
      <c r="I98" s="10">
        <v>82.69</v>
      </c>
      <c r="J98" s="10">
        <v>499</v>
      </c>
      <c r="K98" s="10">
        <v>0.11219999999999999</v>
      </c>
      <c r="L98" s="10">
        <v>0.12620000000000001</v>
      </c>
      <c r="M98" s="10">
        <v>0.1128</v>
      </c>
      <c r="N98" s="10">
        <v>6.8729999999999999E-2</v>
      </c>
      <c r="O98" s="10">
        <v>0.1905</v>
      </c>
      <c r="P98" s="10">
        <v>6.59E-2</v>
      </c>
      <c r="Q98" s="10">
        <v>0.42549999999999999</v>
      </c>
      <c r="R98" s="10">
        <v>1.1779999999999999</v>
      </c>
      <c r="S98" s="10">
        <v>2.927</v>
      </c>
      <c r="T98" s="10">
        <v>36.46</v>
      </c>
      <c r="U98" s="10">
        <v>7.7809999999999997E-3</v>
      </c>
      <c r="V98" s="10">
        <v>2.648E-2</v>
      </c>
      <c r="W98" s="10">
        <v>2.9729999999999999E-2</v>
      </c>
      <c r="X98" s="10">
        <v>1.29E-2</v>
      </c>
      <c r="Y98" s="10">
        <v>1.635E-2</v>
      </c>
      <c r="Z98" s="10">
        <v>3.601E-3</v>
      </c>
      <c r="AA98" s="10">
        <v>17.09</v>
      </c>
      <c r="AB98" s="10">
        <v>33.47</v>
      </c>
      <c r="AC98" s="10">
        <v>111.8</v>
      </c>
      <c r="AD98" s="10">
        <v>888.3</v>
      </c>
      <c r="AE98" s="10">
        <v>0.18509999999999999</v>
      </c>
      <c r="AF98" s="10">
        <v>0.40610000000000002</v>
      </c>
      <c r="AG98" s="10">
        <v>0.40239999999999998</v>
      </c>
      <c r="AH98" s="10">
        <v>0.1716</v>
      </c>
      <c r="AI98" s="10">
        <v>0.33829999999999999</v>
      </c>
      <c r="AJ98">
        <v>0.1031</v>
      </c>
    </row>
    <row r="99" spans="3:36">
      <c r="C99" s="11" t="s">
        <v>205</v>
      </c>
      <c r="D99" s="10">
        <v>66</v>
      </c>
      <c r="E99" s="10">
        <v>859283</v>
      </c>
      <c r="F99" s="10" t="s">
        <v>0</v>
      </c>
      <c r="G99" s="10">
        <v>13.71</v>
      </c>
      <c r="H99" s="10">
        <v>23.94</v>
      </c>
      <c r="I99" s="10">
        <v>97.4</v>
      </c>
      <c r="J99" s="10">
        <v>668.3</v>
      </c>
      <c r="K99" s="10">
        <v>0.1172</v>
      </c>
      <c r="L99" s="10">
        <v>0.1479</v>
      </c>
      <c r="M99" s="10">
        <v>0.12670000000000001</v>
      </c>
      <c r="N99" s="10">
        <v>9.0289999999999995E-2</v>
      </c>
      <c r="O99" s="10">
        <v>0.1953</v>
      </c>
      <c r="P99" s="10">
        <v>6.6540000000000002E-2</v>
      </c>
      <c r="Q99" s="10">
        <v>0.35770000000000002</v>
      </c>
      <c r="R99" s="10">
        <v>1.2809999999999999</v>
      </c>
      <c r="S99" s="10">
        <v>2.4500000000000002</v>
      </c>
      <c r="T99" s="10">
        <v>35.24</v>
      </c>
      <c r="U99" s="10">
        <v>6.7029999999999998E-3</v>
      </c>
      <c r="V99" s="10">
        <v>2.3099999999999999E-2</v>
      </c>
      <c r="W99" s="10">
        <v>2.315E-2</v>
      </c>
      <c r="X99" s="10">
        <v>1.184E-2</v>
      </c>
      <c r="Y99" s="10">
        <v>1.9E-2</v>
      </c>
      <c r="Z99" s="10">
        <v>3.2239999999999999E-3</v>
      </c>
      <c r="AA99" s="10">
        <v>17.309999999999999</v>
      </c>
      <c r="AB99" s="10">
        <v>33.39</v>
      </c>
      <c r="AC99" s="10">
        <v>114.6</v>
      </c>
      <c r="AD99" s="10">
        <v>925.1</v>
      </c>
      <c r="AE99" s="10">
        <v>0.1648</v>
      </c>
      <c r="AF99" s="10">
        <v>0.34160000000000001</v>
      </c>
      <c r="AG99" s="10">
        <v>0.3024</v>
      </c>
      <c r="AH99" s="10">
        <v>0.16139999999999999</v>
      </c>
      <c r="AI99" s="10">
        <v>0.33210000000000001</v>
      </c>
      <c r="AJ99">
        <v>8.9109999999999995E-2</v>
      </c>
    </row>
    <row r="100" spans="3:36">
      <c r="C100" s="11" t="s">
        <v>206</v>
      </c>
      <c r="D100" s="10">
        <v>67</v>
      </c>
      <c r="E100" s="10">
        <v>859464</v>
      </c>
      <c r="F100" s="10" t="s">
        <v>1</v>
      </c>
      <c r="G100" s="10">
        <v>13.71</v>
      </c>
      <c r="H100" s="10">
        <v>21.01</v>
      </c>
      <c r="I100" s="10">
        <v>60.11</v>
      </c>
      <c r="J100" s="10">
        <v>269.39999999999998</v>
      </c>
      <c r="K100" s="10">
        <v>0.10440000000000001</v>
      </c>
      <c r="L100" s="10">
        <v>7.7729999999999994E-2</v>
      </c>
      <c r="M100" s="10">
        <v>2.172E-2</v>
      </c>
      <c r="N100" s="10">
        <v>1.504E-2</v>
      </c>
      <c r="O100" s="10">
        <v>0.17169999999999999</v>
      </c>
      <c r="P100" s="10">
        <v>6.8989999999999996E-2</v>
      </c>
      <c r="Q100" s="10">
        <v>0.2351</v>
      </c>
      <c r="R100" s="10">
        <v>2.0110000000000001</v>
      </c>
      <c r="S100" s="10">
        <v>1.66</v>
      </c>
      <c r="T100" s="10">
        <v>14.2</v>
      </c>
      <c r="U100" s="10">
        <v>1.052E-2</v>
      </c>
      <c r="V100" s="10">
        <v>1.755E-2</v>
      </c>
      <c r="W100" s="10">
        <v>1.7139999999999999E-2</v>
      </c>
      <c r="X100" s="10">
        <v>9.3329999999999993E-3</v>
      </c>
      <c r="Y100" s="10">
        <v>2.2790000000000001E-2</v>
      </c>
      <c r="Z100" s="10">
        <v>4.2370000000000003E-3</v>
      </c>
      <c r="AA100" s="10">
        <v>10.41</v>
      </c>
      <c r="AB100" s="10">
        <v>31.56</v>
      </c>
      <c r="AC100" s="10">
        <v>67.03</v>
      </c>
      <c r="AD100" s="10">
        <v>330.7</v>
      </c>
      <c r="AE100" s="10">
        <v>0.15479999999999999</v>
      </c>
      <c r="AF100" s="10">
        <v>0.16639999999999999</v>
      </c>
      <c r="AG100" s="10">
        <v>9.4119999999999995E-2</v>
      </c>
      <c r="AH100" s="10">
        <v>6.5170000000000006E-2</v>
      </c>
      <c r="AI100" s="10">
        <v>0.2878</v>
      </c>
      <c r="AJ100">
        <v>9.2109999999999997E-2</v>
      </c>
    </row>
    <row r="101" spans="3:36">
      <c r="C101" s="11" t="s">
        <v>207</v>
      </c>
      <c r="D101" s="10">
        <v>68</v>
      </c>
      <c r="E101" s="10">
        <v>859465</v>
      </c>
      <c r="F101" s="10" t="s">
        <v>1</v>
      </c>
      <c r="G101" s="10">
        <v>13.71</v>
      </c>
      <c r="H101" s="10">
        <v>19.04</v>
      </c>
      <c r="I101" s="10">
        <v>71.8</v>
      </c>
      <c r="J101" s="10">
        <v>394.1</v>
      </c>
      <c r="K101" s="10">
        <v>8.1390000000000004E-2</v>
      </c>
      <c r="L101" s="10">
        <v>4.7010000000000003E-2</v>
      </c>
      <c r="M101" s="10">
        <v>3.7089999999999998E-2</v>
      </c>
      <c r="N101" s="10">
        <v>2.23E-2</v>
      </c>
      <c r="O101" s="10">
        <v>0.15160000000000001</v>
      </c>
      <c r="P101" s="10">
        <v>5.6669999999999998E-2</v>
      </c>
      <c r="Q101" s="10">
        <v>0.2727</v>
      </c>
      <c r="R101" s="10">
        <v>0.94289999999999996</v>
      </c>
      <c r="S101" s="10">
        <v>1.831</v>
      </c>
      <c r="T101" s="10">
        <v>18.149999999999999</v>
      </c>
      <c r="U101" s="10">
        <v>9.2820000000000003E-3</v>
      </c>
      <c r="V101" s="10">
        <v>9.2160000000000002E-3</v>
      </c>
      <c r="W101" s="10">
        <v>2.0629999999999999E-2</v>
      </c>
      <c r="X101" s="10">
        <v>8.9650000000000007E-3</v>
      </c>
      <c r="Y101" s="10">
        <v>2.1829999999999999E-2</v>
      </c>
      <c r="Z101" s="10">
        <v>2.1459999999999999E-3</v>
      </c>
      <c r="AA101" s="10">
        <v>12.33</v>
      </c>
      <c r="AB101" s="10">
        <v>23.84</v>
      </c>
      <c r="AC101" s="10">
        <v>78</v>
      </c>
      <c r="AD101" s="10">
        <v>466.7</v>
      </c>
      <c r="AE101" s="10">
        <v>0.129</v>
      </c>
      <c r="AF101" s="10">
        <v>9.1480000000000006E-2</v>
      </c>
      <c r="AG101" s="10">
        <v>0.1444</v>
      </c>
      <c r="AH101" s="10">
        <v>6.9610000000000005E-2</v>
      </c>
      <c r="AI101" s="10">
        <v>0.24</v>
      </c>
      <c r="AJ101">
        <v>6.6409999999999997E-2</v>
      </c>
    </row>
    <row r="102" spans="3:36">
      <c r="C102" s="11" t="s">
        <v>208</v>
      </c>
      <c r="D102" s="10">
        <v>69</v>
      </c>
      <c r="E102" s="10">
        <v>859471</v>
      </c>
      <c r="F102" s="10" t="s">
        <v>1</v>
      </c>
      <c r="G102" s="10">
        <v>13.71</v>
      </c>
      <c r="H102" s="10">
        <v>17.329999999999998</v>
      </c>
      <c r="I102" s="10">
        <v>58.79</v>
      </c>
      <c r="J102" s="10">
        <v>250.5</v>
      </c>
      <c r="K102" s="10">
        <v>0.1066</v>
      </c>
      <c r="L102" s="10">
        <v>0.14130000000000001</v>
      </c>
      <c r="M102" s="10">
        <v>0.313</v>
      </c>
      <c r="N102" s="10">
        <v>4.3749999999999997E-2</v>
      </c>
      <c r="O102" s="10">
        <v>0.21110000000000001</v>
      </c>
      <c r="P102" s="10">
        <v>8.0460000000000004E-2</v>
      </c>
      <c r="Q102" s="10">
        <v>0.32740000000000002</v>
      </c>
      <c r="R102" s="10">
        <v>1.194</v>
      </c>
      <c r="S102" s="10">
        <v>1.885</v>
      </c>
      <c r="T102" s="10">
        <v>17.670000000000002</v>
      </c>
      <c r="U102" s="10">
        <v>9.5490000000000002E-3</v>
      </c>
      <c r="V102" s="10">
        <v>8.6059999999999998E-2</v>
      </c>
      <c r="W102" s="10">
        <v>0.30380000000000001</v>
      </c>
      <c r="X102" s="10">
        <v>3.322E-2</v>
      </c>
      <c r="Y102" s="10">
        <v>4.197E-2</v>
      </c>
      <c r="Z102" s="10">
        <v>9.5589999999999998E-3</v>
      </c>
      <c r="AA102" s="10">
        <v>10.31</v>
      </c>
      <c r="AB102" s="10">
        <v>22.65</v>
      </c>
      <c r="AC102" s="10">
        <v>65.5</v>
      </c>
      <c r="AD102" s="10">
        <v>324.7</v>
      </c>
      <c r="AE102" s="10">
        <v>0.1482</v>
      </c>
      <c r="AF102" s="10">
        <v>0.4365</v>
      </c>
      <c r="AG102" s="10">
        <v>1.252</v>
      </c>
      <c r="AH102" s="10">
        <v>0.17499999999999999</v>
      </c>
      <c r="AI102" s="10">
        <v>0.42280000000000001</v>
      </c>
      <c r="AJ102">
        <v>0.11749999999999999</v>
      </c>
    </row>
    <row r="103" spans="3:36">
      <c r="C103" s="11" t="s">
        <v>209</v>
      </c>
      <c r="D103" s="10">
        <v>70</v>
      </c>
      <c r="E103" s="10">
        <v>859487</v>
      </c>
      <c r="F103" s="10" t="s">
        <v>1</v>
      </c>
      <c r="G103" s="10">
        <v>13.71</v>
      </c>
      <c r="H103" s="10">
        <v>16.489999999999998</v>
      </c>
      <c r="I103" s="10">
        <v>81.37</v>
      </c>
      <c r="J103" s="10">
        <v>502.5</v>
      </c>
      <c r="K103" s="10">
        <v>9.8309999999999995E-2</v>
      </c>
      <c r="L103" s="10">
        <v>5.2339999999999998E-2</v>
      </c>
      <c r="M103" s="10">
        <v>3.653E-2</v>
      </c>
      <c r="N103" s="10">
        <v>2.8639999999999999E-2</v>
      </c>
      <c r="O103" s="10">
        <v>0.159</v>
      </c>
      <c r="P103" s="10">
        <v>5.6529999999999997E-2</v>
      </c>
      <c r="Q103" s="10">
        <v>0.23680000000000001</v>
      </c>
      <c r="R103" s="10">
        <v>0.87319999999999998</v>
      </c>
      <c r="S103" s="10">
        <v>1.4710000000000001</v>
      </c>
      <c r="T103" s="10">
        <v>18.329999999999998</v>
      </c>
      <c r="U103" s="10">
        <v>7.9620000000000003E-3</v>
      </c>
      <c r="V103" s="10">
        <v>5.6119999999999998E-3</v>
      </c>
      <c r="W103" s="10">
        <v>1.585E-2</v>
      </c>
      <c r="X103" s="10">
        <v>8.6619999999999996E-3</v>
      </c>
      <c r="Y103" s="10">
        <v>2.2540000000000001E-2</v>
      </c>
      <c r="Z103" s="10">
        <v>1.9059999999999999E-3</v>
      </c>
      <c r="AA103" s="10">
        <v>13.46</v>
      </c>
      <c r="AB103" s="10">
        <v>19.760000000000002</v>
      </c>
      <c r="AC103" s="10">
        <v>85.67</v>
      </c>
      <c r="AD103" s="10">
        <v>554.9</v>
      </c>
      <c r="AE103" s="10">
        <v>0.12959999999999999</v>
      </c>
      <c r="AF103" s="10">
        <v>7.0610000000000006E-2</v>
      </c>
      <c r="AG103" s="10">
        <v>0.10390000000000001</v>
      </c>
      <c r="AH103" s="10">
        <v>5.8819999999999997E-2</v>
      </c>
      <c r="AI103" s="10">
        <v>0.23830000000000001</v>
      </c>
      <c r="AJ103">
        <v>6.4100000000000004E-2</v>
      </c>
    </row>
    <row r="104" spans="3:36">
      <c r="C104" s="11" t="s">
        <v>210</v>
      </c>
      <c r="D104" s="10">
        <v>71</v>
      </c>
      <c r="E104" s="10">
        <v>859575</v>
      </c>
      <c r="F104" s="10" t="s">
        <v>0</v>
      </c>
      <c r="G104" s="10">
        <v>13.71</v>
      </c>
      <c r="H104" s="10">
        <v>21.31</v>
      </c>
      <c r="I104" s="10">
        <v>123.6</v>
      </c>
      <c r="J104" s="10">
        <v>1130</v>
      </c>
      <c r="K104" s="10">
        <v>9.0090000000000003E-2</v>
      </c>
      <c r="L104" s="10">
        <v>0.10290000000000001</v>
      </c>
      <c r="M104" s="10">
        <v>0.108</v>
      </c>
      <c r="N104" s="10">
        <v>7.9509999999999997E-2</v>
      </c>
      <c r="O104" s="10">
        <v>0.15820000000000001</v>
      </c>
      <c r="P104" s="10">
        <v>5.4609999999999999E-2</v>
      </c>
      <c r="Q104" s="10">
        <v>0.78879999999999995</v>
      </c>
      <c r="R104" s="10">
        <v>0.79749999999999999</v>
      </c>
      <c r="S104" s="10">
        <v>5.4859999999999998</v>
      </c>
      <c r="T104" s="10">
        <v>96.05</v>
      </c>
      <c r="U104" s="10">
        <v>4.444E-3</v>
      </c>
      <c r="V104" s="10">
        <v>1.652E-2</v>
      </c>
      <c r="W104" s="10">
        <v>2.2689999999999998E-2</v>
      </c>
      <c r="X104" s="10">
        <v>1.37E-2</v>
      </c>
      <c r="Y104" s="10">
        <v>1.3860000000000001E-2</v>
      </c>
      <c r="Z104" s="10">
        <v>1.6980000000000001E-3</v>
      </c>
      <c r="AA104" s="10">
        <v>24.86</v>
      </c>
      <c r="AB104" s="10">
        <v>26.58</v>
      </c>
      <c r="AC104" s="10">
        <v>165.9</v>
      </c>
      <c r="AD104" s="10">
        <v>1866</v>
      </c>
      <c r="AE104" s="10">
        <v>0.1193</v>
      </c>
      <c r="AF104" s="10">
        <v>0.2336</v>
      </c>
      <c r="AG104" s="10">
        <v>0.26869999999999999</v>
      </c>
      <c r="AH104" s="10">
        <v>0.1789</v>
      </c>
      <c r="AI104" s="10">
        <v>0.25509999999999999</v>
      </c>
      <c r="AJ104">
        <v>6.5890000000000004E-2</v>
      </c>
    </row>
    <row r="105" spans="3:36">
      <c r="C105" s="11" t="s">
        <v>211</v>
      </c>
      <c r="D105" s="10">
        <v>72</v>
      </c>
      <c r="E105" s="10">
        <v>859711</v>
      </c>
      <c r="F105" s="10" t="s">
        <v>1</v>
      </c>
      <c r="G105" s="10">
        <v>13.71</v>
      </c>
      <c r="H105" s="10">
        <v>14.64</v>
      </c>
      <c r="I105" s="10">
        <v>58.79</v>
      </c>
      <c r="J105" s="10">
        <v>244</v>
      </c>
      <c r="K105" s="10">
        <v>9.783E-2</v>
      </c>
      <c r="L105" s="10">
        <v>0.15310000000000001</v>
      </c>
      <c r="M105" s="10">
        <v>8.6059999999999998E-2</v>
      </c>
      <c r="N105" s="10">
        <v>2.8719999999999999E-2</v>
      </c>
      <c r="O105" s="10">
        <v>0.19020000000000001</v>
      </c>
      <c r="P105" s="10">
        <v>8.9800000000000005E-2</v>
      </c>
      <c r="Q105" s="10">
        <v>0.5262</v>
      </c>
      <c r="R105" s="10">
        <v>0.85219999999999996</v>
      </c>
      <c r="S105" s="10">
        <v>3.1680000000000001</v>
      </c>
      <c r="T105" s="10">
        <v>25.44</v>
      </c>
      <c r="U105" s="10">
        <v>1.721E-2</v>
      </c>
      <c r="V105" s="10">
        <v>9.3679999999999999E-2</v>
      </c>
      <c r="W105" s="10">
        <v>5.6710000000000003E-2</v>
      </c>
      <c r="X105" s="10">
        <v>1.7659999999999999E-2</v>
      </c>
      <c r="Y105" s="10">
        <v>2.5409999999999999E-2</v>
      </c>
      <c r="Z105" s="10">
        <v>2.1930000000000002E-2</v>
      </c>
      <c r="AA105" s="10">
        <v>9.7330000000000005</v>
      </c>
      <c r="AB105" s="10">
        <v>15.67</v>
      </c>
      <c r="AC105" s="10">
        <v>62.56</v>
      </c>
      <c r="AD105" s="10">
        <v>284.39999999999998</v>
      </c>
      <c r="AE105" s="10">
        <v>0.1207</v>
      </c>
      <c r="AF105" s="10">
        <v>0.24360000000000001</v>
      </c>
      <c r="AG105" s="10">
        <v>0.1434</v>
      </c>
      <c r="AH105" s="10">
        <v>4.786E-2</v>
      </c>
      <c r="AI105" s="10">
        <v>0.22539999999999999</v>
      </c>
      <c r="AJ105">
        <v>0.1084</v>
      </c>
    </row>
    <row r="106" spans="3:36">
      <c r="C106" s="11" t="s">
        <v>212</v>
      </c>
      <c r="D106" s="10">
        <v>73</v>
      </c>
      <c r="E106" s="10">
        <v>859717</v>
      </c>
      <c r="F106" s="10" t="s">
        <v>0</v>
      </c>
      <c r="G106" s="10">
        <v>13.71</v>
      </c>
      <c r="H106" s="10">
        <v>24.52</v>
      </c>
      <c r="I106" s="10">
        <v>114.2</v>
      </c>
      <c r="J106" s="10">
        <v>929.4</v>
      </c>
      <c r="K106" s="10">
        <v>0.1071</v>
      </c>
      <c r="L106" s="10">
        <v>0.183</v>
      </c>
      <c r="M106" s="10">
        <v>0.16919999999999999</v>
      </c>
      <c r="N106" s="10">
        <v>7.9439999999999997E-2</v>
      </c>
      <c r="O106" s="10">
        <v>0.19270000000000001</v>
      </c>
      <c r="P106" s="10">
        <v>6.4869999999999997E-2</v>
      </c>
      <c r="Q106" s="10">
        <v>0.5907</v>
      </c>
      <c r="R106" s="10">
        <v>1.0409999999999999</v>
      </c>
      <c r="S106" s="10">
        <v>3.7050000000000001</v>
      </c>
      <c r="T106" s="10">
        <v>69.47</v>
      </c>
      <c r="U106" s="10">
        <v>5.8199999999999997E-3</v>
      </c>
      <c r="V106" s="10">
        <v>5.6160000000000002E-2</v>
      </c>
      <c r="W106" s="10">
        <v>4.2520000000000002E-2</v>
      </c>
      <c r="X106" s="10">
        <v>1.1270000000000001E-2</v>
      </c>
      <c r="Y106" s="10">
        <v>1.5270000000000001E-2</v>
      </c>
      <c r="Z106" s="10">
        <v>6.2989999999999999E-3</v>
      </c>
      <c r="AA106" s="10">
        <v>23.32</v>
      </c>
      <c r="AB106" s="10">
        <v>33.82</v>
      </c>
      <c r="AC106" s="10">
        <v>151.6</v>
      </c>
      <c r="AD106" s="10">
        <v>1681</v>
      </c>
      <c r="AE106" s="10">
        <v>0.1585</v>
      </c>
      <c r="AF106" s="10">
        <v>0.73939999999999995</v>
      </c>
      <c r="AG106" s="10">
        <v>0.65659999999999996</v>
      </c>
      <c r="AH106" s="10">
        <v>0.18990000000000001</v>
      </c>
      <c r="AI106" s="10">
        <v>0.33129999999999998</v>
      </c>
      <c r="AJ106">
        <v>0.13389999999999999</v>
      </c>
    </row>
    <row r="107" spans="3:36">
      <c r="C107" s="11" t="s">
        <v>213</v>
      </c>
      <c r="D107" s="10">
        <v>74</v>
      </c>
      <c r="E107" s="10">
        <v>859983</v>
      </c>
      <c r="F107" s="10" t="s">
        <v>0</v>
      </c>
      <c r="G107" s="10">
        <v>13.71</v>
      </c>
      <c r="H107" s="10">
        <v>15.79</v>
      </c>
      <c r="I107" s="10">
        <v>90.43</v>
      </c>
      <c r="J107" s="10">
        <v>584.1</v>
      </c>
      <c r="K107" s="10">
        <v>0.1007</v>
      </c>
      <c r="L107" s="10">
        <v>0.128</v>
      </c>
      <c r="M107" s="10">
        <v>7.7890000000000001E-2</v>
      </c>
      <c r="N107" s="10">
        <v>5.0689999999999999E-2</v>
      </c>
      <c r="O107" s="10">
        <v>0.16619999999999999</v>
      </c>
      <c r="P107" s="10">
        <v>6.5659999999999996E-2</v>
      </c>
      <c r="Q107" s="10">
        <v>0.2787</v>
      </c>
      <c r="R107" s="10">
        <v>0.62050000000000005</v>
      </c>
      <c r="S107" s="10">
        <v>1.9570000000000001</v>
      </c>
      <c r="T107" s="10">
        <v>23.35</v>
      </c>
      <c r="U107" s="10">
        <v>4.7169999999999998E-3</v>
      </c>
      <c r="V107" s="10">
        <v>2.0650000000000002E-2</v>
      </c>
      <c r="W107" s="10">
        <v>1.7590000000000001E-2</v>
      </c>
      <c r="X107" s="10">
        <v>9.2060000000000006E-3</v>
      </c>
      <c r="Y107" s="10">
        <v>1.2200000000000001E-2</v>
      </c>
      <c r="Z107" s="10">
        <v>3.13E-3</v>
      </c>
      <c r="AA107" s="10">
        <v>16.57</v>
      </c>
      <c r="AB107" s="10">
        <v>20.86</v>
      </c>
      <c r="AC107" s="10">
        <v>110.3</v>
      </c>
      <c r="AD107" s="10">
        <v>812.4</v>
      </c>
      <c r="AE107" s="10">
        <v>0.1411</v>
      </c>
      <c r="AF107" s="10">
        <v>0.35420000000000001</v>
      </c>
      <c r="AG107" s="10">
        <v>0.27789999999999998</v>
      </c>
      <c r="AH107" s="10">
        <v>0.13830000000000001</v>
      </c>
      <c r="AI107" s="10">
        <v>0.25890000000000002</v>
      </c>
      <c r="AJ107">
        <v>0.10299999999999999</v>
      </c>
    </row>
    <row r="108" spans="3:36">
      <c r="C108" s="11" t="s">
        <v>214</v>
      </c>
      <c r="D108" s="10">
        <v>75</v>
      </c>
      <c r="E108" s="10">
        <v>8610175</v>
      </c>
      <c r="F108" s="10" t="s">
        <v>1</v>
      </c>
      <c r="G108" s="10">
        <v>13.71</v>
      </c>
      <c r="H108" s="10">
        <v>16.52</v>
      </c>
      <c r="I108" s="10">
        <v>79.19</v>
      </c>
      <c r="J108" s="10">
        <v>470.9</v>
      </c>
      <c r="K108" s="10">
        <v>9.1719999999999996E-2</v>
      </c>
      <c r="L108" s="10">
        <v>6.8290000000000003E-2</v>
      </c>
      <c r="M108" s="10">
        <v>3.372E-2</v>
      </c>
      <c r="N108" s="10">
        <v>2.2720000000000001E-2</v>
      </c>
      <c r="O108" s="10">
        <v>0.17199999999999999</v>
      </c>
      <c r="P108" s="10">
        <v>5.9139999999999998E-2</v>
      </c>
      <c r="Q108" s="10">
        <v>0.2505</v>
      </c>
      <c r="R108" s="10">
        <v>1.0249999999999999</v>
      </c>
      <c r="S108" s="10">
        <v>1.74</v>
      </c>
      <c r="T108" s="10">
        <v>19.68</v>
      </c>
      <c r="U108" s="10">
        <v>4.8539999999999998E-3</v>
      </c>
      <c r="V108" s="10">
        <v>1.8190000000000001E-2</v>
      </c>
      <c r="W108" s="10">
        <v>1.8259999999999998E-2</v>
      </c>
      <c r="X108" s="10">
        <v>7.9649999999999999E-3</v>
      </c>
      <c r="Y108" s="10">
        <v>1.3860000000000001E-2</v>
      </c>
      <c r="Z108" s="10">
        <v>2.3040000000000001E-3</v>
      </c>
      <c r="AA108" s="10">
        <v>14.11</v>
      </c>
      <c r="AB108" s="10">
        <v>23.21</v>
      </c>
      <c r="AC108" s="10">
        <v>89.71</v>
      </c>
      <c r="AD108" s="10">
        <v>611.1</v>
      </c>
      <c r="AE108" s="10">
        <v>0.1176</v>
      </c>
      <c r="AF108" s="10">
        <v>0.18429999999999999</v>
      </c>
      <c r="AG108" s="10">
        <v>0.17030000000000001</v>
      </c>
      <c r="AH108" s="10">
        <v>8.6599999999999996E-2</v>
      </c>
      <c r="AI108" s="10">
        <v>0.26179999999999998</v>
      </c>
      <c r="AJ108">
        <v>7.6090000000000005E-2</v>
      </c>
    </row>
    <row r="109" spans="3:36">
      <c r="C109" s="11" t="s">
        <v>215</v>
      </c>
      <c r="D109" s="10">
        <v>76</v>
      </c>
      <c r="E109" s="10">
        <v>8610404</v>
      </c>
      <c r="F109" s="10" t="s">
        <v>0</v>
      </c>
      <c r="G109" s="10">
        <v>13.71</v>
      </c>
      <c r="H109" s="10">
        <v>19.649999999999999</v>
      </c>
      <c r="I109" s="10">
        <v>104.1</v>
      </c>
      <c r="J109" s="10">
        <v>817.7</v>
      </c>
      <c r="K109" s="10">
        <v>9.1679999999999998E-2</v>
      </c>
      <c r="L109" s="10">
        <v>8.4239999999999995E-2</v>
      </c>
      <c r="M109" s="10">
        <v>9.7689999999999999E-2</v>
      </c>
      <c r="N109" s="10">
        <v>6.6379999999999995E-2</v>
      </c>
      <c r="O109" s="10">
        <v>0.17979999999999999</v>
      </c>
      <c r="P109" s="10">
        <v>5.391E-2</v>
      </c>
      <c r="Q109" s="10">
        <v>0.74739999999999995</v>
      </c>
      <c r="R109" s="10">
        <v>1.016</v>
      </c>
      <c r="S109" s="10">
        <v>5.0289999999999999</v>
      </c>
      <c r="T109" s="10">
        <v>79.25</v>
      </c>
      <c r="U109" s="10">
        <v>1.082E-2</v>
      </c>
      <c r="V109" s="10">
        <v>2.2030000000000001E-2</v>
      </c>
      <c r="W109" s="10">
        <v>3.5000000000000003E-2</v>
      </c>
      <c r="X109" s="10">
        <v>1.8089999999999998E-2</v>
      </c>
      <c r="Y109" s="10">
        <v>1.55E-2</v>
      </c>
      <c r="Z109" s="10">
        <v>1.9480000000000001E-3</v>
      </c>
      <c r="AA109" s="10">
        <v>19.77</v>
      </c>
      <c r="AB109" s="10">
        <v>24.56</v>
      </c>
      <c r="AC109" s="10">
        <v>128.80000000000001</v>
      </c>
      <c r="AD109" s="10">
        <v>1223</v>
      </c>
      <c r="AE109" s="10">
        <v>0.15</v>
      </c>
      <c r="AF109" s="10">
        <v>0.20449999999999999</v>
      </c>
      <c r="AG109" s="10">
        <v>0.28289999999999998</v>
      </c>
      <c r="AH109" s="10">
        <v>0.152</v>
      </c>
      <c r="AI109" s="10">
        <v>0.26500000000000001</v>
      </c>
      <c r="AJ109">
        <v>6.3869999999999996E-2</v>
      </c>
    </row>
    <row r="110" spans="3:36">
      <c r="C110" s="11" t="s">
        <v>216</v>
      </c>
      <c r="D110" s="10">
        <v>77</v>
      </c>
      <c r="E110" s="10">
        <v>8610629</v>
      </c>
      <c r="F110" s="10" t="s">
        <v>1</v>
      </c>
      <c r="G110" s="10">
        <v>13.71</v>
      </c>
      <c r="H110" s="10">
        <v>10.94</v>
      </c>
      <c r="I110" s="10">
        <v>87.91</v>
      </c>
      <c r="J110" s="10">
        <v>559.20000000000005</v>
      </c>
      <c r="K110" s="10">
        <v>0.12909999999999999</v>
      </c>
      <c r="L110" s="10">
        <v>0.1047</v>
      </c>
      <c r="M110" s="10">
        <v>6.8769999999999998E-2</v>
      </c>
      <c r="N110" s="10">
        <v>6.5559999999999993E-2</v>
      </c>
      <c r="O110" s="10">
        <v>0.24030000000000001</v>
      </c>
      <c r="P110" s="10">
        <v>6.6409999999999997E-2</v>
      </c>
      <c r="Q110" s="10">
        <v>0.41010000000000002</v>
      </c>
      <c r="R110" s="10">
        <v>1.014</v>
      </c>
      <c r="S110" s="10">
        <v>2.6520000000000001</v>
      </c>
      <c r="T110" s="10">
        <v>32.65</v>
      </c>
      <c r="U110" s="10">
        <v>1.34E-2</v>
      </c>
      <c r="V110" s="10">
        <v>2.8389999999999999E-2</v>
      </c>
      <c r="W110" s="10">
        <v>1.162E-2</v>
      </c>
      <c r="X110" s="10">
        <v>8.2389999999999998E-3</v>
      </c>
      <c r="Y110" s="10">
        <v>2.572E-2</v>
      </c>
      <c r="Z110" s="10">
        <v>6.1640000000000002E-3</v>
      </c>
      <c r="AA110" s="10">
        <v>14.08</v>
      </c>
      <c r="AB110" s="10">
        <v>12.49</v>
      </c>
      <c r="AC110" s="10">
        <v>91.36</v>
      </c>
      <c r="AD110" s="10">
        <v>605.5</v>
      </c>
      <c r="AE110" s="10">
        <v>0.14510000000000001</v>
      </c>
      <c r="AF110" s="10">
        <v>0.13789999999999999</v>
      </c>
      <c r="AG110" s="10">
        <v>8.5389999999999994E-2</v>
      </c>
      <c r="AH110" s="10">
        <v>7.4069999999999997E-2</v>
      </c>
      <c r="AI110" s="10">
        <v>0.27100000000000002</v>
      </c>
      <c r="AJ110">
        <v>7.1910000000000002E-2</v>
      </c>
    </row>
    <row r="111" spans="3:36">
      <c r="C111" s="11" t="s">
        <v>217</v>
      </c>
      <c r="D111" s="10">
        <v>78</v>
      </c>
      <c r="E111" s="10">
        <v>8610637</v>
      </c>
      <c r="F111" s="10" t="s">
        <v>0</v>
      </c>
      <c r="G111" s="10">
        <v>13.71</v>
      </c>
      <c r="H111" s="10">
        <v>16.149999999999999</v>
      </c>
      <c r="I111" s="10">
        <v>120.2</v>
      </c>
      <c r="J111" s="10">
        <v>1006</v>
      </c>
      <c r="K111" s="10">
        <v>0.1065</v>
      </c>
      <c r="L111" s="10">
        <v>0.21460000000000001</v>
      </c>
      <c r="M111" s="10">
        <v>0.16839999999999999</v>
      </c>
      <c r="N111" s="10">
        <v>0.108</v>
      </c>
      <c r="O111" s="10">
        <v>0.2152</v>
      </c>
      <c r="P111" s="10">
        <v>6.6729999999999998E-2</v>
      </c>
      <c r="Q111" s="10">
        <v>0.98060000000000003</v>
      </c>
      <c r="R111" s="10">
        <v>0.55049999999999999</v>
      </c>
      <c r="S111" s="10">
        <v>6.3109999999999999</v>
      </c>
      <c r="T111" s="10">
        <v>134.80000000000001</v>
      </c>
      <c r="U111" s="10">
        <v>7.9399999999999991E-3</v>
      </c>
      <c r="V111" s="10">
        <v>5.8389999999999997E-2</v>
      </c>
      <c r="W111" s="10">
        <v>4.6580000000000003E-2</v>
      </c>
      <c r="X111" s="10">
        <v>2.07E-2</v>
      </c>
      <c r="Y111" s="10">
        <v>2.5909999999999999E-2</v>
      </c>
      <c r="Z111" s="10">
        <v>7.0540000000000004E-3</v>
      </c>
      <c r="AA111" s="10">
        <v>22.39</v>
      </c>
      <c r="AB111" s="10">
        <v>18.91</v>
      </c>
      <c r="AC111" s="10">
        <v>150.1</v>
      </c>
      <c r="AD111" s="10">
        <v>1610</v>
      </c>
      <c r="AE111" s="10">
        <v>0.14779999999999999</v>
      </c>
      <c r="AF111" s="10">
        <v>0.56340000000000001</v>
      </c>
      <c r="AG111" s="10">
        <v>0.37859999999999999</v>
      </c>
      <c r="AH111" s="10">
        <v>0.2102</v>
      </c>
      <c r="AI111" s="10">
        <v>0.37509999999999999</v>
      </c>
      <c r="AJ111">
        <v>0.1108</v>
      </c>
    </row>
    <row r="112" spans="3:36">
      <c r="C112" s="11" t="s">
        <v>218</v>
      </c>
      <c r="D112" s="10">
        <v>79</v>
      </c>
      <c r="E112" s="10">
        <v>8610862</v>
      </c>
      <c r="F112" s="10" t="s">
        <v>0</v>
      </c>
      <c r="G112" s="10">
        <v>13.71</v>
      </c>
      <c r="H112" s="10">
        <v>23.97</v>
      </c>
      <c r="I112" s="10">
        <v>143.69999999999999</v>
      </c>
      <c r="J112" s="10">
        <v>1245</v>
      </c>
      <c r="K112" s="10">
        <v>0.12859999999999999</v>
      </c>
      <c r="L112" s="10">
        <v>0.34539999999999998</v>
      </c>
      <c r="M112" s="10">
        <v>0.37540000000000001</v>
      </c>
      <c r="N112" s="10">
        <v>0.16039999999999999</v>
      </c>
      <c r="O112" s="10">
        <v>0.29060000000000002</v>
      </c>
      <c r="P112" s="10">
        <v>8.1420000000000006E-2</v>
      </c>
      <c r="Q112" s="10">
        <v>0.93169999999999997</v>
      </c>
      <c r="R112" s="10">
        <v>1.885</v>
      </c>
      <c r="S112" s="10">
        <v>8.6489999999999991</v>
      </c>
      <c r="T112" s="10">
        <v>116.4</v>
      </c>
      <c r="U112" s="10">
        <v>1.038E-2</v>
      </c>
      <c r="V112" s="10">
        <v>6.8349999999999994E-2</v>
      </c>
      <c r="W112" s="10">
        <v>0.1091</v>
      </c>
      <c r="X112" s="10">
        <v>2.5930000000000002E-2</v>
      </c>
      <c r="Y112" s="10">
        <v>7.8950000000000006E-2</v>
      </c>
      <c r="Z112" s="10">
        <v>5.9870000000000001E-3</v>
      </c>
      <c r="AA112" s="10">
        <v>23.37</v>
      </c>
      <c r="AB112" s="10">
        <v>31.72</v>
      </c>
      <c r="AC112" s="10">
        <v>170.3</v>
      </c>
      <c r="AD112" s="10">
        <v>1623</v>
      </c>
      <c r="AE112" s="10">
        <v>0.16389999999999999</v>
      </c>
      <c r="AF112" s="10">
        <v>0.61639999999999995</v>
      </c>
      <c r="AG112" s="10">
        <v>0.7681</v>
      </c>
      <c r="AH112" s="10">
        <v>0.25080000000000002</v>
      </c>
      <c r="AI112" s="10">
        <v>0.54400000000000004</v>
      </c>
      <c r="AJ112">
        <v>9.9640000000000006E-2</v>
      </c>
    </row>
    <row r="113" spans="3:36">
      <c r="C113" s="11" t="s">
        <v>219</v>
      </c>
      <c r="D113" s="10">
        <v>80</v>
      </c>
      <c r="E113" s="10">
        <v>8610908</v>
      </c>
      <c r="F113" s="10" t="s">
        <v>1</v>
      </c>
      <c r="G113" s="10">
        <v>13.71</v>
      </c>
      <c r="H113" s="10">
        <v>18</v>
      </c>
      <c r="I113" s="10">
        <v>83.19</v>
      </c>
      <c r="J113" s="10">
        <v>506.3</v>
      </c>
      <c r="K113" s="10">
        <v>9.9339999999999998E-2</v>
      </c>
      <c r="L113" s="10">
        <v>9.5460000000000003E-2</v>
      </c>
      <c r="M113" s="10">
        <v>3.8890000000000001E-2</v>
      </c>
      <c r="N113" s="10">
        <v>2.315E-2</v>
      </c>
      <c r="O113" s="10">
        <v>0.17180000000000001</v>
      </c>
      <c r="P113" s="10">
        <v>5.9970000000000002E-2</v>
      </c>
      <c r="Q113" s="10">
        <v>0.26550000000000001</v>
      </c>
      <c r="R113" s="10">
        <v>1.095</v>
      </c>
      <c r="S113" s="10">
        <v>1.778</v>
      </c>
      <c r="T113" s="10">
        <v>20.350000000000001</v>
      </c>
      <c r="U113" s="10">
        <v>5.293E-3</v>
      </c>
      <c r="V113" s="10">
        <v>1.661E-2</v>
      </c>
      <c r="W113" s="10">
        <v>2.0709999999999999E-2</v>
      </c>
      <c r="X113" s="10">
        <v>8.1790000000000005E-3</v>
      </c>
      <c r="Y113" s="10">
        <v>1.7479999999999999E-2</v>
      </c>
      <c r="Z113" s="10">
        <v>2.8479999999999998E-3</v>
      </c>
      <c r="AA113" s="10">
        <v>14.24</v>
      </c>
      <c r="AB113" s="10">
        <v>24.82</v>
      </c>
      <c r="AC113" s="10">
        <v>91.88</v>
      </c>
      <c r="AD113" s="10">
        <v>622.1</v>
      </c>
      <c r="AE113" s="10">
        <v>0.12889999999999999</v>
      </c>
      <c r="AF113" s="10">
        <v>0.21410000000000001</v>
      </c>
      <c r="AG113" s="10">
        <v>0.1731</v>
      </c>
      <c r="AH113" s="10">
        <v>7.9259999999999997E-2</v>
      </c>
      <c r="AI113" s="10">
        <v>0.27789999999999998</v>
      </c>
      <c r="AJ113">
        <v>7.918E-2</v>
      </c>
    </row>
    <row r="114" spans="3:36">
      <c r="C114" s="11" t="s">
        <v>220</v>
      </c>
      <c r="D114" s="10">
        <v>81</v>
      </c>
      <c r="E114" s="10">
        <v>861103</v>
      </c>
      <c r="F114" s="10" t="s">
        <v>1</v>
      </c>
      <c r="G114" s="10">
        <v>13.71</v>
      </c>
      <c r="H114" s="10">
        <v>20.97</v>
      </c>
      <c r="I114" s="10">
        <v>73.81</v>
      </c>
      <c r="J114" s="10">
        <v>401.5</v>
      </c>
      <c r="K114" s="10">
        <v>0.11020000000000001</v>
      </c>
      <c r="L114" s="10">
        <v>9.3619999999999995E-2</v>
      </c>
      <c r="M114" s="10">
        <v>4.5909999999999999E-2</v>
      </c>
      <c r="N114" s="10">
        <v>2.2329999999999999E-2</v>
      </c>
      <c r="O114" s="10">
        <v>0.1842</v>
      </c>
      <c r="P114" s="10">
        <v>7.0050000000000001E-2</v>
      </c>
      <c r="Q114" s="10">
        <v>0.3251</v>
      </c>
      <c r="R114" s="10">
        <v>2.1739999999999999</v>
      </c>
      <c r="S114" s="10">
        <v>2.077</v>
      </c>
      <c r="T114" s="10">
        <v>24.62</v>
      </c>
      <c r="U114" s="10">
        <v>1.0370000000000001E-2</v>
      </c>
      <c r="V114" s="10">
        <v>1.7059999999999999E-2</v>
      </c>
      <c r="W114" s="10">
        <v>2.5860000000000001E-2</v>
      </c>
      <c r="X114" s="10">
        <v>7.5059999999999997E-3</v>
      </c>
      <c r="Y114" s="10">
        <v>1.8159999999999999E-2</v>
      </c>
      <c r="Z114" s="10">
        <v>3.9760000000000004E-3</v>
      </c>
      <c r="AA114" s="10">
        <v>13.11</v>
      </c>
      <c r="AB114" s="10">
        <v>32.159999999999997</v>
      </c>
      <c r="AC114" s="10">
        <v>84.53</v>
      </c>
      <c r="AD114" s="10">
        <v>525.1</v>
      </c>
      <c r="AE114" s="10">
        <v>0.15570000000000001</v>
      </c>
      <c r="AF114" s="10">
        <v>0.1676</v>
      </c>
      <c r="AG114" s="10">
        <v>0.17549999999999999</v>
      </c>
      <c r="AH114" s="10">
        <v>6.1269999999999998E-2</v>
      </c>
      <c r="AI114" s="10">
        <v>0.2762</v>
      </c>
      <c r="AJ114">
        <v>8.8510000000000005E-2</v>
      </c>
    </row>
    <row r="115" spans="3:36">
      <c r="C115" s="11" t="s">
        <v>221</v>
      </c>
      <c r="D115" s="10">
        <v>82</v>
      </c>
      <c r="E115" s="10">
        <v>8611161</v>
      </c>
      <c r="F115" s="10" t="s">
        <v>1</v>
      </c>
      <c r="G115" s="10">
        <v>13.71</v>
      </c>
      <c r="H115" s="10">
        <v>15.86</v>
      </c>
      <c r="I115" s="10">
        <v>86.49</v>
      </c>
      <c r="J115" s="10">
        <v>520</v>
      </c>
      <c r="K115" s="10">
        <v>0.10780000000000001</v>
      </c>
      <c r="L115" s="10">
        <v>0.1535</v>
      </c>
      <c r="M115" s="10">
        <v>0.1169</v>
      </c>
      <c r="N115" s="10">
        <v>6.9870000000000002E-2</v>
      </c>
      <c r="O115" s="10">
        <v>0.19420000000000001</v>
      </c>
      <c r="P115" s="10">
        <v>6.9019999999999998E-2</v>
      </c>
      <c r="Q115" s="10">
        <v>0.28599999999999998</v>
      </c>
      <c r="R115" s="10">
        <v>1.016</v>
      </c>
      <c r="S115" s="10">
        <v>1.5349999999999999</v>
      </c>
      <c r="T115" s="10">
        <v>12.96</v>
      </c>
      <c r="U115" s="10">
        <v>6.7939999999999997E-3</v>
      </c>
      <c r="V115" s="10">
        <v>3.5749999999999997E-2</v>
      </c>
      <c r="W115" s="10">
        <v>3.9800000000000002E-2</v>
      </c>
      <c r="X115" s="10">
        <v>1.383E-2</v>
      </c>
      <c r="Y115" s="10">
        <v>2.1340000000000001E-2</v>
      </c>
      <c r="Z115" s="10">
        <v>4.6030000000000003E-3</v>
      </c>
      <c r="AA115" s="10">
        <v>15.53</v>
      </c>
      <c r="AB115" s="10">
        <v>23.19</v>
      </c>
      <c r="AC115" s="10">
        <v>96.66</v>
      </c>
      <c r="AD115" s="10">
        <v>614.9</v>
      </c>
      <c r="AE115" s="10">
        <v>0.15359999999999999</v>
      </c>
      <c r="AF115" s="10">
        <v>0.47910000000000003</v>
      </c>
      <c r="AG115" s="10">
        <v>0.48580000000000001</v>
      </c>
      <c r="AH115" s="10">
        <v>0.17080000000000001</v>
      </c>
      <c r="AI115" s="10">
        <v>0.35270000000000001</v>
      </c>
      <c r="AJ115">
        <v>0.1016</v>
      </c>
    </row>
    <row r="116" spans="3:36">
      <c r="C116" s="11" t="s">
        <v>222</v>
      </c>
      <c r="D116" s="10">
        <v>83</v>
      </c>
      <c r="E116" s="10">
        <v>8611555</v>
      </c>
      <c r="F116" s="10" t="s">
        <v>0</v>
      </c>
      <c r="G116" s="10">
        <v>13.71</v>
      </c>
      <c r="H116" s="10">
        <v>24.91</v>
      </c>
      <c r="I116" s="10">
        <v>171.5</v>
      </c>
      <c r="J116" s="10">
        <v>1878</v>
      </c>
      <c r="K116" s="10">
        <v>0.10630000000000001</v>
      </c>
      <c r="L116" s="10">
        <v>0.26650000000000001</v>
      </c>
      <c r="M116" s="10">
        <v>0.33389999999999997</v>
      </c>
      <c r="N116" s="10">
        <v>0.1845</v>
      </c>
      <c r="O116" s="10">
        <v>0.18290000000000001</v>
      </c>
      <c r="P116" s="10">
        <v>6.7820000000000005E-2</v>
      </c>
      <c r="Q116" s="10">
        <v>0.89729999999999999</v>
      </c>
      <c r="R116" s="10">
        <v>1.474</v>
      </c>
      <c r="S116" s="10">
        <v>7.3819999999999997</v>
      </c>
      <c r="T116" s="10">
        <v>120</v>
      </c>
      <c r="U116" s="10">
        <v>8.1659999999999996E-3</v>
      </c>
      <c r="V116" s="10">
        <v>5.6930000000000001E-2</v>
      </c>
      <c r="W116" s="10">
        <v>5.7299999999999997E-2</v>
      </c>
      <c r="X116" s="10">
        <v>2.0299999999999999E-2</v>
      </c>
      <c r="Y116" s="10">
        <v>1.065E-2</v>
      </c>
      <c r="Z116" s="10">
        <v>5.8929999999999998E-3</v>
      </c>
      <c r="AA116" s="10">
        <v>30</v>
      </c>
      <c r="AB116" s="10">
        <v>33.619999999999997</v>
      </c>
      <c r="AC116" s="10">
        <v>211.7</v>
      </c>
      <c r="AD116" s="10">
        <v>2562</v>
      </c>
      <c r="AE116" s="10">
        <v>0.1573</v>
      </c>
      <c r="AF116" s="10">
        <v>0.60760000000000003</v>
      </c>
      <c r="AG116" s="10">
        <v>0.64759999999999995</v>
      </c>
      <c r="AH116" s="10">
        <v>0.28670000000000001</v>
      </c>
      <c r="AI116" s="10">
        <v>0.23549999999999999</v>
      </c>
      <c r="AJ116">
        <v>0.1051</v>
      </c>
    </row>
    <row r="117" spans="3:36">
      <c r="C117" s="11" t="s">
        <v>223</v>
      </c>
      <c r="D117" s="10">
        <v>84</v>
      </c>
      <c r="E117" s="10">
        <v>8611792</v>
      </c>
      <c r="F117" s="10" t="s">
        <v>0</v>
      </c>
      <c r="G117" s="10">
        <v>13.71</v>
      </c>
      <c r="H117" s="10">
        <v>26.29</v>
      </c>
      <c r="I117" s="10">
        <v>129.1</v>
      </c>
      <c r="J117" s="10">
        <v>1132</v>
      </c>
      <c r="K117" s="10">
        <v>0.1215</v>
      </c>
      <c r="L117" s="10">
        <v>0.17910000000000001</v>
      </c>
      <c r="M117" s="10">
        <v>0.19370000000000001</v>
      </c>
      <c r="N117" s="10">
        <v>0.1469</v>
      </c>
      <c r="O117" s="10">
        <v>0.16339999999999999</v>
      </c>
      <c r="P117" s="10">
        <v>7.2239999999999999E-2</v>
      </c>
      <c r="Q117" s="10">
        <v>0.51900000000000002</v>
      </c>
      <c r="R117" s="10">
        <v>2.91</v>
      </c>
      <c r="S117" s="10">
        <v>5.8010000000000002</v>
      </c>
      <c r="T117" s="10">
        <v>67.099999999999994</v>
      </c>
      <c r="U117" s="10">
        <v>7.5449999999999996E-3</v>
      </c>
      <c r="V117" s="10">
        <v>6.0499999999999998E-2</v>
      </c>
      <c r="W117" s="10">
        <v>2.1340000000000001E-2</v>
      </c>
      <c r="X117" s="10">
        <v>1.8429999999999998E-2</v>
      </c>
      <c r="Y117" s="10">
        <v>3.056E-2</v>
      </c>
      <c r="Z117" s="10">
        <v>1.039E-2</v>
      </c>
      <c r="AA117" s="10">
        <v>20.329999999999998</v>
      </c>
      <c r="AB117" s="10">
        <v>32.72</v>
      </c>
      <c r="AC117" s="10">
        <v>141.30000000000001</v>
      </c>
      <c r="AD117" s="10">
        <v>1298</v>
      </c>
      <c r="AE117" s="10">
        <v>0.13919999999999999</v>
      </c>
      <c r="AF117" s="10">
        <v>0.28170000000000001</v>
      </c>
      <c r="AG117" s="10">
        <v>0.2432</v>
      </c>
      <c r="AH117" s="10">
        <v>0.18410000000000001</v>
      </c>
      <c r="AI117" s="10">
        <v>0.2311</v>
      </c>
      <c r="AJ117">
        <v>9.2030000000000001E-2</v>
      </c>
    </row>
    <row r="118" spans="3:36">
      <c r="C118" s="11" t="s">
        <v>224</v>
      </c>
      <c r="D118" s="10">
        <v>85</v>
      </c>
      <c r="E118" s="10">
        <v>8612080</v>
      </c>
      <c r="F118" s="10" t="s">
        <v>1</v>
      </c>
      <c r="G118" s="10">
        <v>13.71</v>
      </c>
      <c r="H118" s="10">
        <v>15.65</v>
      </c>
      <c r="I118" s="10">
        <v>76.95</v>
      </c>
      <c r="J118" s="10">
        <v>443.3</v>
      </c>
      <c r="K118" s="10">
        <v>9.7229999999999997E-2</v>
      </c>
      <c r="L118" s="10">
        <v>7.1650000000000005E-2</v>
      </c>
      <c r="M118" s="10">
        <v>4.1509999999999998E-2</v>
      </c>
      <c r="N118" s="10">
        <v>1.8630000000000001E-2</v>
      </c>
      <c r="O118" s="10">
        <v>0.2079</v>
      </c>
      <c r="P118" s="10">
        <v>5.9679999999999997E-2</v>
      </c>
      <c r="Q118" s="10">
        <v>0.2271</v>
      </c>
      <c r="R118" s="10">
        <v>1.2549999999999999</v>
      </c>
      <c r="S118" s="10">
        <v>1.4410000000000001</v>
      </c>
      <c r="T118" s="10">
        <v>16.16</v>
      </c>
      <c r="U118" s="10">
        <v>5.9690000000000003E-3</v>
      </c>
      <c r="V118" s="10">
        <v>1.8120000000000001E-2</v>
      </c>
      <c r="W118" s="10">
        <v>2.0070000000000001E-2</v>
      </c>
      <c r="X118" s="10">
        <v>7.0270000000000003E-3</v>
      </c>
      <c r="Y118" s="10">
        <v>1.9720000000000001E-2</v>
      </c>
      <c r="Z118" s="10">
        <v>2.6069999999999999E-3</v>
      </c>
      <c r="AA118" s="10">
        <v>13.67</v>
      </c>
      <c r="AB118" s="10">
        <v>24.9</v>
      </c>
      <c r="AC118" s="10">
        <v>87.78</v>
      </c>
      <c r="AD118" s="10">
        <v>567.9</v>
      </c>
      <c r="AE118" s="10">
        <v>0.13769999999999999</v>
      </c>
      <c r="AF118" s="10">
        <v>0.20030000000000001</v>
      </c>
      <c r="AG118" s="10">
        <v>0.22670000000000001</v>
      </c>
      <c r="AH118" s="10">
        <v>7.6319999999999999E-2</v>
      </c>
      <c r="AI118" s="10">
        <v>0.33789999999999998</v>
      </c>
      <c r="AJ118">
        <v>7.9240000000000005E-2</v>
      </c>
    </row>
    <row r="119" spans="3:36">
      <c r="C119" s="11" t="s">
        <v>225</v>
      </c>
      <c r="D119" s="10">
        <v>86</v>
      </c>
      <c r="E119" s="10">
        <v>8612399</v>
      </c>
      <c r="F119" s="10" t="s">
        <v>0</v>
      </c>
      <c r="G119" s="10">
        <v>13.71</v>
      </c>
      <c r="H119" s="10">
        <v>18.52</v>
      </c>
      <c r="I119" s="10">
        <v>121.1</v>
      </c>
      <c r="J119" s="10">
        <v>1075</v>
      </c>
      <c r="K119" s="10">
        <v>9.8739999999999994E-2</v>
      </c>
      <c r="L119" s="10">
        <v>0.1053</v>
      </c>
      <c r="M119" s="10">
        <v>0.13350000000000001</v>
      </c>
      <c r="N119" s="10">
        <v>8.795E-2</v>
      </c>
      <c r="O119" s="10">
        <v>0.2132</v>
      </c>
      <c r="P119" s="10">
        <v>6.0220000000000003E-2</v>
      </c>
      <c r="Q119" s="10">
        <v>0.69969999999999999</v>
      </c>
      <c r="R119" s="10">
        <v>1.4750000000000001</v>
      </c>
      <c r="S119" s="10">
        <v>4.782</v>
      </c>
      <c r="T119" s="10">
        <v>80.599999999999994</v>
      </c>
      <c r="U119" s="10">
        <v>6.4710000000000002E-3</v>
      </c>
      <c r="V119" s="10">
        <v>1.6490000000000001E-2</v>
      </c>
      <c r="W119" s="10">
        <v>2.8060000000000002E-2</v>
      </c>
      <c r="X119" s="10">
        <v>1.4200000000000001E-2</v>
      </c>
      <c r="Y119" s="10">
        <v>2.3699999999999999E-2</v>
      </c>
      <c r="Z119" s="10">
        <v>3.7550000000000001E-3</v>
      </c>
      <c r="AA119" s="10">
        <v>22.93</v>
      </c>
      <c r="AB119" s="10">
        <v>27.68</v>
      </c>
      <c r="AC119" s="10">
        <v>152.19999999999999</v>
      </c>
      <c r="AD119" s="10">
        <v>1603</v>
      </c>
      <c r="AE119" s="10">
        <v>0.13980000000000001</v>
      </c>
      <c r="AF119" s="10">
        <v>0.2089</v>
      </c>
      <c r="AG119" s="10">
        <v>0.31569999999999998</v>
      </c>
      <c r="AH119" s="10">
        <v>0.16420000000000001</v>
      </c>
      <c r="AI119" s="10">
        <v>0.3695</v>
      </c>
      <c r="AJ119">
        <v>8.5790000000000005E-2</v>
      </c>
    </row>
    <row r="120" spans="3:36">
      <c r="C120" s="11" t="s">
        <v>226</v>
      </c>
      <c r="D120" s="10">
        <v>87</v>
      </c>
      <c r="E120" s="10">
        <v>86135501</v>
      </c>
      <c r="F120" s="10" t="s">
        <v>0</v>
      </c>
      <c r="G120" s="10">
        <v>13.71</v>
      </c>
      <c r="H120" s="10">
        <v>21.46</v>
      </c>
      <c r="I120" s="10">
        <v>94.25</v>
      </c>
      <c r="J120" s="10">
        <v>648.20000000000005</v>
      </c>
      <c r="K120" s="10">
        <v>9.4439999999999996E-2</v>
      </c>
      <c r="L120" s="10">
        <v>9.9470000000000003E-2</v>
      </c>
      <c r="M120" s="10">
        <v>0.12039999999999999</v>
      </c>
      <c r="N120" s="10">
        <v>4.938E-2</v>
      </c>
      <c r="O120" s="10">
        <v>0.20749999999999999</v>
      </c>
      <c r="P120" s="10">
        <v>5.636E-2</v>
      </c>
      <c r="Q120" s="10">
        <v>0.4204</v>
      </c>
      <c r="R120" s="10">
        <v>2.2200000000000002</v>
      </c>
      <c r="S120" s="10">
        <v>3.3010000000000002</v>
      </c>
      <c r="T120" s="10">
        <v>38.869999999999997</v>
      </c>
      <c r="U120" s="10">
        <v>9.3690000000000006E-3</v>
      </c>
      <c r="V120" s="10">
        <v>2.9829999999999999E-2</v>
      </c>
      <c r="W120" s="10">
        <v>5.3710000000000001E-2</v>
      </c>
      <c r="X120" s="10">
        <v>1.7610000000000001E-2</v>
      </c>
      <c r="Y120" s="10">
        <v>2.418E-2</v>
      </c>
      <c r="Z120" s="10">
        <v>3.2490000000000002E-3</v>
      </c>
      <c r="AA120" s="10">
        <v>16.21</v>
      </c>
      <c r="AB120" s="10">
        <v>29.25</v>
      </c>
      <c r="AC120" s="10">
        <v>108.4</v>
      </c>
      <c r="AD120" s="10">
        <v>808.9</v>
      </c>
      <c r="AE120" s="10">
        <v>0.13059999999999999</v>
      </c>
      <c r="AF120" s="10">
        <v>0.1976</v>
      </c>
      <c r="AG120" s="10">
        <v>0.33489999999999998</v>
      </c>
      <c r="AH120" s="10">
        <v>0.1225</v>
      </c>
      <c r="AI120" s="10">
        <v>0.30199999999999999</v>
      </c>
      <c r="AJ120">
        <v>6.8459999999999993E-2</v>
      </c>
    </row>
    <row r="121" spans="3:36">
      <c r="C121" s="11" t="s">
        <v>227</v>
      </c>
      <c r="D121" s="10">
        <v>88</v>
      </c>
      <c r="E121" s="10">
        <v>86135502</v>
      </c>
      <c r="F121" s="10" t="s">
        <v>0</v>
      </c>
      <c r="G121" s="10">
        <v>13.71</v>
      </c>
      <c r="H121" s="10">
        <v>24.59</v>
      </c>
      <c r="I121" s="10">
        <v>122</v>
      </c>
      <c r="J121" s="10">
        <v>1076</v>
      </c>
      <c r="K121" s="10">
        <v>9.0289999999999995E-2</v>
      </c>
      <c r="L121" s="10">
        <v>0.1206</v>
      </c>
      <c r="M121" s="10">
        <v>0.14680000000000001</v>
      </c>
      <c r="N121" s="10">
        <v>8.2710000000000006E-2</v>
      </c>
      <c r="O121" s="10">
        <v>0.1953</v>
      </c>
      <c r="P121" s="10">
        <v>5.629E-2</v>
      </c>
      <c r="Q121" s="10">
        <v>0.54949999999999999</v>
      </c>
      <c r="R121" s="10">
        <v>0.66359999999999997</v>
      </c>
      <c r="S121" s="10">
        <v>3.0550000000000002</v>
      </c>
      <c r="T121" s="10">
        <v>57.65</v>
      </c>
      <c r="U121" s="10">
        <v>3.872E-3</v>
      </c>
      <c r="V121" s="10">
        <v>1.8419999999999999E-2</v>
      </c>
      <c r="W121" s="10">
        <v>3.7100000000000001E-2</v>
      </c>
      <c r="X121" s="10">
        <v>1.2E-2</v>
      </c>
      <c r="Y121" s="10">
        <v>1.9640000000000001E-2</v>
      </c>
      <c r="Z121" s="10">
        <v>3.3370000000000001E-3</v>
      </c>
      <c r="AA121" s="10">
        <v>24.56</v>
      </c>
      <c r="AB121" s="10">
        <v>30.41</v>
      </c>
      <c r="AC121" s="10">
        <v>152.9</v>
      </c>
      <c r="AD121" s="10">
        <v>1623</v>
      </c>
      <c r="AE121" s="10">
        <v>0.1249</v>
      </c>
      <c r="AF121" s="10">
        <v>0.3206</v>
      </c>
      <c r="AG121" s="10">
        <v>0.57550000000000001</v>
      </c>
      <c r="AH121" s="10">
        <v>0.1956</v>
      </c>
      <c r="AI121" s="10">
        <v>0.39560000000000001</v>
      </c>
      <c r="AJ121">
        <v>9.2880000000000004E-2</v>
      </c>
    </row>
    <row r="122" spans="3:36">
      <c r="C122" s="11" t="s">
        <v>228</v>
      </c>
      <c r="D122" s="10">
        <v>89</v>
      </c>
      <c r="E122" s="10">
        <v>861597</v>
      </c>
      <c r="F122" s="10" t="s">
        <v>1</v>
      </c>
      <c r="G122" s="10">
        <v>13.71</v>
      </c>
      <c r="H122" s="10">
        <v>21.8</v>
      </c>
      <c r="I122" s="10">
        <v>79.78</v>
      </c>
      <c r="J122" s="10">
        <v>466.1</v>
      </c>
      <c r="K122" s="10">
        <v>8.7720000000000006E-2</v>
      </c>
      <c r="L122" s="10">
        <v>9.4450000000000006E-2</v>
      </c>
      <c r="M122" s="10">
        <v>6.0150000000000002E-2</v>
      </c>
      <c r="N122" s="10">
        <v>3.7449999999999997E-2</v>
      </c>
      <c r="O122" s="10">
        <v>0.193</v>
      </c>
      <c r="P122" s="10">
        <v>6.404E-2</v>
      </c>
      <c r="Q122" s="10">
        <v>0.29780000000000001</v>
      </c>
      <c r="R122" s="10">
        <v>1.502</v>
      </c>
      <c r="S122" s="10">
        <v>2.2029999999999998</v>
      </c>
      <c r="T122" s="10">
        <v>20.95</v>
      </c>
      <c r="U122" s="10">
        <v>7.1120000000000003E-3</v>
      </c>
      <c r="V122" s="10">
        <v>2.4930000000000001E-2</v>
      </c>
      <c r="W122" s="10">
        <v>2.7029999999999998E-2</v>
      </c>
      <c r="X122" s="10">
        <v>1.2930000000000001E-2</v>
      </c>
      <c r="Y122" s="10">
        <v>1.958E-2</v>
      </c>
      <c r="Z122" s="10">
        <v>4.463E-3</v>
      </c>
      <c r="AA122" s="10">
        <v>13.83</v>
      </c>
      <c r="AB122" s="10">
        <v>30.5</v>
      </c>
      <c r="AC122" s="10">
        <v>91.46</v>
      </c>
      <c r="AD122" s="10">
        <v>574.70000000000005</v>
      </c>
      <c r="AE122" s="10">
        <v>0.13039999999999999</v>
      </c>
      <c r="AF122" s="10">
        <v>0.24629999999999999</v>
      </c>
      <c r="AG122" s="10">
        <v>0.24340000000000001</v>
      </c>
      <c r="AH122" s="10">
        <v>0.1205</v>
      </c>
      <c r="AI122" s="10">
        <v>0.29720000000000002</v>
      </c>
      <c r="AJ122">
        <v>9.2609999999999998E-2</v>
      </c>
    </row>
    <row r="123" spans="3:36">
      <c r="C123" s="11" t="s">
        <v>229</v>
      </c>
      <c r="D123" s="10">
        <v>90</v>
      </c>
      <c r="E123" s="10">
        <v>861598</v>
      </c>
      <c r="F123" s="10" t="s">
        <v>1</v>
      </c>
      <c r="G123" s="10">
        <v>13.71</v>
      </c>
      <c r="H123" s="10">
        <v>15.24</v>
      </c>
      <c r="I123" s="10">
        <v>95.77</v>
      </c>
      <c r="J123" s="10">
        <v>651.9</v>
      </c>
      <c r="K123" s="10">
        <v>0.1132</v>
      </c>
      <c r="L123" s="10">
        <v>0.13389999999999999</v>
      </c>
      <c r="M123" s="10">
        <v>9.9659999999999999E-2</v>
      </c>
      <c r="N123" s="10">
        <v>7.0639999999999994E-2</v>
      </c>
      <c r="O123" s="10">
        <v>0.21160000000000001</v>
      </c>
      <c r="P123" s="10">
        <v>6.3460000000000003E-2</v>
      </c>
      <c r="Q123" s="10">
        <v>0.51149999999999995</v>
      </c>
      <c r="R123" s="10">
        <v>0.73719999999999997</v>
      </c>
      <c r="S123" s="10">
        <v>3.8140000000000001</v>
      </c>
      <c r="T123" s="10">
        <v>42.76</v>
      </c>
      <c r="U123" s="10">
        <v>5.5079999999999999E-3</v>
      </c>
      <c r="V123" s="10">
        <v>4.4119999999999999E-2</v>
      </c>
      <c r="W123" s="10">
        <v>4.4359999999999997E-2</v>
      </c>
      <c r="X123" s="10">
        <v>1.6230000000000001E-2</v>
      </c>
      <c r="Y123" s="10">
        <v>2.427E-2</v>
      </c>
      <c r="Z123" s="10">
        <v>4.8409999999999998E-3</v>
      </c>
      <c r="AA123" s="10">
        <v>16.34</v>
      </c>
      <c r="AB123" s="10">
        <v>18.239999999999998</v>
      </c>
      <c r="AC123" s="10">
        <v>109.4</v>
      </c>
      <c r="AD123" s="10">
        <v>803.6</v>
      </c>
      <c r="AE123" s="10">
        <v>0.12770000000000001</v>
      </c>
      <c r="AF123" s="10">
        <v>0.30890000000000001</v>
      </c>
      <c r="AG123" s="10">
        <v>0.26040000000000002</v>
      </c>
      <c r="AH123" s="10">
        <v>0.13969999999999999</v>
      </c>
      <c r="AI123" s="10">
        <v>0.31509999999999999</v>
      </c>
      <c r="AJ123">
        <v>8.473E-2</v>
      </c>
    </row>
    <row r="124" spans="3:36">
      <c r="C124" s="11" t="s">
        <v>230</v>
      </c>
      <c r="D124" s="10">
        <v>91</v>
      </c>
      <c r="E124" s="10">
        <v>861648</v>
      </c>
      <c r="F124" s="10" t="s">
        <v>1</v>
      </c>
      <c r="G124" s="10">
        <v>13.71</v>
      </c>
      <c r="H124" s="10">
        <v>24.02</v>
      </c>
      <c r="I124" s="10">
        <v>94.57</v>
      </c>
      <c r="J124" s="10">
        <v>662.7</v>
      </c>
      <c r="K124" s="10">
        <v>8.974E-2</v>
      </c>
      <c r="L124" s="10">
        <v>8.6059999999999998E-2</v>
      </c>
      <c r="M124" s="10">
        <v>3.1019999999999999E-2</v>
      </c>
      <c r="N124" s="10">
        <v>2.9569999999999999E-2</v>
      </c>
      <c r="O124" s="10">
        <v>0.16850000000000001</v>
      </c>
      <c r="P124" s="10">
        <v>5.8659999999999997E-2</v>
      </c>
      <c r="Q124" s="10">
        <v>0.37209999999999999</v>
      </c>
      <c r="R124" s="10">
        <v>1.111</v>
      </c>
      <c r="S124" s="10">
        <v>2.2789999999999999</v>
      </c>
      <c r="T124" s="10">
        <v>33.76</v>
      </c>
      <c r="U124" s="10">
        <v>4.8679999999999999E-3</v>
      </c>
      <c r="V124" s="10">
        <v>1.8180000000000002E-2</v>
      </c>
      <c r="W124" s="10">
        <v>1.1209999999999999E-2</v>
      </c>
      <c r="X124" s="10">
        <v>8.6060000000000008E-3</v>
      </c>
      <c r="Y124" s="10">
        <v>2.085E-2</v>
      </c>
      <c r="Z124" s="10">
        <v>2.8930000000000002E-3</v>
      </c>
      <c r="AA124" s="10">
        <v>16.11</v>
      </c>
      <c r="AB124" s="10">
        <v>29.11</v>
      </c>
      <c r="AC124" s="10">
        <v>102.9</v>
      </c>
      <c r="AD124" s="10">
        <v>803.7</v>
      </c>
      <c r="AE124" s="10">
        <v>0.1115</v>
      </c>
      <c r="AF124" s="10">
        <v>0.17660000000000001</v>
      </c>
      <c r="AG124" s="10">
        <v>9.1889999999999999E-2</v>
      </c>
      <c r="AH124" s="10">
        <v>6.9459999999999994E-2</v>
      </c>
      <c r="AI124" s="10">
        <v>0.25219999999999998</v>
      </c>
      <c r="AJ124">
        <v>7.2459999999999997E-2</v>
      </c>
    </row>
    <row r="125" spans="3:36">
      <c r="C125" s="11" t="s">
        <v>231</v>
      </c>
      <c r="D125" s="10">
        <v>92</v>
      </c>
      <c r="E125" s="10">
        <v>861799</v>
      </c>
      <c r="F125" s="10" t="s">
        <v>0</v>
      </c>
      <c r="G125" s="10">
        <v>13.71</v>
      </c>
      <c r="H125" s="10">
        <v>22.76</v>
      </c>
      <c r="I125" s="10">
        <v>100.2</v>
      </c>
      <c r="J125" s="10">
        <v>728.2</v>
      </c>
      <c r="K125" s="10">
        <v>9.1999999999999998E-2</v>
      </c>
      <c r="L125" s="10">
        <v>0.1036</v>
      </c>
      <c r="M125" s="10">
        <v>0.11219999999999999</v>
      </c>
      <c r="N125" s="10">
        <v>7.4829999999999994E-2</v>
      </c>
      <c r="O125" s="10">
        <v>0.17169999999999999</v>
      </c>
      <c r="P125" s="10">
        <v>6.0970000000000003E-2</v>
      </c>
      <c r="Q125" s="10">
        <v>0.31290000000000001</v>
      </c>
      <c r="R125" s="10">
        <v>0.84130000000000005</v>
      </c>
      <c r="S125" s="10">
        <v>2.0750000000000002</v>
      </c>
      <c r="T125" s="10">
        <v>29.44</v>
      </c>
      <c r="U125" s="10">
        <v>9.8820000000000002E-3</v>
      </c>
      <c r="V125" s="10">
        <v>2.444E-2</v>
      </c>
      <c r="W125" s="10">
        <v>4.5310000000000003E-2</v>
      </c>
      <c r="X125" s="10">
        <v>1.763E-2</v>
      </c>
      <c r="Y125" s="10">
        <v>2.4709999999999999E-2</v>
      </c>
      <c r="Z125" s="10">
        <v>2.1419999999999998E-3</v>
      </c>
      <c r="AA125" s="10">
        <v>16.43</v>
      </c>
      <c r="AB125" s="10">
        <v>25.84</v>
      </c>
      <c r="AC125" s="10">
        <v>107.5</v>
      </c>
      <c r="AD125" s="10">
        <v>830.9</v>
      </c>
      <c r="AE125" s="10">
        <v>0.12570000000000001</v>
      </c>
      <c r="AF125" s="10">
        <v>0.19969999999999999</v>
      </c>
      <c r="AG125" s="10">
        <v>0.28460000000000002</v>
      </c>
      <c r="AH125" s="10">
        <v>0.14760000000000001</v>
      </c>
      <c r="AI125" s="10">
        <v>0.25559999999999999</v>
      </c>
      <c r="AJ125">
        <v>6.8279999999999993E-2</v>
      </c>
    </row>
    <row r="126" spans="3:36">
      <c r="C126" s="11" t="s">
        <v>232</v>
      </c>
      <c r="D126" s="10">
        <v>93</v>
      </c>
      <c r="E126" s="10">
        <v>861853</v>
      </c>
      <c r="F126" s="10" t="s">
        <v>1</v>
      </c>
      <c r="G126" s="10">
        <v>13.71</v>
      </c>
      <c r="H126" s="10">
        <v>14.76</v>
      </c>
      <c r="I126" s="10">
        <v>84.74</v>
      </c>
      <c r="J126" s="10">
        <v>551.70000000000005</v>
      </c>
      <c r="K126" s="10">
        <v>7.3550000000000004E-2</v>
      </c>
      <c r="L126" s="10">
        <v>5.0549999999999998E-2</v>
      </c>
      <c r="M126" s="10">
        <v>3.261E-2</v>
      </c>
      <c r="N126" s="10">
        <v>2.648E-2</v>
      </c>
      <c r="O126" s="10">
        <v>0.1386</v>
      </c>
      <c r="P126" s="10">
        <v>5.3179999999999998E-2</v>
      </c>
      <c r="Q126" s="10">
        <v>0.40570000000000001</v>
      </c>
      <c r="R126" s="10">
        <v>1.153</v>
      </c>
      <c r="S126" s="10">
        <v>2.7010000000000001</v>
      </c>
      <c r="T126" s="10">
        <v>36.35</v>
      </c>
      <c r="U126" s="10">
        <v>4.4809999999999997E-3</v>
      </c>
      <c r="V126" s="10">
        <v>1.038E-2</v>
      </c>
      <c r="W126" s="10">
        <v>1.358E-2</v>
      </c>
      <c r="X126" s="10">
        <v>1.082E-2</v>
      </c>
      <c r="Y126" s="10">
        <v>1.069E-2</v>
      </c>
      <c r="Z126" s="10">
        <v>1.4350000000000001E-3</v>
      </c>
      <c r="AA126" s="10">
        <v>16.36</v>
      </c>
      <c r="AB126" s="10">
        <v>22.35</v>
      </c>
      <c r="AC126" s="10">
        <v>104.5</v>
      </c>
      <c r="AD126" s="10">
        <v>830.6</v>
      </c>
      <c r="AE126" s="10">
        <v>0.10059999999999999</v>
      </c>
      <c r="AF126" s="10">
        <v>0.12379999999999999</v>
      </c>
      <c r="AG126" s="10">
        <v>0.13500000000000001</v>
      </c>
      <c r="AH126" s="10">
        <v>0.10009999999999999</v>
      </c>
      <c r="AI126" s="10">
        <v>0.20269999999999999</v>
      </c>
      <c r="AJ126">
        <v>6.2059999999999997E-2</v>
      </c>
    </row>
    <row r="127" spans="3:36">
      <c r="C127" s="11" t="s">
        <v>233</v>
      </c>
      <c r="D127" s="10">
        <v>94</v>
      </c>
      <c r="E127" s="10">
        <v>862009</v>
      </c>
      <c r="F127" s="10" t="s">
        <v>1</v>
      </c>
      <c r="G127" s="10">
        <v>13.71</v>
      </c>
      <c r="H127" s="10">
        <v>18.3</v>
      </c>
      <c r="I127" s="10">
        <v>86.6</v>
      </c>
      <c r="J127" s="10">
        <v>555.1</v>
      </c>
      <c r="K127" s="10">
        <v>0.1022</v>
      </c>
      <c r="L127" s="10">
        <v>8.165E-2</v>
      </c>
      <c r="M127" s="10">
        <v>3.9739999999999998E-2</v>
      </c>
      <c r="N127" s="10">
        <v>2.7799999999999998E-2</v>
      </c>
      <c r="O127" s="10">
        <v>0.1638</v>
      </c>
      <c r="P127" s="10">
        <v>5.7099999999999998E-2</v>
      </c>
      <c r="Q127" s="10">
        <v>0.29499999999999998</v>
      </c>
      <c r="R127" s="10">
        <v>1.373</v>
      </c>
      <c r="S127" s="10">
        <v>2.0990000000000002</v>
      </c>
      <c r="T127" s="10">
        <v>25.22</v>
      </c>
      <c r="U127" s="10">
        <v>5.8840000000000003E-3</v>
      </c>
      <c r="V127" s="10">
        <v>1.491E-2</v>
      </c>
      <c r="W127" s="10">
        <v>1.8720000000000001E-2</v>
      </c>
      <c r="X127" s="10">
        <v>9.3659999999999993E-3</v>
      </c>
      <c r="Y127" s="10">
        <v>1.8839999999999999E-2</v>
      </c>
      <c r="Z127" s="10">
        <v>1.817E-3</v>
      </c>
      <c r="AA127" s="10">
        <v>15.1</v>
      </c>
      <c r="AB127" s="10">
        <v>25.94</v>
      </c>
      <c r="AC127" s="10">
        <v>97.59</v>
      </c>
      <c r="AD127" s="10">
        <v>699.4</v>
      </c>
      <c r="AE127" s="10">
        <v>0.13389999999999999</v>
      </c>
      <c r="AF127" s="10">
        <v>0.17510000000000001</v>
      </c>
      <c r="AG127" s="10">
        <v>0.1381</v>
      </c>
      <c r="AH127" s="10">
        <v>7.911E-2</v>
      </c>
      <c r="AI127" s="10">
        <v>0.26779999999999998</v>
      </c>
      <c r="AJ127">
        <v>6.6030000000000005E-2</v>
      </c>
    </row>
    <row r="128" spans="3:36">
      <c r="C128" s="11" t="s">
        <v>234</v>
      </c>
      <c r="D128" s="10">
        <v>95</v>
      </c>
      <c r="E128" s="10">
        <v>862028</v>
      </c>
      <c r="F128" s="10" t="s">
        <v>0</v>
      </c>
      <c r="G128" s="10">
        <v>13.71</v>
      </c>
      <c r="H128" s="10">
        <v>19.829999999999998</v>
      </c>
      <c r="I128" s="10">
        <v>100.3</v>
      </c>
      <c r="J128" s="10">
        <v>705.6</v>
      </c>
      <c r="K128" s="10">
        <v>0.10390000000000001</v>
      </c>
      <c r="L128" s="10">
        <v>0.15529999999999999</v>
      </c>
      <c r="M128" s="10">
        <v>0.17</v>
      </c>
      <c r="N128" s="10">
        <v>8.8150000000000006E-2</v>
      </c>
      <c r="O128" s="10">
        <v>0.1855</v>
      </c>
      <c r="P128" s="10">
        <v>6.2839999999999993E-2</v>
      </c>
      <c r="Q128" s="10">
        <v>0.4768</v>
      </c>
      <c r="R128" s="10">
        <v>0.96440000000000003</v>
      </c>
      <c r="S128" s="10">
        <v>3.706</v>
      </c>
      <c r="T128" s="10">
        <v>47.14</v>
      </c>
      <c r="U128" s="10">
        <v>9.2499999999999995E-3</v>
      </c>
      <c r="V128" s="10">
        <v>3.7150000000000002E-2</v>
      </c>
      <c r="W128" s="10">
        <v>4.8669999999999998E-2</v>
      </c>
      <c r="X128" s="10">
        <v>1.8509999999999999E-2</v>
      </c>
      <c r="Y128" s="10">
        <v>1.498E-2</v>
      </c>
      <c r="Z128" s="10">
        <v>3.5200000000000001E-3</v>
      </c>
      <c r="AA128" s="10">
        <v>18.23</v>
      </c>
      <c r="AB128" s="10">
        <v>24.23</v>
      </c>
      <c r="AC128" s="10">
        <v>123.5</v>
      </c>
      <c r="AD128" s="10">
        <v>1025</v>
      </c>
      <c r="AE128" s="10">
        <v>0.15509999999999999</v>
      </c>
      <c r="AF128" s="10">
        <v>0.42030000000000001</v>
      </c>
      <c r="AG128" s="10">
        <v>0.52029999999999998</v>
      </c>
      <c r="AH128" s="10">
        <v>0.21149999999999999</v>
      </c>
      <c r="AI128" s="10">
        <v>0.28339999999999999</v>
      </c>
      <c r="AJ128">
        <v>8.2339999999999997E-2</v>
      </c>
    </row>
    <row r="129" spans="3:36">
      <c r="C129" s="11" t="s">
        <v>235</v>
      </c>
      <c r="D129" s="10">
        <v>96</v>
      </c>
      <c r="E129" s="10">
        <v>86208</v>
      </c>
      <c r="F129" s="10" t="s">
        <v>0</v>
      </c>
      <c r="G129" s="10">
        <v>13.71</v>
      </c>
      <c r="H129" s="10">
        <v>23.03</v>
      </c>
      <c r="I129" s="10">
        <v>132.4</v>
      </c>
      <c r="J129" s="10">
        <v>1264</v>
      </c>
      <c r="K129" s="10">
        <v>9.078E-2</v>
      </c>
      <c r="L129" s="10">
        <v>0.1313</v>
      </c>
      <c r="M129" s="10">
        <v>0.14649999999999999</v>
      </c>
      <c r="N129" s="10">
        <v>8.6830000000000004E-2</v>
      </c>
      <c r="O129" s="10">
        <v>0.20949999999999999</v>
      </c>
      <c r="P129" s="10">
        <v>5.6489999999999999E-2</v>
      </c>
      <c r="Q129" s="10">
        <v>0.75760000000000005</v>
      </c>
      <c r="R129" s="10">
        <v>1.5089999999999999</v>
      </c>
      <c r="S129" s="10">
        <v>4.5540000000000003</v>
      </c>
      <c r="T129" s="10">
        <v>87.87</v>
      </c>
      <c r="U129" s="10">
        <v>6.0159999999999996E-3</v>
      </c>
      <c r="V129" s="10">
        <v>3.4819999999999997E-2</v>
      </c>
      <c r="W129" s="10">
        <v>4.2320000000000003E-2</v>
      </c>
      <c r="X129" s="10">
        <v>1.269E-2</v>
      </c>
      <c r="Y129" s="10">
        <v>2.657E-2</v>
      </c>
      <c r="Z129" s="10">
        <v>4.411E-3</v>
      </c>
      <c r="AA129" s="10">
        <v>24.22</v>
      </c>
      <c r="AB129" s="10">
        <v>31.59</v>
      </c>
      <c r="AC129" s="10">
        <v>156.1</v>
      </c>
      <c r="AD129" s="10">
        <v>1750</v>
      </c>
      <c r="AE129" s="10">
        <v>0.11899999999999999</v>
      </c>
      <c r="AF129" s="10">
        <v>0.35389999999999999</v>
      </c>
      <c r="AG129" s="10">
        <v>0.4098</v>
      </c>
      <c r="AH129" s="10">
        <v>0.1573</v>
      </c>
      <c r="AI129" s="10">
        <v>0.36890000000000001</v>
      </c>
      <c r="AJ129">
        <v>8.3680000000000004E-2</v>
      </c>
    </row>
    <row r="130" spans="3:36">
      <c r="C130" s="11" t="s">
        <v>236</v>
      </c>
      <c r="D130" s="10">
        <v>97</v>
      </c>
      <c r="E130" s="10">
        <v>86211</v>
      </c>
      <c r="F130" s="10" t="s">
        <v>1</v>
      </c>
      <c r="G130" s="10">
        <v>13.71</v>
      </c>
      <c r="H130" s="10">
        <v>17.84</v>
      </c>
      <c r="I130" s="10">
        <v>77.790000000000006</v>
      </c>
      <c r="J130" s="10">
        <v>451.1</v>
      </c>
      <c r="K130" s="10">
        <v>0.1045</v>
      </c>
      <c r="L130" s="10">
        <v>7.0569999999999994E-2</v>
      </c>
      <c r="M130" s="10">
        <v>2.4899999999999999E-2</v>
      </c>
      <c r="N130" s="10">
        <v>2.9409999999999999E-2</v>
      </c>
      <c r="O130" s="10">
        <v>0.19</v>
      </c>
      <c r="P130" s="10">
        <v>6.6350000000000006E-2</v>
      </c>
      <c r="Q130" s="10">
        <v>0.36609999999999998</v>
      </c>
      <c r="R130" s="10">
        <v>1.5109999999999999</v>
      </c>
      <c r="S130" s="10">
        <v>2.41</v>
      </c>
      <c r="T130" s="10">
        <v>24.44</v>
      </c>
      <c r="U130" s="10">
        <v>5.4330000000000003E-3</v>
      </c>
      <c r="V130" s="10">
        <v>1.179E-2</v>
      </c>
      <c r="W130" s="10">
        <v>1.1310000000000001E-2</v>
      </c>
      <c r="X130" s="10">
        <v>1.519E-2</v>
      </c>
      <c r="Y130" s="10">
        <v>2.2200000000000001E-2</v>
      </c>
      <c r="Z130" s="10">
        <v>3.408E-3</v>
      </c>
      <c r="AA130" s="10">
        <v>12.83</v>
      </c>
      <c r="AB130" s="10">
        <v>20.92</v>
      </c>
      <c r="AC130" s="10">
        <v>82.14</v>
      </c>
      <c r="AD130" s="10">
        <v>495.2</v>
      </c>
      <c r="AE130" s="10">
        <v>0.114</v>
      </c>
      <c r="AF130" s="10">
        <v>9.3579999999999997E-2</v>
      </c>
      <c r="AG130" s="10">
        <v>4.9799999999999997E-2</v>
      </c>
      <c r="AH130" s="10">
        <v>5.8819999999999997E-2</v>
      </c>
      <c r="AI130" s="10">
        <v>0.22270000000000001</v>
      </c>
      <c r="AJ130">
        <v>7.3760000000000006E-2</v>
      </c>
    </row>
    <row r="131" spans="3:36">
      <c r="C131" s="11" t="s">
        <v>237</v>
      </c>
      <c r="D131" s="10">
        <v>98</v>
      </c>
      <c r="E131" s="10">
        <v>862261</v>
      </c>
      <c r="F131" s="10" t="s">
        <v>1</v>
      </c>
      <c r="G131" s="10">
        <v>13.71</v>
      </c>
      <c r="H131" s="10">
        <v>19.940000000000001</v>
      </c>
      <c r="I131" s="10">
        <v>62.11</v>
      </c>
      <c r="J131" s="10">
        <v>294.5</v>
      </c>
      <c r="K131" s="10">
        <v>0.1024</v>
      </c>
      <c r="L131" s="10">
        <v>5.3010000000000002E-2</v>
      </c>
      <c r="M131" s="10">
        <v>6.829E-3</v>
      </c>
      <c r="N131" s="10">
        <v>7.9369999999999996E-3</v>
      </c>
      <c r="O131" s="10">
        <v>0.13500000000000001</v>
      </c>
      <c r="P131" s="10">
        <v>6.8900000000000003E-2</v>
      </c>
      <c r="Q131" s="10">
        <v>0.33500000000000002</v>
      </c>
      <c r="R131" s="10">
        <v>2.0430000000000001</v>
      </c>
      <c r="S131" s="10">
        <v>2.1320000000000001</v>
      </c>
      <c r="T131" s="10">
        <v>20.05</v>
      </c>
      <c r="U131" s="10">
        <v>1.1129999999999999E-2</v>
      </c>
      <c r="V131" s="10">
        <v>1.4630000000000001E-2</v>
      </c>
      <c r="W131" s="10">
        <v>5.3080000000000002E-3</v>
      </c>
      <c r="X131" s="10">
        <v>5.2500000000000003E-3</v>
      </c>
      <c r="Y131" s="10">
        <v>1.8010000000000002E-2</v>
      </c>
      <c r="Z131" s="10">
        <v>5.6670000000000002E-3</v>
      </c>
      <c r="AA131" s="10">
        <v>10.92</v>
      </c>
      <c r="AB131" s="10">
        <v>26.29</v>
      </c>
      <c r="AC131" s="10">
        <v>68.81</v>
      </c>
      <c r="AD131" s="10">
        <v>366.1</v>
      </c>
      <c r="AE131" s="10">
        <v>0.13159999999999999</v>
      </c>
      <c r="AF131" s="10">
        <v>9.4729999999999995E-2</v>
      </c>
      <c r="AG131" s="10">
        <v>2.0490000000000001E-2</v>
      </c>
      <c r="AH131" s="10">
        <v>2.3810000000000001E-2</v>
      </c>
      <c r="AI131" s="10">
        <v>0.19339999999999999</v>
      </c>
      <c r="AJ131">
        <v>8.9880000000000002E-2</v>
      </c>
    </row>
    <row r="132" spans="3:36">
      <c r="C132" s="11" t="s">
        <v>238</v>
      </c>
      <c r="D132" s="10">
        <v>99</v>
      </c>
      <c r="E132" s="10">
        <v>862485</v>
      </c>
      <c r="F132" s="10" t="s">
        <v>1</v>
      </c>
      <c r="G132" s="10">
        <v>13.71</v>
      </c>
      <c r="H132" s="10">
        <v>12.84</v>
      </c>
      <c r="I132" s="10">
        <v>74.34</v>
      </c>
      <c r="J132" s="10">
        <v>412.6</v>
      </c>
      <c r="K132" s="10">
        <v>8.9829999999999993E-2</v>
      </c>
      <c r="L132" s="10">
        <v>7.5249999999999997E-2</v>
      </c>
      <c r="M132" s="10">
        <v>4.1959999999999997E-2</v>
      </c>
      <c r="N132" s="10">
        <v>3.3500000000000002E-2</v>
      </c>
      <c r="O132" s="10">
        <v>0.16200000000000001</v>
      </c>
      <c r="P132" s="10">
        <v>6.5820000000000004E-2</v>
      </c>
      <c r="Q132" s="10">
        <v>0.23150000000000001</v>
      </c>
      <c r="R132" s="10">
        <v>0.53910000000000002</v>
      </c>
      <c r="S132" s="10">
        <v>1.4750000000000001</v>
      </c>
      <c r="T132" s="10">
        <v>15.75</v>
      </c>
      <c r="U132" s="10">
        <v>6.1529999999999996E-3</v>
      </c>
      <c r="V132" s="10">
        <v>1.3299999999999999E-2</v>
      </c>
      <c r="W132" s="10">
        <v>1.6930000000000001E-2</v>
      </c>
      <c r="X132" s="10">
        <v>6.8840000000000004E-3</v>
      </c>
      <c r="Y132" s="10">
        <v>1.651E-2</v>
      </c>
      <c r="Z132" s="10">
        <v>2.5509999999999999E-3</v>
      </c>
      <c r="AA132" s="10">
        <v>13.06</v>
      </c>
      <c r="AB132" s="10">
        <v>17.16</v>
      </c>
      <c r="AC132" s="10">
        <v>82.96</v>
      </c>
      <c r="AD132" s="10">
        <v>512.5</v>
      </c>
      <c r="AE132" s="10">
        <v>0.1431</v>
      </c>
      <c r="AF132" s="10">
        <v>0.18509999999999999</v>
      </c>
      <c r="AG132" s="10">
        <v>0.19220000000000001</v>
      </c>
      <c r="AH132" s="10">
        <v>8.4489999999999996E-2</v>
      </c>
      <c r="AI132" s="10">
        <v>0.2772</v>
      </c>
      <c r="AJ132">
        <v>8.7559999999999999E-2</v>
      </c>
    </row>
    <row r="133" spans="3:36">
      <c r="C133" s="11" t="s">
        <v>239</v>
      </c>
      <c r="D133" s="10">
        <v>100</v>
      </c>
      <c r="E133" s="10">
        <v>862548</v>
      </c>
      <c r="F133" s="10" t="s">
        <v>0</v>
      </c>
      <c r="G133" s="10">
        <v>13.71</v>
      </c>
      <c r="H133" s="10">
        <v>19.77</v>
      </c>
      <c r="I133" s="10">
        <v>94.48</v>
      </c>
      <c r="J133" s="10">
        <v>642.5</v>
      </c>
      <c r="K133" s="10">
        <v>9.7519999999999996E-2</v>
      </c>
      <c r="L133" s="10">
        <v>0.11409999999999999</v>
      </c>
      <c r="M133" s="10">
        <v>9.3880000000000005E-2</v>
      </c>
      <c r="N133" s="10">
        <v>5.8389999999999997E-2</v>
      </c>
      <c r="O133" s="10">
        <v>0.18790000000000001</v>
      </c>
      <c r="P133" s="10">
        <v>6.3899999999999998E-2</v>
      </c>
      <c r="Q133" s="10">
        <v>0.28949999999999998</v>
      </c>
      <c r="R133" s="10">
        <v>1.851</v>
      </c>
      <c r="S133" s="10">
        <v>2.3759999999999999</v>
      </c>
      <c r="T133" s="10">
        <v>26.85</v>
      </c>
      <c r="U133" s="10">
        <v>8.005E-3</v>
      </c>
      <c r="V133" s="10">
        <v>2.895E-2</v>
      </c>
      <c r="W133" s="10">
        <v>3.3210000000000003E-2</v>
      </c>
      <c r="X133" s="10">
        <v>1.4239999999999999E-2</v>
      </c>
      <c r="Y133" s="10">
        <v>1.4619999999999999E-2</v>
      </c>
      <c r="Z133" s="10">
        <v>4.4520000000000002E-3</v>
      </c>
      <c r="AA133" s="10">
        <v>16.329999999999998</v>
      </c>
      <c r="AB133" s="10">
        <v>30.86</v>
      </c>
      <c r="AC133" s="10">
        <v>109.5</v>
      </c>
      <c r="AD133" s="10">
        <v>826.4</v>
      </c>
      <c r="AE133" s="10">
        <v>0.1431</v>
      </c>
      <c r="AF133" s="10">
        <v>0.30259999999999998</v>
      </c>
      <c r="AG133" s="10">
        <v>0.31940000000000002</v>
      </c>
      <c r="AH133" s="10">
        <v>0.1565</v>
      </c>
      <c r="AI133" s="10">
        <v>0.27179999999999999</v>
      </c>
      <c r="AJ133">
        <v>9.3530000000000002E-2</v>
      </c>
    </row>
    <row r="134" spans="3:36">
      <c r="C134" s="11" t="s">
        <v>240</v>
      </c>
      <c r="D134" s="10">
        <v>101</v>
      </c>
      <c r="E134" s="10">
        <v>862717</v>
      </c>
      <c r="F134" s="10" t="s">
        <v>0</v>
      </c>
      <c r="G134" s="10">
        <v>13.71</v>
      </c>
      <c r="H134" s="10">
        <v>24.98</v>
      </c>
      <c r="I134" s="10">
        <v>88.05</v>
      </c>
      <c r="J134" s="10">
        <v>582.70000000000005</v>
      </c>
      <c r="K134" s="10">
        <v>9.4880000000000006E-2</v>
      </c>
      <c r="L134" s="10">
        <v>8.5110000000000005E-2</v>
      </c>
      <c r="M134" s="10">
        <v>8.6249999999999993E-2</v>
      </c>
      <c r="N134" s="10">
        <v>4.4889999999999999E-2</v>
      </c>
      <c r="O134" s="10">
        <v>0.16089999999999999</v>
      </c>
      <c r="P134" s="10">
        <v>5.8709999999999998E-2</v>
      </c>
      <c r="Q134" s="10">
        <v>0.45650000000000002</v>
      </c>
      <c r="R134" s="10">
        <v>1.29</v>
      </c>
      <c r="S134" s="10">
        <v>2.8610000000000002</v>
      </c>
      <c r="T134" s="10">
        <v>43.14</v>
      </c>
      <c r="U134" s="10">
        <v>5.8719999999999996E-3</v>
      </c>
      <c r="V134" s="10">
        <v>1.4880000000000001E-2</v>
      </c>
      <c r="W134" s="10">
        <v>2.647E-2</v>
      </c>
      <c r="X134" s="10">
        <v>9.9209999999999993E-3</v>
      </c>
      <c r="Y134" s="10">
        <v>1.465E-2</v>
      </c>
      <c r="Z134" s="10">
        <v>2.3549999999999999E-3</v>
      </c>
      <c r="AA134" s="10">
        <v>16.989999999999998</v>
      </c>
      <c r="AB134" s="10">
        <v>35.270000000000003</v>
      </c>
      <c r="AC134" s="10">
        <v>108.6</v>
      </c>
      <c r="AD134" s="10">
        <v>906.5</v>
      </c>
      <c r="AE134" s="10">
        <v>0.1265</v>
      </c>
      <c r="AF134" s="10">
        <v>0.1943</v>
      </c>
      <c r="AG134" s="10">
        <v>0.31690000000000002</v>
      </c>
      <c r="AH134" s="10">
        <v>0.11840000000000001</v>
      </c>
      <c r="AI134" s="10">
        <v>0.2651</v>
      </c>
      <c r="AJ134">
        <v>7.3969999999999994E-2</v>
      </c>
    </row>
    <row r="135" spans="3:36">
      <c r="C135" s="11" t="s">
        <v>241</v>
      </c>
      <c r="D135" s="10">
        <v>102</v>
      </c>
      <c r="E135" s="10">
        <v>862722</v>
      </c>
      <c r="F135" s="10" t="s">
        <v>1</v>
      </c>
      <c r="G135" s="10">
        <v>13.71</v>
      </c>
      <c r="H135" s="10">
        <v>13.43</v>
      </c>
      <c r="I135" s="10">
        <v>43.79</v>
      </c>
      <c r="J135" s="10">
        <v>143.5</v>
      </c>
      <c r="K135" s="10">
        <v>0.11700000000000001</v>
      </c>
      <c r="L135" s="10">
        <v>7.5679999999999997E-2</v>
      </c>
      <c r="M135" s="10">
        <v>0</v>
      </c>
      <c r="N135" s="10">
        <v>0</v>
      </c>
      <c r="O135" s="10">
        <v>0.193</v>
      </c>
      <c r="P135" s="10">
        <v>7.8179999999999999E-2</v>
      </c>
      <c r="Q135" s="10">
        <v>0.22409999999999999</v>
      </c>
      <c r="R135" s="10">
        <v>1.508</v>
      </c>
      <c r="S135" s="10">
        <v>1.5529999999999999</v>
      </c>
      <c r="T135" s="10">
        <v>9.8330000000000002</v>
      </c>
      <c r="U135" s="10">
        <v>1.0189999999999999E-2</v>
      </c>
      <c r="V135" s="10">
        <v>1.0840000000000001E-2</v>
      </c>
      <c r="W135" s="10">
        <v>0</v>
      </c>
      <c r="X135" s="10">
        <v>0</v>
      </c>
      <c r="Y135" s="10">
        <v>2.6589999999999999E-2</v>
      </c>
      <c r="Z135" s="10">
        <v>4.1000000000000003E-3</v>
      </c>
      <c r="AA135" s="10">
        <v>7.93</v>
      </c>
      <c r="AB135" s="10">
        <v>19.54</v>
      </c>
      <c r="AC135" s="10">
        <v>50.41</v>
      </c>
      <c r="AD135" s="10">
        <v>185.2</v>
      </c>
      <c r="AE135" s="10">
        <v>0.15840000000000001</v>
      </c>
      <c r="AF135" s="10">
        <v>0.1202</v>
      </c>
      <c r="AG135" s="10">
        <v>0</v>
      </c>
      <c r="AH135" s="10">
        <v>0</v>
      </c>
      <c r="AI135" s="10">
        <v>0.29320000000000002</v>
      </c>
      <c r="AJ135">
        <v>9.3820000000000001E-2</v>
      </c>
    </row>
    <row r="136" spans="3:36">
      <c r="C136" s="11" t="s">
        <v>242</v>
      </c>
      <c r="D136" s="10">
        <v>103</v>
      </c>
      <c r="E136" s="10">
        <v>862965</v>
      </c>
      <c r="F136" s="10" t="s">
        <v>1</v>
      </c>
      <c r="G136" s="10">
        <v>13.71</v>
      </c>
      <c r="H136" s="10">
        <v>20.52</v>
      </c>
      <c r="I136" s="10">
        <v>77.22</v>
      </c>
      <c r="J136" s="10">
        <v>458.7</v>
      </c>
      <c r="K136" s="10">
        <v>8.0130000000000007E-2</v>
      </c>
      <c r="L136" s="10">
        <v>4.0379999999999999E-2</v>
      </c>
      <c r="M136" s="10">
        <v>2.383E-2</v>
      </c>
      <c r="N136" s="10">
        <v>1.77E-2</v>
      </c>
      <c r="O136" s="10">
        <v>0.1739</v>
      </c>
      <c r="P136" s="10">
        <v>5.6770000000000001E-2</v>
      </c>
      <c r="Q136" s="10">
        <v>0.19239999999999999</v>
      </c>
      <c r="R136" s="10">
        <v>1.571</v>
      </c>
      <c r="S136" s="10">
        <v>1.1830000000000001</v>
      </c>
      <c r="T136" s="10">
        <v>14.68</v>
      </c>
      <c r="U136" s="10">
        <v>5.0800000000000003E-3</v>
      </c>
      <c r="V136" s="10">
        <v>6.0980000000000001E-3</v>
      </c>
      <c r="W136" s="10">
        <v>1.069E-2</v>
      </c>
      <c r="X136" s="10">
        <v>6.7970000000000001E-3</v>
      </c>
      <c r="Y136" s="10">
        <v>1.447E-2</v>
      </c>
      <c r="Z136" s="10">
        <v>1.5319999999999999E-3</v>
      </c>
      <c r="AA136" s="10">
        <v>13.34</v>
      </c>
      <c r="AB136" s="10">
        <v>32.840000000000003</v>
      </c>
      <c r="AC136" s="10">
        <v>84.58</v>
      </c>
      <c r="AD136" s="10">
        <v>547.79999999999995</v>
      </c>
      <c r="AE136" s="10">
        <v>0.1123</v>
      </c>
      <c r="AF136" s="10">
        <v>8.8620000000000004E-2</v>
      </c>
      <c r="AG136" s="10">
        <v>0.1145</v>
      </c>
      <c r="AH136" s="10">
        <v>7.4310000000000001E-2</v>
      </c>
      <c r="AI136" s="10">
        <v>0.26939999999999997</v>
      </c>
      <c r="AJ136">
        <v>6.8779999999999994E-2</v>
      </c>
    </row>
    <row r="137" spans="3:36">
      <c r="C137" s="11" t="s">
        <v>243</v>
      </c>
      <c r="D137" s="10">
        <v>104</v>
      </c>
      <c r="E137" s="10">
        <v>862980</v>
      </c>
      <c r="F137" s="10" t="s">
        <v>1</v>
      </c>
      <c r="G137" s="10">
        <v>13.71</v>
      </c>
      <c r="H137" s="10">
        <v>19.399999999999999</v>
      </c>
      <c r="I137" s="10">
        <v>63.95</v>
      </c>
      <c r="J137" s="10">
        <v>298.3</v>
      </c>
      <c r="K137" s="10">
        <v>0.10050000000000001</v>
      </c>
      <c r="L137" s="10">
        <v>9.6970000000000001E-2</v>
      </c>
      <c r="M137" s="10">
        <v>6.1539999999999997E-2</v>
      </c>
      <c r="N137" s="10">
        <v>3.0290000000000001E-2</v>
      </c>
      <c r="O137" s="10">
        <v>0.19450000000000001</v>
      </c>
      <c r="P137" s="10">
        <v>6.3219999999999998E-2</v>
      </c>
      <c r="Q137" s="10">
        <v>0.18029999999999999</v>
      </c>
      <c r="R137" s="10">
        <v>1.222</v>
      </c>
      <c r="S137" s="10">
        <v>1.528</v>
      </c>
      <c r="T137" s="10">
        <v>11.77</v>
      </c>
      <c r="U137" s="10">
        <v>9.0580000000000001E-3</v>
      </c>
      <c r="V137" s="10">
        <v>2.196E-2</v>
      </c>
      <c r="W137" s="10">
        <v>3.0290000000000001E-2</v>
      </c>
      <c r="X137" s="10">
        <v>1.112E-2</v>
      </c>
      <c r="Y137" s="10">
        <v>1.609E-2</v>
      </c>
      <c r="Z137" s="10">
        <v>3.5699999999999998E-3</v>
      </c>
      <c r="AA137" s="10">
        <v>10.76</v>
      </c>
      <c r="AB137" s="10">
        <v>26.83</v>
      </c>
      <c r="AC137" s="10">
        <v>72.22</v>
      </c>
      <c r="AD137" s="10">
        <v>361.2</v>
      </c>
      <c r="AE137" s="10">
        <v>0.15590000000000001</v>
      </c>
      <c r="AF137" s="10">
        <v>0.23019999999999999</v>
      </c>
      <c r="AG137" s="10">
        <v>0.26440000000000002</v>
      </c>
      <c r="AH137" s="10">
        <v>9.7489999999999993E-2</v>
      </c>
      <c r="AI137" s="10">
        <v>0.26219999999999999</v>
      </c>
      <c r="AJ137">
        <v>8.4900000000000003E-2</v>
      </c>
    </row>
    <row r="138" spans="3:36">
      <c r="C138" s="11" t="s">
        <v>244</v>
      </c>
      <c r="D138" s="10">
        <v>105</v>
      </c>
      <c r="E138" s="10">
        <v>862989</v>
      </c>
      <c r="F138" s="10" t="s">
        <v>1</v>
      </c>
      <c r="G138" s="10">
        <v>13.71</v>
      </c>
      <c r="H138" s="10">
        <v>19.29</v>
      </c>
      <c r="I138" s="10">
        <v>67.41</v>
      </c>
      <c r="J138" s="10">
        <v>336.1</v>
      </c>
      <c r="K138" s="10">
        <v>9.9890000000000007E-2</v>
      </c>
      <c r="L138" s="10">
        <v>8.5779999999999995E-2</v>
      </c>
      <c r="M138" s="10">
        <v>2.9950000000000001E-2</v>
      </c>
      <c r="N138" s="10">
        <v>1.201E-2</v>
      </c>
      <c r="O138" s="10">
        <v>0.22170000000000001</v>
      </c>
      <c r="P138" s="10">
        <v>6.4810000000000006E-2</v>
      </c>
      <c r="Q138" s="10">
        <v>0.35499999999999998</v>
      </c>
      <c r="R138" s="10">
        <v>1.534</v>
      </c>
      <c r="S138" s="10">
        <v>2.302</v>
      </c>
      <c r="T138" s="10">
        <v>23.13</v>
      </c>
      <c r="U138" s="10">
        <v>7.5950000000000002E-3</v>
      </c>
      <c r="V138" s="10">
        <v>2.2190000000000001E-2</v>
      </c>
      <c r="W138" s="10">
        <v>2.8799999999999999E-2</v>
      </c>
      <c r="X138" s="10">
        <v>8.6140000000000001E-3</v>
      </c>
      <c r="Y138" s="10">
        <v>2.7099999999999999E-2</v>
      </c>
      <c r="Z138" s="10">
        <v>3.4510000000000001E-3</v>
      </c>
      <c r="AA138" s="10">
        <v>11.54</v>
      </c>
      <c r="AB138" s="10">
        <v>23.31</v>
      </c>
      <c r="AC138" s="10">
        <v>74.22</v>
      </c>
      <c r="AD138" s="10">
        <v>402.8</v>
      </c>
      <c r="AE138" s="10">
        <v>0.12189999999999999</v>
      </c>
      <c r="AF138" s="10">
        <v>0.14860000000000001</v>
      </c>
      <c r="AG138" s="10">
        <v>7.9869999999999997E-2</v>
      </c>
      <c r="AH138" s="10">
        <v>3.2030000000000003E-2</v>
      </c>
      <c r="AI138" s="10">
        <v>0.28260000000000002</v>
      </c>
      <c r="AJ138">
        <v>7.5520000000000004E-2</v>
      </c>
    </row>
    <row r="139" spans="3:36">
      <c r="C139" s="11" t="s">
        <v>245</v>
      </c>
      <c r="D139" s="10">
        <v>106</v>
      </c>
      <c r="E139" s="10">
        <v>863030</v>
      </c>
      <c r="F139" s="10" t="s">
        <v>0</v>
      </c>
      <c r="G139" s="10">
        <v>13.71</v>
      </c>
      <c r="H139" s="10">
        <v>15.56</v>
      </c>
      <c r="I139" s="10">
        <v>87.21</v>
      </c>
      <c r="J139" s="10">
        <v>530.20000000000005</v>
      </c>
      <c r="K139" s="10">
        <v>0.13980000000000001</v>
      </c>
      <c r="L139" s="10">
        <v>0.17649999999999999</v>
      </c>
      <c r="M139" s="10">
        <v>0.20710000000000001</v>
      </c>
      <c r="N139" s="10">
        <v>9.6009999999999998E-2</v>
      </c>
      <c r="O139" s="10">
        <v>0.1925</v>
      </c>
      <c r="P139" s="10">
        <v>7.6920000000000002E-2</v>
      </c>
      <c r="Q139" s="10">
        <v>0.39079999999999998</v>
      </c>
      <c r="R139" s="10">
        <v>0.92379999999999995</v>
      </c>
      <c r="S139" s="10">
        <v>2.41</v>
      </c>
      <c r="T139" s="10">
        <v>34.659999999999997</v>
      </c>
      <c r="U139" s="10">
        <v>7.162E-3</v>
      </c>
      <c r="V139" s="10">
        <v>2.912E-2</v>
      </c>
      <c r="W139" s="10">
        <v>5.4730000000000001E-2</v>
      </c>
      <c r="X139" s="10">
        <v>1.388E-2</v>
      </c>
      <c r="Y139" s="10">
        <v>1.5469999999999999E-2</v>
      </c>
      <c r="Z139" s="10">
        <v>7.0980000000000001E-3</v>
      </c>
      <c r="AA139" s="10">
        <v>16.309999999999999</v>
      </c>
      <c r="AB139" s="10">
        <v>22.4</v>
      </c>
      <c r="AC139" s="10">
        <v>106.4</v>
      </c>
      <c r="AD139" s="10">
        <v>827.2</v>
      </c>
      <c r="AE139" s="10">
        <v>0.1862</v>
      </c>
      <c r="AF139" s="10">
        <v>0.40989999999999999</v>
      </c>
      <c r="AG139" s="10">
        <v>0.63759999999999994</v>
      </c>
      <c r="AH139" s="10">
        <v>0.1986</v>
      </c>
      <c r="AI139" s="10">
        <v>0.31469999999999998</v>
      </c>
      <c r="AJ139">
        <v>0.14050000000000001</v>
      </c>
    </row>
    <row r="140" spans="3:36">
      <c r="C140" s="11" t="s">
        <v>246</v>
      </c>
      <c r="D140" s="10">
        <v>107</v>
      </c>
      <c r="E140" s="10">
        <v>863031</v>
      </c>
      <c r="F140" s="10" t="s">
        <v>1</v>
      </c>
      <c r="G140" s="10">
        <v>13.71</v>
      </c>
      <c r="H140" s="10">
        <v>18.329999999999998</v>
      </c>
      <c r="I140" s="10">
        <v>75.17</v>
      </c>
      <c r="J140" s="10">
        <v>412.5</v>
      </c>
      <c r="K140" s="10">
        <v>0.1142</v>
      </c>
      <c r="L140" s="10">
        <v>0.1017</v>
      </c>
      <c r="M140" s="10">
        <v>7.0699999999999999E-2</v>
      </c>
      <c r="N140" s="10">
        <v>3.4849999999999999E-2</v>
      </c>
      <c r="O140" s="10">
        <v>0.18010000000000001</v>
      </c>
      <c r="P140" s="10">
        <v>6.5199999999999994E-2</v>
      </c>
      <c r="Q140" s="10">
        <v>0.30599999999999999</v>
      </c>
      <c r="R140" s="10">
        <v>1.657</v>
      </c>
      <c r="S140" s="10">
        <v>2.1549999999999998</v>
      </c>
      <c r="T140" s="10">
        <v>20.62</v>
      </c>
      <c r="U140" s="10">
        <v>8.5400000000000007E-3</v>
      </c>
      <c r="V140" s="10">
        <v>2.3099999999999999E-2</v>
      </c>
      <c r="W140" s="10">
        <v>2.945E-2</v>
      </c>
      <c r="X140" s="10">
        <v>1.3979999999999999E-2</v>
      </c>
      <c r="Y140" s="10">
        <v>1.5650000000000001E-2</v>
      </c>
      <c r="Z140" s="10">
        <v>3.8400000000000001E-3</v>
      </c>
      <c r="AA140" s="10">
        <v>13.14</v>
      </c>
      <c r="AB140" s="10">
        <v>29.26</v>
      </c>
      <c r="AC140" s="10">
        <v>85.51</v>
      </c>
      <c r="AD140" s="10">
        <v>521.70000000000005</v>
      </c>
      <c r="AE140" s="10">
        <v>0.16880000000000001</v>
      </c>
      <c r="AF140" s="10">
        <v>0.26600000000000001</v>
      </c>
      <c r="AG140" s="10">
        <v>0.2873</v>
      </c>
      <c r="AH140" s="10">
        <v>0.12180000000000001</v>
      </c>
      <c r="AI140" s="10">
        <v>0.28060000000000002</v>
      </c>
      <c r="AJ140">
        <v>9.0969999999999995E-2</v>
      </c>
    </row>
    <row r="141" spans="3:36">
      <c r="C141" s="11" t="s">
        <v>247</v>
      </c>
      <c r="D141" s="10">
        <v>108</v>
      </c>
      <c r="E141" s="10">
        <v>863270</v>
      </c>
      <c r="F141" s="10" t="s">
        <v>1</v>
      </c>
      <c r="G141" s="10">
        <v>13.71</v>
      </c>
      <c r="H141" s="10">
        <v>18.54</v>
      </c>
      <c r="I141" s="10">
        <v>79.010000000000005</v>
      </c>
      <c r="J141" s="10">
        <v>466.7</v>
      </c>
      <c r="K141" s="10">
        <v>8.4769999999999998E-2</v>
      </c>
      <c r="L141" s="10">
        <v>6.8150000000000002E-2</v>
      </c>
      <c r="M141" s="10">
        <v>2.6429999999999999E-2</v>
      </c>
      <c r="N141" s="10">
        <v>1.9210000000000001E-2</v>
      </c>
      <c r="O141" s="10">
        <v>0.16020000000000001</v>
      </c>
      <c r="P141" s="10">
        <v>6.0659999999999999E-2</v>
      </c>
      <c r="Q141" s="10">
        <v>0.11990000000000001</v>
      </c>
      <c r="R141" s="10">
        <v>0.89439999999999997</v>
      </c>
      <c r="S141" s="10">
        <v>0.84840000000000004</v>
      </c>
      <c r="T141" s="10">
        <v>9.2270000000000003</v>
      </c>
      <c r="U141" s="10">
        <v>3.457E-3</v>
      </c>
      <c r="V141" s="10">
        <v>1.047E-2</v>
      </c>
      <c r="W141" s="10">
        <v>1.167E-2</v>
      </c>
      <c r="X141" s="10">
        <v>5.5579999999999996E-3</v>
      </c>
      <c r="Y141" s="10">
        <v>1.251E-2</v>
      </c>
      <c r="Z141" s="10">
        <v>1.356E-3</v>
      </c>
      <c r="AA141" s="10">
        <v>13.29</v>
      </c>
      <c r="AB141" s="10">
        <v>27.49</v>
      </c>
      <c r="AC141" s="10">
        <v>85.56</v>
      </c>
      <c r="AD141" s="10">
        <v>544.1</v>
      </c>
      <c r="AE141" s="10">
        <v>0.11840000000000001</v>
      </c>
      <c r="AF141" s="10">
        <v>0.1963</v>
      </c>
      <c r="AG141" s="10">
        <v>0.19370000000000001</v>
      </c>
      <c r="AH141" s="10">
        <v>8.4419999999999995E-2</v>
      </c>
      <c r="AI141" s="10">
        <v>0.29830000000000001</v>
      </c>
      <c r="AJ141">
        <v>7.1849999999999997E-2</v>
      </c>
    </row>
    <row r="142" spans="3:36">
      <c r="C142" s="11" t="s">
        <v>248</v>
      </c>
      <c r="D142" s="10">
        <v>109</v>
      </c>
      <c r="E142" s="10">
        <v>86355</v>
      </c>
      <c r="F142" s="10" t="s">
        <v>0</v>
      </c>
      <c r="G142" s="10">
        <v>13.71</v>
      </c>
      <c r="H142" s="10">
        <v>19.670000000000002</v>
      </c>
      <c r="I142" s="10">
        <v>152.80000000000001</v>
      </c>
      <c r="J142" s="10">
        <v>1509</v>
      </c>
      <c r="K142" s="10">
        <v>0.1326</v>
      </c>
      <c r="L142" s="10">
        <v>0.27679999999999999</v>
      </c>
      <c r="M142" s="10">
        <v>0.4264</v>
      </c>
      <c r="N142" s="10">
        <v>0.18229999999999999</v>
      </c>
      <c r="O142" s="10">
        <v>0.25559999999999999</v>
      </c>
      <c r="P142" s="10">
        <v>7.0389999999999994E-2</v>
      </c>
      <c r="Q142" s="10">
        <v>1.2150000000000001</v>
      </c>
      <c r="R142" s="10">
        <v>1.5449999999999999</v>
      </c>
      <c r="S142" s="10">
        <v>10.050000000000001</v>
      </c>
      <c r="T142" s="10">
        <v>170</v>
      </c>
      <c r="U142" s="10">
        <v>6.515E-3</v>
      </c>
      <c r="V142" s="10">
        <v>8.6679999999999993E-2</v>
      </c>
      <c r="W142" s="10">
        <v>0.104</v>
      </c>
      <c r="X142" s="10">
        <v>2.4799999999999999E-2</v>
      </c>
      <c r="Y142" s="10">
        <v>3.1119999999999998E-2</v>
      </c>
      <c r="Z142" s="10">
        <v>5.0369999999999998E-3</v>
      </c>
      <c r="AA142" s="10">
        <v>28.4</v>
      </c>
      <c r="AB142" s="10">
        <v>28.01</v>
      </c>
      <c r="AC142" s="10">
        <v>206.8</v>
      </c>
      <c r="AD142" s="10">
        <v>2360</v>
      </c>
      <c r="AE142" s="10">
        <v>0.1701</v>
      </c>
      <c r="AF142" s="10">
        <v>0.69969999999999999</v>
      </c>
      <c r="AG142" s="10">
        <v>0.96079999999999999</v>
      </c>
      <c r="AH142" s="10">
        <v>0.29099999999999998</v>
      </c>
      <c r="AI142" s="10">
        <v>0.40550000000000003</v>
      </c>
      <c r="AJ142">
        <v>9.7890000000000005E-2</v>
      </c>
    </row>
    <row r="143" spans="3:36">
      <c r="C143" s="11" t="s">
        <v>249</v>
      </c>
      <c r="D143" s="10">
        <v>110</v>
      </c>
      <c r="E143" s="10">
        <v>864018</v>
      </c>
      <c r="F143" s="10" t="s">
        <v>1</v>
      </c>
      <c r="G143" s="10">
        <v>13.71</v>
      </c>
      <c r="H143" s="10">
        <v>21.26</v>
      </c>
      <c r="I143" s="10">
        <v>72.48</v>
      </c>
      <c r="J143" s="10">
        <v>396.5</v>
      </c>
      <c r="K143" s="10">
        <v>8.7590000000000001E-2</v>
      </c>
      <c r="L143" s="10">
        <v>6.5750000000000003E-2</v>
      </c>
      <c r="M143" s="10">
        <v>5.1330000000000001E-2</v>
      </c>
      <c r="N143" s="10">
        <v>1.899E-2</v>
      </c>
      <c r="O143" s="10">
        <v>0.1487</v>
      </c>
      <c r="P143" s="10">
        <v>6.5290000000000001E-2</v>
      </c>
      <c r="Q143" s="10">
        <v>0.2344</v>
      </c>
      <c r="R143" s="10">
        <v>0.98609999999999998</v>
      </c>
      <c r="S143" s="10">
        <v>1.597</v>
      </c>
      <c r="T143" s="10">
        <v>16.41</v>
      </c>
      <c r="U143" s="10">
        <v>9.1129999999999996E-3</v>
      </c>
      <c r="V143" s="10">
        <v>1.5570000000000001E-2</v>
      </c>
      <c r="W143" s="10">
        <v>2.443E-2</v>
      </c>
      <c r="X143" s="10">
        <v>6.4349999999999997E-3</v>
      </c>
      <c r="Y143" s="10">
        <v>1.5679999999999999E-2</v>
      </c>
      <c r="Z143" s="10">
        <v>2.477E-3</v>
      </c>
      <c r="AA143" s="10">
        <v>13.01</v>
      </c>
      <c r="AB143" s="10">
        <v>29.15</v>
      </c>
      <c r="AC143" s="10">
        <v>83.99</v>
      </c>
      <c r="AD143" s="10">
        <v>518.1</v>
      </c>
      <c r="AE143" s="10">
        <v>0.1699</v>
      </c>
      <c r="AF143" s="10">
        <v>0.21959999999999999</v>
      </c>
      <c r="AG143" s="10">
        <v>0.312</v>
      </c>
      <c r="AH143" s="10">
        <v>8.2780000000000006E-2</v>
      </c>
      <c r="AI143" s="10">
        <v>0.28289999999999998</v>
      </c>
      <c r="AJ143">
        <v>8.8319999999999996E-2</v>
      </c>
    </row>
    <row r="144" spans="3:36">
      <c r="C144" s="11" t="s">
        <v>250</v>
      </c>
      <c r="D144" s="10">
        <v>111</v>
      </c>
      <c r="E144" s="10">
        <v>864033</v>
      </c>
      <c r="F144" s="10" t="s">
        <v>1</v>
      </c>
      <c r="G144" s="10">
        <v>13.71</v>
      </c>
      <c r="H144" s="10">
        <v>16.989999999999998</v>
      </c>
      <c r="I144" s="10">
        <v>62.5</v>
      </c>
      <c r="J144" s="10">
        <v>290.2</v>
      </c>
      <c r="K144" s="10">
        <v>0.1037</v>
      </c>
      <c r="L144" s="10">
        <v>8.4040000000000004E-2</v>
      </c>
      <c r="M144" s="10">
        <v>4.3339999999999997E-2</v>
      </c>
      <c r="N144" s="10">
        <v>1.7780000000000001E-2</v>
      </c>
      <c r="O144" s="10">
        <v>0.15840000000000001</v>
      </c>
      <c r="P144" s="10">
        <v>7.0650000000000004E-2</v>
      </c>
      <c r="Q144" s="10">
        <v>0.40300000000000002</v>
      </c>
      <c r="R144" s="10">
        <v>1.4239999999999999</v>
      </c>
      <c r="S144" s="10">
        <v>2.7469999999999999</v>
      </c>
      <c r="T144" s="10">
        <v>22.87</v>
      </c>
      <c r="U144" s="10">
        <v>1.3849999999999999E-2</v>
      </c>
      <c r="V144" s="10">
        <v>2.9319999999999999E-2</v>
      </c>
      <c r="W144" s="10">
        <v>2.7220000000000001E-2</v>
      </c>
      <c r="X144" s="10">
        <v>1.023E-2</v>
      </c>
      <c r="Y144" s="10">
        <v>3.2809999999999999E-2</v>
      </c>
      <c r="Z144" s="10">
        <v>4.6379999999999998E-3</v>
      </c>
      <c r="AA144" s="10">
        <v>11.05</v>
      </c>
      <c r="AB144" s="10">
        <v>21.47</v>
      </c>
      <c r="AC144" s="10">
        <v>71.680000000000007</v>
      </c>
      <c r="AD144" s="10">
        <v>367</v>
      </c>
      <c r="AE144" s="10">
        <v>0.1467</v>
      </c>
      <c r="AF144" s="10">
        <v>0.17649999999999999</v>
      </c>
      <c r="AG144" s="10">
        <v>0.13</v>
      </c>
      <c r="AH144" s="10">
        <v>5.3339999999999999E-2</v>
      </c>
      <c r="AI144" s="10">
        <v>0.25330000000000003</v>
      </c>
      <c r="AJ144">
        <v>8.4680000000000005E-2</v>
      </c>
    </row>
    <row r="145" spans="3:36">
      <c r="C145" s="11" t="s">
        <v>251</v>
      </c>
      <c r="D145" s="10">
        <v>112</v>
      </c>
      <c r="E145" s="10">
        <v>86408</v>
      </c>
      <c r="F145" s="10" t="s">
        <v>1</v>
      </c>
      <c r="G145" s="10">
        <v>13.71</v>
      </c>
      <c r="H145" s="10">
        <v>20.76</v>
      </c>
      <c r="I145" s="10">
        <v>82.15</v>
      </c>
      <c r="J145" s="10">
        <v>480.4</v>
      </c>
      <c r="K145" s="10">
        <v>9.9330000000000002E-2</v>
      </c>
      <c r="L145" s="10">
        <v>0.12089999999999999</v>
      </c>
      <c r="M145" s="10">
        <v>0.1065</v>
      </c>
      <c r="N145" s="10">
        <v>6.021E-2</v>
      </c>
      <c r="O145" s="10">
        <v>0.17349999999999999</v>
      </c>
      <c r="P145" s="10">
        <v>7.0699999999999999E-2</v>
      </c>
      <c r="Q145" s="10">
        <v>0.34239999999999998</v>
      </c>
      <c r="R145" s="10">
        <v>1.8029999999999999</v>
      </c>
      <c r="S145" s="10">
        <v>2.7109999999999999</v>
      </c>
      <c r="T145" s="10">
        <v>20.48</v>
      </c>
      <c r="U145" s="10">
        <v>1.291E-2</v>
      </c>
      <c r="V145" s="10">
        <v>4.0419999999999998E-2</v>
      </c>
      <c r="W145" s="10">
        <v>5.101E-2</v>
      </c>
      <c r="X145" s="10">
        <v>2.2950000000000002E-2</v>
      </c>
      <c r="Y145" s="10">
        <v>2.1440000000000001E-2</v>
      </c>
      <c r="Z145" s="10">
        <v>5.8910000000000004E-3</v>
      </c>
      <c r="AA145" s="10">
        <v>13.33</v>
      </c>
      <c r="AB145" s="10">
        <v>25.47</v>
      </c>
      <c r="AC145" s="10">
        <v>89</v>
      </c>
      <c r="AD145" s="10">
        <v>527.4</v>
      </c>
      <c r="AE145" s="10">
        <v>0.12870000000000001</v>
      </c>
      <c r="AF145" s="10">
        <v>0.22500000000000001</v>
      </c>
      <c r="AG145" s="10">
        <v>0.22159999999999999</v>
      </c>
      <c r="AH145" s="10">
        <v>0.1105</v>
      </c>
      <c r="AI145" s="10">
        <v>0.22259999999999999</v>
      </c>
      <c r="AJ145">
        <v>8.4860000000000005E-2</v>
      </c>
    </row>
    <row r="146" spans="3:36">
      <c r="C146" s="11" t="s">
        <v>252</v>
      </c>
      <c r="D146" s="10">
        <v>113</v>
      </c>
      <c r="E146" s="10">
        <v>86409</v>
      </c>
      <c r="F146" s="10" t="s">
        <v>1</v>
      </c>
      <c r="G146" s="10">
        <v>13.71</v>
      </c>
      <c r="H146" s="10">
        <v>19.649999999999999</v>
      </c>
      <c r="I146" s="10">
        <v>97.83</v>
      </c>
      <c r="J146" s="10">
        <v>629.9</v>
      </c>
      <c r="K146" s="10">
        <v>7.8369999999999995E-2</v>
      </c>
      <c r="L146" s="10">
        <v>0.2233</v>
      </c>
      <c r="M146" s="10">
        <v>0.30030000000000001</v>
      </c>
      <c r="N146" s="10">
        <v>7.7979999999999994E-2</v>
      </c>
      <c r="O146" s="10">
        <v>0.1704</v>
      </c>
      <c r="P146" s="10">
        <v>7.7689999999999995E-2</v>
      </c>
      <c r="Q146" s="10">
        <v>0.36280000000000001</v>
      </c>
      <c r="R146" s="10">
        <v>1.49</v>
      </c>
      <c r="S146" s="10">
        <v>3.399</v>
      </c>
      <c r="T146" s="10">
        <v>29.25</v>
      </c>
      <c r="U146" s="10">
        <v>5.2979999999999998E-3</v>
      </c>
      <c r="V146" s="10">
        <v>7.4459999999999998E-2</v>
      </c>
      <c r="W146" s="10">
        <v>0.14349999999999999</v>
      </c>
      <c r="X146" s="10">
        <v>2.2919999999999999E-2</v>
      </c>
      <c r="Y146" s="10">
        <v>2.5659999999999999E-2</v>
      </c>
      <c r="Z146" s="10">
        <v>1.298E-2</v>
      </c>
      <c r="AA146" s="10">
        <v>15.3</v>
      </c>
      <c r="AB146" s="10">
        <v>23.73</v>
      </c>
      <c r="AC146" s="10">
        <v>107</v>
      </c>
      <c r="AD146" s="10">
        <v>709</v>
      </c>
      <c r="AE146" s="10">
        <v>8.949E-2</v>
      </c>
      <c r="AF146" s="10">
        <v>0.41930000000000001</v>
      </c>
      <c r="AG146" s="10">
        <v>0.67830000000000001</v>
      </c>
      <c r="AH146" s="10">
        <v>0.15049999999999999</v>
      </c>
      <c r="AI146" s="10">
        <v>0.23980000000000001</v>
      </c>
      <c r="AJ146">
        <v>0.1082</v>
      </c>
    </row>
    <row r="147" spans="3:36">
      <c r="C147" s="11" t="s">
        <v>253</v>
      </c>
      <c r="D147" s="10">
        <v>114</v>
      </c>
      <c r="E147" s="10">
        <v>864292</v>
      </c>
      <c r="F147" s="10" t="s">
        <v>1</v>
      </c>
      <c r="G147" s="10">
        <v>13.71</v>
      </c>
      <c r="H147" s="10">
        <v>20.190000000000001</v>
      </c>
      <c r="I147" s="10">
        <v>68.64</v>
      </c>
      <c r="J147" s="10">
        <v>334.2</v>
      </c>
      <c r="K147" s="10">
        <v>0.11219999999999999</v>
      </c>
      <c r="L147" s="10">
        <v>0.1303</v>
      </c>
      <c r="M147" s="10">
        <v>6.4759999999999998E-2</v>
      </c>
      <c r="N147" s="10">
        <v>3.0679999999999999E-2</v>
      </c>
      <c r="O147" s="10">
        <v>0.19220000000000001</v>
      </c>
      <c r="P147" s="10">
        <v>7.782E-2</v>
      </c>
      <c r="Q147" s="10">
        <v>0.33360000000000001</v>
      </c>
      <c r="R147" s="10">
        <v>1.86</v>
      </c>
      <c r="S147" s="10">
        <v>2.0409999999999999</v>
      </c>
      <c r="T147" s="10">
        <v>19.91</v>
      </c>
      <c r="U147" s="10">
        <v>1.188E-2</v>
      </c>
      <c r="V147" s="10">
        <v>3.7470000000000003E-2</v>
      </c>
      <c r="W147" s="10">
        <v>4.5909999999999999E-2</v>
      </c>
      <c r="X147" s="10">
        <v>1.5440000000000001E-2</v>
      </c>
      <c r="Y147" s="10">
        <v>2.2870000000000001E-2</v>
      </c>
      <c r="Z147" s="10">
        <v>6.7920000000000003E-3</v>
      </c>
      <c r="AA147" s="10">
        <v>11.16</v>
      </c>
      <c r="AB147" s="10">
        <v>22.75</v>
      </c>
      <c r="AC147" s="10">
        <v>72.62</v>
      </c>
      <c r="AD147" s="10">
        <v>374.4</v>
      </c>
      <c r="AE147" s="10">
        <v>0.13</v>
      </c>
      <c r="AF147" s="10">
        <v>0.2049</v>
      </c>
      <c r="AG147" s="10">
        <v>0.1295</v>
      </c>
      <c r="AH147" s="10">
        <v>6.1359999999999998E-2</v>
      </c>
      <c r="AI147" s="10">
        <v>0.23830000000000001</v>
      </c>
      <c r="AJ147">
        <v>9.0260000000000007E-2</v>
      </c>
    </row>
    <row r="148" spans="3:36">
      <c r="C148" s="11" t="s">
        <v>254</v>
      </c>
      <c r="D148" s="10">
        <v>115</v>
      </c>
      <c r="E148" s="10">
        <v>864496</v>
      </c>
      <c r="F148" s="10" t="s">
        <v>1</v>
      </c>
      <c r="G148" s="10">
        <v>13.71</v>
      </c>
      <c r="H148" s="10">
        <v>15.83</v>
      </c>
      <c r="I148" s="10">
        <v>55.84</v>
      </c>
      <c r="J148" s="10">
        <v>230.9</v>
      </c>
      <c r="K148" s="10">
        <v>0.115</v>
      </c>
      <c r="L148" s="10">
        <v>8.201E-2</v>
      </c>
      <c r="M148" s="10">
        <v>4.1320000000000003E-2</v>
      </c>
      <c r="N148" s="10">
        <v>1.924E-2</v>
      </c>
      <c r="O148" s="10">
        <v>0.16489999999999999</v>
      </c>
      <c r="P148" s="10">
        <v>7.6329999999999995E-2</v>
      </c>
      <c r="Q148" s="10">
        <v>0.16650000000000001</v>
      </c>
      <c r="R148" s="10">
        <v>0.58640000000000003</v>
      </c>
      <c r="S148" s="10">
        <v>1.3540000000000001</v>
      </c>
      <c r="T148" s="10">
        <v>8.9659999999999993</v>
      </c>
      <c r="U148" s="10">
        <v>8.2609999999999992E-3</v>
      </c>
      <c r="V148" s="10">
        <v>2.213E-2</v>
      </c>
      <c r="W148" s="10">
        <v>3.2590000000000001E-2</v>
      </c>
      <c r="X148" s="10">
        <v>1.04E-2</v>
      </c>
      <c r="Y148" s="10">
        <v>1.7080000000000001E-2</v>
      </c>
      <c r="Z148" s="10">
        <v>3.8059999999999999E-3</v>
      </c>
      <c r="AA148" s="10">
        <v>9.6280000000000001</v>
      </c>
      <c r="AB148" s="10">
        <v>19.62</v>
      </c>
      <c r="AC148" s="10">
        <v>64.48</v>
      </c>
      <c r="AD148" s="10">
        <v>284.39999999999998</v>
      </c>
      <c r="AE148" s="10">
        <v>0.1724</v>
      </c>
      <c r="AF148" s="10">
        <v>0.2364</v>
      </c>
      <c r="AG148" s="10">
        <v>0.24560000000000001</v>
      </c>
      <c r="AH148" s="10">
        <v>0.105</v>
      </c>
      <c r="AI148" s="10">
        <v>0.29260000000000003</v>
      </c>
      <c r="AJ148">
        <v>0.1017</v>
      </c>
    </row>
    <row r="149" spans="3:36">
      <c r="C149" s="11" t="s">
        <v>255</v>
      </c>
      <c r="D149" s="10">
        <v>116</v>
      </c>
      <c r="E149" s="10">
        <v>864685</v>
      </c>
      <c r="F149" s="10" t="s">
        <v>1</v>
      </c>
      <c r="G149" s="10">
        <v>13.71</v>
      </c>
      <c r="H149" s="10">
        <v>21.53</v>
      </c>
      <c r="I149" s="10">
        <v>76.53</v>
      </c>
      <c r="J149" s="10">
        <v>438.6</v>
      </c>
      <c r="K149" s="10">
        <v>9.7680000000000003E-2</v>
      </c>
      <c r="L149" s="10">
        <v>7.8490000000000004E-2</v>
      </c>
      <c r="M149" s="10">
        <v>3.3279999999999997E-2</v>
      </c>
      <c r="N149" s="10">
        <v>2.0080000000000001E-2</v>
      </c>
      <c r="O149" s="10">
        <v>0.16880000000000001</v>
      </c>
      <c r="P149" s="10">
        <v>6.1940000000000002E-2</v>
      </c>
      <c r="Q149" s="10">
        <v>0.31180000000000002</v>
      </c>
      <c r="R149" s="10">
        <v>0.92269999999999996</v>
      </c>
      <c r="S149" s="10">
        <v>2</v>
      </c>
      <c r="T149" s="10">
        <v>24.79</v>
      </c>
      <c r="U149" s="10">
        <v>7.803E-3</v>
      </c>
      <c r="V149" s="10">
        <v>2.5069999999999999E-2</v>
      </c>
      <c r="W149" s="10">
        <v>1.8350000000000002E-2</v>
      </c>
      <c r="X149" s="10">
        <v>7.711E-3</v>
      </c>
      <c r="Y149" s="10">
        <v>1.278E-2</v>
      </c>
      <c r="Z149" s="10">
        <v>3.8560000000000001E-3</v>
      </c>
      <c r="AA149" s="10">
        <v>13.67</v>
      </c>
      <c r="AB149" s="10">
        <v>26.15</v>
      </c>
      <c r="AC149" s="10">
        <v>87.54</v>
      </c>
      <c r="AD149" s="10">
        <v>583</v>
      </c>
      <c r="AE149" s="10">
        <v>0.15</v>
      </c>
      <c r="AF149" s="10">
        <v>0.2399</v>
      </c>
      <c r="AG149" s="10">
        <v>0.15029999999999999</v>
      </c>
      <c r="AH149" s="10">
        <v>7.2470000000000007E-2</v>
      </c>
      <c r="AI149" s="10">
        <v>0.24379999999999999</v>
      </c>
      <c r="AJ149">
        <v>8.541E-2</v>
      </c>
    </row>
    <row r="150" spans="3:36">
      <c r="C150" s="11" t="s">
        <v>256</v>
      </c>
      <c r="D150" s="10">
        <v>117</v>
      </c>
      <c r="E150" s="10">
        <v>864726</v>
      </c>
      <c r="F150" s="10" t="s">
        <v>1</v>
      </c>
      <c r="G150" s="10">
        <v>13.71</v>
      </c>
      <c r="H150" s="10">
        <v>15.76</v>
      </c>
      <c r="I150" s="10">
        <v>58.74</v>
      </c>
      <c r="J150" s="10">
        <v>245.2</v>
      </c>
      <c r="K150" s="10">
        <v>9.4619999999999996E-2</v>
      </c>
      <c r="L150" s="10">
        <v>0.12429999999999999</v>
      </c>
      <c r="M150" s="10">
        <v>9.2630000000000004E-2</v>
      </c>
      <c r="N150" s="10">
        <v>2.308E-2</v>
      </c>
      <c r="O150" s="10">
        <v>0.1305</v>
      </c>
      <c r="P150" s="10">
        <v>7.1629999999999999E-2</v>
      </c>
      <c r="Q150" s="10">
        <v>0.31319999999999998</v>
      </c>
      <c r="R150" s="10">
        <v>0.97889999999999999</v>
      </c>
      <c r="S150" s="10">
        <v>3.28</v>
      </c>
      <c r="T150" s="10">
        <v>16.940000000000001</v>
      </c>
      <c r="U150" s="10">
        <v>1.8350000000000002E-2</v>
      </c>
      <c r="V150" s="10">
        <v>6.7599999999999993E-2</v>
      </c>
      <c r="W150" s="10">
        <v>9.2630000000000004E-2</v>
      </c>
      <c r="X150" s="10">
        <v>2.308E-2</v>
      </c>
      <c r="Y150" s="10">
        <v>2.384E-2</v>
      </c>
      <c r="Z150" s="10">
        <v>5.6010000000000001E-3</v>
      </c>
      <c r="AA150" s="10">
        <v>9.4139999999999997</v>
      </c>
      <c r="AB150" s="10">
        <v>17.07</v>
      </c>
      <c r="AC150" s="10">
        <v>63.34</v>
      </c>
      <c r="AD150" s="10">
        <v>270</v>
      </c>
      <c r="AE150" s="10">
        <v>0.1179</v>
      </c>
      <c r="AF150" s="10">
        <v>0.18790000000000001</v>
      </c>
      <c r="AG150" s="10">
        <v>0.15440000000000001</v>
      </c>
      <c r="AH150" s="10">
        <v>3.8460000000000001E-2</v>
      </c>
      <c r="AI150" s="10">
        <v>0.16520000000000001</v>
      </c>
      <c r="AJ150">
        <v>7.7219999999999997E-2</v>
      </c>
    </row>
    <row r="151" spans="3:36">
      <c r="C151" s="11" t="s">
        <v>257</v>
      </c>
      <c r="D151" s="10">
        <v>118</v>
      </c>
      <c r="E151" s="10">
        <v>864729</v>
      </c>
      <c r="F151" s="10" t="s">
        <v>0</v>
      </c>
      <c r="G151" s="10">
        <v>13.71</v>
      </c>
      <c r="H151" s="10">
        <v>16.670000000000002</v>
      </c>
      <c r="I151" s="10">
        <v>98.64</v>
      </c>
      <c r="J151" s="10">
        <v>682.5</v>
      </c>
      <c r="K151" s="10">
        <v>0.1162</v>
      </c>
      <c r="L151" s="10">
        <v>0.16489999999999999</v>
      </c>
      <c r="M151" s="10">
        <v>0.16900000000000001</v>
      </c>
      <c r="N151" s="10">
        <v>8.9230000000000004E-2</v>
      </c>
      <c r="O151" s="10">
        <v>0.2157</v>
      </c>
      <c r="P151" s="10">
        <v>6.7680000000000004E-2</v>
      </c>
      <c r="Q151" s="10">
        <v>0.42659999999999998</v>
      </c>
      <c r="R151" s="10">
        <v>0.94889999999999997</v>
      </c>
      <c r="S151" s="10">
        <v>2.9889999999999999</v>
      </c>
      <c r="T151" s="10">
        <v>41.18</v>
      </c>
      <c r="U151" s="10">
        <v>6.9849999999999999E-3</v>
      </c>
      <c r="V151" s="10">
        <v>2.563E-2</v>
      </c>
      <c r="W151" s="10">
        <v>3.0110000000000001E-2</v>
      </c>
      <c r="X151" s="10">
        <v>1.2710000000000001E-2</v>
      </c>
      <c r="Y151" s="10">
        <v>1.602E-2</v>
      </c>
      <c r="Z151" s="10">
        <v>3.8839999999999999E-3</v>
      </c>
      <c r="AA151" s="10">
        <v>18.809999999999999</v>
      </c>
      <c r="AB151" s="10">
        <v>27.37</v>
      </c>
      <c r="AC151" s="10">
        <v>127.1</v>
      </c>
      <c r="AD151" s="10">
        <v>1095</v>
      </c>
      <c r="AE151" s="10">
        <v>0.18779999999999999</v>
      </c>
      <c r="AF151" s="10">
        <v>0.44800000000000001</v>
      </c>
      <c r="AG151" s="10">
        <v>0.47039999999999998</v>
      </c>
      <c r="AH151" s="10">
        <v>0.20269999999999999</v>
      </c>
      <c r="AI151" s="10">
        <v>0.35849999999999999</v>
      </c>
      <c r="AJ151">
        <v>0.1065</v>
      </c>
    </row>
    <row r="152" spans="3:36">
      <c r="C152" s="11" t="s">
        <v>258</v>
      </c>
      <c r="D152" s="10">
        <v>119</v>
      </c>
      <c r="E152" s="10">
        <v>864877</v>
      </c>
      <c r="F152" s="10" t="s">
        <v>0</v>
      </c>
      <c r="G152" s="10">
        <v>13.71</v>
      </c>
      <c r="H152" s="10">
        <v>22.91</v>
      </c>
      <c r="I152" s="10">
        <v>105.7</v>
      </c>
      <c r="J152" s="10">
        <v>782.6</v>
      </c>
      <c r="K152" s="10">
        <v>0.11550000000000001</v>
      </c>
      <c r="L152" s="10">
        <v>0.17519999999999999</v>
      </c>
      <c r="M152" s="10">
        <v>0.21329999999999999</v>
      </c>
      <c r="N152" s="10">
        <v>9.4789999999999999E-2</v>
      </c>
      <c r="O152" s="10">
        <v>0.20960000000000001</v>
      </c>
      <c r="P152" s="10">
        <v>7.331E-2</v>
      </c>
      <c r="Q152" s="10">
        <v>0.55200000000000005</v>
      </c>
      <c r="R152" s="10">
        <v>1.0720000000000001</v>
      </c>
      <c r="S152" s="10">
        <v>3.5979999999999999</v>
      </c>
      <c r="T152" s="10">
        <v>58.63</v>
      </c>
      <c r="U152" s="10">
        <v>8.6990000000000001E-3</v>
      </c>
      <c r="V152" s="10">
        <v>3.9759999999999997E-2</v>
      </c>
      <c r="W152" s="10">
        <v>5.9499999999999997E-2</v>
      </c>
      <c r="X152" s="10">
        <v>1.3899999999999999E-2</v>
      </c>
      <c r="Y152" s="10">
        <v>1.495E-2</v>
      </c>
      <c r="Z152" s="10">
        <v>5.9839999999999997E-3</v>
      </c>
      <c r="AA152" s="10">
        <v>20.190000000000001</v>
      </c>
      <c r="AB152" s="10">
        <v>30.5</v>
      </c>
      <c r="AC152" s="10">
        <v>130.30000000000001</v>
      </c>
      <c r="AD152" s="10">
        <v>1272</v>
      </c>
      <c r="AE152" s="10">
        <v>0.1855</v>
      </c>
      <c r="AF152" s="10">
        <v>0.49249999999999999</v>
      </c>
      <c r="AG152" s="10">
        <v>0.73560000000000003</v>
      </c>
      <c r="AH152" s="10">
        <v>0.2034</v>
      </c>
      <c r="AI152" s="10">
        <v>0.32740000000000002</v>
      </c>
      <c r="AJ152">
        <v>0.12520000000000001</v>
      </c>
    </row>
    <row r="153" spans="3:36">
      <c r="C153" s="11" t="s">
        <v>259</v>
      </c>
      <c r="D153" s="10">
        <v>120</v>
      </c>
      <c r="E153" s="10">
        <v>865128</v>
      </c>
      <c r="F153" s="10" t="s">
        <v>0</v>
      </c>
      <c r="G153" s="10">
        <v>13.71</v>
      </c>
      <c r="H153" s="10">
        <v>20.010000000000002</v>
      </c>
      <c r="I153" s="10">
        <v>114.2</v>
      </c>
      <c r="J153" s="10">
        <v>982</v>
      </c>
      <c r="K153" s="10">
        <v>8.4019999999999997E-2</v>
      </c>
      <c r="L153" s="10">
        <v>6.7220000000000002E-2</v>
      </c>
      <c r="M153" s="10">
        <v>7.2929999999999995E-2</v>
      </c>
      <c r="N153" s="10">
        <v>5.5960000000000003E-2</v>
      </c>
      <c r="O153" s="10">
        <v>0.21290000000000001</v>
      </c>
      <c r="P153" s="10">
        <v>5.0250000000000003E-2</v>
      </c>
      <c r="Q153" s="10">
        <v>0.55059999999999998</v>
      </c>
      <c r="R153" s="10">
        <v>1.214</v>
      </c>
      <c r="S153" s="10">
        <v>3.3570000000000002</v>
      </c>
      <c r="T153" s="10">
        <v>54.04</v>
      </c>
      <c r="U153" s="10">
        <v>4.0239999999999998E-3</v>
      </c>
      <c r="V153" s="10">
        <v>8.4220000000000007E-3</v>
      </c>
      <c r="W153" s="10">
        <v>2.291E-2</v>
      </c>
      <c r="X153" s="10">
        <v>9.8630000000000002E-3</v>
      </c>
      <c r="Y153" s="10">
        <v>5.0139999999999997E-2</v>
      </c>
      <c r="Z153" s="10">
        <v>1.902E-3</v>
      </c>
      <c r="AA153" s="10">
        <v>20.58</v>
      </c>
      <c r="AB153" s="10">
        <v>27.83</v>
      </c>
      <c r="AC153" s="10">
        <v>129.19999999999999</v>
      </c>
      <c r="AD153" s="10">
        <v>1261</v>
      </c>
      <c r="AE153" s="10">
        <v>0.1072</v>
      </c>
      <c r="AF153" s="10">
        <v>0.1202</v>
      </c>
      <c r="AG153" s="10">
        <v>0.22489999999999999</v>
      </c>
      <c r="AH153" s="10">
        <v>0.11849999999999999</v>
      </c>
      <c r="AI153" s="10">
        <v>0.48820000000000002</v>
      </c>
      <c r="AJ153">
        <v>6.1109999999999998E-2</v>
      </c>
    </row>
    <row r="154" spans="3:36">
      <c r="C154" s="11" t="s">
        <v>260</v>
      </c>
      <c r="D154" s="10">
        <v>121</v>
      </c>
      <c r="E154" s="10">
        <v>865137</v>
      </c>
      <c r="F154" s="10" t="s">
        <v>1</v>
      </c>
      <c r="G154" s="10">
        <v>13.71</v>
      </c>
      <c r="H154" s="10">
        <v>10.82</v>
      </c>
      <c r="I154" s="10">
        <v>73.34</v>
      </c>
      <c r="J154" s="10">
        <v>403.3</v>
      </c>
      <c r="K154" s="10">
        <v>9.3729999999999994E-2</v>
      </c>
      <c r="L154" s="10">
        <v>6.6850000000000007E-2</v>
      </c>
      <c r="M154" s="10">
        <v>3.5119999999999998E-2</v>
      </c>
      <c r="N154" s="10">
        <v>2.623E-2</v>
      </c>
      <c r="O154" s="10">
        <v>0.16669999999999999</v>
      </c>
      <c r="P154" s="10">
        <v>6.1129999999999997E-2</v>
      </c>
      <c r="Q154" s="10">
        <v>0.14080000000000001</v>
      </c>
      <c r="R154" s="10">
        <v>0.4607</v>
      </c>
      <c r="S154" s="10">
        <v>1.103</v>
      </c>
      <c r="T154" s="10">
        <v>10.5</v>
      </c>
      <c r="U154" s="10">
        <v>6.0400000000000002E-3</v>
      </c>
      <c r="V154" s="10">
        <v>1.529E-2</v>
      </c>
      <c r="W154" s="10">
        <v>1.5140000000000001E-2</v>
      </c>
      <c r="X154" s="10">
        <v>6.4599999999999996E-3</v>
      </c>
      <c r="Y154" s="10">
        <v>1.3440000000000001E-2</v>
      </c>
      <c r="Z154" s="10">
        <v>2.2060000000000001E-3</v>
      </c>
      <c r="AA154" s="10">
        <v>12.82</v>
      </c>
      <c r="AB154" s="10">
        <v>15.97</v>
      </c>
      <c r="AC154" s="10">
        <v>83.74</v>
      </c>
      <c r="AD154" s="10">
        <v>510.5</v>
      </c>
      <c r="AE154" s="10">
        <v>0.15479999999999999</v>
      </c>
      <c r="AF154" s="10">
        <v>0.23899999999999999</v>
      </c>
      <c r="AG154" s="10">
        <v>0.2102</v>
      </c>
      <c r="AH154" s="10">
        <v>8.9580000000000007E-2</v>
      </c>
      <c r="AI154" s="10">
        <v>0.30159999999999998</v>
      </c>
      <c r="AJ154">
        <v>8.523E-2</v>
      </c>
    </row>
    <row r="155" spans="3:36">
      <c r="C155" s="11" t="s">
        <v>261</v>
      </c>
      <c r="D155" s="10">
        <v>122</v>
      </c>
      <c r="E155" s="10">
        <v>86517</v>
      </c>
      <c r="F155" s="10" t="s">
        <v>0</v>
      </c>
      <c r="G155" s="10">
        <v>13.71</v>
      </c>
      <c r="H155" s="10">
        <v>17.12</v>
      </c>
      <c r="I155" s="10">
        <v>121.4</v>
      </c>
      <c r="J155" s="10">
        <v>1077</v>
      </c>
      <c r="K155" s="10">
        <v>0.10539999999999999</v>
      </c>
      <c r="L155" s="10">
        <v>0.11</v>
      </c>
      <c r="M155" s="10">
        <v>0.1457</v>
      </c>
      <c r="N155" s="10">
        <v>8.6650000000000005E-2</v>
      </c>
      <c r="O155" s="10">
        <v>0.1966</v>
      </c>
      <c r="P155" s="10">
        <v>6.2129999999999998E-2</v>
      </c>
      <c r="Q155" s="10">
        <v>0.71279999999999999</v>
      </c>
      <c r="R155" s="10">
        <v>1.581</v>
      </c>
      <c r="S155" s="10">
        <v>4.8949999999999996</v>
      </c>
      <c r="T155" s="10">
        <v>90.47</v>
      </c>
      <c r="U155" s="10">
        <v>8.1019999999999998E-3</v>
      </c>
      <c r="V155" s="10">
        <v>2.1010000000000001E-2</v>
      </c>
      <c r="W155" s="10">
        <v>3.3419999999999998E-2</v>
      </c>
      <c r="X155" s="10">
        <v>1.601E-2</v>
      </c>
      <c r="Y155" s="10">
        <v>2.0449999999999999E-2</v>
      </c>
      <c r="Z155" s="10">
        <v>4.5700000000000003E-3</v>
      </c>
      <c r="AA155" s="10">
        <v>22.25</v>
      </c>
      <c r="AB155" s="10">
        <v>24.9</v>
      </c>
      <c r="AC155" s="10">
        <v>145.4</v>
      </c>
      <c r="AD155" s="10">
        <v>1549</v>
      </c>
      <c r="AE155" s="10">
        <v>0.15029999999999999</v>
      </c>
      <c r="AF155" s="10">
        <v>0.2291</v>
      </c>
      <c r="AG155" s="10">
        <v>0.32719999999999999</v>
      </c>
      <c r="AH155" s="10">
        <v>0.16739999999999999</v>
      </c>
      <c r="AI155" s="10">
        <v>0.28939999999999999</v>
      </c>
      <c r="AJ155">
        <v>8.4559999999999996E-2</v>
      </c>
    </row>
    <row r="156" spans="3:36">
      <c r="C156" s="11" t="s">
        <v>262</v>
      </c>
      <c r="D156" s="10">
        <v>123</v>
      </c>
      <c r="E156" s="10">
        <v>865423</v>
      </c>
      <c r="F156" s="10" t="s">
        <v>0</v>
      </c>
      <c r="G156" s="10">
        <v>13.71</v>
      </c>
      <c r="H156" s="10">
        <v>20.2</v>
      </c>
      <c r="I156" s="10">
        <v>166.2</v>
      </c>
      <c r="J156" s="10">
        <v>1761</v>
      </c>
      <c r="K156" s="10">
        <v>0.1447</v>
      </c>
      <c r="L156" s="10">
        <v>0.28670000000000001</v>
      </c>
      <c r="M156" s="10">
        <v>0.42680000000000001</v>
      </c>
      <c r="N156" s="10">
        <v>0.20119999999999999</v>
      </c>
      <c r="O156" s="10">
        <v>0.26550000000000001</v>
      </c>
      <c r="P156" s="10">
        <v>6.8769999999999998E-2</v>
      </c>
      <c r="Q156" s="10">
        <v>1.5089999999999999</v>
      </c>
      <c r="R156" s="10">
        <v>3.12</v>
      </c>
      <c r="S156" s="10">
        <v>9.8070000000000004</v>
      </c>
      <c r="T156" s="10">
        <v>233</v>
      </c>
      <c r="U156" s="10">
        <v>2.333E-2</v>
      </c>
      <c r="V156" s="10">
        <v>9.8059999999999994E-2</v>
      </c>
      <c r="W156" s="10">
        <v>0.1278</v>
      </c>
      <c r="X156" s="10">
        <v>1.822E-2</v>
      </c>
      <c r="Y156" s="10">
        <v>4.5469999999999997E-2</v>
      </c>
      <c r="Z156" s="10">
        <v>9.8750000000000001E-3</v>
      </c>
      <c r="AA156" s="10">
        <v>26.02</v>
      </c>
      <c r="AB156" s="10">
        <v>23.99</v>
      </c>
      <c r="AC156" s="10">
        <v>180.9</v>
      </c>
      <c r="AD156" s="10">
        <v>2073</v>
      </c>
      <c r="AE156" s="10">
        <v>0.1696</v>
      </c>
      <c r="AF156" s="10">
        <v>0.4244</v>
      </c>
      <c r="AG156" s="10">
        <v>0.58030000000000004</v>
      </c>
      <c r="AH156" s="10">
        <v>0.2248</v>
      </c>
      <c r="AI156" s="10">
        <v>0.32219999999999999</v>
      </c>
      <c r="AJ156">
        <v>8.0089999999999995E-2</v>
      </c>
    </row>
    <row r="157" spans="3:36">
      <c r="C157" s="11" t="s">
        <v>263</v>
      </c>
      <c r="D157" s="10">
        <v>124</v>
      </c>
      <c r="E157" s="10">
        <v>865432</v>
      </c>
      <c r="F157" s="10" t="s">
        <v>1</v>
      </c>
      <c r="G157" s="10">
        <v>13.71</v>
      </c>
      <c r="H157" s="10">
        <v>10.89</v>
      </c>
      <c r="I157" s="10">
        <v>94.28</v>
      </c>
      <c r="J157" s="10">
        <v>640.70000000000005</v>
      </c>
      <c r="K157" s="10">
        <v>0.1101</v>
      </c>
      <c r="L157" s="10">
        <v>0.1099</v>
      </c>
      <c r="M157" s="10">
        <v>8.8419999999999999E-2</v>
      </c>
      <c r="N157" s="10">
        <v>5.7779999999999998E-2</v>
      </c>
      <c r="O157" s="10">
        <v>0.18559999999999999</v>
      </c>
      <c r="P157" s="10">
        <v>6.4019999999999994E-2</v>
      </c>
      <c r="Q157" s="10">
        <v>0.29289999999999999</v>
      </c>
      <c r="R157" s="10">
        <v>0.85699999999999998</v>
      </c>
      <c r="S157" s="10">
        <v>1.9279999999999999</v>
      </c>
      <c r="T157" s="10">
        <v>24.19</v>
      </c>
      <c r="U157" s="10">
        <v>3.8180000000000002E-3</v>
      </c>
      <c r="V157" s="10">
        <v>1.2760000000000001E-2</v>
      </c>
      <c r="W157" s="10">
        <v>2.8819999999999998E-2</v>
      </c>
      <c r="X157" s="10">
        <v>1.2E-2</v>
      </c>
      <c r="Y157" s="10">
        <v>1.9099999999999999E-2</v>
      </c>
      <c r="Z157" s="10">
        <v>2.8080000000000002E-3</v>
      </c>
      <c r="AA157" s="10">
        <v>15.7</v>
      </c>
      <c r="AB157" s="10">
        <v>15.98</v>
      </c>
      <c r="AC157" s="10">
        <v>102.8</v>
      </c>
      <c r="AD157" s="10">
        <v>745.5</v>
      </c>
      <c r="AE157" s="10">
        <v>0.1313</v>
      </c>
      <c r="AF157" s="10">
        <v>0.17879999999999999</v>
      </c>
      <c r="AG157" s="10">
        <v>0.25600000000000001</v>
      </c>
      <c r="AH157" s="10">
        <v>0.1221</v>
      </c>
      <c r="AI157" s="10">
        <v>0.28889999999999999</v>
      </c>
      <c r="AJ157">
        <v>8.0060000000000006E-2</v>
      </c>
    </row>
    <row r="158" spans="3:36">
      <c r="C158" s="11" t="s">
        <v>264</v>
      </c>
      <c r="D158" s="10">
        <v>125</v>
      </c>
      <c r="E158" s="10">
        <v>865468</v>
      </c>
      <c r="F158" s="10" t="s">
        <v>1</v>
      </c>
      <c r="G158" s="10">
        <v>13.71</v>
      </c>
      <c r="H158" s="10">
        <v>16.39</v>
      </c>
      <c r="I158" s="10">
        <v>86.1</v>
      </c>
      <c r="J158" s="10">
        <v>553.5</v>
      </c>
      <c r="K158" s="10">
        <v>7.1150000000000005E-2</v>
      </c>
      <c r="L158" s="10">
        <v>7.3249999999999996E-2</v>
      </c>
      <c r="M158" s="10">
        <v>8.0920000000000006E-2</v>
      </c>
      <c r="N158" s="10">
        <v>2.8000000000000001E-2</v>
      </c>
      <c r="O158" s="10">
        <v>0.14219999999999999</v>
      </c>
      <c r="P158" s="10">
        <v>5.8229999999999997E-2</v>
      </c>
      <c r="Q158" s="10">
        <v>0.16389999999999999</v>
      </c>
      <c r="R158" s="10">
        <v>1.1399999999999999</v>
      </c>
      <c r="S158" s="10">
        <v>1.2230000000000001</v>
      </c>
      <c r="T158" s="10">
        <v>14.66</v>
      </c>
      <c r="U158" s="10">
        <v>5.9189999999999998E-3</v>
      </c>
      <c r="V158" s="10">
        <v>3.27E-2</v>
      </c>
      <c r="W158" s="10">
        <v>4.9570000000000003E-2</v>
      </c>
      <c r="X158" s="10">
        <v>1.038E-2</v>
      </c>
      <c r="Y158" s="10">
        <v>1.208E-2</v>
      </c>
      <c r="Z158" s="10">
        <v>4.0759999999999998E-3</v>
      </c>
      <c r="AA158" s="10">
        <v>14.26</v>
      </c>
      <c r="AB158" s="10">
        <v>22.75</v>
      </c>
      <c r="AC158" s="10">
        <v>91.99</v>
      </c>
      <c r="AD158" s="10">
        <v>632.1</v>
      </c>
      <c r="AE158" s="10">
        <v>0.10249999999999999</v>
      </c>
      <c r="AF158" s="10">
        <v>0.25309999999999999</v>
      </c>
      <c r="AG158" s="10">
        <v>0.33079999999999998</v>
      </c>
      <c r="AH158" s="10">
        <v>8.9779999999999999E-2</v>
      </c>
      <c r="AI158" s="10">
        <v>0.20480000000000001</v>
      </c>
      <c r="AJ158">
        <v>7.6280000000000001E-2</v>
      </c>
    </row>
    <row r="159" spans="3:36">
      <c r="C159" s="11" t="s">
        <v>265</v>
      </c>
      <c r="D159" s="10">
        <v>126</v>
      </c>
      <c r="E159" s="10">
        <v>86561</v>
      </c>
      <c r="F159" s="10" t="s">
        <v>1</v>
      </c>
      <c r="G159" s="10">
        <v>13.71</v>
      </c>
      <c r="H159" s="10">
        <v>17.21</v>
      </c>
      <c r="I159" s="10">
        <v>88.44</v>
      </c>
      <c r="J159" s="10">
        <v>588.70000000000005</v>
      </c>
      <c r="K159" s="10">
        <v>8.7849999999999998E-2</v>
      </c>
      <c r="L159" s="10">
        <v>6.1359999999999998E-2</v>
      </c>
      <c r="M159" s="10">
        <v>1.4200000000000001E-2</v>
      </c>
      <c r="N159" s="10">
        <v>1.141E-2</v>
      </c>
      <c r="O159" s="10">
        <v>0.16139999999999999</v>
      </c>
      <c r="P159" s="10">
        <v>5.8900000000000001E-2</v>
      </c>
      <c r="Q159" s="10">
        <v>0.2185</v>
      </c>
      <c r="R159" s="10">
        <v>0.85609999999999997</v>
      </c>
      <c r="S159" s="10">
        <v>1.4950000000000001</v>
      </c>
      <c r="T159" s="10">
        <v>17.91</v>
      </c>
      <c r="U159" s="10">
        <v>4.5989999999999998E-3</v>
      </c>
      <c r="V159" s="10">
        <v>9.1690000000000001E-3</v>
      </c>
      <c r="W159" s="10">
        <v>9.1269999999999997E-3</v>
      </c>
      <c r="X159" s="10">
        <v>4.8139999999999997E-3</v>
      </c>
      <c r="Y159" s="10">
        <v>1.247E-2</v>
      </c>
      <c r="Z159" s="10">
        <v>1.7080000000000001E-3</v>
      </c>
      <c r="AA159" s="10">
        <v>15.49</v>
      </c>
      <c r="AB159" s="10">
        <v>23.58</v>
      </c>
      <c r="AC159" s="10">
        <v>100.3</v>
      </c>
      <c r="AD159" s="10">
        <v>725.9</v>
      </c>
      <c r="AE159" s="10">
        <v>0.1157</v>
      </c>
      <c r="AF159" s="10">
        <v>0.13500000000000001</v>
      </c>
      <c r="AG159" s="10">
        <v>8.115E-2</v>
      </c>
      <c r="AH159" s="10">
        <v>5.1040000000000002E-2</v>
      </c>
      <c r="AI159" s="10">
        <v>0.2364</v>
      </c>
      <c r="AJ159">
        <v>7.1819999999999995E-2</v>
      </c>
    </row>
    <row r="160" spans="3:36">
      <c r="C160" s="11" t="s">
        <v>266</v>
      </c>
      <c r="D160" s="10">
        <v>127</v>
      </c>
      <c r="E160" s="10">
        <v>866083</v>
      </c>
      <c r="F160" s="10" t="s">
        <v>0</v>
      </c>
      <c r="G160" s="10">
        <v>13.71</v>
      </c>
      <c r="H160" s="10">
        <v>24.69</v>
      </c>
      <c r="I160" s="10">
        <v>87.76</v>
      </c>
      <c r="J160" s="10">
        <v>572.6</v>
      </c>
      <c r="K160" s="10">
        <v>9.2579999999999996E-2</v>
      </c>
      <c r="L160" s="10">
        <v>7.8619999999999995E-2</v>
      </c>
      <c r="M160" s="10">
        <v>5.2850000000000001E-2</v>
      </c>
      <c r="N160" s="10">
        <v>3.0849999999999999E-2</v>
      </c>
      <c r="O160" s="10">
        <v>0.17610000000000001</v>
      </c>
      <c r="P160" s="10">
        <v>6.13E-2</v>
      </c>
      <c r="Q160" s="10">
        <v>0.23100000000000001</v>
      </c>
      <c r="R160" s="10">
        <v>1.0049999999999999</v>
      </c>
      <c r="S160" s="10">
        <v>1.752</v>
      </c>
      <c r="T160" s="10">
        <v>19.829999999999998</v>
      </c>
      <c r="U160" s="10">
        <v>4.0879999999999996E-3</v>
      </c>
      <c r="V160" s="10">
        <v>1.174E-2</v>
      </c>
      <c r="W160" s="10">
        <v>1.796E-2</v>
      </c>
      <c r="X160" s="10">
        <v>6.8799999999999998E-3</v>
      </c>
      <c r="Y160" s="10">
        <v>1.323E-2</v>
      </c>
      <c r="Z160" s="10">
        <v>1.4649999999999999E-3</v>
      </c>
      <c r="AA160" s="10">
        <v>16.89</v>
      </c>
      <c r="AB160" s="10">
        <v>35.64</v>
      </c>
      <c r="AC160" s="10">
        <v>113.2</v>
      </c>
      <c r="AD160" s="10">
        <v>848.7</v>
      </c>
      <c r="AE160" s="10">
        <v>0.14710000000000001</v>
      </c>
      <c r="AF160" s="10">
        <v>0.28839999999999999</v>
      </c>
      <c r="AG160" s="10">
        <v>0.37959999999999999</v>
      </c>
      <c r="AH160" s="10">
        <v>0.13289999999999999</v>
      </c>
      <c r="AI160" s="10">
        <v>0.34699999999999998</v>
      </c>
      <c r="AJ160">
        <v>7.9000000000000001E-2</v>
      </c>
    </row>
    <row r="161" spans="3:36">
      <c r="C161" s="11" t="s">
        <v>267</v>
      </c>
      <c r="D161" s="10">
        <v>128</v>
      </c>
      <c r="E161" s="10">
        <v>866203</v>
      </c>
      <c r="F161" s="10" t="s">
        <v>0</v>
      </c>
      <c r="G161" s="10">
        <v>13.71</v>
      </c>
      <c r="H161" s="10">
        <v>18.91</v>
      </c>
      <c r="I161" s="10">
        <v>123.4</v>
      </c>
      <c r="J161" s="10">
        <v>1138</v>
      </c>
      <c r="K161" s="10">
        <v>8.2170000000000007E-2</v>
      </c>
      <c r="L161" s="10">
        <v>8.0280000000000004E-2</v>
      </c>
      <c r="M161" s="10">
        <v>9.2710000000000001E-2</v>
      </c>
      <c r="N161" s="10">
        <v>5.6270000000000001E-2</v>
      </c>
      <c r="O161" s="10">
        <v>0.1946</v>
      </c>
      <c r="P161" s="10">
        <v>5.0439999999999999E-2</v>
      </c>
      <c r="Q161" s="10">
        <v>0.68959999999999999</v>
      </c>
      <c r="R161" s="10">
        <v>1.3420000000000001</v>
      </c>
      <c r="S161" s="10">
        <v>5.2160000000000002</v>
      </c>
      <c r="T161" s="10">
        <v>81.23</v>
      </c>
      <c r="U161" s="10">
        <v>4.4279999999999996E-3</v>
      </c>
      <c r="V161" s="10">
        <v>2.7310000000000001E-2</v>
      </c>
      <c r="W161" s="10">
        <v>4.0399999999999998E-2</v>
      </c>
      <c r="X161" s="10">
        <v>1.3610000000000001E-2</v>
      </c>
      <c r="Y161" s="10">
        <v>2.0299999999999999E-2</v>
      </c>
      <c r="Z161" s="10">
        <v>2.686E-3</v>
      </c>
      <c r="AA161" s="10">
        <v>22.32</v>
      </c>
      <c r="AB161" s="10">
        <v>25.73</v>
      </c>
      <c r="AC161" s="10">
        <v>148.19999999999999</v>
      </c>
      <c r="AD161" s="10">
        <v>1538</v>
      </c>
      <c r="AE161" s="10">
        <v>0.1021</v>
      </c>
      <c r="AF161" s="10">
        <v>0.22639999999999999</v>
      </c>
      <c r="AG161" s="10">
        <v>0.32069999999999999</v>
      </c>
      <c r="AH161" s="10">
        <v>0.12180000000000001</v>
      </c>
      <c r="AI161" s="10">
        <v>0.28410000000000002</v>
      </c>
      <c r="AJ161">
        <v>6.5409999999999996E-2</v>
      </c>
    </row>
    <row r="162" spans="3:36">
      <c r="C162" s="11" t="s">
        <v>268</v>
      </c>
      <c r="D162" s="10">
        <v>129</v>
      </c>
      <c r="E162" s="10">
        <v>866458</v>
      </c>
      <c r="F162" s="10" t="s">
        <v>1</v>
      </c>
      <c r="G162" s="10">
        <v>13.71</v>
      </c>
      <c r="H162" s="10">
        <v>16.39</v>
      </c>
      <c r="I162" s="10">
        <v>99.58</v>
      </c>
      <c r="J162" s="10">
        <v>674.5</v>
      </c>
      <c r="K162" s="10">
        <v>0.115</v>
      </c>
      <c r="L162" s="10">
        <v>0.1807</v>
      </c>
      <c r="M162" s="10">
        <v>0.1138</v>
      </c>
      <c r="N162" s="10">
        <v>8.5339999999999999E-2</v>
      </c>
      <c r="O162" s="10">
        <v>0.2001</v>
      </c>
      <c r="P162" s="10">
        <v>6.4670000000000005E-2</v>
      </c>
      <c r="Q162" s="10">
        <v>0.43090000000000001</v>
      </c>
      <c r="R162" s="10">
        <v>1.0680000000000001</v>
      </c>
      <c r="S162" s="10">
        <v>2.7959999999999998</v>
      </c>
      <c r="T162" s="10">
        <v>39.840000000000003</v>
      </c>
      <c r="U162" s="10">
        <v>9.0060000000000001E-3</v>
      </c>
      <c r="V162" s="10">
        <v>4.1849999999999998E-2</v>
      </c>
      <c r="W162" s="10">
        <v>3.2039999999999999E-2</v>
      </c>
      <c r="X162" s="10">
        <v>2.2579999999999999E-2</v>
      </c>
      <c r="Y162" s="10">
        <v>2.3529999999999999E-2</v>
      </c>
      <c r="Z162" s="10">
        <v>4.9839999999999997E-3</v>
      </c>
      <c r="AA162" s="10">
        <v>16.11</v>
      </c>
      <c r="AB162" s="10">
        <v>18.329999999999998</v>
      </c>
      <c r="AC162" s="10">
        <v>105.9</v>
      </c>
      <c r="AD162" s="10">
        <v>762.6</v>
      </c>
      <c r="AE162" s="10">
        <v>0.1386</v>
      </c>
      <c r="AF162" s="10">
        <v>0.2883</v>
      </c>
      <c r="AG162" s="10">
        <v>0.19600000000000001</v>
      </c>
      <c r="AH162" s="10">
        <v>0.14230000000000001</v>
      </c>
      <c r="AI162" s="10">
        <v>0.25900000000000001</v>
      </c>
      <c r="AJ162">
        <v>7.7789999999999998E-2</v>
      </c>
    </row>
    <row r="163" spans="3:36">
      <c r="C163" s="11" t="s">
        <v>269</v>
      </c>
      <c r="D163" s="10">
        <v>130</v>
      </c>
      <c r="E163" s="10">
        <v>866674</v>
      </c>
      <c r="F163" s="10" t="s">
        <v>0</v>
      </c>
      <c r="G163" s="10">
        <v>13.71</v>
      </c>
      <c r="H163" s="10">
        <v>25.12</v>
      </c>
      <c r="I163" s="10">
        <v>130.4</v>
      </c>
      <c r="J163" s="10">
        <v>1192</v>
      </c>
      <c r="K163" s="10">
        <v>0.10150000000000001</v>
      </c>
      <c r="L163" s="10">
        <v>0.15890000000000001</v>
      </c>
      <c r="M163" s="10">
        <v>0.2545</v>
      </c>
      <c r="N163" s="10">
        <v>0.1149</v>
      </c>
      <c r="O163" s="10">
        <v>0.22020000000000001</v>
      </c>
      <c r="P163" s="10">
        <v>6.1129999999999997E-2</v>
      </c>
      <c r="Q163" s="10">
        <v>0.49530000000000002</v>
      </c>
      <c r="R163" s="10">
        <v>1.1990000000000001</v>
      </c>
      <c r="S163" s="10">
        <v>2.7650000000000001</v>
      </c>
      <c r="T163" s="10">
        <v>63.33</v>
      </c>
      <c r="U163" s="10">
        <v>5.0330000000000001E-3</v>
      </c>
      <c r="V163" s="10">
        <v>3.1789999999999999E-2</v>
      </c>
      <c r="W163" s="10">
        <v>4.7550000000000002E-2</v>
      </c>
      <c r="X163" s="10">
        <v>1.043E-2</v>
      </c>
      <c r="Y163" s="10">
        <v>1.5779999999999999E-2</v>
      </c>
      <c r="Z163" s="10">
        <v>3.2239999999999999E-3</v>
      </c>
      <c r="AA163" s="10">
        <v>22.63</v>
      </c>
      <c r="AB163" s="10">
        <v>33.58</v>
      </c>
      <c r="AC163" s="10">
        <v>148.69999999999999</v>
      </c>
      <c r="AD163" s="10">
        <v>1589</v>
      </c>
      <c r="AE163" s="10">
        <v>0.1275</v>
      </c>
      <c r="AF163" s="10">
        <v>0.3861</v>
      </c>
      <c r="AG163" s="10">
        <v>0.56730000000000003</v>
      </c>
      <c r="AH163" s="10">
        <v>0.17319999999999999</v>
      </c>
      <c r="AI163" s="10">
        <v>0.33050000000000002</v>
      </c>
      <c r="AJ163">
        <v>8.4650000000000003E-2</v>
      </c>
    </row>
    <row r="164" spans="3:36">
      <c r="C164" s="11" t="s">
        <v>270</v>
      </c>
      <c r="D164" s="10">
        <v>131</v>
      </c>
      <c r="E164" s="10">
        <v>866714</v>
      </c>
      <c r="F164" s="10" t="s">
        <v>1</v>
      </c>
      <c r="G164" s="10">
        <v>13.71</v>
      </c>
      <c r="H164" s="10">
        <v>13.29</v>
      </c>
      <c r="I164" s="10">
        <v>79.08</v>
      </c>
      <c r="J164" s="10">
        <v>455.8</v>
      </c>
      <c r="K164" s="10">
        <v>0.1066</v>
      </c>
      <c r="L164" s="10">
        <v>9.5089999999999994E-2</v>
      </c>
      <c r="M164" s="10">
        <v>2.8549999999999999E-2</v>
      </c>
      <c r="N164" s="10">
        <v>2.8819999999999998E-2</v>
      </c>
      <c r="O164" s="10">
        <v>0.188</v>
      </c>
      <c r="P164" s="10">
        <v>6.4710000000000004E-2</v>
      </c>
      <c r="Q164" s="10">
        <v>0.20050000000000001</v>
      </c>
      <c r="R164" s="10">
        <v>0.81630000000000003</v>
      </c>
      <c r="S164" s="10">
        <v>1.9730000000000001</v>
      </c>
      <c r="T164" s="10">
        <v>15.24</v>
      </c>
      <c r="U164" s="10">
        <v>6.7730000000000004E-3</v>
      </c>
      <c r="V164" s="10">
        <v>2.4559999999999998E-2</v>
      </c>
      <c r="W164" s="10">
        <v>1.018E-2</v>
      </c>
      <c r="X164" s="10">
        <v>8.0940000000000005E-3</v>
      </c>
      <c r="Y164" s="10">
        <v>2.6620000000000001E-2</v>
      </c>
      <c r="Z164" s="10">
        <v>4.143E-3</v>
      </c>
      <c r="AA164" s="10">
        <v>13.34</v>
      </c>
      <c r="AB164" s="10">
        <v>17.809999999999999</v>
      </c>
      <c r="AC164" s="10">
        <v>91.38</v>
      </c>
      <c r="AD164" s="10">
        <v>545.20000000000005</v>
      </c>
      <c r="AE164" s="10">
        <v>0.14269999999999999</v>
      </c>
      <c r="AF164" s="10">
        <v>0.25850000000000001</v>
      </c>
      <c r="AG164" s="10">
        <v>9.9150000000000002E-2</v>
      </c>
      <c r="AH164" s="10">
        <v>8.1869999999999998E-2</v>
      </c>
      <c r="AI164" s="10">
        <v>0.34689999999999999</v>
      </c>
      <c r="AJ164">
        <v>9.2410000000000006E-2</v>
      </c>
    </row>
    <row r="165" spans="3:36">
      <c r="C165" s="11" t="s">
        <v>271</v>
      </c>
      <c r="D165" s="10">
        <v>132</v>
      </c>
      <c r="E165" s="10">
        <v>8670</v>
      </c>
      <c r="F165" s="10" t="s">
        <v>0</v>
      </c>
      <c r="G165" s="10">
        <v>13.71</v>
      </c>
      <c r="H165" s="10">
        <v>19.48</v>
      </c>
      <c r="I165" s="10">
        <v>101.7</v>
      </c>
      <c r="J165" s="10">
        <v>748.9</v>
      </c>
      <c r="K165" s="10">
        <v>0.10920000000000001</v>
      </c>
      <c r="L165" s="10">
        <v>0.12230000000000001</v>
      </c>
      <c r="M165" s="10">
        <v>0.14660000000000001</v>
      </c>
      <c r="N165" s="10">
        <v>8.0869999999999997E-2</v>
      </c>
      <c r="O165" s="10">
        <v>0.19309999999999999</v>
      </c>
      <c r="P165" s="10">
        <v>5.7959999999999998E-2</v>
      </c>
      <c r="Q165" s="10">
        <v>0.4743</v>
      </c>
      <c r="R165" s="10">
        <v>0.78590000000000004</v>
      </c>
      <c r="S165" s="10">
        <v>3.0939999999999999</v>
      </c>
      <c r="T165" s="10">
        <v>48.31</v>
      </c>
      <c r="U165" s="10">
        <v>6.2399999999999999E-3</v>
      </c>
      <c r="V165" s="10">
        <v>1.4840000000000001E-2</v>
      </c>
      <c r="W165" s="10">
        <v>2.8129999999999999E-2</v>
      </c>
      <c r="X165" s="10">
        <v>1.093E-2</v>
      </c>
      <c r="Y165" s="10">
        <v>1.397E-2</v>
      </c>
      <c r="Z165" s="10">
        <v>2.4610000000000001E-3</v>
      </c>
      <c r="AA165" s="10">
        <v>19.260000000000002</v>
      </c>
      <c r="AB165" s="10">
        <v>26</v>
      </c>
      <c r="AC165" s="10">
        <v>124.9</v>
      </c>
      <c r="AD165" s="10">
        <v>1156</v>
      </c>
      <c r="AE165" s="10">
        <v>0.15459999999999999</v>
      </c>
      <c r="AF165" s="10">
        <v>0.2394</v>
      </c>
      <c r="AG165" s="10">
        <v>0.37909999999999999</v>
      </c>
      <c r="AH165" s="10">
        <v>0.15140000000000001</v>
      </c>
      <c r="AI165" s="10">
        <v>0.28370000000000001</v>
      </c>
      <c r="AJ165">
        <v>8.0189999999999997E-2</v>
      </c>
    </row>
    <row r="166" spans="3:36">
      <c r="C166" s="11" t="s">
        <v>272</v>
      </c>
      <c r="D166" s="10">
        <v>133</v>
      </c>
      <c r="E166" s="10">
        <v>86730502</v>
      </c>
      <c r="F166" s="10" t="s">
        <v>0</v>
      </c>
      <c r="G166" s="10">
        <v>13.71</v>
      </c>
      <c r="H166" s="10">
        <v>21.54</v>
      </c>
      <c r="I166" s="10">
        <v>106.2</v>
      </c>
      <c r="J166" s="10">
        <v>809.8</v>
      </c>
      <c r="K166" s="10">
        <v>0.1008</v>
      </c>
      <c r="L166" s="10">
        <v>0.12839999999999999</v>
      </c>
      <c r="M166" s="10">
        <v>0.1043</v>
      </c>
      <c r="N166" s="10">
        <v>5.6129999999999999E-2</v>
      </c>
      <c r="O166" s="10">
        <v>0.216</v>
      </c>
      <c r="P166" s="10">
        <v>5.8909999999999997E-2</v>
      </c>
      <c r="Q166" s="10">
        <v>0.43319999999999997</v>
      </c>
      <c r="R166" s="10">
        <v>1.2649999999999999</v>
      </c>
      <c r="S166" s="10">
        <v>2.8439999999999999</v>
      </c>
      <c r="T166" s="10">
        <v>43.68</v>
      </c>
      <c r="U166" s="10">
        <v>4.8770000000000003E-3</v>
      </c>
      <c r="V166" s="10">
        <v>1.9519999999999999E-2</v>
      </c>
      <c r="W166" s="10">
        <v>2.2190000000000001E-2</v>
      </c>
      <c r="X166" s="10">
        <v>9.2309999999999996E-3</v>
      </c>
      <c r="Y166" s="10">
        <v>1.5350000000000001E-2</v>
      </c>
      <c r="Z166" s="10">
        <v>2.3730000000000001E-3</v>
      </c>
      <c r="AA166" s="10">
        <v>19.47</v>
      </c>
      <c r="AB166" s="10">
        <v>31.68</v>
      </c>
      <c r="AC166" s="10">
        <v>129.69999999999999</v>
      </c>
      <c r="AD166" s="10">
        <v>1175</v>
      </c>
      <c r="AE166" s="10">
        <v>0.13950000000000001</v>
      </c>
      <c r="AF166" s="10">
        <v>0.30549999999999999</v>
      </c>
      <c r="AG166" s="10">
        <v>0.29920000000000002</v>
      </c>
      <c r="AH166" s="10">
        <v>0.13120000000000001</v>
      </c>
      <c r="AI166" s="10">
        <v>0.34799999999999998</v>
      </c>
      <c r="AJ166">
        <v>7.6189999999999994E-2</v>
      </c>
    </row>
    <row r="167" spans="3:36">
      <c r="C167" s="11" t="s">
        <v>273</v>
      </c>
      <c r="D167" s="10">
        <v>134</v>
      </c>
      <c r="E167" s="10">
        <v>867387</v>
      </c>
      <c r="F167" s="10" t="s">
        <v>1</v>
      </c>
      <c r="G167" s="10">
        <v>13.71</v>
      </c>
      <c r="H167" s="10">
        <v>13.93</v>
      </c>
      <c r="I167" s="10">
        <v>102</v>
      </c>
      <c r="J167" s="10">
        <v>761.7</v>
      </c>
      <c r="K167" s="10">
        <v>9.4619999999999996E-2</v>
      </c>
      <c r="L167" s="10">
        <v>9.4619999999999996E-2</v>
      </c>
      <c r="M167" s="10">
        <v>7.1349999999999997E-2</v>
      </c>
      <c r="N167" s="10">
        <v>5.9330000000000001E-2</v>
      </c>
      <c r="O167" s="10">
        <v>0.18160000000000001</v>
      </c>
      <c r="P167" s="10">
        <v>5.7230000000000003E-2</v>
      </c>
      <c r="Q167" s="10">
        <v>0.31169999999999998</v>
      </c>
      <c r="R167" s="10">
        <v>0.8155</v>
      </c>
      <c r="S167" s="10">
        <v>1.972</v>
      </c>
      <c r="T167" s="10">
        <v>27.94</v>
      </c>
      <c r="U167" s="10">
        <v>5.2170000000000003E-3</v>
      </c>
      <c r="V167" s="10">
        <v>1.515E-2</v>
      </c>
      <c r="W167" s="10">
        <v>1.678E-2</v>
      </c>
      <c r="X167" s="10">
        <v>1.268E-2</v>
      </c>
      <c r="Y167" s="10">
        <v>1.669E-2</v>
      </c>
      <c r="Z167" s="10">
        <v>2.33E-3</v>
      </c>
      <c r="AA167" s="10">
        <v>17.5</v>
      </c>
      <c r="AB167" s="10">
        <v>19.25</v>
      </c>
      <c r="AC167" s="10">
        <v>114.3</v>
      </c>
      <c r="AD167" s="10">
        <v>922.8</v>
      </c>
      <c r="AE167" s="10">
        <v>0.12230000000000001</v>
      </c>
      <c r="AF167" s="10">
        <v>0.19489999999999999</v>
      </c>
      <c r="AG167" s="10">
        <v>0.1709</v>
      </c>
      <c r="AH167" s="10">
        <v>0.13739999999999999</v>
      </c>
      <c r="AI167" s="10">
        <v>0.27229999999999999</v>
      </c>
      <c r="AJ167">
        <v>7.0709999999999995E-2</v>
      </c>
    </row>
    <row r="168" spans="3:36">
      <c r="C168" s="11" t="s">
        <v>274</v>
      </c>
      <c r="D168" s="10">
        <v>135</v>
      </c>
      <c r="E168" s="10">
        <v>867739</v>
      </c>
      <c r="F168" s="10" t="s">
        <v>0</v>
      </c>
      <c r="G168" s="10">
        <v>13.71</v>
      </c>
      <c r="H168" s="10">
        <v>21.91</v>
      </c>
      <c r="I168" s="10">
        <v>120.2</v>
      </c>
      <c r="J168" s="10">
        <v>1075</v>
      </c>
      <c r="K168" s="10">
        <v>9.4299999999999995E-2</v>
      </c>
      <c r="L168" s="10">
        <v>9.7089999999999996E-2</v>
      </c>
      <c r="M168" s="10">
        <v>0.1153</v>
      </c>
      <c r="N168" s="10">
        <v>6.8470000000000003E-2</v>
      </c>
      <c r="O168" s="10">
        <v>0.16919999999999999</v>
      </c>
      <c r="P168" s="10">
        <v>5.7270000000000001E-2</v>
      </c>
      <c r="Q168" s="10">
        <v>0.59589999999999999</v>
      </c>
      <c r="R168" s="10">
        <v>1.202</v>
      </c>
      <c r="S168" s="10">
        <v>3.766</v>
      </c>
      <c r="T168" s="10">
        <v>68.349999999999994</v>
      </c>
      <c r="U168" s="10">
        <v>6.0010000000000003E-3</v>
      </c>
      <c r="V168" s="10">
        <v>1.422E-2</v>
      </c>
      <c r="W168" s="10">
        <v>2.8549999999999999E-2</v>
      </c>
      <c r="X168" s="10">
        <v>9.1479999999999999E-3</v>
      </c>
      <c r="Y168" s="10">
        <v>1.4919999999999999E-2</v>
      </c>
      <c r="Z168" s="10">
        <v>2.2049999999999999E-3</v>
      </c>
      <c r="AA168" s="10">
        <v>22.52</v>
      </c>
      <c r="AB168" s="10">
        <v>31.39</v>
      </c>
      <c r="AC168" s="10">
        <v>145.6</v>
      </c>
      <c r="AD168" s="10">
        <v>1590</v>
      </c>
      <c r="AE168" s="10">
        <v>0.14649999999999999</v>
      </c>
      <c r="AF168" s="10">
        <v>0.22750000000000001</v>
      </c>
      <c r="AG168" s="10">
        <v>0.39650000000000002</v>
      </c>
      <c r="AH168" s="10">
        <v>0.13789999999999999</v>
      </c>
      <c r="AI168" s="10">
        <v>0.31090000000000001</v>
      </c>
      <c r="AJ168">
        <v>7.6100000000000001E-2</v>
      </c>
    </row>
    <row r="169" spans="3:36">
      <c r="C169" s="11" t="s">
        <v>275</v>
      </c>
      <c r="D169" s="10">
        <v>136</v>
      </c>
      <c r="E169" s="10">
        <v>868202</v>
      </c>
      <c r="F169" s="10" t="s">
        <v>0</v>
      </c>
      <c r="G169" s="10">
        <v>13.71</v>
      </c>
      <c r="H169" s="10">
        <v>22.47</v>
      </c>
      <c r="I169" s="10">
        <v>81.72</v>
      </c>
      <c r="J169" s="10">
        <v>506.3</v>
      </c>
      <c r="K169" s="10">
        <v>9.0550000000000005E-2</v>
      </c>
      <c r="L169" s="10">
        <v>5.7610000000000001E-2</v>
      </c>
      <c r="M169" s="10">
        <v>4.7109999999999999E-2</v>
      </c>
      <c r="N169" s="10">
        <v>2.7040000000000002E-2</v>
      </c>
      <c r="O169" s="10">
        <v>0.1585</v>
      </c>
      <c r="P169" s="10">
        <v>6.0650000000000003E-2</v>
      </c>
      <c r="Q169" s="10">
        <v>0.23669999999999999</v>
      </c>
      <c r="R169" s="10">
        <v>1.38</v>
      </c>
      <c r="S169" s="10">
        <v>1.4570000000000001</v>
      </c>
      <c r="T169" s="10">
        <v>19.87</v>
      </c>
      <c r="U169" s="10">
        <v>7.4989999999999996E-3</v>
      </c>
      <c r="V169" s="10">
        <v>1.2019999999999999E-2</v>
      </c>
      <c r="W169" s="10">
        <v>2.332E-2</v>
      </c>
      <c r="X169" s="10">
        <v>8.9200000000000008E-3</v>
      </c>
      <c r="Y169" s="10">
        <v>1.6469999999999999E-2</v>
      </c>
      <c r="Z169" s="10">
        <v>2.6289999999999998E-3</v>
      </c>
      <c r="AA169" s="10">
        <v>14.49</v>
      </c>
      <c r="AB169" s="10">
        <v>33.369999999999997</v>
      </c>
      <c r="AC169" s="10">
        <v>92.04</v>
      </c>
      <c r="AD169" s="10">
        <v>653.6</v>
      </c>
      <c r="AE169" s="10">
        <v>0.1419</v>
      </c>
      <c r="AF169" s="10">
        <v>0.15229999999999999</v>
      </c>
      <c r="AG169" s="10">
        <v>0.2177</v>
      </c>
      <c r="AH169" s="10">
        <v>9.3310000000000004E-2</v>
      </c>
      <c r="AI169" s="10">
        <v>0.28289999999999998</v>
      </c>
      <c r="AJ169">
        <v>8.0670000000000006E-2</v>
      </c>
    </row>
    <row r="170" spans="3:36">
      <c r="C170" s="11" t="s">
        <v>276</v>
      </c>
      <c r="D170" s="10">
        <v>137</v>
      </c>
      <c r="E170" s="10">
        <v>868223</v>
      </c>
      <c r="F170" s="10" t="s">
        <v>1</v>
      </c>
      <c r="G170" s="10">
        <v>13.71</v>
      </c>
      <c r="H170" s="10">
        <v>16.670000000000002</v>
      </c>
      <c r="I170" s="10">
        <v>74.72</v>
      </c>
      <c r="J170" s="10">
        <v>423.6</v>
      </c>
      <c r="K170" s="10">
        <v>0.1051</v>
      </c>
      <c r="L170" s="10">
        <v>6.0949999999999997E-2</v>
      </c>
      <c r="M170" s="10">
        <v>3.5920000000000001E-2</v>
      </c>
      <c r="N170" s="10">
        <v>2.5999999999999999E-2</v>
      </c>
      <c r="O170" s="10">
        <v>0.13389999999999999</v>
      </c>
      <c r="P170" s="10">
        <v>5.9450000000000003E-2</v>
      </c>
      <c r="Q170" s="10">
        <v>0.44890000000000002</v>
      </c>
      <c r="R170" s="10">
        <v>2.508</v>
      </c>
      <c r="S170" s="10">
        <v>3.258</v>
      </c>
      <c r="T170" s="10">
        <v>34.369999999999997</v>
      </c>
      <c r="U170" s="10">
        <v>6.5779999999999996E-3</v>
      </c>
      <c r="V170" s="10">
        <v>1.38E-2</v>
      </c>
      <c r="W170" s="10">
        <v>2.6620000000000001E-2</v>
      </c>
      <c r="X170" s="10">
        <v>1.307E-2</v>
      </c>
      <c r="Y170" s="10">
        <v>1.359E-2</v>
      </c>
      <c r="Z170" s="10">
        <v>3.7069999999999998E-3</v>
      </c>
      <c r="AA170" s="10">
        <v>13.33</v>
      </c>
      <c r="AB170" s="10">
        <v>25.48</v>
      </c>
      <c r="AC170" s="10">
        <v>86.16</v>
      </c>
      <c r="AD170" s="10">
        <v>546.70000000000005</v>
      </c>
      <c r="AE170" s="10">
        <v>0.12709999999999999</v>
      </c>
      <c r="AF170" s="10">
        <v>0.1028</v>
      </c>
      <c r="AG170" s="10">
        <v>0.1046</v>
      </c>
      <c r="AH170" s="10">
        <v>6.9680000000000006E-2</v>
      </c>
      <c r="AI170" s="10">
        <v>0.17119999999999999</v>
      </c>
      <c r="AJ170">
        <v>7.3429999999999995E-2</v>
      </c>
    </row>
    <row r="171" spans="3:36">
      <c r="C171" s="11" t="s">
        <v>277</v>
      </c>
      <c r="D171" s="10">
        <v>138</v>
      </c>
      <c r="E171" s="10">
        <v>868682</v>
      </c>
      <c r="F171" s="10" t="s">
        <v>1</v>
      </c>
      <c r="G171" s="10">
        <v>13.71</v>
      </c>
      <c r="H171" s="10">
        <v>15.39</v>
      </c>
      <c r="I171" s="10">
        <v>73.06</v>
      </c>
      <c r="J171" s="10">
        <v>399.8</v>
      </c>
      <c r="K171" s="10">
        <v>9.6390000000000003E-2</v>
      </c>
      <c r="L171" s="10">
        <v>6.8890000000000007E-2</v>
      </c>
      <c r="M171" s="10">
        <v>3.5029999999999999E-2</v>
      </c>
      <c r="N171" s="10">
        <v>2.8750000000000001E-2</v>
      </c>
      <c r="O171" s="10">
        <v>0.1734</v>
      </c>
      <c r="P171" s="10">
        <v>5.8650000000000001E-2</v>
      </c>
      <c r="Q171" s="10">
        <v>0.1759</v>
      </c>
      <c r="R171" s="10">
        <v>0.99380000000000002</v>
      </c>
      <c r="S171" s="10">
        <v>1.143</v>
      </c>
      <c r="T171" s="10">
        <v>12.67</v>
      </c>
      <c r="U171" s="10">
        <v>5.1330000000000004E-3</v>
      </c>
      <c r="V171" s="10">
        <v>1.521E-2</v>
      </c>
      <c r="W171" s="10">
        <v>1.434E-2</v>
      </c>
      <c r="X171" s="10">
        <v>8.6020000000000003E-3</v>
      </c>
      <c r="Y171" s="10">
        <v>1.5010000000000001E-2</v>
      </c>
      <c r="Z171" s="10">
        <v>1.588E-3</v>
      </c>
      <c r="AA171" s="10">
        <v>12.32</v>
      </c>
      <c r="AB171" s="10">
        <v>22.02</v>
      </c>
      <c r="AC171" s="10">
        <v>79.930000000000007</v>
      </c>
      <c r="AD171" s="10">
        <v>462</v>
      </c>
      <c r="AE171" s="10">
        <v>0.11899999999999999</v>
      </c>
      <c r="AF171" s="10">
        <v>0.1648</v>
      </c>
      <c r="AG171" s="10">
        <v>0.1399</v>
      </c>
      <c r="AH171" s="10">
        <v>8.4760000000000002E-2</v>
      </c>
      <c r="AI171" s="10">
        <v>0.2676</v>
      </c>
      <c r="AJ171">
        <v>6.7650000000000002E-2</v>
      </c>
    </row>
    <row r="172" spans="3:36">
      <c r="C172" s="11" t="s">
        <v>278</v>
      </c>
      <c r="D172" s="10">
        <v>139</v>
      </c>
      <c r="E172" s="10">
        <v>868826</v>
      </c>
      <c r="F172" s="10" t="s">
        <v>0</v>
      </c>
      <c r="G172" s="10">
        <v>13.71</v>
      </c>
      <c r="H172" s="10">
        <v>17.57</v>
      </c>
      <c r="I172" s="10">
        <v>96.85</v>
      </c>
      <c r="J172" s="10">
        <v>678.1</v>
      </c>
      <c r="K172" s="10">
        <v>0.1167</v>
      </c>
      <c r="L172" s="10">
        <v>0.1305</v>
      </c>
      <c r="M172" s="10">
        <v>0.15390000000000001</v>
      </c>
      <c r="N172" s="10">
        <v>8.6239999999999997E-2</v>
      </c>
      <c r="O172" s="10">
        <v>0.19570000000000001</v>
      </c>
      <c r="P172" s="10">
        <v>6.216E-2</v>
      </c>
      <c r="Q172" s="10">
        <v>1.296</v>
      </c>
      <c r="R172" s="10">
        <v>1.452</v>
      </c>
      <c r="S172" s="10">
        <v>8.4190000000000005</v>
      </c>
      <c r="T172" s="10">
        <v>101.9</v>
      </c>
      <c r="U172" s="10">
        <v>0.01</v>
      </c>
      <c r="V172" s="10">
        <v>3.4799999999999998E-2</v>
      </c>
      <c r="W172" s="10">
        <v>6.5769999999999995E-2</v>
      </c>
      <c r="X172" s="10">
        <v>2.801E-2</v>
      </c>
      <c r="Y172" s="10">
        <v>5.1679999999999997E-2</v>
      </c>
      <c r="Z172" s="10">
        <v>2.8869999999999998E-3</v>
      </c>
      <c r="AA172" s="10">
        <v>18.55</v>
      </c>
      <c r="AB172" s="10">
        <v>21.43</v>
      </c>
      <c r="AC172" s="10">
        <v>121.4</v>
      </c>
      <c r="AD172" s="10">
        <v>971.4</v>
      </c>
      <c r="AE172" s="10">
        <v>0.1411</v>
      </c>
      <c r="AF172" s="10">
        <v>0.21640000000000001</v>
      </c>
      <c r="AG172" s="10">
        <v>0.33550000000000002</v>
      </c>
      <c r="AH172" s="10">
        <v>0.16669999999999999</v>
      </c>
      <c r="AI172" s="10">
        <v>0.34139999999999998</v>
      </c>
      <c r="AJ172">
        <v>7.1470000000000006E-2</v>
      </c>
    </row>
    <row r="173" spans="3:36">
      <c r="C173" s="11" t="s">
        <v>279</v>
      </c>
      <c r="D173" s="10">
        <v>140</v>
      </c>
      <c r="E173" s="10">
        <v>868871</v>
      </c>
      <c r="F173" s="10" t="s">
        <v>1</v>
      </c>
      <c r="G173" s="10">
        <v>13.71</v>
      </c>
      <c r="H173" s="10">
        <v>13.39</v>
      </c>
      <c r="I173" s="10">
        <v>73</v>
      </c>
      <c r="J173" s="10">
        <v>384.8</v>
      </c>
      <c r="K173" s="10">
        <v>0.1164</v>
      </c>
      <c r="L173" s="10">
        <v>0.11360000000000001</v>
      </c>
      <c r="M173" s="10">
        <v>4.6350000000000002E-2</v>
      </c>
      <c r="N173" s="10">
        <v>4.7960000000000003E-2</v>
      </c>
      <c r="O173" s="10">
        <v>0.17710000000000001</v>
      </c>
      <c r="P173" s="10">
        <v>6.0720000000000003E-2</v>
      </c>
      <c r="Q173" s="10">
        <v>0.33839999999999998</v>
      </c>
      <c r="R173" s="10">
        <v>1.343</v>
      </c>
      <c r="S173" s="10">
        <v>1.851</v>
      </c>
      <c r="T173" s="10">
        <v>26.33</v>
      </c>
      <c r="U173" s="10">
        <v>1.1270000000000001E-2</v>
      </c>
      <c r="V173" s="10">
        <v>3.4979999999999997E-2</v>
      </c>
      <c r="W173" s="10">
        <v>2.1870000000000001E-2</v>
      </c>
      <c r="X173" s="10">
        <v>1.9650000000000001E-2</v>
      </c>
      <c r="Y173" s="10">
        <v>1.5800000000000002E-2</v>
      </c>
      <c r="Z173" s="10">
        <v>3.4420000000000002E-3</v>
      </c>
      <c r="AA173" s="10">
        <v>11.92</v>
      </c>
      <c r="AB173" s="10">
        <v>15.77</v>
      </c>
      <c r="AC173" s="10">
        <v>76.53</v>
      </c>
      <c r="AD173" s="10">
        <v>434</v>
      </c>
      <c r="AE173" s="10">
        <v>0.13669999999999999</v>
      </c>
      <c r="AF173" s="10">
        <v>0.1822</v>
      </c>
      <c r="AG173" s="10">
        <v>8.6690000000000003E-2</v>
      </c>
      <c r="AH173" s="10">
        <v>8.6110000000000006E-2</v>
      </c>
      <c r="AI173" s="10">
        <v>0.2102</v>
      </c>
      <c r="AJ173">
        <v>6.7839999999999998E-2</v>
      </c>
    </row>
    <row r="174" spans="3:36">
      <c r="C174" s="11" t="s">
        <v>280</v>
      </c>
      <c r="D174" s="10">
        <v>141</v>
      </c>
      <c r="E174" s="10">
        <v>868999</v>
      </c>
      <c r="F174" s="10" t="s">
        <v>1</v>
      </c>
      <c r="G174" s="10">
        <v>13.71</v>
      </c>
      <c r="H174" s="10">
        <v>11.97</v>
      </c>
      <c r="I174" s="10">
        <v>61.24</v>
      </c>
      <c r="J174" s="10">
        <v>288.5</v>
      </c>
      <c r="K174" s="10">
        <v>9.2499999999999999E-2</v>
      </c>
      <c r="L174" s="10">
        <v>4.1020000000000001E-2</v>
      </c>
      <c r="M174" s="10">
        <v>0</v>
      </c>
      <c r="N174" s="10">
        <v>0</v>
      </c>
      <c r="O174" s="10">
        <v>0.1903</v>
      </c>
      <c r="P174" s="10">
        <v>6.4219999999999999E-2</v>
      </c>
      <c r="Q174" s="10">
        <v>0.1988</v>
      </c>
      <c r="R174" s="10">
        <v>0.496</v>
      </c>
      <c r="S174" s="10">
        <v>1.218</v>
      </c>
      <c r="T174" s="10">
        <v>12.26</v>
      </c>
      <c r="U174" s="10">
        <v>6.0400000000000002E-3</v>
      </c>
      <c r="V174" s="10">
        <v>5.6559999999999996E-3</v>
      </c>
      <c r="W174" s="10">
        <v>0</v>
      </c>
      <c r="X174" s="10">
        <v>0</v>
      </c>
      <c r="Y174" s="10">
        <v>2.2769999999999999E-2</v>
      </c>
      <c r="Z174" s="10">
        <v>3.2200000000000002E-3</v>
      </c>
      <c r="AA174" s="10">
        <v>10.62</v>
      </c>
      <c r="AB174" s="10">
        <v>14.1</v>
      </c>
      <c r="AC174" s="10">
        <v>66.53</v>
      </c>
      <c r="AD174" s="10">
        <v>342.9</v>
      </c>
      <c r="AE174" s="10">
        <v>0.1234</v>
      </c>
      <c r="AF174" s="10">
        <v>7.2040000000000007E-2</v>
      </c>
      <c r="AG174" s="10">
        <v>0</v>
      </c>
      <c r="AH174" s="10">
        <v>0</v>
      </c>
      <c r="AI174" s="10">
        <v>0.3105</v>
      </c>
      <c r="AJ174">
        <v>8.1509999999999999E-2</v>
      </c>
    </row>
    <row r="175" spans="3:36">
      <c r="C175" s="11" t="s">
        <v>281</v>
      </c>
      <c r="D175" s="10">
        <v>142</v>
      </c>
      <c r="E175" s="10">
        <v>869104</v>
      </c>
      <c r="F175" s="10" t="s">
        <v>0</v>
      </c>
      <c r="G175" s="10">
        <v>13.71</v>
      </c>
      <c r="H175" s="10">
        <v>18.05</v>
      </c>
      <c r="I175" s="10">
        <v>105.1</v>
      </c>
      <c r="J175" s="10">
        <v>813</v>
      </c>
      <c r="K175" s="10">
        <v>9.7210000000000005E-2</v>
      </c>
      <c r="L175" s="10">
        <v>0.1137</v>
      </c>
      <c r="M175" s="10">
        <v>9.4469999999999998E-2</v>
      </c>
      <c r="N175" s="10">
        <v>5.9429999999999997E-2</v>
      </c>
      <c r="O175" s="10">
        <v>0.18609999999999999</v>
      </c>
      <c r="P175" s="10">
        <v>6.2480000000000001E-2</v>
      </c>
      <c r="Q175" s="10">
        <v>0.70489999999999997</v>
      </c>
      <c r="R175" s="10">
        <v>1.3320000000000001</v>
      </c>
      <c r="S175" s="10">
        <v>4.5330000000000004</v>
      </c>
      <c r="T175" s="10">
        <v>74.08</v>
      </c>
      <c r="U175" s="10">
        <v>6.77E-3</v>
      </c>
      <c r="V175" s="10">
        <v>1.9380000000000001E-2</v>
      </c>
      <c r="W175" s="10">
        <v>3.0669999999999999E-2</v>
      </c>
      <c r="X175" s="10">
        <v>1.167E-2</v>
      </c>
      <c r="Y175" s="10">
        <v>1.8749999999999999E-2</v>
      </c>
      <c r="Z175" s="10">
        <v>3.434E-3</v>
      </c>
      <c r="AA175" s="10">
        <v>19.920000000000002</v>
      </c>
      <c r="AB175" s="10">
        <v>25.27</v>
      </c>
      <c r="AC175" s="10">
        <v>129</v>
      </c>
      <c r="AD175" s="10">
        <v>1233</v>
      </c>
      <c r="AE175" s="10">
        <v>0.13139999999999999</v>
      </c>
      <c r="AF175" s="10">
        <v>0.22359999999999999</v>
      </c>
      <c r="AG175" s="10">
        <v>0.2802</v>
      </c>
      <c r="AH175" s="10">
        <v>0.1216</v>
      </c>
      <c r="AI175" s="10">
        <v>0.2792</v>
      </c>
      <c r="AJ175">
        <v>8.158E-2</v>
      </c>
    </row>
    <row r="176" spans="3:36">
      <c r="C176" s="11" t="s">
        <v>282</v>
      </c>
      <c r="D176" s="10">
        <v>143</v>
      </c>
      <c r="E176" s="10">
        <v>869218</v>
      </c>
      <c r="F176" s="10" t="s">
        <v>1</v>
      </c>
      <c r="G176" s="10">
        <v>13.71</v>
      </c>
      <c r="H176" s="10">
        <v>17.309999999999999</v>
      </c>
      <c r="I176" s="10">
        <v>73.66</v>
      </c>
      <c r="J176" s="10">
        <v>398</v>
      </c>
      <c r="K176" s="10">
        <v>0.10920000000000001</v>
      </c>
      <c r="L176" s="10">
        <v>9.486E-2</v>
      </c>
      <c r="M176" s="10">
        <v>2.0310000000000002E-2</v>
      </c>
      <c r="N176" s="10">
        <v>1.8610000000000002E-2</v>
      </c>
      <c r="O176" s="10">
        <v>0.16450000000000001</v>
      </c>
      <c r="P176" s="10">
        <v>6.5619999999999998E-2</v>
      </c>
      <c r="Q176" s="10">
        <v>0.2843</v>
      </c>
      <c r="R176" s="10">
        <v>1.9079999999999999</v>
      </c>
      <c r="S176" s="10">
        <v>1.9370000000000001</v>
      </c>
      <c r="T176" s="10">
        <v>21.38</v>
      </c>
      <c r="U176" s="10">
        <v>6.6639999999999998E-3</v>
      </c>
      <c r="V176" s="10">
        <v>1.7350000000000001E-2</v>
      </c>
      <c r="W176" s="10">
        <v>1.158E-2</v>
      </c>
      <c r="X176" s="10">
        <v>9.5200000000000007E-3</v>
      </c>
      <c r="Y176" s="10">
        <v>2.282E-2</v>
      </c>
      <c r="Z176" s="10">
        <v>3.5260000000000001E-3</v>
      </c>
      <c r="AA176" s="10">
        <v>12.78</v>
      </c>
      <c r="AB176" s="10">
        <v>26.76</v>
      </c>
      <c r="AC176" s="10">
        <v>82.66</v>
      </c>
      <c r="AD176" s="10">
        <v>503</v>
      </c>
      <c r="AE176" s="10">
        <v>0.14130000000000001</v>
      </c>
      <c r="AF176" s="10">
        <v>0.1792</v>
      </c>
      <c r="AG176" s="10">
        <v>7.7079999999999996E-2</v>
      </c>
      <c r="AH176" s="10">
        <v>6.4019999999999994E-2</v>
      </c>
      <c r="AI176" s="10">
        <v>0.25840000000000002</v>
      </c>
      <c r="AJ176">
        <v>8.0960000000000004E-2</v>
      </c>
    </row>
    <row r="177" spans="3:36">
      <c r="C177" s="11" t="s">
        <v>283</v>
      </c>
      <c r="D177" s="10">
        <v>144</v>
      </c>
      <c r="E177" s="10">
        <v>869224</v>
      </c>
      <c r="F177" s="10" t="s">
        <v>1</v>
      </c>
      <c r="G177" s="10">
        <v>13.71</v>
      </c>
      <c r="H177" s="10">
        <v>15.92</v>
      </c>
      <c r="I177" s="10">
        <v>83.74</v>
      </c>
      <c r="J177" s="10">
        <v>512.20000000000005</v>
      </c>
      <c r="K177" s="10">
        <v>8.677E-2</v>
      </c>
      <c r="L177" s="10">
        <v>9.5089999999999994E-2</v>
      </c>
      <c r="M177" s="10">
        <v>4.8939999999999997E-2</v>
      </c>
      <c r="N177" s="10">
        <v>3.0880000000000001E-2</v>
      </c>
      <c r="O177" s="10">
        <v>0.17780000000000001</v>
      </c>
      <c r="P177" s="10">
        <v>6.2350000000000003E-2</v>
      </c>
      <c r="Q177" s="10">
        <v>0.21429999999999999</v>
      </c>
      <c r="R177" s="10">
        <v>0.7712</v>
      </c>
      <c r="S177" s="10">
        <v>1.6890000000000001</v>
      </c>
      <c r="T177" s="10">
        <v>16.64</v>
      </c>
      <c r="U177" s="10">
        <v>5.3239999999999997E-3</v>
      </c>
      <c r="V177" s="10">
        <v>1.5630000000000002E-2</v>
      </c>
      <c r="W177" s="10">
        <v>1.5100000000000001E-2</v>
      </c>
      <c r="X177" s="10">
        <v>7.5839999999999996E-3</v>
      </c>
      <c r="Y177" s="10">
        <v>2.104E-2</v>
      </c>
      <c r="Z177" s="10">
        <v>1.887E-3</v>
      </c>
      <c r="AA177" s="10">
        <v>14.48</v>
      </c>
      <c r="AB177" s="10">
        <v>21.82</v>
      </c>
      <c r="AC177" s="10">
        <v>97.17</v>
      </c>
      <c r="AD177" s="10">
        <v>643.79999999999995</v>
      </c>
      <c r="AE177" s="10">
        <v>0.13120000000000001</v>
      </c>
      <c r="AF177" s="10">
        <v>0.25480000000000003</v>
      </c>
      <c r="AG177" s="10">
        <v>0.20899999999999999</v>
      </c>
      <c r="AH177" s="10">
        <v>0.1012</v>
      </c>
      <c r="AI177" s="10">
        <v>0.35489999999999999</v>
      </c>
      <c r="AJ177">
        <v>8.1180000000000002E-2</v>
      </c>
    </row>
    <row r="178" spans="3:36">
      <c r="C178" s="11" t="s">
        <v>284</v>
      </c>
      <c r="D178" s="10">
        <v>145</v>
      </c>
      <c r="E178" s="10">
        <v>869254</v>
      </c>
      <c r="F178" s="10" t="s">
        <v>1</v>
      </c>
      <c r="G178" s="10">
        <v>13.71</v>
      </c>
      <c r="H178" s="10">
        <v>14.97</v>
      </c>
      <c r="I178" s="10">
        <v>68.260000000000005</v>
      </c>
      <c r="J178" s="10">
        <v>355.3</v>
      </c>
      <c r="K178" s="10">
        <v>7.7929999999999999E-2</v>
      </c>
      <c r="L178" s="10">
        <v>5.1389999999999998E-2</v>
      </c>
      <c r="M178" s="10">
        <v>2.2509999999999999E-2</v>
      </c>
      <c r="N178" s="10">
        <v>7.8750000000000001E-3</v>
      </c>
      <c r="O178" s="10">
        <v>0.1399</v>
      </c>
      <c r="P178" s="10">
        <v>5.688E-2</v>
      </c>
      <c r="Q178" s="10">
        <v>0.2525</v>
      </c>
      <c r="R178" s="10">
        <v>1.2390000000000001</v>
      </c>
      <c r="S178" s="10">
        <v>1.806</v>
      </c>
      <c r="T178" s="10">
        <v>17.739999999999998</v>
      </c>
      <c r="U178" s="10">
        <v>6.5469999999999999E-3</v>
      </c>
      <c r="V178" s="10">
        <v>1.7809999999999999E-2</v>
      </c>
      <c r="W178" s="10">
        <v>2.018E-2</v>
      </c>
      <c r="X178" s="10">
        <v>5.6119999999999998E-3</v>
      </c>
      <c r="Y178" s="10">
        <v>1.6709999999999999E-2</v>
      </c>
      <c r="Z178" s="10">
        <v>2.3600000000000001E-3</v>
      </c>
      <c r="AA178" s="10">
        <v>11.95</v>
      </c>
      <c r="AB178" s="10">
        <v>20.72</v>
      </c>
      <c r="AC178" s="10">
        <v>77.790000000000006</v>
      </c>
      <c r="AD178" s="10">
        <v>441.2</v>
      </c>
      <c r="AE178" s="10">
        <v>0.1076</v>
      </c>
      <c r="AF178" s="10">
        <v>0.12230000000000001</v>
      </c>
      <c r="AG178" s="10">
        <v>9.7549999999999998E-2</v>
      </c>
      <c r="AH178" s="10">
        <v>3.4130000000000001E-2</v>
      </c>
      <c r="AI178" s="10">
        <v>0.23</v>
      </c>
      <c r="AJ178">
        <v>6.769E-2</v>
      </c>
    </row>
    <row r="179" spans="3:36">
      <c r="C179" s="11" t="s">
        <v>285</v>
      </c>
      <c r="D179" s="10">
        <v>146</v>
      </c>
      <c r="E179" s="10">
        <v>869476</v>
      </c>
      <c r="F179" s="10" t="s">
        <v>1</v>
      </c>
      <c r="G179" s="10">
        <v>13.71</v>
      </c>
      <c r="H179" s="10">
        <v>14.65</v>
      </c>
      <c r="I179" s="10">
        <v>78.11</v>
      </c>
      <c r="J179" s="10">
        <v>432.8</v>
      </c>
      <c r="K179" s="10">
        <v>0.1152</v>
      </c>
      <c r="L179" s="10">
        <v>0.12959999999999999</v>
      </c>
      <c r="M179" s="10">
        <v>3.7100000000000001E-2</v>
      </c>
      <c r="N179" s="10">
        <v>3.0030000000000001E-2</v>
      </c>
      <c r="O179" s="10">
        <v>0.19950000000000001</v>
      </c>
      <c r="P179" s="10">
        <v>7.8390000000000001E-2</v>
      </c>
      <c r="Q179" s="10">
        <v>0.3962</v>
      </c>
      <c r="R179" s="10">
        <v>0.65380000000000005</v>
      </c>
      <c r="S179" s="10">
        <v>3.0209999999999999</v>
      </c>
      <c r="T179" s="10">
        <v>25.03</v>
      </c>
      <c r="U179" s="10">
        <v>1.017E-2</v>
      </c>
      <c r="V179" s="10">
        <v>4.7410000000000001E-2</v>
      </c>
      <c r="W179" s="10">
        <v>2.7890000000000002E-2</v>
      </c>
      <c r="X179" s="10">
        <v>1.11E-2</v>
      </c>
      <c r="Y179" s="10">
        <v>3.1269999999999999E-2</v>
      </c>
      <c r="Z179" s="10">
        <v>9.4230000000000008E-3</v>
      </c>
      <c r="AA179" s="10">
        <v>13.15</v>
      </c>
      <c r="AB179" s="10">
        <v>16.510000000000002</v>
      </c>
      <c r="AC179" s="10">
        <v>86.26</v>
      </c>
      <c r="AD179" s="10">
        <v>509.6</v>
      </c>
      <c r="AE179" s="10">
        <v>0.1424</v>
      </c>
      <c r="AF179" s="10">
        <v>0.25169999999999998</v>
      </c>
      <c r="AG179" s="10">
        <v>9.4200000000000006E-2</v>
      </c>
      <c r="AH179" s="10">
        <v>6.0420000000000001E-2</v>
      </c>
      <c r="AI179" s="10">
        <v>0.2727</v>
      </c>
      <c r="AJ179">
        <v>0.1036</v>
      </c>
    </row>
    <row r="180" spans="3:36">
      <c r="C180" s="11" t="s">
        <v>286</v>
      </c>
      <c r="D180" s="10">
        <v>147</v>
      </c>
      <c r="E180" s="10">
        <v>869691</v>
      </c>
      <c r="F180" s="10" t="s">
        <v>0</v>
      </c>
      <c r="G180" s="10">
        <v>13.71</v>
      </c>
      <c r="H180" s="10">
        <v>16.579999999999998</v>
      </c>
      <c r="I180" s="10">
        <v>78.989999999999995</v>
      </c>
      <c r="J180" s="10">
        <v>432</v>
      </c>
      <c r="K180" s="10">
        <v>0.1091</v>
      </c>
      <c r="L180" s="10">
        <v>0.17</v>
      </c>
      <c r="M180" s="10">
        <v>0.16589999999999999</v>
      </c>
      <c r="N180" s="10">
        <v>7.4149999999999994E-2</v>
      </c>
      <c r="O180" s="10">
        <v>0.26779999999999998</v>
      </c>
      <c r="P180" s="10">
        <v>7.3709999999999998E-2</v>
      </c>
      <c r="Q180" s="10">
        <v>0.31969999999999998</v>
      </c>
      <c r="R180" s="10">
        <v>1.4259999999999999</v>
      </c>
      <c r="S180" s="10">
        <v>2.2810000000000001</v>
      </c>
      <c r="T180" s="10">
        <v>24.72</v>
      </c>
      <c r="U180" s="10">
        <v>5.4270000000000004E-3</v>
      </c>
      <c r="V180" s="10">
        <v>3.6330000000000001E-2</v>
      </c>
      <c r="W180" s="10">
        <v>4.6489999999999997E-2</v>
      </c>
      <c r="X180" s="10">
        <v>1.8429999999999998E-2</v>
      </c>
      <c r="Y180" s="10">
        <v>5.6279999999999997E-2</v>
      </c>
      <c r="Z180" s="10">
        <v>4.6350000000000002E-3</v>
      </c>
      <c r="AA180" s="10">
        <v>13.74</v>
      </c>
      <c r="AB180" s="10">
        <v>26.38</v>
      </c>
      <c r="AC180" s="10">
        <v>91.93</v>
      </c>
      <c r="AD180" s="10">
        <v>591.70000000000005</v>
      </c>
      <c r="AE180" s="10">
        <v>0.13850000000000001</v>
      </c>
      <c r="AF180" s="10">
        <v>0.40920000000000001</v>
      </c>
      <c r="AG180" s="10">
        <v>0.45040000000000002</v>
      </c>
      <c r="AH180" s="10">
        <v>0.1865</v>
      </c>
      <c r="AI180" s="10">
        <v>0.57740000000000002</v>
      </c>
      <c r="AJ180">
        <v>0.10299999999999999</v>
      </c>
    </row>
    <row r="181" spans="3:36">
      <c r="C181" s="11" t="s">
        <v>287</v>
      </c>
      <c r="D181" s="10">
        <v>148</v>
      </c>
      <c r="E181" s="10">
        <v>86973701</v>
      </c>
      <c r="F181" s="10" t="s">
        <v>1</v>
      </c>
      <c r="G181" s="10">
        <v>13.71</v>
      </c>
      <c r="H181" s="10">
        <v>18.77</v>
      </c>
      <c r="I181" s="10">
        <v>97.84</v>
      </c>
      <c r="J181" s="10">
        <v>689.5</v>
      </c>
      <c r="K181" s="10">
        <v>8.1379999999999994E-2</v>
      </c>
      <c r="L181" s="10">
        <v>0.1167</v>
      </c>
      <c r="M181" s="10">
        <v>9.0499999999999997E-2</v>
      </c>
      <c r="N181" s="10">
        <v>3.5619999999999999E-2</v>
      </c>
      <c r="O181" s="10">
        <v>0.1744</v>
      </c>
      <c r="P181" s="10">
        <v>6.4930000000000002E-2</v>
      </c>
      <c r="Q181" s="10">
        <v>0.42199999999999999</v>
      </c>
      <c r="R181" s="10">
        <v>1.909</v>
      </c>
      <c r="S181" s="10">
        <v>3.2709999999999999</v>
      </c>
      <c r="T181" s="10">
        <v>39.43</v>
      </c>
      <c r="U181" s="10">
        <v>5.79E-3</v>
      </c>
      <c r="V181" s="10">
        <v>4.8770000000000001E-2</v>
      </c>
      <c r="W181" s="10">
        <v>5.3030000000000001E-2</v>
      </c>
      <c r="X181" s="10">
        <v>1.5270000000000001E-2</v>
      </c>
      <c r="Y181" s="10">
        <v>3.356E-2</v>
      </c>
      <c r="Z181" s="10">
        <v>9.3679999999999996E-3</v>
      </c>
      <c r="AA181" s="10">
        <v>16.25</v>
      </c>
      <c r="AB181" s="10">
        <v>25.47</v>
      </c>
      <c r="AC181" s="10">
        <v>107.1</v>
      </c>
      <c r="AD181" s="10">
        <v>809.7</v>
      </c>
      <c r="AE181" s="10">
        <v>9.9699999999999997E-2</v>
      </c>
      <c r="AF181" s="10">
        <v>0.25209999999999999</v>
      </c>
      <c r="AG181" s="10">
        <v>0.25</v>
      </c>
      <c r="AH181" s="10">
        <v>8.405E-2</v>
      </c>
      <c r="AI181" s="10">
        <v>0.28520000000000001</v>
      </c>
      <c r="AJ181">
        <v>9.2179999999999998E-2</v>
      </c>
    </row>
    <row r="182" spans="3:36">
      <c r="C182" s="11" t="s">
        <v>288</v>
      </c>
      <c r="D182" s="10">
        <v>149</v>
      </c>
      <c r="E182" s="10">
        <v>86973702</v>
      </c>
      <c r="F182" s="10" t="s">
        <v>1</v>
      </c>
      <c r="G182" s="10">
        <v>13.71</v>
      </c>
      <c r="H182" s="10">
        <v>15.18</v>
      </c>
      <c r="I182" s="10">
        <v>93.97</v>
      </c>
      <c r="J182" s="10">
        <v>640.1</v>
      </c>
      <c r="K182" s="10">
        <v>9.9699999999999997E-2</v>
      </c>
      <c r="L182" s="10">
        <v>0.1021</v>
      </c>
      <c r="M182" s="10">
        <v>8.4870000000000001E-2</v>
      </c>
      <c r="N182" s="10">
        <v>5.5320000000000001E-2</v>
      </c>
      <c r="O182" s="10">
        <v>0.1724</v>
      </c>
      <c r="P182" s="10">
        <v>6.0810000000000003E-2</v>
      </c>
      <c r="Q182" s="10">
        <v>0.24060000000000001</v>
      </c>
      <c r="R182" s="10">
        <v>0.73939999999999995</v>
      </c>
      <c r="S182" s="10">
        <v>2.12</v>
      </c>
      <c r="T182" s="10">
        <v>21.2</v>
      </c>
      <c r="U182" s="10">
        <v>5.7060000000000001E-3</v>
      </c>
      <c r="V182" s="10">
        <v>2.2970000000000001E-2</v>
      </c>
      <c r="W182" s="10">
        <v>3.1140000000000001E-2</v>
      </c>
      <c r="X182" s="10">
        <v>1.4930000000000001E-2</v>
      </c>
      <c r="Y182" s="10">
        <v>1.4540000000000001E-2</v>
      </c>
      <c r="Z182" s="10">
        <v>2.5279999999999999E-3</v>
      </c>
      <c r="AA182" s="10">
        <v>15.85</v>
      </c>
      <c r="AB182" s="10">
        <v>19.850000000000001</v>
      </c>
      <c r="AC182" s="10">
        <v>108.6</v>
      </c>
      <c r="AD182" s="10">
        <v>766.9</v>
      </c>
      <c r="AE182" s="10">
        <v>0.13159999999999999</v>
      </c>
      <c r="AF182" s="10">
        <v>0.27350000000000002</v>
      </c>
      <c r="AG182" s="10">
        <v>0.31030000000000002</v>
      </c>
      <c r="AH182" s="10">
        <v>0.15989999999999999</v>
      </c>
      <c r="AI182" s="10">
        <v>0.26910000000000001</v>
      </c>
      <c r="AJ182">
        <v>7.6829999999999996E-2</v>
      </c>
    </row>
    <row r="183" spans="3:36">
      <c r="C183" s="11" t="s">
        <v>289</v>
      </c>
      <c r="D183" s="10">
        <v>150</v>
      </c>
      <c r="E183" s="10">
        <v>869931</v>
      </c>
      <c r="F183" s="10" t="s">
        <v>1</v>
      </c>
      <c r="G183" s="10">
        <v>13.71</v>
      </c>
      <c r="H183" s="10">
        <v>17.91</v>
      </c>
      <c r="I183" s="10">
        <v>88.12</v>
      </c>
      <c r="J183" s="10">
        <v>585</v>
      </c>
      <c r="K183" s="10">
        <v>7.9439999999999997E-2</v>
      </c>
      <c r="L183" s="10">
        <v>6.3759999999999997E-2</v>
      </c>
      <c r="M183" s="10">
        <v>2.8809999999999999E-2</v>
      </c>
      <c r="N183" s="10">
        <v>1.329E-2</v>
      </c>
      <c r="O183" s="10">
        <v>0.14729999999999999</v>
      </c>
      <c r="P183" s="10">
        <v>5.5800000000000002E-2</v>
      </c>
      <c r="Q183" s="10">
        <v>0.25</v>
      </c>
      <c r="R183" s="10">
        <v>0.75739999999999996</v>
      </c>
      <c r="S183" s="10">
        <v>1.573</v>
      </c>
      <c r="T183" s="10">
        <v>21.47</v>
      </c>
      <c r="U183" s="10">
        <v>2.8379999999999998E-3</v>
      </c>
      <c r="V183" s="10">
        <v>1.592E-2</v>
      </c>
      <c r="W183" s="10">
        <v>1.78E-2</v>
      </c>
      <c r="X183" s="10">
        <v>5.8279999999999998E-3</v>
      </c>
      <c r="Y183" s="10">
        <v>1.329E-2</v>
      </c>
      <c r="Z183" s="10">
        <v>1.9759999999999999E-3</v>
      </c>
      <c r="AA183" s="10">
        <v>15.34</v>
      </c>
      <c r="AB183" s="10">
        <v>22.46</v>
      </c>
      <c r="AC183" s="10">
        <v>97.19</v>
      </c>
      <c r="AD183" s="10">
        <v>725.9</v>
      </c>
      <c r="AE183" s="10">
        <v>9.7110000000000002E-2</v>
      </c>
      <c r="AF183" s="10">
        <v>0.18240000000000001</v>
      </c>
      <c r="AG183" s="10">
        <v>0.15640000000000001</v>
      </c>
      <c r="AH183" s="10">
        <v>6.019E-2</v>
      </c>
      <c r="AI183" s="10">
        <v>0.23499999999999999</v>
      </c>
      <c r="AJ183">
        <v>7.0139999999999994E-2</v>
      </c>
    </row>
    <row r="184" spans="3:36">
      <c r="C184" s="11" t="s">
        <v>290</v>
      </c>
      <c r="D184" s="10">
        <v>151</v>
      </c>
      <c r="E184" s="10">
        <v>871001501</v>
      </c>
      <c r="F184" s="10" t="s">
        <v>1</v>
      </c>
      <c r="G184" s="10">
        <v>13.71</v>
      </c>
      <c r="H184" s="10">
        <v>20.78</v>
      </c>
      <c r="I184" s="10">
        <v>83.51</v>
      </c>
      <c r="J184" s="10">
        <v>519.4</v>
      </c>
      <c r="K184" s="10">
        <v>0.1135</v>
      </c>
      <c r="L184" s="10">
        <v>7.5889999999999999E-2</v>
      </c>
      <c r="M184" s="10">
        <v>3.1359999999999999E-2</v>
      </c>
      <c r="N184" s="10">
        <v>2.6450000000000001E-2</v>
      </c>
      <c r="O184" s="10">
        <v>0.254</v>
      </c>
      <c r="P184" s="10">
        <v>6.087E-2</v>
      </c>
      <c r="Q184" s="10">
        <v>0.42020000000000002</v>
      </c>
      <c r="R184" s="10">
        <v>1.3220000000000001</v>
      </c>
      <c r="S184" s="10">
        <v>2.8730000000000002</v>
      </c>
      <c r="T184" s="10">
        <v>34.78</v>
      </c>
      <c r="U184" s="10">
        <v>7.0169999999999998E-3</v>
      </c>
      <c r="V184" s="10">
        <v>1.142E-2</v>
      </c>
      <c r="W184" s="10">
        <v>1.949E-2</v>
      </c>
      <c r="X184" s="10">
        <v>1.153E-2</v>
      </c>
      <c r="Y184" s="10">
        <v>2.9510000000000002E-2</v>
      </c>
      <c r="Z184" s="10">
        <v>1.5330000000000001E-3</v>
      </c>
      <c r="AA184" s="10">
        <v>14.16</v>
      </c>
      <c r="AB184" s="10">
        <v>24.11</v>
      </c>
      <c r="AC184" s="10">
        <v>90.82</v>
      </c>
      <c r="AD184" s="10">
        <v>616.70000000000005</v>
      </c>
      <c r="AE184" s="10">
        <v>0.12970000000000001</v>
      </c>
      <c r="AF184" s="10">
        <v>0.1105</v>
      </c>
      <c r="AG184" s="10">
        <v>8.1119999999999998E-2</v>
      </c>
      <c r="AH184" s="10">
        <v>6.2960000000000002E-2</v>
      </c>
      <c r="AI184" s="10">
        <v>0.3196</v>
      </c>
      <c r="AJ184">
        <v>6.4350000000000004E-2</v>
      </c>
    </row>
    <row r="185" spans="3:36">
      <c r="C185" s="11" t="s">
        <v>291</v>
      </c>
      <c r="D185" s="10">
        <v>152</v>
      </c>
      <c r="E185" s="10">
        <v>871001502</v>
      </c>
      <c r="F185" s="10" t="s">
        <v>1</v>
      </c>
      <c r="G185" s="10">
        <v>13.71</v>
      </c>
      <c r="H185" s="10">
        <v>20.7</v>
      </c>
      <c r="I185" s="10">
        <v>53.27</v>
      </c>
      <c r="J185" s="10">
        <v>203.9</v>
      </c>
      <c r="K185" s="10">
        <v>9.4049999999999995E-2</v>
      </c>
      <c r="L185" s="10">
        <v>0.1305</v>
      </c>
      <c r="M185" s="10">
        <v>0.1321</v>
      </c>
      <c r="N185" s="10">
        <v>2.1680000000000001E-2</v>
      </c>
      <c r="O185" s="10">
        <v>0.22220000000000001</v>
      </c>
      <c r="P185" s="10">
        <v>8.2610000000000003E-2</v>
      </c>
      <c r="Q185" s="10">
        <v>0.19350000000000001</v>
      </c>
      <c r="R185" s="10">
        <v>1.962</v>
      </c>
      <c r="S185" s="10">
        <v>1.2430000000000001</v>
      </c>
      <c r="T185" s="10">
        <v>10.210000000000001</v>
      </c>
      <c r="U185" s="10">
        <v>1.243E-2</v>
      </c>
      <c r="V185" s="10">
        <v>5.416E-2</v>
      </c>
      <c r="W185" s="10">
        <v>7.7530000000000002E-2</v>
      </c>
      <c r="X185" s="10">
        <v>1.022E-2</v>
      </c>
      <c r="Y185" s="10">
        <v>2.3089999999999999E-2</v>
      </c>
      <c r="Z185" s="10">
        <v>1.1780000000000001E-2</v>
      </c>
      <c r="AA185" s="10">
        <v>9.0920000000000005</v>
      </c>
      <c r="AB185" s="10">
        <v>29.72</v>
      </c>
      <c r="AC185" s="10">
        <v>58.08</v>
      </c>
      <c r="AD185" s="10">
        <v>249.8</v>
      </c>
      <c r="AE185" s="10">
        <v>0.16300000000000001</v>
      </c>
      <c r="AF185" s="10">
        <v>0.43099999999999999</v>
      </c>
      <c r="AG185" s="10">
        <v>0.53810000000000002</v>
      </c>
      <c r="AH185" s="10">
        <v>7.8789999999999999E-2</v>
      </c>
      <c r="AI185" s="10">
        <v>0.3322</v>
      </c>
      <c r="AJ185">
        <v>0.14860000000000001</v>
      </c>
    </row>
    <row r="186" spans="3:36">
      <c r="C186" s="11" t="s">
        <v>292</v>
      </c>
      <c r="D186" s="10">
        <v>153</v>
      </c>
      <c r="E186" s="10">
        <v>8710441</v>
      </c>
      <c r="F186" s="10" t="s">
        <v>1</v>
      </c>
      <c r="G186" s="10">
        <v>13.71</v>
      </c>
      <c r="H186" s="10">
        <v>15.34</v>
      </c>
      <c r="I186" s="10">
        <v>63.78</v>
      </c>
      <c r="J186" s="10">
        <v>300.2</v>
      </c>
      <c r="K186" s="10">
        <v>0.1072</v>
      </c>
      <c r="L186" s="10">
        <v>0.15989999999999999</v>
      </c>
      <c r="M186" s="10">
        <v>0.4108</v>
      </c>
      <c r="N186" s="10">
        <v>7.8570000000000001E-2</v>
      </c>
      <c r="O186" s="10">
        <v>0.25480000000000003</v>
      </c>
      <c r="P186" s="10">
        <v>9.2960000000000001E-2</v>
      </c>
      <c r="Q186" s="10">
        <v>0.82450000000000001</v>
      </c>
      <c r="R186" s="10">
        <v>2.6640000000000001</v>
      </c>
      <c r="S186" s="10">
        <v>4.0730000000000004</v>
      </c>
      <c r="T186" s="10">
        <v>49.85</v>
      </c>
      <c r="U186" s="10">
        <v>1.0970000000000001E-2</v>
      </c>
      <c r="V186" s="10">
        <v>9.5860000000000001E-2</v>
      </c>
      <c r="W186" s="10">
        <v>0.39600000000000002</v>
      </c>
      <c r="X186" s="10">
        <v>5.2789999999999997E-2</v>
      </c>
      <c r="Y186" s="10">
        <v>3.5459999999999998E-2</v>
      </c>
      <c r="Z186" s="10">
        <v>2.9839999999999998E-2</v>
      </c>
      <c r="AA186" s="10">
        <v>11.02</v>
      </c>
      <c r="AB186" s="10">
        <v>19.489999999999998</v>
      </c>
      <c r="AC186" s="10">
        <v>71.040000000000006</v>
      </c>
      <c r="AD186" s="10">
        <v>380.5</v>
      </c>
      <c r="AE186" s="10">
        <v>0.12920000000000001</v>
      </c>
      <c r="AF186" s="10">
        <v>0.2772</v>
      </c>
      <c r="AG186" s="10">
        <v>0.8216</v>
      </c>
      <c r="AH186" s="10">
        <v>0.15709999999999999</v>
      </c>
      <c r="AI186" s="10">
        <v>0.31080000000000002</v>
      </c>
      <c r="AJ186">
        <v>0.12590000000000001</v>
      </c>
    </row>
    <row r="187" spans="3:36">
      <c r="C187" s="11" t="s">
        <v>293</v>
      </c>
      <c r="D187" s="10">
        <v>154</v>
      </c>
      <c r="E187" s="10">
        <v>87106</v>
      </c>
      <c r="F187" s="10" t="s">
        <v>1</v>
      </c>
      <c r="G187" s="10">
        <v>13.71</v>
      </c>
      <c r="H187" s="10">
        <v>13.08</v>
      </c>
      <c r="I187" s="10">
        <v>70.87</v>
      </c>
      <c r="J187" s="10">
        <v>381.9</v>
      </c>
      <c r="K187" s="10">
        <v>9.7540000000000002E-2</v>
      </c>
      <c r="L187" s="10">
        <v>5.1130000000000002E-2</v>
      </c>
      <c r="M187" s="10">
        <v>1.9820000000000001E-2</v>
      </c>
      <c r="N187" s="10">
        <v>1.7860000000000001E-2</v>
      </c>
      <c r="O187" s="10">
        <v>0.183</v>
      </c>
      <c r="P187" s="10">
        <v>6.105E-2</v>
      </c>
      <c r="Q187" s="10">
        <v>0.22509999999999999</v>
      </c>
      <c r="R187" s="10">
        <v>0.78149999999999997</v>
      </c>
      <c r="S187" s="10">
        <v>1.429</v>
      </c>
      <c r="T187" s="10">
        <v>15.48</v>
      </c>
      <c r="U187" s="10">
        <v>9.0189999999999992E-3</v>
      </c>
      <c r="V187" s="10">
        <v>8.9849999999999999E-3</v>
      </c>
      <c r="W187" s="10">
        <v>1.196E-2</v>
      </c>
      <c r="X187" s="10">
        <v>8.2319999999999997E-3</v>
      </c>
      <c r="Y187" s="10">
        <v>2.3879999999999998E-2</v>
      </c>
      <c r="Z187" s="10">
        <v>1.619E-3</v>
      </c>
      <c r="AA187" s="10">
        <v>11.99</v>
      </c>
      <c r="AB187" s="10">
        <v>16.3</v>
      </c>
      <c r="AC187" s="10">
        <v>76.25</v>
      </c>
      <c r="AD187" s="10">
        <v>440.8</v>
      </c>
      <c r="AE187" s="10">
        <v>0.1341</v>
      </c>
      <c r="AF187" s="10">
        <v>8.9709999999999998E-2</v>
      </c>
      <c r="AG187" s="10">
        <v>7.1160000000000001E-2</v>
      </c>
      <c r="AH187" s="10">
        <v>5.5059999999999998E-2</v>
      </c>
      <c r="AI187" s="10">
        <v>0.28589999999999999</v>
      </c>
      <c r="AJ187">
        <v>6.7720000000000002E-2</v>
      </c>
    </row>
    <row r="188" spans="3:36">
      <c r="C188" s="11" t="s">
        <v>294</v>
      </c>
      <c r="D188" s="10">
        <v>155</v>
      </c>
      <c r="E188" s="10">
        <v>8711002</v>
      </c>
      <c r="F188" s="10" t="s">
        <v>1</v>
      </c>
      <c r="G188" s="10">
        <v>13.71</v>
      </c>
      <c r="H188" s="10">
        <v>15.34</v>
      </c>
      <c r="I188" s="10">
        <v>85.31</v>
      </c>
      <c r="J188" s="10">
        <v>538.9</v>
      </c>
      <c r="K188" s="10">
        <v>9.3840000000000007E-2</v>
      </c>
      <c r="L188" s="10">
        <v>8.498E-2</v>
      </c>
      <c r="M188" s="10">
        <v>9.2929999999999999E-2</v>
      </c>
      <c r="N188" s="10">
        <v>3.483E-2</v>
      </c>
      <c r="O188" s="10">
        <v>0.1822</v>
      </c>
      <c r="P188" s="10">
        <v>6.207E-2</v>
      </c>
      <c r="Q188" s="10">
        <v>0.27100000000000002</v>
      </c>
      <c r="R188" s="10">
        <v>0.79269999999999996</v>
      </c>
      <c r="S188" s="10">
        <v>1.819</v>
      </c>
      <c r="T188" s="10">
        <v>22.79</v>
      </c>
      <c r="U188" s="10">
        <v>8.5839999999999996E-3</v>
      </c>
      <c r="V188" s="10">
        <v>2.017E-2</v>
      </c>
      <c r="W188" s="10">
        <v>3.0470000000000001E-2</v>
      </c>
      <c r="X188" s="10">
        <v>9.5359999999999993E-3</v>
      </c>
      <c r="Y188" s="10">
        <v>2.7689999999999999E-2</v>
      </c>
      <c r="Z188" s="10">
        <v>3.4789999999999999E-3</v>
      </c>
      <c r="AA188" s="10">
        <v>14.77</v>
      </c>
      <c r="AB188" s="10">
        <v>20.5</v>
      </c>
      <c r="AC188" s="10">
        <v>97.67</v>
      </c>
      <c r="AD188" s="10">
        <v>677.3</v>
      </c>
      <c r="AE188" s="10">
        <v>0.14779999999999999</v>
      </c>
      <c r="AF188" s="10">
        <v>0.22559999999999999</v>
      </c>
      <c r="AG188" s="10">
        <v>0.3009</v>
      </c>
      <c r="AH188" s="10">
        <v>9.7220000000000001E-2</v>
      </c>
      <c r="AI188" s="10">
        <v>0.38490000000000002</v>
      </c>
      <c r="AJ188">
        <v>8.6330000000000004E-2</v>
      </c>
    </row>
    <row r="189" spans="3:36">
      <c r="C189" s="11" t="s">
        <v>295</v>
      </c>
      <c r="D189" s="10">
        <v>156</v>
      </c>
      <c r="E189" s="10">
        <v>8711003</v>
      </c>
      <c r="F189" s="10" t="s">
        <v>1</v>
      </c>
      <c r="G189" s="10">
        <v>13.71</v>
      </c>
      <c r="H189" s="10">
        <v>17.940000000000001</v>
      </c>
      <c r="I189" s="10">
        <v>78.27</v>
      </c>
      <c r="J189" s="10">
        <v>460.3</v>
      </c>
      <c r="K189" s="10">
        <v>8.6540000000000006E-2</v>
      </c>
      <c r="L189" s="10">
        <v>6.6790000000000002E-2</v>
      </c>
      <c r="M189" s="10">
        <v>3.8850000000000003E-2</v>
      </c>
      <c r="N189" s="10">
        <v>2.3310000000000001E-2</v>
      </c>
      <c r="O189" s="10">
        <v>0.19700000000000001</v>
      </c>
      <c r="P189" s="10">
        <v>6.2280000000000002E-2</v>
      </c>
      <c r="Q189" s="10">
        <v>0.22</v>
      </c>
      <c r="R189" s="10">
        <v>0.98229999999999995</v>
      </c>
      <c r="S189" s="10">
        <v>1.484</v>
      </c>
      <c r="T189" s="10">
        <v>16.510000000000002</v>
      </c>
      <c r="U189" s="10">
        <v>5.5180000000000003E-3</v>
      </c>
      <c r="V189" s="10">
        <v>1.562E-2</v>
      </c>
      <c r="W189" s="10">
        <v>1.9939999999999999E-2</v>
      </c>
      <c r="X189" s="10">
        <v>7.9240000000000005E-3</v>
      </c>
      <c r="Y189" s="10">
        <v>1.7989999999999999E-2</v>
      </c>
      <c r="Z189" s="10">
        <v>2.4840000000000001E-3</v>
      </c>
      <c r="AA189" s="10">
        <v>13.59</v>
      </c>
      <c r="AB189" s="10">
        <v>25.22</v>
      </c>
      <c r="AC189" s="10">
        <v>86.6</v>
      </c>
      <c r="AD189" s="10">
        <v>564.20000000000005</v>
      </c>
      <c r="AE189" s="10">
        <v>0.1217</v>
      </c>
      <c r="AF189" s="10">
        <v>0.17879999999999999</v>
      </c>
      <c r="AG189" s="10">
        <v>0.1943</v>
      </c>
      <c r="AH189" s="10">
        <v>8.2110000000000002E-2</v>
      </c>
      <c r="AI189" s="10">
        <v>0.31130000000000002</v>
      </c>
      <c r="AJ189">
        <v>8.1320000000000003E-2</v>
      </c>
    </row>
    <row r="190" spans="3:36">
      <c r="C190" s="11" t="s">
        <v>296</v>
      </c>
      <c r="D190" s="10">
        <v>157</v>
      </c>
      <c r="E190" s="10">
        <v>8711202</v>
      </c>
      <c r="F190" s="10" t="s">
        <v>0</v>
      </c>
      <c r="G190" s="10">
        <v>13.71</v>
      </c>
      <c r="H190" s="10">
        <v>20.74</v>
      </c>
      <c r="I190" s="10">
        <v>117.4</v>
      </c>
      <c r="J190" s="10">
        <v>963.7</v>
      </c>
      <c r="K190" s="10">
        <v>0.1115</v>
      </c>
      <c r="L190" s="10">
        <v>0.16650000000000001</v>
      </c>
      <c r="M190" s="10">
        <v>0.1855</v>
      </c>
      <c r="N190" s="10">
        <v>0.10539999999999999</v>
      </c>
      <c r="O190" s="10">
        <v>0.1971</v>
      </c>
      <c r="P190" s="10">
        <v>6.166E-2</v>
      </c>
      <c r="Q190" s="10">
        <v>0.81130000000000002</v>
      </c>
      <c r="R190" s="10">
        <v>1.4</v>
      </c>
      <c r="S190" s="10">
        <v>5.54</v>
      </c>
      <c r="T190" s="10">
        <v>93.91</v>
      </c>
      <c r="U190" s="10">
        <v>9.0369999999999999E-3</v>
      </c>
      <c r="V190" s="10">
        <v>4.9540000000000001E-2</v>
      </c>
      <c r="W190" s="10">
        <v>5.2060000000000002E-2</v>
      </c>
      <c r="X190" s="10">
        <v>1.8409999999999999E-2</v>
      </c>
      <c r="Y190" s="10">
        <v>1.7780000000000001E-2</v>
      </c>
      <c r="Z190" s="10">
        <v>4.9680000000000002E-3</v>
      </c>
      <c r="AA190" s="10">
        <v>20.47</v>
      </c>
      <c r="AB190" s="10">
        <v>25.11</v>
      </c>
      <c r="AC190" s="10">
        <v>132.9</v>
      </c>
      <c r="AD190" s="10">
        <v>1302</v>
      </c>
      <c r="AE190" s="10">
        <v>0.14180000000000001</v>
      </c>
      <c r="AF190" s="10">
        <v>0.3498</v>
      </c>
      <c r="AG190" s="10">
        <v>0.35830000000000001</v>
      </c>
      <c r="AH190" s="10">
        <v>0.1515</v>
      </c>
      <c r="AI190" s="10">
        <v>0.24629999999999999</v>
      </c>
      <c r="AJ190">
        <v>7.7380000000000004E-2</v>
      </c>
    </row>
    <row r="191" spans="3:36">
      <c r="C191" s="11" t="s">
        <v>297</v>
      </c>
      <c r="D191" s="10">
        <v>158</v>
      </c>
      <c r="E191" s="10">
        <v>8711216</v>
      </c>
      <c r="F191" s="10" t="s">
        <v>1</v>
      </c>
      <c r="G191" s="10">
        <v>13.71</v>
      </c>
      <c r="H191" s="10">
        <v>19.46</v>
      </c>
      <c r="I191" s="10">
        <v>108.4</v>
      </c>
      <c r="J191" s="10">
        <v>880.2</v>
      </c>
      <c r="K191" s="10">
        <v>7.4450000000000002E-2</v>
      </c>
      <c r="L191" s="10">
        <v>7.2230000000000003E-2</v>
      </c>
      <c r="M191" s="10">
        <v>5.1499999999999997E-2</v>
      </c>
      <c r="N191" s="10">
        <v>2.7709999999999999E-2</v>
      </c>
      <c r="O191" s="10">
        <v>0.18440000000000001</v>
      </c>
      <c r="P191" s="10">
        <v>5.2679999999999998E-2</v>
      </c>
      <c r="Q191" s="10">
        <v>0.47889999999999999</v>
      </c>
      <c r="R191" s="10">
        <v>2.06</v>
      </c>
      <c r="S191" s="10">
        <v>3.4790000000000001</v>
      </c>
      <c r="T191" s="10">
        <v>46.61</v>
      </c>
      <c r="U191" s="10">
        <v>3.4429999999999999E-3</v>
      </c>
      <c r="V191" s="10">
        <v>2.6610000000000002E-2</v>
      </c>
      <c r="W191" s="10">
        <v>3.056E-2</v>
      </c>
      <c r="X191" s="10">
        <v>1.11E-2</v>
      </c>
      <c r="Y191" s="10">
        <v>1.52E-2</v>
      </c>
      <c r="Z191" s="10">
        <v>1.519E-3</v>
      </c>
      <c r="AA191" s="10">
        <v>18.22</v>
      </c>
      <c r="AB191" s="10">
        <v>28.07</v>
      </c>
      <c r="AC191" s="10">
        <v>120.3</v>
      </c>
      <c r="AD191" s="10">
        <v>1032</v>
      </c>
      <c r="AE191" s="10">
        <v>8.7739999999999999E-2</v>
      </c>
      <c r="AF191" s="10">
        <v>0.17100000000000001</v>
      </c>
      <c r="AG191" s="10">
        <v>0.18820000000000001</v>
      </c>
      <c r="AH191" s="10">
        <v>8.4360000000000004E-2</v>
      </c>
      <c r="AI191" s="10">
        <v>0.25269999999999998</v>
      </c>
      <c r="AJ191">
        <v>5.9720000000000002E-2</v>
      </c>
    </row>
    <row r="192" spans="3:36">
      <c r="C192" s="11" t="s">
        <v>298</v>
      </c>
      <c r="D192" s="10">
        <v>159</v>
      </c>
      <c r="E192" s="10">
        <v>871122</v>
      </c>
      <c r="F192" s="10" t="s">
        <v>1</v>
      </c>
      <c r="G192" s="10">
        <v>13.71</v>
      </c>
      <c r="H192" s="10">
        <v>12.74</v>
      </c>
      <c r="I192" s="10">
        <v>76.84</v>
      </c>
      <c r="J192" s="10">
        <v>448.6</v>
      </c>
      <c r="K192" s="10">
        <v>9.3109999999999998E-2</v>
      </c>
      <c r="L192" s="10">
        <v>5.2409999999999998E-2</v>
      </c>
      <c r="M192" s="10">
        <v>1.9720000000000001E-2</v>
      </c>
      <c r="N192" s="10">
        <v>1.9630000000000002E-2</v>
      </c>
      <c r="O192" s="10">
        <v>0.159</v>
      </c>
      <c r="P192" s="10">
        <v>5.9069999999999998E-2</v>
      </c>
      <c r="Q192" s="10">
        <v>0.1822</v>
      </c>
      <c r="R192" s="10">
        <v>0.72850000000000004</v>
      </c>
      <c r="S192" s="10">
        <v>1.171</v>
      </c>
      <c r="T192" s="10">
        <v>13.25</v>
      </c>
      <c r="U192" s="10">
        <v>5.5279999999999999E-3</v>
      </c>
      <c r="V192" s="10">
        <v>9.7890000000000008E-3</v>
      </c>
      <c r="W192" s="10">
        <v>8.3420000000000005E-3</v>
      </c>
      <c r="X192" s="10">
        <v>6.2729999999999999E-3</v>
      </c>
      <c r="Y192" s="10">
        <v>1.465E-2</v>
      </c>
      <c r="Z192" s="10">
        <v>2.5300000000000001E-3</v>
      </c>
      <c r="AA192" s="10">
        <v>13.14</v>
      </c>
      <c r="AB192" s="10">
        <v>18.41</v>
      </c>
      <c r="AC192" s="10">
        <v>84.08</v>
      </c>
      <c r="AD192" s="10">
        <v>532.79999999999995</v>
      </c>
      <c r="AE192" s="10">
        <v>0.1275</v>
      </c>
      <c r="AF192" s="10">
        <v>0.1232</v>
      </c>
      <c r="AG192" s="10">
        <v>8.6360000000000006E-2</v>
      </c>
      <c r="AH192" s="10">
        <v>7.0250000000000007E-2</v>
      </c>
      <c r="AI192" s="10">
        <v>0.25140000000000001</v>
      </c>
      <c r="AJ192">
        <v>7.8979999999999995E-2</v>
      </c>
    </row>
    <row r="193" spans="3:36">
      <c r="C193" s="11" t="s">
        <v>299</v>
      </c>
      <c r="D193" s="10">
        <v>160</v>
      </c>
      <c r="E193" s="10">
        <v>871149</v>
      </c>
      <c r="F193" s="10" t="s">
        <v>1</v>
      </c>
      <c r="G193" s="10">
        <v>13.71</v>
      </c>
      <c r="H193" s="10">
        <v>12.96</v>
      </c>
      <c r="I193" s="10">
        <v>68.69</v>
      </c>
      <c r="J193" s="10">
        <v>366.8</v>
      </c>
      <c r="K193" s="10">
        <v>7.5149999999999995E-2</v>
      </c>
      <c r="L193" s="10">
        <v>3.7179999999999998E-2</v>
      </c>
      <c r="M193" s="10">
        <v>3.0899999999999999E-3</v>
      </c>
      <c r="N193" s="10">
        <v>6.5880000000000001E-3</v>
      </c>
      <c r="O193" s="10">
        <v>0.14419999999999999</v>
      </c>
      <c r="P193" s="10">
        <v>5.7430000000000002E-2</v>
      </c>
      <c r="Q193" s="10">
        <v>0.28179999999999999</v>
      </c>
      <c r="R193" s="10">
        <v>0.76139999999999997</v>
      </c>
      <c r="S193" s="10">
        <v>1.8080000000000001</v>
      </c>
      <c r="T193" s="10">
        <v>18.54</v>
      </c>
      <c r="U193" s="10">
        <v>6.1419999999999999E-3</v>
      </c>
      <c r="V193" s="10">
        <v>6.1339999999999997E-3</v>
      </c>
      <c r="W193" s="10">
        <v>1.835E-3</v>
      </c>
      <c r="X193" s="10">
        <v>3.5760000000000002E-3</v>
      </c>
      <c r="Y193" s="10">
        <v>1.6369999999999999E-2</v>
      </c>
      <c r="Z193" s="10">
        <v>2.6649999999999998E-3</v>
      </c>
      <c r="AA193" s="10">
        <v>12.36</v>
      </c>
      <c r="AB193" s="10">
        <v>18.2</v>
      </c>
      <c r="AC193" s="10">
        <v>78.069999999999993</v>
      </c>
      <c r="AD193" s="10">
        <v>470</v>
      </c>
      <c r="AE193" s="10">
        <v>0.1171</v>
      </c>
      <c r="AF193" s="10">
        <v>8.294E-2</v>
      </c>
      <c r="AG193" s="10">
        <v>1.8540000000000001E-2</v>
      </c>
      <c r="AH193" s="10">
        <v>3.9530000000000003E-2</v>
      </c>
      <c r="AI193" s="10">
        <v>0.27379999999999999</v>
      </c>
      <c r="AJ193">
        <v>7.6850000000000002E-2</v>
      </c>
    </row>
    <row r="194" spans="3:36">
      <c r="C194" s="11" t="s">
        <v>300</v>
      </c>
      <c r="D194" s="10">
        <v>161</v>
      </c>
      <c r="E194" s="10">
        <v>8711561</v>
      </c>
      <c r="F194" s="10" t="s">
        <v>1</v>
      </c>
      <c r="G194" s="10">
        <v>13.71</v>
      </c>
      <c r="H194" s="10">
        <v>20.18</v>
      </c>
      <c r="I194" s="10">
        <v>76.099999999999994</v>
      </c>
      <c r="J194" s="10">
        <v>419.8</v>
      </c>
      <c r="K194" s="10">
        <v>0.1089</v>
      </c>
      <c r="L194" s="10">
        <v>0.11409999999999999</v>
      </c>
      <c r="M194" s="10">
        <v>6.8430000000000005E-2</v>
      </c>
      <c r="N194" s="10">
        <v>3.7379999999999997E-2</v>
      </c>
      <c r="O194" s="10">
        <v>0.1993</v>
      </c>
      <c r="P194" s="10">
        <v>6.4530000000000004E-2</v>
      </c>
      <c r="Q194" s="10">
        <v>0.50180000000000002</v>
      </c>
      <c r="R194" s="10">
        <v>1.6930000000000001</v>
      </c>
      <c r="S194" s="10">
        <v>3.9260000000000002</v>
      </c>
      <c r="T194" s="10">
        <v>38.340000000000003</v>
      </c>
      <c r="U194" s="10">
        <v>9.4330000000000004E-3</v>
      </c>
      <c r="V194" s="10">
        <v>2.4049999999999998E-2</v>
      </c>
      <c r="W194" s="10">
        <v>4.1669999999999999E-2</v>
      </c>
      <c r="X194" s="10">
        <v>1.1520000000000001E-2</v>
      </c>
      <c r="Y194" s="10">
        <v>3.397E-2</v>
      </c>
      <c r="Z194" s="10">
        <v>5.0610000000000004E-3</v>
      </c>
      <c r="AA194" s="10">
        <v>13.32</v>
      </c>
      <c r="AB194" s="10">
        <v>26.21</v>
      </c>
      <c r="AC194" s="10">
        <v>88.91</v>
      </c>
      <c r="AD194" s="10">
        <v>543.9</v>
      </c>
      <c r="AE194" s="10">
        <v>0.1358</v>
      </c>
      <c r="AF194" s="10">
        <v>0.18920000000000001</v>
      </c>
      <c r="AG194" s="10">
        <v>0.1956</v>
      </c>
      <c r="AH194" s="10">
        <v>7.9089999999999994E-2</v>
      </c>
      <c r="AI194" s="10">
        <v>0.31680000000000003</v>
      </c>
      <c r="AJ194">
        <v>7.9869999999999997E-2</v>
      </c>
    </row>
    <row r="195" spans="3:36">
      <c r="C195" s="11" t="s">
        <v>301</v>
      </c>
      <c r="D195" s="10">
        <v>162</v>
      </c>
      <c r="E195" s="10">
        <v>8711803</v>
      </c>
      <c r="F195" s="10" t="s">
        <v>0</v>
      </c>
      <c r="G195" s="10">
        <v>13.71</v>
      </c>
      <c r="H195" s="10">
        <v>15.94</v>
      </c>
      <c r="I195" s="10">
        <v>126.3</v>
      </c>
      <c r="J195" s="10">
        <v>1157</v>
      </c>
      <c r="K195" s="10">
        <v>8.6940000000000003E-2</v>
      </c>
      <c r="L195" s="10">
        <v>0.11849999999999999</v>
      </c>
      <c r="M195" s="10">
        <v>0.1193</v>
      </c>
      <c r="N195" s="10">
        <v>9.6670000000000006E-2</v>
      </c>
      <c r="O195" s="10">
        <v>0.1741</v>
      </c>
      <c r="P195" s="10">
        <v>5.176E-2</v>
      </c>
      <c r="Q195" s="10">
        <v>1</v>
      </c>
      <c r="R195" s="10">
        <v>0.63360000000000005</v>
      </c>
      <c r="S195" s="10">
        <v>6.9710000000000001</v>
      </c>
      <c r="T195" s="10">
        <v>119.3</v>
      </c>
      <c r="U195" s="10">
        <v>9.4059999999999994E-3</v>
      </c>
      <c r="V195" s="10">
        <v>3.0550000000000001E-2</v>
      </c>
      <c r="W195" s="10">
        <v>4.3439999999999999E-2</v>
      </c>
      <c r="X195" s="10">
        <v>2.794E-2</v>
      </c>
      <c r="Y195" s="10">
        <v>3.1559999999999998E-2</v>
      </c>
      <c r="Z195" s="10">
        <v>3.362E-3</v>
      </c>
      <c r="AA195" s="10">
        <v>22.03</v>
      </c>
      <c r="AB195" s="10">
        <v>17.809999999999999</v>
      </c>
      <c r="AC195" s="10">
        <v>146.6</v>
      </c>
      <c r="AD195" s="10">
        <v>1495</v>
      </c>
      <c r="AE195" s="10">
        <v>0.1124</v>
      </c>
      <c r="AF195" s="10">
        <v>0.2016</v>
      </c>
      <c r="AG195" s="10">
        <v>0.22639999999999999</v>
      </c>
      <c r="AH195" s="10">
        <v>0.1777</v>
      </c>
      <c r="AI195" s="10">
        <v>0.24429999999999999</v>
      </c>
      <c r="AJ195">
        <v>6.2509999999999996E-2</v>
      </c>
    </row>
    <row r="196" spans="3:36">
      <c r="C196" s="11" t="s">
        <v>302</v>
      </c>
      <c r="D196" s="10">
        <v>163</v>
      </c>
      <c r="E196" s="10">
        <v>871201</v>
      </c>
      <c r="F196" s="10" t="s">
        <v>0</v>
      </c>
      <c r="G196" s="10">
        <v>13.71</v>
      </c>
      <c r="H196" s="10">
        <v>18.149999999999999</v>
      </c>
      <c r="I196" s="10">
        <v>130.69999999999999</v>
      </c>
      <c r="J196" s="10">
        <v>1214</v>
      </c>
      <c r="K196" s="10">
        <v>0.112</v>
      </c>
      <c r="L196" s="10">
        <v>0.1666</v>
      </c>
      <c r="M196" s="10">
        <v>0.25080000000000002</v>
      </c>
      <c r="N196" s="10">
        <v>0.12859999999999999</v>
      </c>
      <c r="O196" s="10">
        <v>0.20269999999999999</v>
      </c>
      <c r="P196" s="10">
        <v>6.0819999999999999E-2</v>
      </c>
      <c r="Q196" s="10">
        <v>0.73640000000000005</v>
      </c>
      <c r="R196" s="10">
        <v>1.048</v>
      </c>
      <c r="S196" s="10">
        <v>4.7919999999999998</v>
      </c>
      <c r="T196" s="10">
        <v>97.07</v>
      </c>
      <c r="U196" s="10">
        <v>4.0569999999999998E-3</v>
      </c>
      <c r="V196" s="10">
        <v>2.2769999999999999E-2</v>
      </c>
      <c r="W196" s="10">
        <v>4.0289999999999999E-2</v>
      </c>
      <c r="X196" s="10">
        <v>1.303E-2</v>
      </c>
      <c r="Y196" s="10">
        <v>1.686E-2</v>
      </c>
      <c r="Z196" s="10">
        <v>3.3180000000000002E-3</v>
      </c>
      <c r="AA196" s="10">
        <v>26.73</v>
      </c>
      <c r="AB196" s="10">
        <v>26.39</v>
      </c>
      <c r="AC196" s="10">
        <v>174.9</v>
      </c>
      <c r="AD196" s="10">
        <v>2232</v>
      </c>
      <c r="AE196" s="10">
        <v>0.14380000000000001</v>
      </c>
      <c r="AF196" s="10">
        <v>0.3846</v>
      </c>
      <c r="AG196" s="10">
        <v>0.68100000000000005</v>
      </c>
      <c r="AH196" s="10">
        <v>0.22470000000000001</v>
      </c>
      <c r="AI196" s="10">
        <v>0.36430000000000001</v>
      </c>
      <c r="AJ196">
        <v>9.2230000000000006E-2</v>
      </c>
    </row>
    <row r="197" spans="3:36">
      <c r="C197" s="11" t="s">
        <v>303</v>
      </c>
      <c r="D197" s="10">
        <v>164</v>
      </c>
      <c r="E197" s="10">
        <v>8712064</v>
      </c>
      <c r="F197" s="10" t="s">
        <v>1</v>
      </c>
      <c r="G197" s="10">
        <v>13.71</v>
      </c>
      <c r="H197" s="10">
        <v>22.22</v>
      </c>
      <c r="I197" s="10">
        <v>79.849999999999994</v>
      </c>
      <c r="J197" s="10">
        <v>464.5</v>
      </c>
      <c r="K197" s="10">
        <v>0.1012</v>
      </c>
      <c r="L197" s="10">
        <v>0.10150000000000001</v>
      </c>
      <c r="M197" s="10">
        <v>5.3699999999999998E-2</v>
      </c>
      <c r="N197" s="10">
        <v>2.8219999999999999E-2</v>
      </c>
      <c r="O197" s="10">
        <v>0.15509999999999999</v>
      </c>
      <c r="P197" s="10">
        <v>6.7610000000000003E-2</v>
      </c>
      <c r="Q197" s="10">
        <v>0.2949</v>
      </c>
      <c r="R197" s="10">
        <v>1.6559999999999999</v>
      </c>
      <c r="S197" s="10">
        <v>1.9550000000000001</v>
      </c>
      <c r="T197" s="10">
        <v>21.55</v>
      </c>
      <c r="U197" s="10">
        <v>1.1339999999999999E-2</v>
      </c>
      <c r="V197" s="10">
        <v>3.175E-2</v>
      </c>
      <c r="W197" s="10">
        <v>3.125E-2</v>
      </c>
      <c r="X197" s="10">
        <v>1.1350000000000001E-2</v>
      </c>
      <c r="Y197" s="10">
        <v>1.8790000000000001E-2</v>
      </c>
      <c r="Z197" s="10">
        <v>5.3480000000000003E-3</v>
      </c>
      <c r="AA197" s="10">
        <v>13.58</v>
      </c>
      <c r="AB197" s="10">
        <v>28.68</v>
      </c>
      <c r="AC197" s="10">
        <v>87.36</v>
      </c>
      <c r="AD197" s="10">
        <v>553</v>
      </c>
      <c r="AE197" s="10">
        <v>0.1452</v>
      </c>
      <c r="AF197" s="10">
        <v>0.23380000000000001</v>
      </c>
      <c r="AG197" s="10">
        <v>0.16880000000000001</v>
      </c>
      <c r="AH197" s="10">
        <v>8.1939999999999999E-2</v>
      </c>
      <c r="AI197" s="10">
        <v>0.2268</v>
      </c>
      <c r="AJ197">
        <v>9.0819999999999998E-2</v>
      </c>
    </row>
    <row r="198" spans="3:36">
      <c r="C198" s="11" t="s">
        <v>304</v>
      </c>
      <c r="D198" s="10">
        <v>165</v>
      </c>
      <c r="E198" s="10">
        <v>8712289</v>
      </c>
      <c r="F198" s="10" t="s">
        <v>0</v>
      </c>
      <c r="G198" s="10">
        <v>13.71</v>
      </c>
      <c r="H198" s="10">
        <v>22.04</v>
      </c>
      <c r="I198" s="10">
        <v>152.1</v>
      </c>
      <c r="J198" s="10">
        <v>1686</v>
      </c>
      <c r="K198" s="10">
        <v>8.4390000000000007E-2</v>
      </c>
      <c r="L198" s="10">
        <v>0.1145</v>
      </c>
      <c r="M198" s="10">
        <v>0.13239999999999999</v>
      </c>
      <c r="N198" s="10">
        <v>9.7019999999999995E-2</v>
      </c>
      <c r="O198" s="10">
        <v>0.18010000000000001</v>
      </c>
      <c r="P198" s="10">
        <v>5.5530000000000003E-2</v>
      </c>
      <c r="Q198" s="10">
        <v>0.66420000000000001</v>
      </c>
      <c r="R198" s="10">
        <v>0.85609999999999997</v>
      </c>
      <c r="S198" s="10">
        <v>4.6029999999999998</v>
      </c>
      <c r="T198" s="10">
        <v>97.85</v>
      </c>
      <c r="U198" s="10">
        <v>4.9100000000000003E-3</v>
      </c>
      <c r="V198" s="10">
        <v>2.5440000000000001E-2</v>
      </c>
      <c r="W198" s="10">
        <v>2.8219999999999999E-2</v>
      </c>
      <c r="X198" s="10">
        <v>1.6230000000000001E-2</v>
      </c>
      <c r="Y198" s="10">
        <v>1.9560000000000001E-2</v>
      </c>
      <c r="Z198" s="10">
        <v>3.7399999999999998E-3</v>
      </c>
      <c r="AA198" s="10">
        <v>28.01</v>
      </c>
      <c r="AB198" s="10">
        <v>28.22</v>
      </c>
      <c r="AC198" s="10">
        <v>184.2</v>
      </c>
      <c r="AD198" s="10">
        <v>2403</v>
      </c>
      <c r="AE198" s="10">
        <v>0.12280000000000001</v>
      </c>
      <c r="AF198" s="10">
        <v>0.35830000000000001</v>
      </c>
      <c r="AG198" s="10">
        <v>0.39479999999999998</v>
      </c>
      <c r="AH198" s="10">
        <v>0.2346</v>
      </c>
      <c r="AI198" s="10">
        <v>0.3589</v>
      </c>
      <c r="AJ198">
        <v>9.1869999999999993E-2</v>
      </c>
    </row>
    <row r="199" spans="3:36">
      <c r="C199" s="11" t="s">
        <v>305</v>
      </c>
      <c r="D199" s="10">
        <v>166</v>
      </c>
      <c r="E199" s="10">
        <v>8712291</v>
      </c>
      <c r="F199" s="10" t="s">
        <v>1</v>
      </c>
      <c r="G199" s="10">
        <v>13.71</v>
      </c>
      <c r="H199" s="10">
        <v>19.760000000000002</v>
      </c>
      <c r="I199" s="10">
        <v>95.5</v>
      </c>
      <c r="J199" s="10">
        <v>690.2</v>
      </c>
      <c r="K199" s="10">
        <v>8.4209999999999993E-2</v>
      </c>
      <c r="L199" s="10">
        <v>5.3519999999999998E-2</v>
      </c>
      <c r="M199" s="10">
        <v>1.9470000000000001E-2</v>
      </c>
      <c r="N199" s="10">
        <v>1.9390000000000001E-2</v>
      </c>
      <c r="O199" s="10">
        <v>0.1515</v>
      </c>
      <c r="P199" s="10">
        <v>5.2659999999999998E-2</v>
      </c>
      <c r="Q199" s="10">
        <v>0.184</v>
      </c>
      <c r="R199" s="10">
        <v>1.0649999999999999</v>
      </c>
      <c r="S199" s="10">
        <v>1.286</v>
      </c>
      <c r="T199" s="10">
        <v>16.64</v>
      </c>
      <c r="U199" s="10">
        <v>3.6340000000000001E-3</v>
      </c>
      <c r="V199" s="10">
        <v>7.9830000000000005E-3</v>
      </c>
      <c r="W199" s="10">
        <v>8.2679999999999993E-3</v>
      </c>
      <c r="X199" s="10">
        <v>6.4320000000000002E-3</v>
      </c>
      <c r="Y199" s="10">
        <v>1.924E-2</v>
      </c>
      <c r="Z199" s="10">
        <v>1.5200000000000001E-3</v>
      </c>
      <c r="AA199" s="10">
        <v>15.98</v>
      </c>
      <c r="AB199" s="10">
        <v>25.82</v>
      </c>
      <c r="AC199" s="10">
        <v>102.3</v>
      </c>
      <c r="AD199" s="10">
        <v>782.1</v>
      </c>
      <c r="AE199" s="10">
        <v>0.1045</v>
      </c>
      <c r="AF199" s="10">
        <v>9.9949999999999997E-2</v>
      </c>
      <c r="AG199" s="10">
        <v>7.7499999999999999E-2</v>
      </c>
      <c r="AH199" s="10">
        <v>5.7540000000000001E-2</v>
      </c>
      <c r="AI199" s="10">
        <v>0.2646</v>
      </c>
      <c r="AJ199">
        <v>6.0850000000000001E-2</v>
      </c>
    </row>
    <row r="200" spans="3:36">
      <c r="C200" s="11" t="s">
        <v>306</v>
      </c>
      <c r="D200" s="10">
        <v>167</v>
      </c>
      <c r="E200" s="10">
        <v>87127</v>
      </c>
      <c r="F200" s="10" t="s">
        <v>1</v>
      </c>
      <c r="G200" s="10">
        <v>13.71</v>
      </c>
      <c r="H200" s="10">
        <v>9.7100000000000009</v>
      </c>
      <c r="I200" s="10">
        <v>68.77</v>
      </c>
      <c r="J200" s="10">
        <v>357.6</v>
      </c>
      <c r="K200" s="10">
        <v>9.5939999999999998E-2</v>
      </c>
      <c r="L200" s="10">
        <v>5.7360000000000001E-2</v>
      </c>
      <c r="M200" s="10">
        <v>2.5309999999999999E-2</v>
      </c>
      <c r="N200" s="10">
        <v>1.6979999999999999E-2</v>
      </c>
      <c r="O200" s="10">
        <v>0.1381</v>
      </c>
      <c r="P200" s="10">
        <v>6.4000000000000001E-2</v>
      </c>
      <c r="Q200" s="10">
        <v>0.17280000000000001</v>
      </c>
      <c r="R200" s="10">
        <v>0.40639999999999998</v>
      </c>
      <c r="S200" s="10">
        <v>1.1259999999999999</v>
      </c>
      <c r="T200" s="10">
        <v>11.48</v>
      </c>
      <c r="U200" s="10">
        <v>7.809E-3</v>
      </c>
      <c r="V200" s="10">
        <v>9.8160000000000001E-3</v>
      </c>
      <c r="W200" s="10">
        <v>1.099E-2</v>
      </c>
      <c r="X200" s="10">
        <v>5.3439999999999998E-3</v>
      </c>
      <c r="Y200" s="10">
        <v>1.2540000000000001E-2</v>
      </c>
      <c r="Z200" s="10">
        <v>2.1199999999999999E-3</v>
      </c>
      <c r="AA200" s="10">
        <v>11.6</v>
      </c>
      <c r="AB200" s="10">
        <v>12.02</v>
      </c>
      <c r="AC200" s="10">
        <v>73.66</v>
      </c>
      <c r="AD200" s="10">
        <v>414</v>
      </c>
      <c r="AE200" s="10">
        <v>0.14360000000000001</v>
      </c>
      <c r="AF200" s="10">
        <v>0.12570000000000001</v>
      </c>
      <c r="AG200" s="10">
        <v>0.1047</v>
      </c>
      <c r="AH200" s="10">
        <v>4.6030000000000001E-2</v>
      </c>
      <c r="AI200" s="10">
        <v>0.20899999999999999</v>
      </c>
      <c r="AJ200">
        <v>7.6990000000000003E-2</v>
      </c>
    </row>
    <row r="201" spans="3:36">
      <c r="C201" s="11" t="s">
        <v>307</v>
      </c>
      <c r="D201" s="10">
        <v>168</v>
      </c>
      <c r="E201" s="10">
        <v>8712729</v>
      </c>
      <c r="F201" s="10" t="s">
        <v>0</v>
      </c>
      <c r="G201" s="10">
        <v>13.71</v>
      </c>
      <c r="H201" s="10">
        <v>18.8</v>
      </c>
      <c r="I201" s="10">
        <v>109.3</v>
      </c>
      <c r="J201" s="10">
        <v>886.3</v>
      </c>
      <c r="K201" s="10">
        <v>8.8650000000000007E-2</v>
      </c>
      <c r="L201" s="10">
        <v>9.1819999999999999E-2</v>
      </c>
      <c r="M201" s="10">
        <v>8.4220000000000003E-2</v>
      </c>
      <c r="N201" s="10">
        <v>6.5759999999999999E-2</v>
      </c>
      <c r="O201" s="10">
        <v>0.1893</v>
      </c>
      <c r="P201" s="10">
        <v>5.534E-2</v>
      </c>
      <c r="Q201" s="10">
        <v>0.59899999999999998</v>
      </c>
      <c r="R201" s="10">
        <v>1.391</v>
      </c>
      <c r="S201" s="10">
        <v>4.1289999999999996</v>
      </c>
      <c r="T201" s="10">
        <v>67.34</v>
      </c>
      <c r="U201" s="10">
        <v>6.123E-3</v>
      </c>
      <c r="V201" s="10">
        <v>2.47E-2</v>
      </c>
      <c r="W201" s="10">
        <v>2.6259999999999999E-2</v>
      </c>
      <c r="X201" s="10">
        <v>1.6039999999999999E-2</v>
      </c>
      <c r="Y201" s="10">
        <v>2.0910000000000002E-2</v>
      </c>
      <c r="Z201" s="10">
        <v>3.493E-3</v>
      </c>
      <c r="AA201" s="10">
        <v>20.05</v>
      </c>
      <c r="AB201" s="10">
        <v>26.3</v>
      </c>
      <c r="AC201" s="10">
        <v>130.69999999999999</v>
      </c>
      <c r="AD201" s="10">
        <v>1260</v>
      </c>
      <c r="AE201" s="10">
        <v>0.1168</v>
      </c>
      <c r="AF201" s="10">
        <v>0.21190000000000001</v>
      </c>
      <c r="AG201" s="10">
        <v>0.23180000000000001</v>
      </c>
      <c r="AH201" s="10">
        <v>0.1474</v>
      </c>
      <c r="AI201" s="10">
        <v>0.28100000000000003</v>
      </c>
      <c r="AJ201">
        <v>7.2279999999999997E-2</v>
      </c>
    </row>
    <row r="202" spans="3:36">
      <c r="C202" s="11" t="s">
        <v>308</v>
      </c>
      <c r="D202" s="10">
        <v>169</v>
      </c>
      <c r="E202" s="10">
        <v>8712766</v>
      </c>
      <c r="F202" s="10" t="s">
        <v>0</v>
      </c>
      <c r="G202" s="10">
        <v>13.71</v>
      </c>
      <c r="H202" s="10">
        <v>24.68</v>
      </c>
      <c r="I202" s="10">
        <v>116.1</v>
      </c>
      <c r="J202" s="10">
        <v>984.6</v>
      </c>
      <c r="K202" s="10">
        <v>0.10489999999999999</v>
      </c>
      <c r="L202" s="10">
        <v>0.1603</v>
      </c>
      <c r="M202" s="10">
        <v>0.21590000000000001</v>
      </c>
      <c r="N202" s="10">
        <v>0.1043</v>
      </c>
      <c r="O202" s="10">
        <v>0.15379999999999999</v>
      </c>
      <c r="P202" s="10">
        <v>6.3649999999999998E-2</v>
      </c>
      <c r="Q202" s="10">
        <v>1.0880000000000001</v>
      </c>
      <c r="R202" s="10">
        <v>1.41</v>
      </c>
      <c r="S202" s="10">
        <v>7.3369999999999997</v>
      </c>
      <c r="T202" s="10">
        <v>122.3</v>
      </c>
      <c r="U202" s="10">
        <v>6.1739999999999998E-3</v>
      </c>
      <c r="V202" s="10">
        <v>3.6339999999999997E-2</v>
      </c>
      <c r="W202" s="10">
        <v>4.6440000000000002E-2</v>
      </c>
      <c r="X202" s="10">
        <v>1.5689999999999999E-2</v>
      </c>
      <c r="Y202" s="10">
        <v>1.145E-2</v>
      </c>
      <c r="Z202" s="10">
        <v>5.1200000000000004E-3</v>
      </c>
      <c r="AA202" s="10">
        <v>23.14</v>
      </c>
      <c r="AB202" s="10">
        <v>32.33</v>
      </c>
      <c r="AC202" s="10">
        <v>155.30000000000001</v>
      </c>
      <c r="AD202" s="10">
        <v>1660</v>
      </c>
      <c r="AE202" s="10">
        <v>0.1376</v>
      </c>
      <c r="AF202" s="10">
        <v>0.38300000000000001</v>
      </c>
      <c r="AG202" s="10">
        <v>0.48899999999999999</v>
      </c>
      <c r="AH202" s="10">
        <v>0.1721</v>
      </c>
      <c r="AI202" s="10">
        <v>0.216</v>
      </c>
      <c r="AJ202">
        <v>9.2999999999999999E-2</v>
      </c>
    </row>
    <row r="203" spans="3:36">
      <c r="C203" s="11" t="s">
        <v>309</v>
      </c>
      <c r="D203" s="10">
        <v>170</v>
      </c>
      <c r="E203" s="10">
        <v>8712853</v>
      </c>
      <c r="F203" s="10" t="s">
        <v>1</v>
      </c>
      <c r="G203" s="10">
        <v>13.71</v>
      </c>
      <c r="H203" s="10">
        <v>16.95</v>
      </c>
      <c r="I203" s="10">
        <v>96.22</v>
      </c>
      <c r="J203" s="10">
        <v>685.9</v>
      </c>
      <c r="K203" s="10">
        <v>9.8549999999999999E-2</v>
      </c>
      <c r="L203" s="10">
        <v>7.8850000000000003E-2</v>
      </c>
      <c r="M203" s="10">
        <v>2.6020000000000001E-2</v>
      </c>
      <c r="N203" s="10">
        <v>3.7810000000000003E-2</v>
      </c>
      <c r="O203" s="10">
        <v>0.17799999999999999</v>
      </c>
      <c r="P203" s="10">
        <v>5.6500000000000002E-2</v>
      </c>
      <c r="Q203" s="10">
        <v>0.27129999999999999</v>
      </c>
      <c r="R203" s="10">
        <v>1.2170000000000001</v>
      </c>
      <c r="S203" s="10">
        <v>1.893</v>
      </c>
      <c r="T203" s="10">
        <v>24.28</v>
      </c>
      <c r="U203" s="10">
        <v>5.0800000000000003E-3</v>
      </c>
      <c r="V203" s="10">
        <v>1.37E-2</v>
      </c>
      <c r="W203" s="10">
        <v>7.2760000000000003E-3</v>
      </c>
      <c r="X203" s="10">
        <v>9.0729999999999995E-3</v>
      </c>
      <c r="Y203" s="10">
        <v>1.35E-2</v>
      </c>
      <c r="Z203" s="10">
        <v>1.7060000000000001E-3</v>
      </c>
      <c r="AA203" s="10">
        <v>16.11</v>
      </c>
      <c r="AB203" s="10">
        <v>23</v>
      </c>
      <c r="AC203" s="10">
        <v>104.6</v>
      </c>
      <c r="AD203" s="10">
        <v>793.7</v>
      </c>
      <c r="AE203" s="10">
        <v>0.1216</v>
      </c>
      <c r="AF203" s="10">
        <v>0.16370000000000001</v>
      </c>
      <c r="AG203" s="10">
        <v>6.6479999999999997E-2</v>
      </c>
      <c r="AH203" s="10">
        <v>8.4849999999999995E-2</v>
      </c>
      <c r="AI203" s="10">
        <v>0.2404</v>
      </c>
      <c r="AJ203">
        <v>6.4280000000000004E-2</v>
      </c>
    </row>
    <row r="204" spans="3:36">
      <c r="C204" s="11" t="s">
        <v>310</v>
      </c>
      <c r="D204" s="10">
        <v>171</v>
      </c>
      <c r="E204" s="10">
        <v>87139402</v>
      </c>
      <c r="F204" s="10" t="s">
        <v>1</v>
      </c>
      <c r="G204" s="10">
        <v>13.71</v>
      </c>
      <c r="H204" s="10">
        <v>12.39</v>
      </c>
      <c r="I204" s="10">
        <v>78.849999999999994</v>
      </c>
      <c r="J204" s="10">
        <v>464.1</v>
      </c>
      <c r="K204" s="10">
        <v>0.1028</v>
      </c>
      <c r="L204" s="10">
        <v>6.9809999999999997E-2</v>
      </c>
      <c r="M204" s="10">
        <v>3.9870000000000003E-2</v>
      </c>
      <c r="N204" s="10">
        <v>3.6999999999999998E-2</v>
      </c>
      <c r="O204" s="10">
        <v>0.19589999999999999</v>
      </c>
      <c r="P204" s="10">
        <v>5.9549999999999999E-2</v>
      </c>
      <c r="Q204" s="10">
        <v>0.23599999999999999</v>
      </c>
      <c r="R204" s="10">
        <v>0.66559999999999997</v>
      </c>
      <c r="S204" s="10">
        <v>1.67</v>
      </c>
      <c r="T204" s="10">
        <v>17.43</v>
      </c>
      <c r="U204" s="10">
        <v>8.0450000000000001E-3</v>
      </c>
      <c r="V204" s="10">
        <v>1.18E-2</v>
      </c>
      <c r="W204" s="10">
        <v>1.6830000000000001E-2</v>
      </c>
      <c r="X204" s="10">
        <v>1.2409999999999999E-2</v>
      </c>
      <c r="Y204" s="10">
        <v>1.924E-2</v>
      </c>
      <c r="Z204" s="10">
        <v>2.248E-3</v>
      </c>
      <c r="AA204" s="10">
        <v>13.5</v>
      </c>
      <c r="AB204" s="10">
        <v>15.64</v>
      </c>
      <c r="AC204" s="10">
        <v>86.97</v>
      </c>
      <c r="AD204" s="10">
        <v>549.1</v>
      </c>
      <c r="AE204" s="10">
        <v>0.13850000000000001</v>
      </c>
      <c r="AF204" s="10">
        <v>0.12659999999999999</v>
      </c>
      <c r="AG204" s="10">
        <v>0.1242</v>
      </c>
      <c r="AH204" s="10">
        <v>9.3909999999999993E-2</v>
      </c>
      <c r="AI204" s="10">
        <v>0.28270000000000001</v>
      </c>
      <c r="AJ204">
        <v>6.7710000000000006E-2</v>
      </c>
    </row>
    <row r="205" spans="3:36">
      <c r="C205" s="11" t="s">
        <v>311</v>
      </c>
      <c r="D205" s="10">
        <v>172</v>
      </c>
      <c r="E205" s="10">
        <v>87163</v>
      </c>
      <c r="F205" s="10" t="s">
        <v>0</v>
      </c>
      <c r="G205" s="10">
        <v>13.71</v>
      </c>
      <c r="H205" s="10">
        <v>19.63</v>
      </c>
      <c r="I205" s="10">
        <v>85.84</v>
      </c>
      <c r="J205" s="10">
        <v>565.4</v>
      </c>
      <c r="K205" s="10">
        <v>9.0480000000000005E-2</v>
      </c>
      <c r="L205" s="10">
        <v>6.2880000000000005E-2</v>
      </c>
      <c r="M205" s="10">
        <v>5.858E-2</v>
      </c>
      <c r="N205" s="10">
        <v>3.4380000000000001E-2</v>
      </c>
      <c r="O205" s="10">
        <v>0.1598</v>
      </c>
      <c r="P205" s="10">
        <v>5.6710000000000003E-2</v>
      </c>
      <c r="Q205" s="10">
        <v>0.46970000000000001</v>
      </c>
      <c r="R205" s="10">
        <v>1.147</v>
      </c>
      <c r="S205" s="10">
        <v>3.1419999999999999</v>
      </c>
      <c r="T205" s="10">
        <v>43.4</v>
      </c>
      <c r="U205" s="10">
        <v>6.0029999999999997E-3</v>
      </c>
      <c r="V205" s="10">
        <v>1.0630000000000001E-2</v>
      </c>
      <c r="W205" s="10">
        <v>2.1510000000000001E-2</v>
      </c>
      <c r="X205" s="10">
        <v>9.443E-3</v>
      </c>
      <c r="Y205" s="10">
        <v>1.52E-2</v>
      </c>
      <c r="Z205" s="10">
        <v>1.8680000000000001E-3</v>
      </c>
      <c r="AA205" s="10">
        <v>17.98</v>
      </c>
      <c r="AB205" s="10">
        <v>29.87</v>
      </c>
      <c r="AC205" s="10">
        <v>116.6</v>
      </c>
      <c r="AD205" s="10">
        <v>993.6</v>
      </c>
      <c r="AE205" s="10">
        <v>0.1401</v>
      </c>
      <c r="AF205" s="10">
        <v>0.15459999999999999</v>
      </c>
      <c r="AG205" s="10">
        <v>0.26440000000000002</v>
      </c>
      <c r="AH205" s="10">
        <v>0.11600000000000001</v>
      </c>
      <c r="AI205" s="10">
        <v>0.28839999999999999</v>
      </c>
      <c r="AJ205">
        <v>7.3709999999999998E-2</v>
      </c>
    </row>
    <row r="206" spans="3:36">
      <c r="C206" s="11" t="s">
        <v>312</v>
      </c>
      <c r="D206" s="10">
        <v>173</v>
      </c>
      <c r="E206" s="10">
        <v>87164</v>
      </c>
      <c r="F206" s="10" t="s">
        <v>0</v>
      </c>
      <c r="G206" s="10">
        <v>13.71</v>
      </c>
      <c r="H206" s="10">
        <v>11.89</v>
      </c>
      <c r="I206" s="10">
        <v>102.5</v>
      </c>
      <c r="J206" s="10">
        <v>736.9</v>
      </c>
      <c r="K206" s="10">
        <v>0.12570000000000001</v>
      </c>
      <c r="L206" s="10">
        <v>0.1555</v>
      </c>
      <c r="M206" s="10">
        <v>0.20319999999999999</v>
      </c>
      <c r="N206" s="10">
        <v>0.10970000000000001</v>
      </c>
      <c r="O206" s="10">
        <v>0.1966</v>
      </c>
      <c r="P206" s="10">
        <v>7.0690000000000003E-2</v>
      </c>
      <c r="Q206" s="10">
        <v>0.4209</v>
      </c>
      <c r="R206" s="10">
        <v>0.6583</v>
      </c>
      <c r="S206" s="10">
        <v>2.8050000000000002</v>
      </c>
      <c r="T206" s="10">
        <v>44.64</v>
      </c>
      <c r="U206" s="10">
        <v>5.3930000000000002E-3</v>
      </c>
      <c r="V206" s="10">
        <v>2.3210000000000001E-2</v>
      </c>
      <c r="W206" s="10">
        <v>4.3029999999999999E-2</v>
      </c>
      <c r="X206" s="10">
        <v>1.32E-2</v>
      </c>
      <c r="Y206" s="10">
        <v>1.7919999999999998E-2</v>
      </c>
      <c r="Z206" s="10">
        <v>4.1679999999999998E-3</v>
      </c>
      <c r="AA206" s="10">
        <v>18.79</v>
      </c>
      <c r="AB206" s="10">
        <v>17.04</v>
      </c>
      <c r="AC206" s="10">
        <v>125</v>
      </c>
      <c r="AD206" s="10">
        <v>1102</v>
      </c>
      <c r="AE206" s="10">
        <v>0.15310000000000001</v>
      </c>
      <c r="AF206" s="10">
        <v>0.35830000000000001</v>
      </c>
      <c r="AG206" s="10">
        <v>0.58299999999999996</v>
      </c>
      <c r="AH206" s="10">
        <v>0.1827</v>
      </c>
      <c r="AI206" s="10">
        <v>0.3216</v>
      </c>
      <c r="AJ206">
        <v>0.10100000000000001</v>
      </c>
    </row>
    <row r="207" spans="3:36">
      <c r="C207" s="11" t="s">
        <v>313</v>
      </c>
      <c r="D207" s="10">
        <v>174</v>
      </c>
      <c r="E207" s="10">
        <v>871641</v>
      </c>
      <c r="F207" s="10" t="s">
        <v>1</v>
      </c>
      <c r="G207" s="10">
        <v>13.71</v>
      </c>
      <c r="H207" s="10">
        <v>14.71</v>
      </c>
      <c r="I207" s="10">
        <v>70.209999999999994</v>
      </c>
      <c r="J207" s="10">
        <v>372.7</v>
      </c>
      <c r="K207" s="10">
        <v>0.10059999999999999</v>
      </c>
      <c r="L207" s="10">
        <v>5.7430000000000002E-2</v>
      </c>
      <c r="M207" s="10">
        <v>2.3630000000000002E-2</v>
      </c>
      <c r="N207" s="10">
        <v>2.5829999999999999E-2</v>
      </c>
      <c r="O207" s="10">
        <v>0.15659999999999999</v>
      </c>
      <c r="P207" s="10">
        <v>6.6689999999999999E-2</v>
      </c>
      <c r="Q207" s="10">
        <v>0.20730000000000001</v>
      </c>
      <c r="R207" s="10">
        <v>1.8049999999999999</v>
      </c>
      <c r="S207" s="10">
        <v>1.377</v>
      </c>
      <c r="T207" s="10">
        <v>19.079999999999998</v>
      </c>
      <c r="U207" s="10">
        <v>1.4959999999999999E-2</v>
      </c>
      <c r="V207" s="10">
        <v>2.121E-2</v>
      </c>
      <c r="W207" s="10">
        <v>1.453E-2</v>
      </c>
      <c r="X207" s="10">
        <v>1.583E-2</v>
      </c>
      <c r="Y207" s="10">
        <v>3.082E-2</v>
      </c>
      <c r="Z207" s="10">
        <v>4.7850000000000002E-3</v>
      </c>
      <c r="AA207" s="10">
        <v>11.35</v>
      </c>
      <c r="AB207" s="10">
        <v>16.82</v>
      </c>
      <c r="AC207" s="10">
        <v>72.010000000000005</v>
      </c>
      <c r="AD207" s="10">
        <v>396.5</v>
      </c>
      <c r="AE207" s="10">
        <v>0.1216</v>
      </c>
      <c r="AF207" s="10">
        <v>8.2400000000000001E-2</v>
      </c>
      <c r="AG207" s="10">
        <v>3.9379999999999998E-2</v>
      </c>
      <c r="AH207" s="10">
        <v>4.3060000000000001E-2</v>
      </c>
      <c r="AI207" s="10">
        <v>0.19020000000000001</v>
      </c>
      <c r="AJ207">
        <v>7.3130000000000001E-2</v>
      </c>
    </row>
    <row r="208" spans="3:36">
      <c r="C208" s="11" t="s">
        <v>314</v>
      </c>
      <c r="D208" s="10">
        <v>175</v>
      </c>
      <c r="E208" s="10">
        <v>871642</v>
      </c>
      <c r="F208" s="10" t="s">
        <v>1</v>
      </c>
      <c r="G208" s="10">
        <v>13.71</v>
      </c>
      <c r="H208" s="10">
        <v>15.15</v>
      </c>
      <c r="I208" s="10">
        <v>67.489999999999995</v>
      </c>
      <c r="J208" s="10">
        <v>349.6</v>
      </c>
      <c r="K208" s="10">
        <v>8.7919999999999998E-2</v>
      </c>
      <c r="L208" s="10">
        <v>4.3020000000000003E-2</v>
      </c>
      <c r="M208" s="10">
        <v>0</v>
      </c>
      <c r="N208" s="10">
        <v>0</v>
      </c>
      <c r="O208" s="10">
        <v>0.1928</v>
      </c>
      <c r="P208" s="10">
        <v>5.9749999999999998E-2</v>
      </c>
      <c r="Q208" s="10">
        <v>0.33090000000000003</v>
      </c>
      <c r="R208" s="10">
        <v>1.925</v>
      </c>
      <c r="S208" s="10">
        <v>2.1549999999999998</v>
      </c>
      <c r="T208" s="10">
        <v>21.98</v>
      </c>
      <c r="U208" s="10">
        <v>8.7130000000000003E-3</v>
      </c>
      <c r="V208" s="10">
        <v>1.017E-2</v>
      </c>
      <c r="W208" s="10">
        <v>0</v>
      </c>
      <c r="X208" s="10">
        <v>0</v>
      </c>
      <c r="Y208" s="10">
        <v>3.2649999999999998E-2</v>
      </c>
      <c r="Z208" s="10">
        <v>1.0020000000000001E-3</v>
      </c>
      <c r="AA208" s="10">
        <v>11.54</v>
      </c>
      <c r="AB208" s="10">
        <v>19.2</v>
      </c>
      <c r="AC208" s="10">
        <v>73.2</v>
      </c>
      <c r="AD208" s="10">
        <v>408.3</v>
      </c>
      <c r="AE208" s="10">
        <v>0.1076</v>
      </c>
      <c r="AF208" s="10">
        <v>6.7909999999999998E-2</v>
      </c>
      <c r="AG208" s="10">
        <v>0</v>
      </c>
      <c r="AH208" s="10">
        <v>0</v>
      </c>
      <c r="AI208" s="10">
        <v>0.27100000000000002</v>
      </c>
      <c r="AJ208">
        <v>6.164E-2</v>
      </c>
    </row>
    <row r="209" spans="3:36">
      <c r="C209" s="11" t="s">
        <v>315</v>
      </c>
      <c r="D209" s="10">
        <v>176</v>
      </c>
      <c r="E209" s="10">
        <v>872113</v>
      </c>
      <c r="F209" s="10" t="s">
        <v>1</v>
      </c>
      <c r="G209" s="10">
        <v>13.71</v>
      </c>
      <c r="H209" s="10">
        <v>14.45</v>
      </c>
      <c r="I209" s="10">
        <v>54.42</v>
      </c>
      <c r="J209" s="10">
        <v>227.2</v>
      </c>
      <c r="K209" s="10">
        <v>9.1380000000000003E-2</v>
      </c>
      <c r="L209" s="10">
        <v>4.2759999999999999E-2</v>
      </c>
      <c r="M209" s="10">
        <v>0</v>
      </c>
      <c r="N209" s="10">
        <v>0</v>
      </c>
      <c r="O209" s="10">
        <v>0.17219999999999999</v>
      </c>
      <c r="P209" s="10">
        <v>6.7239999999999994E-2</v>
      </c>
      <c r="Q209" s="10">
        <v>0.22040000000000001</v>
      </c>
      <c r="R209" s="10">
        <v>0.7873</v>
      </c>
      <c r="S209" s="10">
        <v>1.4350000000000001</v>
      </c>
      <c r="T209" s="10">
        <v>11.36</v>
      </c>
      <c r="U209" s="10">
        <v>9.1719999999999996E-3</v>
      </c>
      <c r="V209" s="10">
        <v>8.0070000000000002E-3</v>
      </c>
      <c r="W209" s="10">
        <v>0</v>
      </c>
      <c r="X209" s="10">
        <v>0</v>
      </c>
      <c r="Y209" s="10">
        <v>2.7109999999999999E-2</v>
      </c>
      <c r="Z209" s="10">
        <v>3.3990000000000001E-3</v>
      </c>
      <c r="AA209" s="10">
        <v>9.2620000000000005</v>
      </c>
      <c r="AB209" s="10">
        <v>17.04</v>
      </c>
      <c r="AC209" s="10">
        <v>58.36</v>
      </c>
      <c r="AD209" s="10">
        <v>259.2</v>
      </c>
      <c r="AE209" s="10">
        <v>0.1162</v>
      </c>
      <c r="AF209" s="10">
        <v>7.0569999999999994E-2</v>
      </c>
      <c r="AG209" s="10">
        <v>0</v>
      </c>
      <c r="AH209" s="10">
        <v>0</v>
      </c>
      <c r="AI209" s="10">
        <v>0.25919999999999999</v>
      </c>
      <c r="AJ209">
        <v>7.8479999999999994E-2</v>
      </c>
    </row>
    <row r="210" spans="3:36">
      <c r="C210" s="11" t="s">
        <v>316</v>
      </c>
      <c r="D210" s="10">
        <v>177</v>
      </c>
      <c r="E210" s="10">
        <v>872608</v>
      </c>
      <c r="F210" s="10" t="s">
        <v>1</v>
      </c>
      <c r="G210" s="10">
        <v>13.71</v>
      </c>
      <c r="H210" s="10">
        <v>18.059999999999999</v>
      </c>
      <c r="I210" s="10">
        <v>64.599999999999994</v>
      </c>
      <c r="J210" s="10">
        <v>302.39999999999998</v>
      </c>
      <c r="K210" s="10">
        <v>9.6990000000000007E-2</v>
      </c>
      <c r="L210" s="10">
        <v>0.12939999999999999</v>
      </c>
      <c r="M210" s="10">
        <v>0.13070000000000001</v>
      </c>
      <c r="N210" s="10">
        <v>3.7159999999999999E-2</v>
      </c>
      <c r="O210" s="10">
        <v>0.16689999999999999</v>
      </c>
      <c r="P210" s="10">
        <v>8.1159999999999996E-2</v>
      </c>
      <c r="Q210" s="10">
        <v>0.43109999999999998</v>
      </c>
      <c r="R210" s="10">
        <v>2.2610000000000001</v>
      </c>
      <c r="S210" s="10">
        <v>3.1320000000000001</v>
      </c>
      <c r="T210" s="10">
        <v>27.48</v>
      </c>
      <c r="U210" s="10">
        <v>1.286E-2</v>
      </c>
      <c r="V210" s="10">
        <v>8.8080000000000006E-2</v>
      </c>
      <c r="W210" s="10">
        <v>0.1197</v>
      </c>
      <c r="X210" s="10">
        <v>2.46E-2</v>
      </c>
      <c r="Y210" s="10">
        <v>3.8800000000000001E-2</v>
      </c>
      <c r="Z210" s="10">
        <v>1.7919999999999998E-2</v>
      </c>
      <c r="AA210" s="10">
        <v>11.26</v>
      </c>
      <c r="AB210" s="10">
        <v>24.39</v>
      </c>
      <c r="AC210" s="10">
        <v>73.069999999999993</v>
      </c>
      <c r="AD210" s="10">
        <v>390.2</v>
      </c>
      <c r="AE210" s="10">
        <v>0.13009999999999999</v>
      </c>
      <c r="AF210" s="10">
        <v>0.29499999999999998</v>
      </c>
      <c r="AG210" s="10">
        <v>0.34860000000000002</v>
      </c>
      <c r="AH210" s="10">
        <v>9.9099999999999994E-2</v>
      </c>
      <c r="AI210" s="10">
        <v>0.26140000000000002</v>
      </c>
      <c r="AJ210">
        <v>0.1162</v>
      </c>
    </row>
    <row r="211" spans="3:36">
      <c r="C211" s="11" t="s">
        <v>317</v>
      </c>
      <c r="D211" s="10">
        <v>178</v>
      </c>
      <c r="E211" s="10">
        <v>87281702</v>
      </c>
      <c r="F211" s="10" t="s">
        <v>0</v>
      </c>
      <c r="G211" s="10">
        <v>13.71</v>
      </c>
      <c r="H211" s="10">
        <v>20.11</v>
      </c>
      <c r="I211" s="10">
        <v>109.3</v>
      </c>
      <c r="J211" s="10">
        <v>832.9</v>
      </c>
      <c r="K211" s="10">
        <v>9.8309999999999995E-2</v>
      </c>
      <c r="L211" s="10">
        <v>0.15559999999999999</v>
      </c>
      <c r="M211" s="10">
        <v>0.17929999999999999</v>
      </c>
      <c r="N211" s="10">
        <v>8.8660000000000003E-2</v>
      </c>
      <c r="O211" s="10">
        <v>0.1794</v>
      </c>
      <c r="P211" s="10">
        <v>6.3229999999999995E-2</v>
      </c>
      <c r="Q211" s="10">
        <v>0.30370000000000003</v>
      </c>
      <c r="R211" s="10">
        <v>1.284</v>
      </c>
      <c r="S211" s="10">
        <v>2.4820000000000002</v>
      </c>
      <c r="T211" s="10">
        <v>31.59</v>
      </c>
      <c r="U211" s="10">
        <v>6.6270000000000001E-3</v>
      </c>
      <c r="V211" s="10">
        <v>4.0939999999999997E-2</v>
      </c>
      <c r="W211" s="10">
        <v>5.3710000000000001E-2</v>
      </c>
      <c r="X211" s="10">
        <v>1.813E-2</v>
      </c>
      <c r="Y211" s="10">
        <v>1.6820000000000002E-2</v>
      </c>
      <c r="Z211" s="10">
        <v>4.5840000000000004E-3</v>
      </c>
      <c r="AA211" s="10">
        <v>17.79</v>
      </c>
      <c r="AB211" s="10">
        <v>28.45</v>
      </c>
      <c r="AC211" s="10">
        <v>123.5</v>
      </c>
      <c r="AD211" s="10">
        <v>981.2</v>
      </c>
      <c r="AE211" s="10">
        <v>0.14149999999999999</v>
      </c>
      <c r="AF211" s="10">
        <v>0.4667</v>
      </c>
      <c r="AG211" s="10">
        <v>0.58620000000000005</v>
      </c>
      <c r="AH211" s="10">
        <v>0.20349999999999999</v>
      </c>
      <c r="AI211" s="10">
        <v>0.3054</v>
      </c>
      <c r="AJ211">
        <v>9.5189999999999997E-2</v>
      </c>
    </row>
    <row r="212" spans="3:36">
      <c r="C212" s="11" t="s">
        <v>318</v>
      </c>
      <c r="D212" s="10">
        <v>179</v>
      </c>
      <c r="E212" s="10">
        <v>873357</v>
      </c>
      <c r="F212" s="10" t="s">
        <v>1</v>
      </c>
      <c r="G212" s="10">
        <v>13.71</v>
      </c>
      <c r="H212" s="10">
        <v>22.22</v>
      </c>
      <c r="I212" s="10">
        <v>82.01</v>
      </c>
      <c r="J212" s="10">
        <v>526.4</v>
      </c>
      <c r="K212" s="10">
        <v>6.2509999999999996E-2</v>
      </c>
      <c r="L212" s="10">
        <v>1.9380000000000001E-2</v>
      </c>
      <c r="M212" s="10">
        <v>1.5950000000000001E-3</v>
      </c>
      <c r="N212" s="10">
        <v>1.8519999999999999E-3</v>
      </c>
      <c r="O212" s="10">
        <v>0.13950000000000001</v>
      </c>
      <c r="P212" s="10">
        <v>5.2339999999999998E-2</v>
      </c>
      <c r="Q212" s="10">
        <v>0.1731</v>
      </c>
      <c r="R212" s="10">
        <v>1.1419999999999999</v>
      </c>
      <c r="S212" s="10">
        <v>1.101</v>
      </c>
      <c r="T212" s="10">
        <v>14.34</v>
      </c>
      <c r="U212" s="10">
        <v>3.418E-3</v>
      </c>
      <c r="V212" s="10">
        <v>2.2520000000000001E-3</v>
      </c>
      <c r="W212" s="10">
        <v>1.5950000000000001E-3</v>
      </c>
      <c r="X212" s="10">
        <v>1.8519999999999999E-3</v>
      </c>
      <c r="Y212" s="10">
        <v>1.6129999999999999E-2</v>
      </c>
      <c r="Z212" s="10">
        <v>9.6829999999999996E-4</v>
      </c>
      <c r="AA212" s="10">
        <v>14</v>
      </c>
      <c r="AB212" s="10">
        <v>29.02</v>
      </c>
      <c r="AC212" s="10">
        <v>88.18</v>
      </c>
      <c r="AD212" s="10">
        <v>608.79999999999995</v>
      </c>
      <c r="AE212" s="10">
        <v>8.1250000000000003E-2</v>
      </c>
      <c r="AF212" s="10">
        <v>3.4320000000000003E-2</v>
      </c>
      <c r="AG212" s="10">
        <v>7.9769999999999997E-3</v>
      </c>
      <c r="AH212" s="10">
        <v>9.2589999999999999E-3</v>
      </c>
      <c r="AI212" s="10">
        <v>0.22950000000000001</v>
      </c>
      <c r="AJ212">
        <v>5.8430000000000003E-2</v>
      </c>
    </row>
    <row r="213" spans="3:36">
      <c r="C213" s="11" t="s">
        <v>319</v>
      </c>
      <c r="D213" s="10">
        <v>180</v>
      </c>
      <c r="E213" s="10">
        <v>873586</v>
      </c>
      <c r="F213" s="10" t="s">
        <v>1</v>
      </c>
      <c r="G213" s="10">
        <v>13.71</v>
      </c>
      <c r="H213" s="10">
        <v>13.06</v>
      </c>
      <c r="I213" s="10">
        <v>81.290000000000006</v>
      </c>
      <c r="J213" s="10">
        <v>508.8</v>
      </c>
      <c r="K213" s="10">
        <v>8.7389999999999995E-2</v>
      </c>
      <c r="L213" s="10">
        <v>3.7740000000000003E-2</v>
      </c>
      <c r="M213" s="10">
        <v>9.1929999999999998E-3</v>
      </c>
      <c r="N213" s="10">
        <v>1.3299999999999999E-2</v>
      </c>
      <c r="O213" s="10">
        <v>0.14660000000000001</v>
      </c>
      <c r="P213" s="10">
        <v>6.1330000000000003E-2</v>
      </c>
      <c r="Q213" s="10">
        <v>0.28889999999999999</v>
      </c>
      <c r="R213" s="10">
        <v>0.9899</v>
      </c>
      <c r="S213" s="10">
        <v>1.778</v>
      </c>
      <c r="T213" s="10">
        <v>21.79</v>
      </c>
      <c r="U213" s="10">
        <v>8.5339999999999999E-3</v>
      </c>
      <c r="V213" s="10">
        <v>6.3639999999999999E-3</v>
      </c>
      <c r="W213" s="10">
        <v>6.1799999999999997E-3</v>
      </c>
      <c r="X213" s="10">
        <v>7.4079999999999997E-3</v>
      </c>
      <c r="Y213" s="10">
        <v>1.065E-2</v>
      </c>
      <c r="Z213" s="10">
        <v>3.3509999999999998E-3</v>
      </c>
      <c r="AA213" s="10">
        <v>13.63</v>
      </c>
      <c r="AB213" s="10">
        <v>16.149999999999999</v>
      </c>
      <c r="AC213" s="10">
        <v>86.7</v>
      </c>
      <c r="AD213" s="10">
        <v>570.70000000000005</v>
      </c>
      <c r="AE213" s="10">
        <v>0.1162</v>
      </c>
      <c r="AF213" s="10">
        <v>5.4449999999999998E-2</v>
      </c>
      <c r="AG213" s="10">
        <v>2.758E-2</v>
      </c>
      <c r="AH213" s="10">
        <v>3.9899999999999998E-2</v>
      </c>
      <c r="AI213" s="10">
        <v>0.17829999999999999</v>
      </c>
      <c r="AJ213">
        <v>7.3190000000000005E-2</v>
      </c>
    </row>
    <row r="214" spans="3:36">
      <c r="C214" s="11" t="s">
        <v>320</v>
      </c>
      <c r="D214" s="10">
        <v>181</v>
      </c>
      <c r="E214" s="10">
        <v>873592</v>
      </c>
      <c r="F214" s="10" t="s">
        <v>0</v>
      </c>
      <c r="G214" s="10">
        <v>13.71</v>
      </c>
      <c r="H214" s="10">
        <v>21.87</v>
      </c>
      <c r="I214" s="10">
        <v>182.1</v>
      </c>
      <c r="J214" s="10">
        <v>2250</v>
      </c>
      <c r="K214" s="10">
        <v>0.1094</v>
      </c>
      <c r="L214" s="10">
        <v>0.19139999999999999</v>
      </c>
      <c r="M214" s="10">
        <v>0.28710000000000002</v>
      </c>
      <c r="N214" s="10">
        <v>0.18779999999999999</v>
      </c>
      <c r="O214" s="10">
        <v>0.18</v>
      </c>
      <c r="P214" s="10">
        <v>5.7700000000000001E-2</v>
      </c>
      <c r="Q214" s="10">
        <v>0.83609999999999995</v>
      </c>
      <c r="R214" s="10">
        <v>1.4810000000000001</v>
      </c>
      <c r="S214" s="10">
        <v>5.82</v>
      </c>
      <c r="T214" s="10">
        <v>128.69999999999999</v>
      </c>
      <c r="U214" s="10">
        <v>4.6309999999999997E-3</v>
      </c>
      <c r="V214" s="10">
        <v>2.537E-2</v>
      </c>
      <c r="W214" s="10">
        <v>3.109E-2</v>
      </c>
      <c r="X214" s="10">
        <v>1.2409999999999999E-2</v>
      </c>
      <c r="Y214" s="10">
        <v>1.575E-2</v>
      </c>
      <c r="Z214" s="10">
        <v>2.7469999999999999E-3</v>
      </c>
      <c r="AA214" s="10">
        <v>33.119999999999997</v>
      </c>
      <c r="AB214" s="10">
        <v>32.85</v>
      </c>
      <c r="AC214" s="10">
        <v>220.8</v>
      </c>
      <c r="AD214" s="10">
        <v>3216</v>
      </c>
      <c r="AE214" s="10">
        <v>0.1472</v>
      </c>
      <c r="AF214" s="10">
        <v>0.40339999999999998</v>
      </c>
      <c r="AG214" s="10">
        <v>0.53400000000000003</v>
      </c>
      <c r="AH214" s="10">
        <v>0.26879999999999998</v>
      </c>
      <c r="AI214" s="10">
        <v>0.28560000000000002</v>
      </c>
      <c r="AJ214">
        <v>8.0820000000000003E-2</v>
      </c>
    </row>
    <row r="215" spans="3:36">
      <c r="C215" s="11" t="s">
        <v>321</v>
      </c>
      <c r="D215" s="10">
        <v>182</v>
      </c>
      <c r="E215" s="10">
        <v>873593</v>
      </c>
      <c r="F215" s="10" t="s">
        <v>0</v>
      </c>
      <c r="G215" s="10">
        <v>13.71</v>
      </c>
      <c r="H215" s="10">
        <v>26.57</v>
      </c>
      <c r="I215" s="10">
        <v>142.69999999999999</v>
      </c>
      <c r="J215" s="10">
        <v>1311</v>
      </c>
      <c r="K215" s="10">
        <v>0.11409999999999999</v>
      </c>
      <c r="L215" s="10">
        <v>0.28320000000000001</v>
      </c>
      <c r="M215" s="10">
        <v>0.2487</v>
      </c>
      <c r="N215" s="10">
        <v>0.14960000000000001</v>
      </c>
      <c r="O215" s="10">
        <v>0.23949999999999999</v>
      </c>
      <c r="P215" s="10">
        <v>7.3980000000000004E-2</v>
      </c>
      <c r="Q215" s="10">
        <v>0.62980000000000003</v>
      </c>
      <c r="R215" s="10">
        <v>0.76290000000000002</v>
      </c>
      <c r="S215" s="10">
        <v>4.4139999999999997</v>
      </c>
      <c r="T215" s="10">
        <v>81.459999999999994</v>
      </c>
      <c r="U215" s="10">
        <v>4.2529999999999998E-3</v>
      </c>
      <c r="V215" s="10">
        <v>4.759E-2</v>
      </c>
      <c r="W215" s="10">
        <v>3.8719999999999997E-2</v>
      </c>
      <c r="X215" s="10">
        <v>1.567E-2</v>
      </c>
      <c r="Y215" s="10">
        <v>1.7979999999999999E-2</v>
      </c>
      <c r="Z215" s="10">
        <v>5.2950000000000002E-3</v>
      </c>
      <c r="AA215" s="10">
        <v>26.68</v>
      </c>
      <c r="AB215" s="10">
        <v>33.479999999999997</v>
      </c>
      <c r="AC215" s="10">
        <v>176.5</v>
      </c>
      <c r="AD215" s="10">
        <v>2089</v>
      </c>
      <c r="AE215" s="10">
        <v>0.14910000000000001</v>
      </c>
      <c r="AF215" s="10">
        <v>0.75839999999999996</v>
      </c>
      <c r="AG215" s="10">
        <v>0.67800000000000005</v>
      </c>
      <c r="AH215" s="10">
        <v>0.2903</v>
      </c>
      <c r="AI215" s="10">
        <v>0.4098</v>
      </c>
      <c r="AJ215">
        <v>0.12839999999999999</v>
      </c>
    </row>
    <row r="216" spans="3:36">
      <c r="C216" s="11" t="s">
        <v>322</v>
      </c>
      <c r="D216" s="10">
        <v>183</v>
      </c>
      <c r="E216" s="10">
        <v>873701</v>
      </c>
      <c r="F216" s="10" t="s">
        <v>0</v>
      </c>
      <c r="G216" s="10">
        <v>13.71</v>
      </c>
      <c r="H216" s="10">
        <v>20.309999999999999</v>
      </c>
      <c r="I216" s="10">
        <v>101.2</v>
      </c>
      <c r="J216" s="10">
        <v>766.6</v>
      </c>
      <c r="K216" s="10">
        <v>9.597E-2</v>
      </c>
      <c r="L216" s="10">
        <v>8.7989999999999999E-2</v>
      </c>
      <c r="M216" s="10">
        <v>6.5930000000000002E-2</v>
      </c>
      <c r="N216" s="10">
        <v>5.1889999999999999E-2</v>
      </c>
      <c r="O216" s="10">
        <v>0.1618</v>
      </c>
      <c r="P216" s="10">
        <v>5.5489999999999998E-2</v>
      </c>
      <c r="Q216" s="10">
        <v>0.36990000000000001</v>
      </c>
      <c r="R216" s="10">
        <v>1.1499999999999999</v>
      </c>
      <c r="S216" s="10">
        <v>2.4060000000000001</v>
      </c>
      <c r="T216" s="10">
        <v>40.98</v>
      </c>
      <c r="U216" s="10">
        <v>4.6259999999999999E-3</v>
      </c>
      <c r="V216" s="10">
        <v>2.2630000000000001E-2</v>
      </c>
      <c r="W216" s="10">
        <v>1.9539999999999998E-2</v>
      </c>
      <c r="X216" s="10">
        <v>9.7669999999999996E-3</v>
      </c>
      <c r="Y216" s="10">
        <v>1.5469999999999999E-2</v>
      </c>
      <c r="Z216" s="10">
        <v>2.4299999999999999E-3</v>
      </c>
      <c r="AA216" s="10">
        <v>20.11</v>
      </c>
      <c r="AB216" s="10">
        <v>32.82</v>
      </c>
      <c r="AC216" s="10">
        <v>129.30000000000001</v>
      </c>
      <c r="AD216" s="10">
        <v>1269</v>
      </c>
      <c r="AE216" s="10">
        <v>0.1414</v>
      </c>
      <c r="AF216" s="10">
        <v>0.35470000000000002</v>
      </c>
      <c r="AG216" s="10">
        <v>0.29020000000000001</v>
      </c>
      <c r="AH216" s="10">
        <v>0.15409999999999999</v>
      </c>
      <c r="AI216" s="10">
        <v>0.34370000000000001</v>
      </c>
      <c r="AJ216">
        <v>8.6309999999999998E-2</v>
      </c>
    </row>
    <row r="217" spans="3:36">
      <c r="C217" s="11" t="s">
        <v>323</v>
      </c>
      <c r="D217" s="10">
        <v>184</v>
      </c>
      <c r="E217" s="10">
        <v>873843</v>
      </c>
      <c r="F217" s="10" t="s">
        <v>1</v>
      </c>
      <c r="G217" s="10">
        <v>13.71</v>
      </c>
      <c r="H217" s="10">
        <v>14.92</v>
      </c>
      <c r="I217" s="10">
        <v>73.53</v>
      </c>
      <c r="J217" s="10">
        <v>402</v>
      </c>
      <c r="K217" s="10">
        <v>9.0590000000000004E-2</v>
      </c>
      <c r="L217" s="10">
        <v>8.1549999999999997E-2</v>
      </c>
      <c r="M217" s="10">
        <v>6.1809999999999997E-2</v>
      </c>
      <c r="N217" s="10">
        <v>2.3609999999999999E-2</v>
      </c>
      <c r="O217" s="10">
        <v>0.1167</v>
      </c>
      <c r="P217" s="10">
        <v>6.2170000000000003E-2</v>
      </c>
      <c r="Q217" s="10">
        <v>0.33439999999999998</v>
      </c>
      <c r="R217" s="10">
        <v>1.1080000000000001</v>
      </c>
      <c r="S217" s="10">
        <v>1.9019999999999999</v>
      </c>
      <c r="T217" s="10">
        <v>22.77</v>
      </c>
      <c r="U217" s="10">
        <v>7.3559999999999997E-3</v>
      </c>
      <c r="V217" s="10">
        <v>3.7280000000000001E-2</v>
      </c>
      <c r="W217" s="10">
        <v>5.9150000000000001E-2</v>
      </c>
      <c r="X217" s="10">
        <v>1.712E-2</v>
      </c>
      <c r="Y217" s="10">
        <v>2.1649999999999999E-2</v>
      </c>
      <c r="Z217" s="10">
        <v>4.7840000000000001E-3</v>
      </c>
      <c r="AA217" s="10">
        <v>12.37</v>
      </c>
      <c r="AB217" s="10">
        <v>17.7</v>
      </c>
      <c r="AC217" s="10">
        <v>79.12</v>
      </c>
      <c r="AD217" s="10">
        <v>467.2</v>
      </c>
      <c r="AE217" s="10">
        <v>0.11210000000000001</v>
      </c>
      <c r="AF217" s="10">
        <v>0.161</v>
      </c>
      <c r="AG217" s="10">
        <v>0.1648</v>
      </c>
      <c r="AH217" s="10">
        <v>6.2960000000000002E-2</v>
      </c>
      <c r="AI217" s="10">
        <v>0.18110000000000001</v>
      </c>
      <c r="AJ217">
        <v>7.4270000000000003E-2</v>
      </c>
    </row>
    <row r="218" spans="3:36">
      <c r="C218" s="11" t="s">
        <v>324</v>
      </c>
      <c r="D218" s="10">
        <v>185</v>
      </c>
      <c r="E218" s="10">
        <v>873885</v>
      </c>
      <c r="F218" s="10" t="s">
        <v>0</v>
      </c>
      <c r="G218" s="10">
        <v>13.71</v>
      </c>
      <c r="H218" s="10">
        <v>22.41</v>
      </c>
      <c r="I218" s="10">
        <v>98.92</v>
      </c>
      <c r="J218" s="10">
        <v>710.6</v>
      </c>
      <c r="K218" s="10">
        <v>9.0569999999999998E-2</v>
      </c>
      <c r="L218" s="10">
        <v>0.1052</v>
      </c>
      <c r="M218" s="10">
        <v>5.3749999999999999E-2</v>
      </c>
      <c r="N218" s="10">
        <v>3.2629999999999999E-2</v>
      </c>
      <c r="O218" s="10">
        <v>0.17269999999999999</v>
      </c>
      <c r="P218" s="10">
        <v>6.3170000000000004E-2</v>
      </c>
      <c r="Q218" s="10">
        <v>0.2054</v>
      </c>
      <c r="R218" s="10">
        <v>0.49559999999999998</v>
      </c>
      <c r="S218" s="10">
        <v>1.3440000000000001</v>
      </c>
      <c r="T218" s="10">
        <v>19.53</v>
      </c>
      <c r="U218" s="10">
        <v>3.29E-3</v>
      </c>
      <c r="V218" s="10">
        <v>1.3950000000000001E-2</v>
      </c>
      <c r="W218" s="10">
        <v>1.7739999999999999E-2</v>
      </c>
      <c r="X218" s="10">
        <v>6.0089999999999996E-3</v>
      </c>
      <c r="Y218" s="10">
        <v>1.172E-2</v>
      </c>
      <c r="Z218" s="10">
        <v>2.575E-3</v>
      </c>
      <c r="AA218" s="10">
        <v>17.8</v>
      </c>
      <c r="AB218" s="10">
        <v>28.03</v>
      </c>
      <c r="AC218" s="10">
        <v>113.8</v>
      </c>
      <c r="AD218" s="10">
        <v>973.1</v>
      </c>
      <c r="AE218" s="10">
        <v>0.13009999999999999</v>
      </c>
      <c r="AF218" s="10">
        <v>0.32990000000000003</v>
      </c>
      <c r="AG218" s="10">
        <v>0.36299999999999999</v>
      </c>
      <c r="AH218" s="10">
        <v>0.1226</v>
      </c>
      <c r="AI218" s="10">
        <v>0.3175</v>
      </c>
      <c r="AJ218">
        <v>9.7720000000000001E-2</v>
      </c>
    </row>
    <row r="219" spans="3:36">
      <c r="C219" s="11" t="s">
        <v>325</v>
      </c>
      <c r="D219" s="10">
        <v>186</v>
      </c>
      <c r="E219" s="10">
        <v>874158</v>
      </c>
      <c r="F219" s="10" t="s">
        <v>1</v>
      </c>
      <c r="G219" s="10">
        <v>13.71</v>
      </c>
      <c r="H219" s="10">
        <v>15.11</v>
      </c>
      <c r="I219" s="10">
        <v>63.76</v>
      </c>
      <c r="J219" s="10">
        <v>317.5</v>
      </c>
      <c r="K219" s="10">
        <v>9.2670000000000002E-2</v>
      </c>
      <c r="L219" s="10">
        <v>4.6949999999999999E-2</v>
      </c>
      <c r="M219" s="10">
        <v>1.5969999999999999E-3</v>
      </c>
      <c r="N219" s="10">
        <v>2.4039999999999999E-3</v>
      </c>
      <c r="O219" s="10">
        <v>0.17030000000000001</v>
      </c>
      <c r="P219" s="10">
        <v>6.0479999999999999E-2</v>
      </c>
      <c r="Q219" s="10">
        <v>0.42449999999999999</v>
      </c>
      <c r="R219" s="10">
        <v>1.268</v>
      </c>
      <c r="S219" s="10">
        <v>2.68</v>
      </c>
      <c r="T219" s="10">
        <v>26.43</v>
      </c>
      <c r="U219" s="10">
        <v>1.439E-2</v>
      </c>
      <c r="V219" s="10">
        <v>1.2E-2</v>
      </c>
      <c r="W219" s="10">
        <v>1.5969999999999999E-3</v>
      </c>
      <c r="X219" s="10">
        <v>2.4039999999999999E-3</v>
      </c>
      <c r="Y219" s="10">
        <v>2.538E-2</v>
      </c>
      <c r="Z219" s="10">
        <v>3.47E-3</v>
      </c>
      <c r="AA219" s="10">
        <v>11.87</v>
      </c>
      <c r="AB219" s="10">
        <v>21.18</v>
      </c>
      <c r="AC219" s="10">
        <v>75.39</v>
      </c>
      <c r="AD219" s="10">
        <v>437</v>
      </c>
      <c r="AE219" s="10">
        <v>0.15210000000000001</v>
      </c>
      <c r="AF219" s="10">
        <v>0.1019</v>
      </c>
      <c r="AG219" s="10">
        <v>6.9199999999999999E-3</v>
      </c>
      <c r="AH219" s="10">
        <v>1.042E-2</v>
      </c>
      <c r="AI219" s="10">
        <v>0.29330000000000001</v>
      </c>
      <c r="AJ219">
        <v>7.6969999999999997E-2</v>
      </c>
    </row>
    <row r="220" spans="3:36">
      <c r="C220" s="11" t="s">
        <v>326</v>
      </c>
      <c r="D220" s="10">
        <v>187</v>
      </c>
      <c r="E220" s="10">
        <v>874217</v>
      </c>
      <c r="F220" s="10" t="s">
        <v>0</v>
      </c>
      <c r="G220" s="10">
        <v>13.71</v>
      </c>
      <c r="H220" s="10">
        <v>18.579999999999998</v>
      </c>
      <c r="I220" s="10">
        <v>118.6</v>
      </c>
      <c r="J220" s="10">
        <v>1041</v>
      </c>
      <c r="K220" s="10">
        <v>8.5879999999999998E-2</v>
      </c>
      <c r="L220" s="10">
        <v>8.4680000000000005E-2</v>
      </c>
      <c r="M220" s="10">
        <v>8.1689999999999999E-2</v>
      </c>
      <c r="N220" s="10">
        <v>5.8139999999999997E-2</v>
      </c>
      <c r="O220" s="10">
        <v>0.16209999999999999</v>
      </c>
      <c r="P220" s="10">
        <v>5.425E-2</v>
      </c>
      <c r="Q220" s="10">
        <v>0.25769999999999998</v>
      </c>
      <c r="R220" s="10">
        <v>0.47570000000000001</v>
      </c>
      <c r="S220" s="10">
        <v>1.8169999999999999</v>
      </c>
      <c r="T220" s="10">
        <v>28.92</v>
      </c>
      <c r="U220" s="10">
        <v>2.8660000000000001E-3</v>
      </c>
      <c r="V220" s="10">
        <v>9.1809999999999999E-3</v>
      </c>
      <c r="W220" s="10">
        <v>1.4120000000000001E-2</v>
      </c>
      <c r="X220" s="10">
        <v>6.7190000000000001E-3</v>
      </c>
      <c r="Y220" s="10">
        <v>1.069E-2</v>
      </c>
      <c r="Z220" s="10">
        <v>1.0870000000000001E-3</v>
      </c>
      <c r="AA220" s="10">
        <v>21.31</v>
      </c>
      <c r="AB220" s="10">
        <v>26.36</v>
      </c>
      <c r="AC220" s="10">
        <v>139.19999999999999</v>
      </c>
      <c r="AD220" s="10">
        <v>1410</v>
      </c>
      <c r="AE220" s="10">
        <v>0.1234</v>
      </c>
      <c r="AF220" s="10">
        <v>0.2445</v>
      </c>
      <c r="AG220" s="10">
        <v>0.3538</v>
      </c>
      <c r="AH220" s="10">
        <v>0.15709999999999999</v>
      </c>
      <c r="AI220" s="10">
        <v>0.3206</v>
      </c>
      <c r="AJ220">
        <v>6.9379999999999997E-2</v>
      </c>
    </row>
    <row r="221" spans="3:36">
      <c r="C221" s="11" t="s">
        <v>327</v>
      </c>
      <c r="D221" s="10">
        <v>188</v>
      </c>
      <c r="E221" s="10">
        <v>874373</v>
      </c>
      <c r="F221" s="10" t="s">
        <v>1</v>
      </c>
      <c r="G221" s="10">
        <v>13.71</v>
      </c>
      <c r="H221" s="10">
        <v>17.190000000000001</v>
      </c>
      <c r="I221" s="10">
        <v>74.680000000000007</v>
      </c>
      <c r="J221" s="10">
        <v>420.3</v>
      </c>
      <c r="K221" s="10">
        <v>9.7739999999999994E-2</v>
      </c>
      <c r="L221" s="10">
        <v>6.1409999999999999E-2</v>
      </c>
      <c r="M221" s="10">
        <v>3.8089999999999999E-2</v>
      </c>
      <c r="N221" s="10">
        <v>3.2390000000000002E-2</v>
      </c>
      <c r="O221" s="10">
        <v>0.15160000000000001</v>
      </c>
      <c r="P221" s="10">
        <v>6.0949999999999997E-2</v>
      </c>
      <c r="Q221" s="10">
        <v>0.24510000000000001</v>
      </c>
      <c r="R221" s="10">
        <v>0.76549999999999996</v>
      </c>
      <c r="S221" s="10">
        <v>1.742</v>
      </c>
      <c r="T221" s="10">
        <v>17.86</v>
      </c>
      <c r="U221" s="10">
        <v>6.9049999999999997E-3</v>
      </c>
      <c r="V221" s="10">
        <v>8.7039999999999999E-3</v>
      </c>
      <c r="W221" s="10">
        <v>1.9779999999999999E-2</v>
      </c>
      <c r="X221" s="10">
        <v>1.1849999999999999E-2</v>
      </c>
      <c r="Y221" s="10">
        <v>1.8970000000000001E-2</v>
      </c>
      <c r="Z221" s="10">
        <v>1.671E-3</v>
      </c>
      <c r="AA221" s="10">
        <v>13.01</v>
      </c>
      <c r="AB221" s="10">
        <v>21.39</v>
      </c>
      <c r="AC221" s="10">
        <v>84.42</v>
      </c>
      <c r="AD221" s="10">
        <v>521.5</v>
      </c>
      <c r="AE221" s="10">
        <v>0.1323</v>
      </c>
      <c r="AF221" s="10">
        <v>0.104</v>
      </c>
      <c r="AG221" s="10">
        <v>0.15210000000000001</v>
      </c>
      <c r="AH221" s="10">
        <v>0.1099</v>
      </c>
      <c r="AI221" s="10">
        <v>0.25719999999999998</v>
      </c>
      <c r="AJ221">
        <v>7.0970000000000005E-2</v>
      </c>
    </row>
    <row r="222" spans="3:36">
      <c r="C222" s="11" t="s">
        <v>328</v>
      </c>
      <c r="D222" s="10">
        <v>189</v>
      </c>
      <c r="E222" s="10">
        <v>874662</v>
      </c>
      <c r="F222" s="10" t="s">
        <v>1</v>
      </c>
      <c r="G222" s="10">
        <v>13.71</v>
      </c>
      <c r="H222" s="10">
        <v>17.39</v>
      </c>
      <c r="I222" s="10">
        <v>75.27</v>
      </c>
      <c r="J222" s="10">
        <v>428.9</v>
      </c>
      <c r="K222" s="10">
        <v>0.1007</v>
      </c>
      <c r="L222" s="10">
        <v>5.5620000000000003E-2</v>
      </c>
      <c r="M222" s="10">
        <v>2.3529999999999999E-2</v>
      </c>
      <c r="N222" s="10">
        <v>1.553E-2</v>
      </c>
      <c r="O222" s="10">
        <v>0.17180000000000001</v>
      </c>
      <c r="P222" s="10">
        <v>5.7799999999999997E-2</v>
      </c>
      <c r="Q222" s="10">
        <v>0.18590000000000001</v>
      </c>
      <c r="R222" s="10">
        <v>1.9259999999999999</v>
      </c>
      <c r="S222" s="10">
        <v>1.0109999999999999</v>
      </c>
      <c r="T222" s="10">
        <v>14.47</v>
      </c>
      <c r="U222" s="10">
        <v>7.8309999999999994E-3</v>
      </c>
      <c r="V222" s="10">
        <v>8.7760000000000008E-3</v>
      </c>
      <c r="W222" s="10">
        <v>1.5559999999999999E-2</v>
      </c>
      <c r="X222" s="10">
        <v>6.2399999999999999E-3</v>
      </c>
      <c r="Y222" s="10">
        <v>3.1390000000000001E-2</v>
      </c>
      <c r="Z222" s="10">
        <v>1.9880000000000002E-3</v>
      </c>
      <c r="AA222" s="10">
        <v>12.57</v>
      </c>
      <c r="AB222" s="10">
        <v>26.48</v>
      </c>
      <c r="AC222" s="10">
        <v>79.569999999999993</v>
      </c>
      <c r="AD222" s="10">
        <v>489.5</v>
      </c>
      <c r="AE222" s="10">
        <v>0.1356</v>
      </c>
      <c r="AF222" s="10">
        <v>0.1</v>
      </c>
      <c r="AG222" s="10">
        <v>8.8029999999999997E-2</v>
      </c>
      <c r="AH222" s="10">
        <v>4.3060000000000001E-2</v>
      </c>
      <c r="AI222" s="10">
        <v>0.32</v>
      </c>
      <c r="AJ222">
        <v>6.5759999999999999E-2</v>
      </c>
    </row>
    <row r="223" spans="3:36">
      <c r="C223" s="11" t="s">
        <v>329</v>
      </c>
      <c r="D223" s="10">
        <v>190</v>
      </c>
      <c r="E223" s="10">
        <v>874839</v>
      </c>
      <c r="F223" s="10" t="s">
        <v>1</v>
      </c>
      <c r="G223" s="10">
        <v>13.71</v>
      </c>
      <c r="H223" s="10">
        <v>15.9</v>
      </c>
      <c r="I223" s="10">
        <v>78.83</v>
      </c>
      <c r="J223" s="10">
        <v>463.7</v>
      </c>
      <c r="K223" s="10">
        <v>8.0799999999999997E-2</v>
      </c>
      <c r="L223" s="10">
        <v>7.2529999999999997E-2</v>
      </c>
      <c r="M223" s="10">
        <v>3.8440000000000002E-2</v>
      </c>
      <c r="N223" s="10">
        <v>1.6539999999999999E-2</v>
      </c>
      <c r="O223" s="10">
        <v>0.16669999999999999</v>
      </c>
      <c r="P223" s="10">
        <v>5.4739999999999997E-2</v>
      </c>
      <c r="Q223" s="10">
        <v>0.2382</v>
      </c>
      <c r="R223" s="10">
        <v>0.83550000000000002</v>
      </c>
      <c r="S223" s="10">
        <v>1.6870000000000001</v>
      </c>
      <c r="T223" s="10">
        <v>18.32</v>
      </c>
      <c r="U223" s="10">
        <v>5.9959999999999996E-3</v>
      </c>
      <c r="V223" s="10">
        <v>2.2120000000000001E-2</v>
      </c>
      <c r="W223" s="10">
        <v>2.1170000000000001E-2</v>
      </c>
      <c r="X223" s="10">
        <v>6.4330000000000003E-3</v>
      </c>
      <c r="Y223" s="10">
        <v>2.0250000000000001E-2</v>
      </c>
      <c r="Z223" s="10">
        <v>1.725E-3</v>
      </c>
      <c r="AA223" s="10">
        <v>13.35</v>
      </c>
      <c r="AB223" s="10">
        <v>19.59</v>
      </c>
      <c r="AC223" s="10">
        <v>86.65</v>
      </c>
      <c r="AD223" s="10">
        <v>546.70000000000005</v>
      </c>
      <c r="AE223" s="10">
        <v>0.1096</v>
      </c>
      <c r="AF223" s="10">
        <v>0.16500000000000001</v>
      </c>
      <c r="AG223" s="10">
        <v>0.14230000000000001</v>
      </c>
      <c r="AH223" s="10">
        <v>4.8149999999999998E-2</v>
      </c>
      <c r="AI223" s="10">
        <v>0.2482</v>
      </c>
      <c r="AJ223">
        <v>6.3060000000000005E-2</v>
      </c>
    </row>
    <row r="224" spans="3:36">
      <c r="C224" s="11" t="s">
        <v>330</v>
      </c>
      <c r="D224" s="10">
        <v>191</v>
      </c>
      <c r="E224" s="10">
        <v>874858</v>
      </c>
      <c r="F224" s="10" t="s">
        <v>0</v>
      </c>
      <c r="G224" s="10">
        <v>13.71</v>
      </c>
      <c r="H224" s="10">
        <v>23.12</v>
      </c>
      <c r="I224" s="10">
        <v>94.37</v>
      </c>
      <c r="J224" s="10">
        <v>609.9</v>
      </c>
      <c r="K224" s="10">
        <v>0.1075</v>
      </c>
      <c r="L224" s="10">
        <v>0.24129999999999999</v>
      </c>
      <c r="M224" s="10">
        <v>0.1981</v>
      </c>
      <c r="N224" s="10">
        <v>6.6180000000000003E-2</v>
      </c>
      <c r="O224" s="10">
        <v>0.2384</v>
      </c>
      <c r="P224" s="10">
        <v>7.5420000000000001E-2</v>
      </c>
      <c r="Q224" s="10">
        <v>0.28599999999999998</v>
      </c>
      <c r="R224" s="10">
        <v>2.11</v>
      </c>
      <c r="S224" s="10">
        <v>2.1120000000000001</v>
      </c>
      <c r="T224" s="10">
        <v>31.72</v>
      </c>
      <c r="U224" s="10">
        <v>7.9699999999999997E-3</v>
      </c>
      <c r="V224" s="10">
        <v>0.13539999999999999</v>
      </c>
      <c r="W224" s="10">
        <v>0.1166</v>
      </c>
      <c r="X224" s="10">
        <v>1.6660000000000001E-2</v>
      </c>
      <c r="Y224" s="10">
        <v>5.1130000000000002E-2</v>
      </c>
      <c r="Z224" s="10">
        <v>1.172E-2</v>
      </c>
      <c r="AA224" s="10">
        <v>15.74</v>
      </c>
      <c r="AB224" s="10">
        <v>37.18</v>
      </c>
      <c r="AC224" s="10">
        <v>106.4</v>
      </c>
      <c r="AD224" s="10">
        <v>762.4</v>
      </c>
      <c r="AE224" s="10">
        <v>0.15329999999999999</v>
      </c>
      <c r="AF224" s="10">
        <v>0.93269999999999997</v>
      </c>
      <c r="AG224" s="10">
        <v>0.8488</v>
      </c>
      <c r="AH224" s="10">
        <v>0.1772</v>
      </c>
      <c r="AI224" s="10">
        <v>0.51659999999999995</v>
      </c>
      <c r="AJ224">
        <v>0.14460000000000001</v>
      </c>
    </row>
    <row r="225" spans="3:36">
      <c r="C225" s="11" t="s">
        <v>331</v>
      </c>
      <c r="D225" s="10">
        <v>192</v>
      </c>
      <c r="E225" s="10">
        <v>875093</v>
      </c>
      <c r="F225" s="10" t="s">
        <v>1</v>
      </c>
      <c r="G225" s="10">
        <v>13.71</v>
      </c>
      <c r="H225" s="10">
        <v>21.41</v>
      </c>
      <c r="I225" s="10">
        <v>82.02</v>
      </c>
      <c r="J225" s="10">
        <v>507.4</v>
      </c>
      <c r="K225" s="10">
        <v>8.7489999999999998E-2</v>
      </c>
      <c r="L225" s="10">
        <v>6.6009999999999999E-2</v>
      </c>
      <c r="M225" s="10">
        <v>3.1119999999999998E-2</v>
      </c>
      <c r="N225" s="10">
        <v>2.8639999999999999E-2</v>
      </c>
      <c r="O225" s="10">
        <v>0.1694</v>
      </c>
      <c r="P225" s="10">
        <v>6.2869999999999995E-2</v>
      </c>
      <c r="Q225" s="10">
        <v>0.73109999999999997</v>
      </c>
      <c r="R225" s="10">
        <v>1.748</v>
      </c>
      <c r="S225" s="10">
        <v>5.1180000000000003</v>
      </c>
      <c r="T225" s="10">
        <v>53.65</v>
      </c>
      <c r="U225" s="10">
        <v>4.5710000000000004E-3</v>
      </c>
      <c r="V225" s="10">
        <v>1.7899999999999999E-2</v>
      </c>
      <c r="W225" s="10">
        <v>2.1760000000000002E-2</v>
      </c>
      <c r="X225" s="10">
        <v>1.7569999999999999E-2</v>
      </c>
      <c r="Y225" s="10">
        <v>3.3730000000000003E-2</v>
      </c>
      <c r="Z225" s="10">
        <v>5.875E-3</v>
      </c>
      <c r="AA225" s="10">
        <v>13.75</v>
      </c>
      <c r="AB225" s="10">
        <v>23.5</v>
      </c>
      <c r="AC225" s="10">
        <v>89.04</v>
      </c>
      <c r="AD225" s="10">
        <v>579.5</v>
      </c>
      <c r="AE225" s="10">
        <v>9.3880000000000005E-2</v>
      </c>
      <c r="AF225" s="10">
        <v>8.9779999999999999E-2</v>
      </c>
      <c r="AG225" s="10">
        <v>5.1860000000000003E-2</v>
      </c>
      <c r="AH225" s="10">
        <v>4.7730000000000002E-2</v>
      </c>
      <c r="AI225" s="10">
        <v>0.21790000000000001</v>
      </c>
      <c r="AJ225">
        <v>6.8709999999999993E-2</v>
      </c>
    </row>
    <row r="226" spans="3:36">
      <c r="C226" s="11" t="s">
        <v>332</v>
      </c>
      <c r="D226" s="10">
        <v>193</v>
      </c>
      <c r="E226" s="10">
        <v>875099</v>
      </c>
      <c r="F226" s="10" t="s">
        <v>1</v>
      </c>
      <c r="G226" s="10">
        <v>13.71</v>
      </c>
      <c r="H226" s="10">
        <v>18.22</v>
      </c>
      <c r="I226" s="10">
        <v>60.73</v>
      </c>
      <c r="J226" s="10">
        <v>288.10000000000002</v>
      </c>
      <c r="K226" s="10">
        <v>6.9500000000000006E-2</v>
      </c>
      <c r="L226" s="10">
        <v>2.3439999999999999E-2</v>
      </c>
      <c r="M226" s="10">
        <v>0</v>
      </c>
      <c r="N226" s="10">
        <v>0</v>
      </c>
      <c r="O226" s="10">
        <v>0.1653</v>
      </c>
      <c r="P226" s="10">
        <v>6.447E-2</v>
      </c>
      <c r="Q226" s="10">
        <v>0.35389999999999999</v>
      </c>
      <c r="R226" s="10">
        <v>4.8849999999999998</v>
      </c>
      <c r="S226" s="10">
        <v>2.23</v>
      </c>
      <c r="T226" s="10">
        <v>21.69</v>
      </c>
      <c r="U226" s="10">
        <v>1.7129999999999999E-3</v>
      </c>
      <c r="V226" s="10">
        <v>6.7359999999999998E-3</v>
      </c>
      <c r="W226" s="10">
        <v>0</v>
      </c>
      <c r="X226" s="10">
        <v>0</v>
      </c>
      <c r="Y226" s="10">
        <v>3.7990000000000003E-2</v>
      </c>
      <c r="Z226" s="10">
        <v>1.688E-3</v>
      </c>
      <c r="AA226" s="10">
        <v>9.968</v>
      </c>
      <c r="AB226" s="10">
        <v>20.83</v>
      </c>
      <c r="AC226" s="10">
        <v>62.25</v>
      </c>
      <c r="AD226" s="10">
        <v>303.8</v>
      </c>
      <c r="AE226" s="10">
        <v>7.1169999999999997E-2</v>
      </c>
      <c r="AF226" s="10">
        <v>2.7289999999999998E-2</v>
      </c>
      <c r="AG226" s="10">
        <v>0</v>
      </c>
      <c r="AH226" s="10">
        <v>0</v>
      </c>
      <c r="AI226" s="10">
        <v>0.19089999999999999</v>
      </c>
      <c r="AJ226">
        <v>6.5589999999999996E-2</v>
      </c>
    </row>
    <row r="227" spans="3:36">
      <c r="C227" s="11" t="s">
        <v>333</v>
      </c>
      <c r="D227" s="10">
        <v>194</v>
      </c>
      <c r="E227" s="10">
        <v>875263</v>
      </c>
      <c r="F227" s="10" t="s">
        <v>0</v>
      </c>
      <c r="G227" s="10">
        <v>13.71</v>
      </c>
      <c r="H227" s="10">
        <v>26.86</v>
      </c>
      <c r="I227" s="10">
        <v>81.150000000000006</v>
      </c>
      <c r="J227" s="10">
        <v>477.4</v>
      </c>
      <c r="K227" s="10">
        <v>0.10340000000000001</v>
      </c>
      <c r="L227" s="10">
        <v>0.1353</v>
      </c>
      <c r="M227" s="10">
        <v>0.1085</v>
      </c>
      <c r="N227" s="10">
        <v>4.5620000000000001E-2</v>
      </c>
      <c r="O227" s="10">
        <v>0.1943</v>
      </c>
      <c r="P227" s="10">
        <v>6.9370000000000001E-2</v>
      </c>
      <c r="Q227" s="10">
        <v>0.40529999999999999</v>
      </c>
      <c r="R227" s="10">
        <v>1.8089999999999999</v>
      </c>
      <c r="S227" s="10">
        <v>2.6419999999999999</v>
      </c>
      <c r="T227" s="10">
        <v>34.44</v>
      </c>
      <c r="U227" s="10">
        <v>9.0980000000000002E-3</v>
      </c>
      <c r="V227" s="10">
        <v>3.8449999999999998E-2</v>
      </c>
      <c r="W227" s="10">
        <v>3.7629999999999997E-2</v>
      </c>
      <c r="X227" s="10">
        <v>1.321E-2</v>
      </c>
      <c r="Y227" s="10">
        <v>1.8780000000000002E-2</v>
      </c>
      <c r="Z227" s="10">
        <v>5.672E-3</v>
      </c>
      <c r="AA227" s="10">
        <v>15.65</v>
      </c>
      <c r="AB227" s="10">
        <v>39.340000000000003</v>
      </c>
      <c r="AC227" s="10">
        <v>101.7</v>
      </c>
      <c r="AD227" s="10">
        <v>768.9</v>
      </c>
      <c r="AE227" s="10">
        <v>0.17849999999999999</v>
      </c>
      <c r="AF227" s="10">
        <v>0.47060000000000002</v>
      </c>
      <c r="AG227" s="10">
        <v>0.4425</v>
      </c>
      <c r="AH227" s="10">
        <v>0.1459</v>
      </c>
      <c r="AI227" s="10">
        <v>0.32150000000000001</v>
      </c>
      <c r="AJ227">
        <v>0.1205</v>
      </c>
    </row>
    <row r="228" spans="3:36">
      <c r="C228" s="11" t="s">
        <v>334</v>
      </c>
      <c r="D228" s="10">
        <v>195</v>
      </c>
      <c r="E228" s="10">
        <v>87556202</v>
      </c>
      <c r="F228" s="10" t="s">
        <v>0</v>
      </c>
      <c r="G228" s="10">
        <v>13.71</v>
      </c>
      <c r="H228" s="10">
        <v>23.21</v>
      </c>
      <c r="I228" s="10">
        <v>100.4</v>
      </c>
      <c r="J228" s="10">
        <v>671.4</v>
      </c>
      <c r="K228" s="10">
        <v>0.10440000000000001</v>
      </c>
      <c r="L228" s="10">
        <v>0.19800000000000001</v>
      </c>
      <c r="M228" s="10">
        <v>0.16969999999999999</v>
      </c>
      <c r="N228" s="10">
        <v>8.8779999999999998E-2</v>
      </c>
      <c r="O228" s="10">
        <v>0.17369999999999999</v>
      </c>
      <c r="P228" s="10">
        <v>6.6720000000000002E-2</v>
      </c>
      <c r="Q228" s="10">
        <v>0.27960000000000002</v>
      </c>
      <c r="R228" s="10">
        <v>0.96220000000000006</v>
      </c>
      <c r="S228" s="10">
        <v>3.5910000000000002</v>
      </c>
      <c r="T228" s="10">
        <v>25.2</v>
      </c>
      <c r="U228" s="10">
        <v>8.0809999999999996E-3</v>
      </c>
      <c r="V228" s="10">
        <v>5.1220000000000002E-2</v>
      </c>
      <c r="W228" s="10">
        <v>5.5509999999999997E-2</v>
      </c>
      <c r="X228" s="10">
        <v>1.883E-2</v>
      </c>
      <c r="Y228" s="10">
        <v>2.545E-2</v>
      </c>
      <c r="Z228" s="10">
        <v>4.3119999999999999E-3</v>
      </c>
      <c r="AA228" s="10">
        <v>16.079999999999998</v>
      </c>
      <c r="AB228" s="10">
        <v>27.78</v>
      </c>
      <c r="AC228" s="10">
        <v>118.6</v>
      </c>
      <c r="AD228" s="10">
        <v>784.7</v>
      </c>
      <c r="AE228" s="10">
        <v>0.13159999999999999</v>
      </c>
      <c r="AF228" s="10">
        <v>0.46479999999999999</v>
      </c>
      <c r="AG228" s="10">
        <v>0.45889999999999997</v>
      </c>
      <c r="AH228" s="10">
        <v>0.17269999999999999</v>
      </c>
      <c r="AI228" s="10">
        <v>0.3</v>
      </c>
      <c r="AJ228">
        <v>8.7010000000000004E-2</v>
      </c>
    </row>
    <row r="229" spans="3:36">
      <c r="C229" s="11" t="s">
        <v>335</v>
      </c>
      <c r="D229" s="10">
        <v>196</v>
      </c>
      <c r="E229" s="10">
        <v>875878</v>
      </c>
      <c r="F229" s="10" t="s">
        <v>1</v>
      </c>
      <c r="G229" s="10">
        <v>13.71</v>
      </c>
      <c r="H229" s="10">
        <v>16.329999999999998</v>
      </c>
      <c r="I229" s="10">
        <v>82.53</v>
      </c>
      <c r="J229" s="10">
        <v>516.4</v>
      </c>
      <c r="K229" s="10">
        <v>7.9409999999999994E-2</v>
      </c>
      <c r="L229" s="10">
        <v>5.3659999999999999E-2</v>
      </c>
      <c r="M229" s="10">
        <v>3.8730000000000001E-2</v>
      </c>
      <c r="N229" s="10">
        <v>2.3769999999999999E-2</v>
      </c>
      <c r="O229" s="10">
        <v>0.18290000000000001</v>
      </c>
      <c r="P229" s="10">
        <v>5.6669999999999998E-2</v>
      </c>
      <c r="Q229" s="10">
        <v>0.19420000000000001</v>
      </c>
      <c r="R229" s="10">
        <v>0.90859999999999996</v>
      </c>
      <c r="S229" s="10">
        <v>1.4930000000000001</v>
      </c>
      <c r="T229" s="10">
        <v>15.75</v>
      </c>
      <c r="U229" s="10">
        <v>5.2979999999999998E-3</v>
      </c>
      <c r="V229" s="10">
        <v>1.5869999999999999E-2</v>
      </c>
      <c r="W229" s="10">
        <v>2.3210000000000001E-2</v>
      </c>
      <c r="X229" s="10">
        <v>8.4200000000000004E-3</v>
      </c>
      <c r="Y229" s="10">
        <v>1.8530000000000001E-2</v>
      </c>
      <c r="Z229" s="10">
        <v>2.1519999999999998E-3</v>
      </c>
      <c r="AA229" s="10">
        <v>13.88</v>
      </c>
      <c r="AB229" s="10">
        <v>22</v>
      </c>
      <c r="AC229" s="10">
        <v>90.81</v>
      </c>
      <c r="AD229" s="10">
        <v>600.6</v>
      </c>
      <c r="AE229" s="10">
        <v>0.10970000000000001</v>
      </c>
      <c r="AF229" s="10">
        <v>0.15060000000000001</v>
      </c>
      <c r="AG229" s="10">
        <v>0.1764</v>
      </c>
      <c r="AH229" s="10">
        <v>8.2350000000000007E-2</v>
      </c>
      <c r="AI229" s="10">
        <v>0.3024</v>
      </c>
      <c r="AJ229">
        <v>6.9489999999999996E-2</v>
      </c>
    </row>
    <row r="230" spans="3:36">
      <c r="C230" s="11" t="s">
        <v>336</v>
      </c>
      <c r="D230" s="10">
        <v>197</v>
      </c>
      <c r="E230" s="10">
        <v>875938</v>
      </c>
      <c r="F230" s="10" t="s">
        <v>0</v>
      </c>
      <c r="G230" s="10">
        <v>13.71</v>
      </c>
      <c r="H230" s="10">
        <v>22.29</v>
      </c>
      <c r="I230" s="10">
        <v>90.63</v>
      </c>
      <c r="J230" s="10">
        <v>588.9</v>
      </c>
      <c r="K230" s="10">
        <v>0.12</v>
      </c>
      <c r="L230" s="10">
        <v>0.12670000000000001</v>
      </c>
      <c r="M230" s="10">
        <v>0.13850000000000001</v>
      </c>
      <c r="N230" s="10">
        <v>6.5259999999999999E-2</v>
      </c>
      <c r="O230" s="10">
        <v>0.18340000000000001</v>
      </c>
      <c r="P230" s="10">
        <v>6.8769999999999998E-2</v>
      </c>
      <c r="Q230" s="10">
        <v>0.61909999999999998</v>
      </c>
      <c r="R230" s="10">
        <v>2.1120000000000001</v>
      </c>
      <c r="S230" s="10">
        <v>4.9059999999999997</v>
      </c>
      <c r="T230" s="10">
        <v>49.7</v>
      </c>
      <c r="U230" s="10">
        <v>1.38E-2</v>
      </c>
      <c r="V230" s="10">
        <v>3.3480000000000003E-2</v>
      </c>
      <c r="W230" s="10">
        <v>4.6649999999999997E-2</v>
      </c>
      <c r="X230" s="10">
        <v>2.06E-2</v>
      </c>
      <c r="Y230" s="10">
        <v>2.6890000000000001E-2</v>
      </c>
      <c r="Z230" s="10">
        <v>4.3059999999999999E-3</v>
      </c>
      <c r="AA230" s="10">
        <v>16.39</v>
      </c>
      <c r="AB230" s="10">
        <v>34.01</v>
      </c>
      <c r="AC230" s="10">
        <v>111.6</v>
      </c>
      <c r="AD230" s="10">
        <v>806.9</v>
      </c>
      <c r="AE230" s="10">
        <v>0.17369999999999999</v>
      </c>
      <c r="AF230" s="10">
        <v>0.31219999999999998</v>
      </c>
      <c r="AG230" s="10">
        <v>0.38090000000000002</v>
      </c>
      <c r="AH230" s="10">
        <v>0.1673</v>
      </c>
      <c r="AI230" s="10">
        <v>0.308</v>
      </c>
      <c r="AJ230">
        <v>9.3329999999999996E-2</v>
      </c>
    </row>
    <row r="231" spans="3:36">
      <c r="C231" s="11" t="s">
        <v>337</v>
      </c>
      <c r="D231" s="10">
        <v>198</v>
      </c>
      <c r="E231" s="10">
        <v>877159</v>
      </c>
      <c r="F231" s="10" t="s">
        <v>0</v>
      </c>
      <c r="G231" s="10">
        <v>13.71</v>
      </c>
      <c r="H231" s="10">
        <v>21.84</v>
      </c>
      <c r="I231" s="10">
        <v>117.4</v>
      </c>
      <c r="J231" s="10">
        <v>1024</v>
      </c>
      <c r="K231" s="10">
        <v>7.3709999999999998E-2</v>
      </c>
      <c r="L231" s="10">
        <v>8.6419999999999997E-2</v>
      </c>
      <c r="M231" s="10">
        <v>0.1103</v>
      </c>
      <c r="N231" s="10">
        <v>5.7779999999999998E-2</v>
      </c>
      <c r="O231" s="10">
        <v>0.17699999999999999</v>
      </c>
      <c r="P231" s="10">
        <v>5.3400000000000003E-2</v>
      </c>
      <c r="Q231" s="10">
        <v>0.63619999999999999</v>
      </c>
      <c r="R231" s="10">
        <v>1.3049999999999999</v>
      </c>
      <c r="S231" s="10">
        <v>4.3120000000000003</v>
      </c>
      <c r="T231" s="10">
        <v>76.36</v>
      </c>
      <c r="U231" s="10">
        <v>5.5300000000000002E-3</v>
      </c>
      <c r="V231" s="10">
        <v>5.296E-2</v>
      </c>
      <c r="W231" s="10">
        <v>6.1100000000000002E-2</v>
      </c>
      <c r="X231" s="10">
        <v>1.444E-2</v>
      </c>
      <c r="Y231" s="10">
        <v>2.1399999999999999E-2</v>
      </c>
      <c r="Z231" s="10">
        <v>5.0359999999999997E-3</v>
      </c>
      <c r="AA231" s="10">
        <v>19.760000000000002</v>
      </c>
      <c r="AB231" s="10">
        <v>24.7</v>
      </c>
      <c r="AC231" s="10">
        <v>129.1</v>
      </c>
      <c r="AD231" s="10">
        <v>1228</v>
      </c>
      <c r="AE231" s="10">
        <v>8.8220000000000007E-2</v>
      </c>
      <c r="AF231" s="10">
        <v>0.1963</v>
      </c>
      <c r="AG231" s="10">
        <v>0.2535</v>
      </c>
      <c r="AH231" s="10">
        <v>9.1810000000000003E-2</v>
      </c>
      <c r="AI231" s="10">
        <v>0.2369</v>
      </c>
      <c r="AJ231">
        <v>6.5579999999999999E-2</v>
      </c>
    </row>
    <row r="232" spans="3:36">
      <c r="C232" s="11" t="s">
        <v>338</v>
      </c>
      <c r="D232" s="10">
        <v>199</v>
      </c>
      <c r="E232" s="10">
        <v>877486</v>
      </c>
      <c r="F232" s="10" t="s">
        <v>0</v>
      </c>
      <c r="G232" s="10">
        <v>13.71</v>
      </c>
      <c r="H232" s="10">
        <v>22.49</v>
      </c>
      <c r="I232" s="10">
        <v>127.5</v>
      </c>
      <c r="J232" s="10">
        <v>1148</v>
      </c>
      <c r="K232" s="10">
        <v>8.523E-2</v>
      </c>
      <c r="L232" s="10">
        <v>0.14280000000000001</v>
      </c>
      <c r="M232" s="10">
        <v>0.1114</v>
      </c>
      <c r="N232" s="10">
        <v>6.7720000000000002E-2</v>
      </c>
      <c r="O232" s="10">
        <v>0.1767</v>
      </c>
      <c r="P232" s="10">
        <v>5.5289999999999999E-2</v>
      </c>
      <c r="Q232" s="10">
        <v>0.43569999999999998</v>
      </c>
      <c r="R232" s="10">
        <v>1.073</v>
      </c>
      <c r="S232" s="10">
        <v>3.8330000000000002</v>
      </c>
      <c r="T232" s="10">
        <v>54.22</v>
      </c>
      <c r="U232" s="10">
        <v>5.5240000000000003E-3</v>
      </c>
      <c r="V232" s="10">
        <v>3.6979999999999999E-2</v>
      </c>
      <c r="W232" s="10">
        <v>2.7060000000000001E-2</v>
      </c>
      <c r="X232" s="10">
        <v>1.221E-2</v>
      </c>
      <c r="Y232" s="10">
        <v>1.4149999999999999E-2</v>
      </c>
      <c r="Z232" s="10">
        <v>3.3969999999999998E-3</v>
      </c>
      <c r="AA232" s="10">
        <v>23.36</v>
      </c>
      <c r="AB232" s="10">
        <v>32.06</v>
      </c>
      <c r="AC232" s="10">
        <v>166.4</v>
      </c>
      <c r="AD232" s="10">
        <v>1688</v>
      </c>
      <c r="AE232" s="10">
        <v>0.13220000000000001</v>
      </c>
      <c r="AF232" s="10">
        <v>0.56010000000000004</v>
      </c>
      <c r="AG232" s="10">
        <v>0.38650000000000001</v>
      </c>
      <c r="AH232" s="10">
        <v>0.17080000000000001</v>
      </c>
      <c r="AI232" s="10">
        <v>0.31929999999999997</v>
      </c>
      <c r="AJ232">
        <v>9.221E-2</v>
      </c>
    </row>
    <row r="233" spans="3:36">
      <c r="C233" s="11" t="s">
        <v>339</v>
      </c>
      <c r="D233" s="10">
        <v>200</v>
      </c>
      <c r="E233" s="10">
        <v>877500</v>
      </c>
      <c r="F233" s="10" t="s">
        <v>0</v>
      </c>
      <c r="G233" s="10">
        <v>13.71</v>
      </c>
      <c r="H233" s="10">
        <v>20.22</v>
      </c>
      <c r="I233" s="10">
        <v>94.49</v>
      </c>
      <c r="J233" s="10">
        <v>642.70000000000005</v>
      </c>
      <c r="K233" s="10">
        <v>9.8720000000000002E-2</v>
      </c>
      <c r="L233" s="10">
        <v>0.1206</v>
      </c>
      <c r="M233" s="10">
        <v>0.11799999999999999</v>
      </c>
      <c r="N233" s="10">
        <v>5.9799999999999999E-2</v>
      </c>
      <c r="O233" s="10">
        <v>0.19500000000000001</v>
      </c>
      <c r="P233" s="10">
        <v>6.4659999999999995E-2</v>
      </c>
      <c r="Q233" s="10">
        <v>0.2092</v>
      </c>
      <c r="R233" s="10">
        <v>0.65090000000000003</v>
      </c>
      <c r="S233" s="10">
        <v>1.446</v>
      </c>
      <c r="T233" s="10">
        <v>19.420000000000002</v>
      </c>
      <c r="U233" s="10">
        <v>4.0439999999999999E-3</v>
      </c>
      <c r="V233" s="10">
        <v>1.5970000000000002E-2</v>
      </c>
      <c r="W233" s="10">
        <v>0.02</v>
      </c>
      <c r="X233" s="10">
        <v>7.3029999999999996E-3</v>
      </c>
      <c r="Y233" s="10">
        <v>1.5219999999999999E-2</v>
      </c>
      <c r="Z233" s="10">
        <v>1.9759999999999999E-3</v>
      </c>
      <c r="AA233" s="10">
        <v>18.329999999999998</v>
      </c>
      <c r="AB233" s="10">
        <v>30.12</v>
      </c>
      <c r="AC233" s="10">
        <v>117.9</v>
      </c>
      <c r="AD233" s="10">
        <v>1044</v>
      </c>
      <c r="AE233" s="10">
        <v>0.1552</v>
      </c>
      <c r="AF233" s="10">
        <v>0.40560000000000002</v>
      </c>
      <c r="AG233" s="10">
        <v>0.49669999999999997</v>
      </c>
      <c r="AH233" s="10">
        <v>0.18379999999999999</v>
      </c>
      <c r="AI233" s="10">
        <v>0.4753</v>
      </c>
      <c r="AJ233">
        <v>0.1013</v>
      </c>
    </row>
    <row r="234" spans="3:36">
      <c r="C234" s="11" t="s">
        <v>340</v>
      </c>
      <c r="D234" s="10">
        <v>201</v>
      </c>
      <c r="E234" s="10">
        <v>877501</v>
      </c>
      <c r="F234" s="10" t="s">
        <v>1</v>
      </c>
      <c r="G234" s="10">
        <v>13.71</v>
      </c>
      <c r="H234" s="10">
        <v>19.559999999999999</v>
      </c>
      <c r="I234" s="10">
        <v>78.540000000000006</v>
      </c>
      <c r="J234" s="10">
        <v>461</v>
      </c>
      <c r="K234" s="10">
        <v>9.5860000000000001E-2</v>
      </c>
      <c r="L234" s="10">
        <v>8.0869999999999997E-2</v>
      </c>
      <c r="M234" s="10">
        <v>4.1869999999999997E-2</v>
      </c>
      <c r="N234" s="10">
        <v>4.1070000000000002E-2</v>
      </c>
      <c r="O234" s="10">
        <v>0.19789999999999999</v>
      </c>
      <c r="P234" s="10">
        <v>6.0130000000000003E-2</v>
      </c>
      <c r="Q234" s="10">
        <v>0.35339999999999999</v>
      </c>
      <c r="R234" s="10">
        <v>1.3260000000000001</v>
      </c>
      <c r="S234" s="10">
        <v>2.3079999999999998</v>
      </c>
      <c r="T234" s="10">
        <v>27.24</v>
      </c>
      <c r="U234" s="10">
        <v>7.5139999999999998E-3</v>
      </c>
      <c r="V234" s="10">
        <v>1.779E-2</v>
      </c>
      <c r="W234" s="10">
        <v>1.401E-2</v>
      </c>
      <c r="X234" s="10">
        <v>1.14E-2</v>
      </c>
      <c r="Y234" s="10">
        <v>1.503E-2</v>
      </c>
      <c r="Z234" s="10">
        <v>3.3379999999999998E-3</v>
      </c>
      <c r="AA234" s="10">
        <v>14.44</v>
      </c>
      <c r="AB234" s="10">
        <v>28.36</v>
      </c>
      <c r="AC234" s="10">
        <v>92.15</v>
      </c>
      <c r="AD234" s="10">
        <v>638.4</v>
      </c>
      <c r="AE234" s="10">
        <v>0.1429</v>
      </c>
      <c r="AF234" s="10">
        <v>0.20419999999999999</v>
      </c>
      <c r="AG234" s="10">
        <v>0.13769999999999999</v>
      </c>
      <c r="AH234" s="10">
        <v>0.108</v>
      </c>
      <c r="AI234" s="10">
        <v>0.26679999999999998</v>
      </c>
      <c r="AJ234">
        <v>8.1739999999999993E-2</v>
      </c>
    </row>
    <row r="235" spans="3:36">
      <c r="C235" s="11" t="s">
        <v>341</v>
      </c>
      <c r="D235" s="10">
        <v>202</v>
      </c>
      <c r="E235" s="10">
        <v>877989</v>
      </c>
      <c r="F235" s="10" t="s">
        <v>0</v>
      </c>
      <c r="G235" s="10">
        <v>13.71</v>
      </c>
      <c r="H235" s="10">
        <v>19.32</v>
      </c>
      <c r="I235" s="10">
        <v>115.1</v>
      </c>
      <c r="J235" s="10">
        <v>951.6</v>
      </c>
      <c r="K235" s="10">
        <v>8.9679999999999996E-2</v>
      </c>
      <c r="L235" s="10">
        <v>0.1198</v>
      </c>
      <c r="M235" s="10">
        <v>0.1036</v>
      </c>
      <c r="N235" s="10">
        <v>7.4880000000000002E-2</v>
      </c>
      <c r="O235" s="10">
        <v>0.15060000000000001</v>
      </c>
      <c r="P235" s="10">
        <v>5.491E-2</v>
      </c>
      <c r="Q235" s="10">
        <v>0.39710000000000001</v>
      </c>
      <c r="R235" s="10">
        <v>0.82820000000000005</v>
      </c>
      <c r="S235" s="10">
        <v>3.0880000000000001</v>
      </c>
      <c r="T235" s="10">
        <v>40.729999999999997</v>
      </c>
      <c r="U235" s="10">
        <v>6.0899999999999999E-3</v>
      </c>
      <c r="V235" s="10">
        <v>2.5690000000000001E-2</v>
      </c>
      <c r="W235" s="10">
        <v>2.7130000000000001E-2</v>
      </c>
      <c r="X235" s="10">
        <v>1.345E-2</v>
      </c>
      <c r="Y235" s="10">
        <v>1.5939999999999999E-2</v>
      </c>
      <c r="Z235" s="10">
        <v>2.6580000000000002E-3</v>
      </c>
      <c r="AA235" s="10">
        <v>20.420000000000002</v>
      </c>
      <c r="AB235" s="10">
        <v>25.84</v>
      </c>
      <c r="AC235" s="10">
        <v>139.5</v>
      </c>
      <c r="AD235" s="10">
        <v>1239</v>
      </c>
      <c r="AE235" s="10">
        <v>0.1381</v>
      </c>
      <c r="AF235" s="10">
        <v>0.34200000000000003</v>
      </c>
      <c r="AG235" s="10">
        <v>0.3508</v>
      </c>
      <c r="AH235" s="10">
        <v>0.19389999999999999</v>
      </c>
      <c r="AI235" s="10">
        <v>0.2928</v>
      </c>
      <c r="AJ235">
        <v>7.8670000000000004E-2</v>
      </c>
    </row>
    <row r="236" spans="3:36">
      <c r="C236" s="11" t="s">
        <v>342</v>
      </c>
      <c r="D236" s="10">
        <v>203</v>
      </c>
      <c r="E236" s="10">
        <v>878796</v>
      </c>
      <c r="F236" s="10" t="s">
        <v>0</v>
      </c>
      <c r="G236" s="10">
        <v>13.71</v>
      </c>
      <c r="H236" s="10">
        <v>26.67</v>
      </c>
      <c r="I236" s="10">
        <v>158.9</v>
      </c>
      <c r="J236" s="10">
        <v>1685</v>
      </c>
      <c r="K236" s="10">
        <v>0.11409999999999999</v>
      </c>
      <c r="L236" s="10">
        <v>0.2084</v>
      </c>
      <c r="M236" s="10">
        <v>0.3523</v>
      </c>
      <c r="N236" s="10">
        <v>0.16200000000000001</v>
      </c>
      <c r="O236" s="10">
        <v>0.22</v>
      </c>
      <c r="P236" s="10">
        <v>6.2289999999999998E-2</v>
      </c>
      <c r="Q236" s="10">
        <v>0.55389999999999995</v>
      </c>
      <c r="R236" s="10">
        <v>1.56</v>
      </c>
      <c r="S236" s="10">
        <v>4.6669999999999998</v>
      </c>
      <c r="T236" s="10">
        <v>83.16</v>
      </c>
      <c r="U236" s="10">
        <v>9.3270000000000002E-3</v>
      </c>
      <c r="V236" s="10">
        <v>5.1209999999999999E-2</v>
      </c>
      <c r="W236" s="10">
        <v>8.9580000000000007E-2</v>
      </c>
      <c r="X236" s="10">
        <v>2.4649999999999998E-2</v>
      </c>
      <c r="Y236" s="10">
        <v>2.1749999999999999E-2</v>
      </c>
      <c r="Z236" s="10">
        <v>5.195E-3</v>
      </c>
      <c r="AA236" s="10">
        <v>25.12</v>
      </c>
      <c r="AB236" s="10">
        <v>32.68</v>
      </c>
      <c r="AC236" s="10">
        <v>177</v>
      </c>
      <c r="AD236" s="10">
        <v>1986</v>
      </c>
      <c r="AE236" s="10">
        <v>0.15359999999999999</v>
      </c>
      <c r="AF236" s="10">
        <v>0.41670000000000001</v>
      </c>
      <c r="AG236" s="10">
        <v>0.78920000000000001</v>
      </c>
      <c r="AH236" s="10">
        <v>0.27329999999999999</v>
      </c>
      <c r="AI236" s="10">
        <v>0.31979999999999997</v>
      </c>
      <c r="AJ236">
        <v>8.7620000000000003E-2</v>
      </c>
    </row>
    <row r="237" spans="3:36">
      <c r="C237" s="11" t="s">
        <v>343</v>
      </c>
      <c r="D237" s="10">
        <v>204</v>
      </c>
      <c r="E237" s="10">
        <v>87880</v>
      </c>
      <c r="F237" s="10" t="s">
        <v>0</v>
      </c>
      <c r="G237" s="10">
        <v>13.71</v>
      </c>
      <c r="H237" s="10">
        <v>23.75</v>
      </c>
      <c r="I237" s="10">
        <v>91.56</v>
      </c>
      <c r="J237" s="10">
        <v>597.79999999999995</v>
      </c>
      <c r="K237" s="10">
        <v>0.1323</v>
      </c>
      <c r="L237" s="10">
        <v>0.17680000000000001</v>
      </c>
      <c r="M237" s="10">
        <v>0.15579999999999999</v>
      </c>
      <c r="N237" s="10">
        <v>9.1759999999999994E-2</v>
      </c>
      <c r="O237" s="10">
        <v>0.22509999999999999</v>
      </c>
      <c r="P237" s="10">
        <v>7.4209999999999998E-2</v>
      </c>
      <c r="Q237" s="10">
        <v>0.56479999999999997</v>
      </c>
      <c r="R237" s="10">
        <v>1.93</v>
      </c>
      <c r="S237" s="10">
        <v>3.9089999999999998</v>
      </c>
      <c r="T237" s="10">
        <v>52.72</v>
      </c>
      <c r="U237" s="10">
        <v>8.8240000000000002E-3</v>
      </c>
      <c r="V237" s="10">
        <v>3.108E-2</v>
      </c>
      <c r="W237" s="10">
        <v>3.1119999999999998E-2</v>
      </c>
      <c r="X237" s="10">
        <v>1.291E-2</v>
      </c>
      <c r="Y237" s="10">
        <v>1.9980000000000001E-2</v>
      </c>
      <c r="Z237" s="10">
        <v>4.5059999999999996E-3</v>
      </c>
      <c r="AA237" s="10">
        <v>19.2</v>
      </c>
      <c r="AB237" s="10">
        <v>41.85</v>
      </c>
      <c r="AC237" s="10">
        <v>128.5</v>
      </c>
      <c r="AD237" s="10">
        <v>1153</v>
      </c>
      <c r="AE237" s="10">
        <v>0.22259999999999999</v>
      </c>
      <c r="AF237" s="10">
        <v>0.52090000000000003</v>
      </c>
      <c r="AG237" s="10">
        <v>0.46460000000000001</v>
      </c>
      <c r="AH237" s="10">
        <v>0.20130000000000001</v>
      </c>
      <c r="AI237" s="10">
        <v>0.44319999999999998</v>
      </c>
      <c r="AJ237">
        <v>0.1086</v>
      </c>
    </row>
    <row r="238" spans="3:36">
      <c r="C238" s="11" t="s">
        <v>344</v>
      </c>
      <c r="D238" s="10">
        <v>205</v>
      </c>
      <c r="E238" s="10">
        <v>87930</v>
      </c>
      <c r="F238" s="10" t="s">
        <v>1</v>
      </c>
      <c r="G238" s="10">
        <v>13.71</v>
      </c>
      <c r="H238" s="10">
        <v>18.600000000000001</v>
      </c>
      <c r="I238" s="10">
        <v>81.09</v>
      </c>
      <c r="J238" s="10">
        <v>481.9</v>
      </c>
      <c r="K238" s="10">
        <v>9.9650000000000002E-2</v>
      </c>
      <c r="L238" s="10">
        <v>0.10580000000000001</v>
      </c>
      <c r="M238" s="10">
        <v>8.0049999999999996E-2</v>
      </c>
      <c r="N238" s="10">
        <v>3.8210000000000001E-2</v>
      </c>
      <c r="O238" s="10">
        <v>0.1925</v>
      </c>
      <c r="P238" s="10">
        <v>6.3729999999999995E-2</v>
      </c>
      <c r="Q238" s="10">
        <v>0.39610000000000001</v>
      </c>
      <c r="R238" s="10">
        <v>1.044</v>
      </c>
      <c r="S238" s="10">
        <v>2.4969999999999999</v>
      </c>
      <c r="T238" s="10">
        <v>30.29</v>
      </c>
      <c r="U238" s="10">
        <v>6.953E-3</v>
      </c>
      <c r="V238" s="10">
        <v>1.9109999999999999E-2</v>
      </c>
      <c r="W238" s="10">
        <v>2.7009999999999999E-2</v>
      </c>
      <c r="X238" s="10">
        <v>1.0370000000000001E-2</v>
      </c>
      <c r="Y238" s="10">
        <v>1.7819999999999999E-2</v>
      </c>
      <c r="Z238" s="10">
        <v>3.5860000000000002E-3</v>
      </c>
      <c r="AA238" s="10">
        <v>14.97</v>
      </c>
      <c r="AB238" s="10">
        <v>24.64</v>
      </c>
      <c r="AC238" s="10">
        <v>96.05</v>
      </c>
      <c r="AD238" s="10">
        <v>677.9</v>
      </c>
      <c r="AE238" s="10">
        <v>0.1426</v>
      </c>
      <c r="AF238" s="10">
        <v>0.23780000000000001</v>
      </c>
      <c r="AG238" s="10">
        <v>0.2671</v>
      </c>
      <c r="AH238" s="10">
        <v>0.10150000000000001</v>
      </c>
      <c r="AI238" s="10">
        <v>0.3014</v>
      </c>
      <c r="AJ238">
        <v>8.7499999999999994E-2</v>
      </c>
    </row>
    <row r="239" spans="3:36">
      <c r="C239" s="11" t="s">
        <v>345</v>
      </c>
      <c r="D239" s="10">
        <v>206</v>
      </c>
      <c r="E239" s="10">
        <v>879523</v>
      </c>
      <c r="F239" s="10" t="s">
        <v>0</v>
      </c>
      <c r="G239" s="10">
        <v>13.71</v>
      </c>
      <c r="H239" s="10">
        <v>16.68</v>
      </c>
      <c r="I239" s="10">
        <v>98.78</v>
      </c>
      <c r="J239" s="10">
        <v>716.6</v>
      </c>
      <c r="K239" s="10">
        <v>8.8760000000000006E-2</v>
      </c>
      <c r="L239" s="10">
        <v>9.5880000000000007E-2</v>
      </c>
      <c r="M239" s="10">
        <v>7.5499999999999998E-2</v>
      </c>
      <c r="N239" s="10">
        <v>4.079E-2</v>
      </c>
      <c r="O239" s="10">
        <v>0.15939999999999999</v>
      </c>
      <c r="P239" s="10">
        <v>5.9859999999999997E-2</v>
      </c>
      <c r="Q239" s="10">
        <v>0.27110000000000001</v>
      </c>
      <c r="R239" s="10">
        <v>0.36209999999999998</v>
      </c>
      <c r="S239" s="10">
        <v>1.974</v>
      </c>
      <c r="T239" s="10">
        <v>26.44</v>
      </c>
      <c r="U239" s="10">
        <v>5.4720000000000003E-3</v>
      </c>
      <c r="V239" s="10">
        <v>1.9189999999999999E-2</v>
      </c>
      <c r="W239" s="10">
        <v>2.0389999999999998E-2</v>
      </c>
      <c r="X239" s="10">
        <v>8.26E-3</v>
      </c>
      <c r="Y239" s="10">
        <v>1.523E-2</v>
      </c>
      <c r="Z239" s="10">
        <v>2.8809999999999999E-3</v>
      </c>
      <c r="AA239" s="10">
        <v>17.77</v>
      </c>
      <c r="AB239" s="10">
        <v>20.239999999999998</v>
      </c>
      <c r="AC239" s="10">
        <v>117.7</v>
      </c>
      <c r="AD239" s="10">
        <v>989.5</v>
      </c>
      <c r="AE239" s="10">
        <v>0.14910000000000001</v>
      </c>
      <c r="AF239" s="10">
        <v>0.33310000000000001</v>
      </c>
      <c r="AG239" s="10">
        <v>0.3327</v>
      </c>
      <c r="AH239" s="10">
        <v>0.12520000000000001</v>
      </c>
      <c r="AI239" s="10">
        <v>0.34150000000000003</v>
      </c>
      <c r="AJ239">
        <v>9.74E-2</v>
      </c>
    </row>
    <row r="240" spans="3:36">
      <c r="C240" s="11" t="s">
        <v>346</v>
      </c>
      <c r="D240" s="10">
        <v>207</v>
      </c>
      <c r="E240" s="10">
        <v>879804</v>
      </c>
      <c r="F240" s="10" t="s">
        <v>1</v>
      </c>
      <c r="G240" s="10">
        <v>13.71</v>
      </c>
      <c r="H240" s="10">
        <v>17.27</v>
      </c>
      <c r="I240" s="10">
        <v>62.92</v>
      </c>
      <c r="J240" s="10">
        <v>295.39999999999998</v>
      </c>
      <c r="K240" s="10">
        <v>0.1089</v>
      </c>
      <c r="L240" s="10">
        <v>7.2319999999999995E-2</v>
      </c>
      <c r="M240" s="10">
        <v>1.7559999999999999E-2</v>
      </c>
      <c r="N240" s="10">
        <v>1.9519999999999999E-2</v>
      </c>
      <c r="O240" s="10">
        <v>0.19339999999999999</v>
      </c>
      <c r="P240" s="10">
        <v>6.2850000000000003E-2</v>
      </c>
      <c r="Q240" s="10">
        <v>0.2137</v>
      </c>
      <c r="R240" s="10">
        <v>1.3420000000000001</v>
      </c>
      <c r="S240" s="10">
        <v>1.5169999999999999</v>
      </c>
      <c r="T240" s="10">
        <v>12.33</v>
      </c>
      <c r="U240" s="10">
        <v>9.7190000000000002E-3</v>
      </c>
      <c r="V240" s="10">
        <v>1.2489999999999999E-2</v>
      </c>
      <c r="W240" s="10">
        <v>7.9749999999999995E-3</v>
      </c>
      <c r="X240" s="10">
        <v>7.5269999999999998E-3</v>
      </c>
      <c r="Y240" s="10">
        <v>2.2100000000000002E-2</v>
      </c>
      <c r="Z240" s="10">
        <v>2.4719999999999998E-3</v>
      </c>
      <c r="AA240" s="10">
        <v>10.42</v>
      </c>
      <c r="AB240" s="10">
        <v>23.22</v>
      </c>
      <c r="AC240" s="10">
        <v>67.08</v>
      </c>
      <c r="AD240" s="10">
        <v>331.6</v>
      </c>
      <c r="AE240" s="10">
        <v>0.14149999999999999</v>
      </c>
      <c r="AF240" s="10">
        <v>0.12470000000000001</v>
      </c>
      <c r="AG240" s="10">
        <v>6.2129999999999998E-2</v>
      </c>
      <c r="AH240" s="10">
        <v>5.5879999999999999E-2</v>
      </c>
      <c r="AI240" s="10">
        <v>0.2989</v>
      </c>
      <c r="AJ240">
        <v>7.3800000000000004E-2</v>
      </c>
    </row>
    <row r="241" spans="3:36">
      <c r="C241" s="11" t="s">
        <v>347</v>
      </c>
      <c r="D241" s="10">
        <v>208</v>
      </c>
      <c r="E241" s="10">
        <v>879830</v>
      </c>
      <c r="F241" s="10" t="s">
        <v>0</v>
      </c>
      <c r="G241" s="10">
        <v>13.71</v>
      </c>
      <c r="H241" s="10">
        <v>20.260000000000002</v>
      </c>
      <c r="I241" s="10">
        <v>109.7</v>
      </c>
      <c r="J241" s="10">
        <v>904.3</v>
      </c>
      <c r="K241" s="10">
        <v>8.7720000000000006E-2</v>
      </c>
      <c r="L241" s="10">
        <v>7.3039999999999994E-2</v>
      </c>
      <c r="M241" s="10">
        <v>6.9500000000000006E-2</v>
      </c>
      <c r="N241" s="10">
        <v>5.3900000000000003E-2</v>
      </c>
      <c r="O241" s="10">
        <v>0.2026</v>
      </c>
      <c r="P241" s="10">
        <v>5.2229999999999999E-2</v>
      </c>
      <c r="Q241" s="10">
        <v>0.58579999999999999</v>
      </c>
      <c r="R241" s="10">
        <v>0.85540000000000005</v>
      </c>
      <c r="S241" s="10">
        <v>4.1059999999999999</v>
      </c>
      <c r="T241" s="10">
        <v>68.459999999999994</v>
      </c>
      <c r="U241" s="10">
        <v>5.0379999999999999E-3</v>
      </c>
      <c r="V241" s="10">
        <v>1.503E-2</v>
      </c>
      <c r="W241" s="10">
        <v>1.9460000000000002E-2</v>
      </c>
      <c r="X241" s="10">
        <v>1.123E-2</v>
      </c>
      <c r="Y241" s="10">
        <v>2.2939999999999999E-2</v>
      </c>
      <c r="Z241" s="10">
        <v>2.581E-3</v>
      </c>
      <c r="AA241" s="10">
        <v>19.8</v>
      </c>
      <c r="AB241" s="10">
        <v>25.05</v>
      </c>
      <c r="AC241" s="10">
        <v>130</v>
      </c>
      <c r="AD241" s="10">
        <v>1210</v>
      </c>
      <c r="AE241" s="10">
        <v>0.1111</v>
      </c>
      <c r="AF241" s="10">
        <v>0.14860000000000001</v>
      </c>
      <c r="AG241" s="10">
        <v>0.19320000000000001</v>
      </c>
      <c r="AH241" s="10">
        <v>0.1096</v>
      </c>
      <c r="AI241" s="10">
        <v>0.32750000000000001</v>
      </c>
      <c r="AJ241">
        <v>6.4689999999999998E-2</v>
      </c>
    </row>
    <row r="242" spans="3:36">
      <c r="C242" s="11" t="s">
        <v>348</v>
      </c>
      <c r="D242" s="10">
        <v>209</v>
      </c>
      <c r="E242" s="10">
        <v>8810158</v>
      </c>
      <c r="F242" s="10" t="s">
        <v>1</v>
      </c>
      <c r="G242" s="10">
        <v>13.71</v>
      </c>
      <c r="H242" s="10">
        <v>22.54</v>
      </c>
      <c r="I242" s="10">
        <v>87.02</v>
      </c>
      <c r="J242" s="10">
        <v>529.4</v>
      </c>
      <c r="K242" s="10">
        <v>0.1002</v>
      </c>
      <c r="L242" s="10">
        <v>0.14829999999999999</v>
      </c>
      <c r="M242" s="10">
        <v>8.7050000000000002E-2</v>
      </c>
      <c r="N242" s="10">
        <v>5.1020000000000003E-2</v>
      </c>
      <c r="O242" s="10">
        <v>0.185</v>
      </c>
      <c r="P242" s="10">
        <v>7.3099999999999998E-2</v>
      </c>
      <c r="Q242" s="10">
        <v>0.19309999999999999</v>
      </c>
      <c r="R242" s="10">
        <v>0.92230000000000001</v>
      </c>
      <c r="S242" s="10">
        <v>1.4910000000000001</v>
      </c>
      <c r="T242" s="10">
        <v>15.09</v>
      </c>
      <c r="U242" s="10">
        <v>5.2509999999999996E-3</v>
      </c>
      <c r="V242" s="10">
        <v>3.041E-2</v>
      </c>
      <c r="W242" s="10">
        <v>2.5260000000000001E-2</v>
      </c>
      <c r="X242" s="10">
        <v>8.3040000000000006E-3</v>
      </c>
      <c r="Y242" s="10">
        <v>2.5139999999999999E-2</v>
      </c>
      <c r="Z242" s="10">
        <v>4.1980000000000003E-3</v>
      </c>
      <c r="AA242" s="10">
        <v>14.55</v>
      </c>
      <c r="AB242" s="10">
        <v>29.16</v>
      </c>
      <c r="AC242" s="10">
        <v>99.48</v>
      </c>
      <c r="AD242" s="10">
        <v>639.29999999999995</v>
      </c>
      <c r="AE242" s="10">
        <v>0.13489999999999999</v>
      </c>
      <c r="AF242" s="10">
        <v>0.44019999999999998</v>
      </c>
      <c r="AG242" s="10">
        <v>0.31619999999999998</v>
      </c>
      <c r="AH242" s="10">
        <v>0.11260000000000001</v>
      </c>
      <c r="AI242" s="10">
        <v>0.4128</v>
      </c>
      <c r="AJ242">
        <v>0.1076</v>
      </c>
    </row>
    <row r="243" spans="3:36">
      <c r="C243" s="11" t="s">
        <v>349</v>
      </c>
      <c r="D243" s="10">
        <v>210</v>
      </c>
      <c r="E243" s="10">
        <v>8810436</v>
      </c>
      <c r="F243" s="10" t="s">
        <v>1</v>
      </c>
      <c r="G243" s="10">
        <v>13.71</v>
      </c>
      <c r="H243" s="10">
        <v>12.91</v>
      </c>
      <c r="I243" s="10">
        <v>98.17</v>
      </c>
      <c r="J243" s="10">
        <v>725.5</v>
      </c>
      <c r="K243" s="10">
        <v>8.1820000000000004E-2</v>
      </c>
      <c r="L243" s="10">
        <v>6.2300000000000001E-2</v>
      </c>
      <c r="M243" s="10">
        <v>5.892E-2</v>
      </c>
      <c r="N243" s="10">
        <v>3.1570000000000001E-2</v>
      </c>
      <c r="O243" s="10">
        <v>0.13589999999999999</v>
      </c>
      <c r="P243" s="10">
        <v>5.5259999999999997E-2</v>
      </c>
      <c r="Q243" s="10">
        <v>0.21340000000000001</v>
      </c>
      <c r="R243" s="10">
        <v>0.36280000000000001</v>
      </c>
      <c r="S243" s="10">
        <v>1.5249999999999999</v>
      </c>
      <c r="T243" s="10">
        <v>20</v>
      </c>
      <c r="U243" s="10">
        <v>4.2909999999999997E-3</v>
      </c>
      <c r="V243" s="10">
        <v>1.2359999999999999E-2</v>
      </c>
      <c r="W243" s="10">
        <v>1.8409999999999999E-2</v>
      </c>
      <c r="X243" s="10">
        <v>7.3730000000000002E-3</v>
      </c>
      <c r="Y243" s="10">
        <v>9.5390000000000006E-3</v>
      </c>
      <c r="Z243" s="10">
        <v>1.6559999999999999E-3</v>
      </c>
      <c r="AA243" s="10">
        <v>17.38</v>
      </c>
      <c r="AB243" s="10">
        <v>15.92</v>
      </c>
      <c r="AC243" s="10">
        <v>113.7</v>
      </c>
      <c r="AD243" s="10">
        <v>932.7</v>
      </c>
      <c r="AE243" s="10">
        <v>0.1222</v>
      </c>
      <c r="AF243" s="10">
        <v>0.21859999999999999</v>
      </c>
      <c r="AG243" s="10">
        <v>0.29620000000000002</v>
      </c>
      <c r="AH243" s="10">
        <v>0.10349999999999999</v>
      </c>
      <c r="AI243" s="10">
        <v>0.23200000000000001</v>
      </c>
      <c r="AJ243">
        <v>7.4740000000000001E-2</v>
      </c>
    </row>
    <row r="244" spans="3:36">
      <c r="C244" s="11" t="s">
        <v>350</v>
      </c>
      <c r="D244" s="10">
        <v>211</v>
      </c>
      <c r="E244" s="10">
        <v>881046502</v>
      </c>
      <c r="F244" s="10" t="s">
        <v>0</v>
      </c>
      <c r="G244" s="10">
        <v>13.71</v>
      </c>
      <c r="H244" s="10">
        <v>22.14</v>
      </c>
      <c r="I244" s="10">
        <v>134.69999999999999</v>
      </c>
      <c r="J244" s="10">
        <v>1290</v>
      </c>
      <c r="K244" s="10">
        <v>9.0899999999999995E-2</v>
      </c>
      <c r="L244" s="10">
        <v>0.1348</v>
      </c>
      <c r="M244" s="10">
        <v>0.16400000000000001</v>
      </c>
      <c r="N244" s="10">
        <v>9.5610000000000001E-2</v>
      </c>
      <c r="O244" s="10">
        <v>0.17649999999999999</v>
      </c>
      <c r="P244" s="10">
        <v>5.024E-2</v>
      </c>
      <c r="Q244" s="10">
        <v>0.86009999999999998</v>
      </c>
      <c r="R244" s="10">
        <v>1.48</v>
      </c>
      <c r="S244" s="10">
        <v>7.0289999999999999</v>
      </c>
      <c r="T244" s="10">
        <v>111.7</v>
      </c>
      <c r="U244" s="10">
        <v>8.1239999999999993E-3</v>
      </c>
      <c r="V244" s="10">
        <v>3.6110000000000003E-2</v>
      </c>
      <c r="W244" s="10">
        <v>5.4890000000000001E-2</v>
      </c>
      <c r="X244" s="10">
        <v>2.7650000000000001E-2</v>
      </c>
      <c r="Y244" s="10">
        <v>3.1759999999999997E-2</v>
      </c>
      <c r="Z244" s="10">
        <v>2.3649999999999999E-3</v>
      </c>
      <c r="AA244" s="10">
        <v>23.24</v>
      </c>
      <c r="AB244" s="10">
        <v>27.84</v>
      </c>
      <c r="AC244" s="10">
        <v>158.30000000000001</v>
      </c>
      <c r="AD244" s="10">
        <v>1656</v>
      </c>
      <c r="AE244" s="10">
        <v>0.1178</v>
      </c>
      <c r="AF244" s="10">
        <v>0.29199999999999998</v>
      </c>
      <c r="AG244" s="10">
        <v>0.3861</v>
      </c>
      <c r="AH244" s="10">
        <v>0.192</v>
      </c>
      <c r="AI244" s="10">
        <v>0.29089999999999999</v>
      </c>
      <c r="AJ244">
        <v>5.8650000000000001E-2</v>
      </c>
    </row>
    <row r="245" spans="3:36">
      <c r="C245" s="11" t="s">
        <v>351</v>
      </c>
      <c r="D245" s="10">
        <v>212</v>
      </c>
      <c r="E245" s="10">
        <v>8810528</v>
      </c>
      <c r="F245" s="10" t="s">
        <v>1</v>
      </c>
      <c r="G245" s="10">
        <v>13.71</v>
      </c>
      <c r="H245" s="10">
        <v>18.940000000000001</v>
      </c>
      <c r="I245" s="10">
        <v>75.510000000000005</v>
      </c>
      <c r="J245" s="10">
        <v>428</v>
      </c>
      <c r="K245" s="10">
        <v>8.8709999999999997E-2</v>
      </c>
      <c r="L245" s="10">
        <v>6.9000000000000006E-2</v>
      </c>
      <c r="M245" s="10">
        <v>2.6689999999999998E-2</v>
      </c>
      <c r="N245" s="10">
        <v>1.393E-2</v>
      </c>
      <c r="O245" s="10">
        <v>0.15329999999999999</v>
      </c>
      <c r="P245" s="10">
        <v>6.0569999999999999E-2</v>
      </c>
      <c r="Q245" s="10">
        <v>0.22220000000000001</v>
      </c>
      <c r="R245" s="10">
        <v>0.86519999999999997</v>
      </c>
      <c r="S245" s="10">
        <v>1.444</v>
      </c>
      <c r="T245" s="10">
        <v>17.12</v>
      </c>
      <c r="U245" s="10">
        <v>5.5170000000000002E-3</v>
      </c>
      <c r="V245" s="10">
        <v>1.7270000000000001E-2</v>
      </c>
      <c r="W245" s="10">
        <v>2.0449999999999999E-2</v>
      </c>
      <c r="X245" s="10">
        <v>6.7470000000000004E-3</v>
      </c>
      <c r="Y245" s="10">
        <v>1.6160000000000001E-2</v>
      </c>
      <c r="Z245" s="10">
        <v>2.9220000000000001E-3</v>
      </c>
      <c r="AA245" s="10">
        <v>13.3</v>
      </c>
      <c r="AB245" s="10">
        <v>24.99</v>
      </c>
      <c r="AC245" s="10">
        <v>85.22</v>
      </c>
      <c r="AD245" s="10">
        <v>546.29999999999995</v>
      </c>
      <c r="AE245" s="10">
        <v>0.128</v>
      </c>
      <c r="AF245" s="10">
        <v>0.188</v>
      </c>
      <c r="AG245" s="10">
        <v>0.14710000000000001</v>
      </c>
      <c r="AH245" s="10">
        <v>6.9129999999999997E-2</v>
      </c>
      <c r="AI245" s="10">
        <v>0.2535</v>
      </c>
      <c r="AJ245">
        <v>7.9930000000000001E-2</v>
      </c>
    </row>
    <row r="246" spans="3:36">
      <c r="C246" s="11" t="s">
        <v>352</v>
      </c>
      <c r="D246" s="10">
        <v>213</v>
      </c>
      <c r="E246" s="10">
        <v>8810703</v>
      </c>
      <c r="F246" s="10" t="s">
        <v>0</v>
      </c>
      <c r="G246" s="10">
        <v>13.71</v>
      </c>
      <c r="H246" s="10">
        <v>18.47</v>
      </c>
      <c r="I246" s="10">
        <v>188.5</v>
      </c>
      <c r="J246" s="10">
        <v>2499</v>
      </c>
      <c r="K246" s="10">
        <v>0.1142</v>
      </c>
      <c r="L246" s="10">
        <v>0.15160000000000001</v>
      </c>
      <c r="M246" s="10">
        <v>0.3201</v>
      </c>
      <c r="N246" s="10">
        <v>0.1595</v>
      </c>
      <c r="O246" s="10">
        <v>0.1648</v>
      </c>
      <c r="P246" s="10">
        <v>5.525E-2</v>
      </c>
      <c r="Q246" s="10">
        <v>2.8730000000000002</v>
      </c>
      <c r="R246" s="10">
        <v>1.476</v>
      </c>
      <c r="S246" s="10">
        <v>21.98</v>
      </c>
      <c r="T246" s="10">
        <v>525.6</v>
      </c>
      <c r="U246" s="10">
        <v>1.345E-2</v>
      </c>
      <c r="V246" s="10">
        <v>2.7720000000000002E-2</v>
      </c>
      <c r="W246" s="10">
        <v>6.3890000000000002E-2</v>
      </c>
      <c r="X246" s="10">
        <v>1.4069999999999999E-2</v>
      </c>
      <c r="Y246" s="10">
        <v>4.7829999999999998E-2</v>
      </c>
      <c r="Z246" s="10">
        <v>4.4759999999999999E-3</v>
      </c>
      <c r="AA246" s="10">
        <v>28.11</v>
      </c>
      <c r="AB246" s="10">
        <v>18.47</v>
      </c>
      <c r="AC246" s="10">
        <v>188.5</v>
      </c>
      <c r="AD246" s="10">
        <v>2499</v>
      </c>
      <c r="AE246" s="10">
        <v>0.1142</v>
      </c>
      <c r="AF246" s="10">
        <v>0.15160000000000001</v>
      </c>
      <c r="AG246" s="10">
        <v>0.3201</v>
      </c>
      <c r="AH246" s="10">
        <v>0.1595</v>
      </c>
      <c r="AI246" s="10">
        <v>0.1648</v>
      </c>
      <c r="AJ246">
        <v>5.525E-2</v>
      </c>
    </row>
    <row r="247" spans="3:36">
      <c r="C247" s="11" t="s">
        <v>353</v>
      </c>
      <c r="D247" s="10">
        <v>214</v>
      </c>
      <c r="E247" s="10">
        <v>881094802</v>
      </c>
      <c r="F247" s="10" t="s">
        <v>0</v>
      </c>
      <c r="G247" s="10">
        <v>13.71</v>
      </c>
      <c r="H247" s="10">
        <v>25.56</v>
      </c>
      <c r="I247" s="10">
        <v>114.5</v>
      </c>
      <c r="J247" s="10">
        <v>948</v>
      </c>
      <c r="K247" s="10">
        <v>0.10059999999999999</v>
      </c>
      <c r="L247" s="10">
        <v>0.11459999999999999</v>
      </c>
      <c r="M247" s="10">
        <v>0.16819999999999999</v>
      </c>
      <c r="N247" s="10">
        <v>6.5970000000000001E-2</v>
      </c>
      <c r="O247" s="10">
        <v>0.1308</v>
      </c>
      <c r="P247" s="10">
        <v>5.8659999999999997E-2</v>
      </c>
      <c r="Q247" s="10">
        <v>0.52959999999999996</v>
      </c>
      <c r="R247" s="10">
        <v>1.667</v>
      </c>
      <c r="S247" s="10">
        <v>3.7669999999999999</v>
      </c>
      <c r="T247" s="10">
        <v>58.53</v>
      </c>
      <c r="U247" s="10">
        <v>3.1130000000000001E-2</v>
      </c>
      <c r="V247" s="10">
        <v>8.5550000000000001E-2</v>
      </c>
      <c r="W247" s="10">
        <v>0.14380000000000001</v>
      </c>
      <c r="X247" s="10">
        <v>3.9269999999999999E-2</v>
      </c>
      <c r="Y247" s="10">
        <v>2.1749999999999999E-2</v>
      </c>
      <c r="Z247" s="10">
        <v>1.256E-2</v>
      </c>
      <c r="AA247" s="10">
        <v>18.07</v>
      </c>
      <c r="AB247" s="10">
        <v>28.07</v>
      </c>
      <c r="AC247" s="10">
        <v>120.4</v>
      </c>
      <c r="AD247" s="10">
        <v>1021</v>
      </c>
      <c r="AE247" s="10">
        <v>0.12429999999999999</v>
      </c>
      <c r="AF247" s="10">
        <v>0.17929999999999999</v>
      </c>
      <c r="AG247" s="10">
        <v>0.28029999999999999</v>
      </c>
      <c r="AH247" s="10">
        <v>0.1099</v>
      </c>
      <c r="AI247" s="10">
        <v>0.1603</v>
      </c>
      <c r="AJ247">
        <v>6.8180000000000004E-2</v>
      </c>
    </row>
    <row r="248" spans="3:36">
      <c r="C248" s="11" t="s">
        <v>354</v>
      </c>
      <c r="D248" s="10">
        <v>215</v>
      </c>
      <c r="E248" s="10">
        <v>8810955</v>
      </c>
      <c r="F248" s="10" t="s">
        <v>0</v>
      </c>
      <c r="G248" s="10">
        <v>13.71</v>
      </c>
      <c r="H248" s="10">
        <v>23.81</v>
      </c>
      <c r="I248" s="10">
        <v>92.87</v>
      </c>
      <c r="J248" s="10">
        <v>610.70000000000005</v>
      </c>
      <c r="K248" s="10">
        <v>9.4630000000000006E-2</v>
      </c>
      <c r="L248" s="10">
        <v>0.13059999999999999</v>
      </c>
      <c r="M248" s="10">
        <v>0.1115</v>
      </c>
      <c r="N248" s="10">
        <v>6.4619999999999997E-2</v>
      </c>
      <c r="O248" s="10">
        <v>0.2235</v>
      </c>
      <c r="P248" s="10">
        <v>6.4329999999999998E-2</v>
      </c>
      <c r="Q248" s="10">
        <v>0.42070000000000002</v>
      </c>
      <c r="R248" s="10">
        <v>1.845</v>
      </c>
      <c r="S248" s="10">
        <v>3.5339999999999998</v>
      </c>
      <c r="T248" s="10">
        <v>31</v>
      </c>
      <c r="U248" s="10">
        <v>1.0880000000000001E-2</v>
      </c>
      <c r="V248" s="10">
        <v>3.7100000000000001E-2</v>
      </c>
      <c r="W248" s="10">
        <v>3.6880000000000003E-2</v>
      </c>
      <c r="X248" s="10">
        <v>1.627E-2</v>
      </c>
      <c r="Y248" s="10">
        <v>4.4990000000000002E-2</v>
      </c>
      <c r="Z248" s="10">
        <v>4.7679999999999997E-3</v>
      </c>
      <c r="AA248" s="10">
        <v>16.86</v>
      </c>
      <c r="AB248" s="10">
        <v>34.85</v>
      </c>
      <c r="AC248" s="10">
        <v>115</v>
      </c>
      <c r="AD248" s="10">
        <v>811.3</v>
      </c>
      <c r="AE248" s="10">
        <v>0.15590000000000001</v>
      </c>
      <c r="AF248" s="10">
        <v>0.40589999999999998</v>
      </c>
      <c r="AG248" s="10">
        <v>0.37440000000000001</v>
      </c>
      <c r="AH248" s="10">
        <v>0.1772</v>
      </c>
      <c r="AI248" s="10">
        <v>0.47239999999999999</v>
      </c>
      <c r="AJ248">
        <v>0.1026</v>
      </c>
    </row>
    <row r="249" spans="3:36">
      <c r="C249" s="11" t="s">
        <v>355</v>
      </c>
      <c r="D249" s="10">
        <v>216</v>
      </c>
      <c r="E249" s="10">
        <v>8810987</v>
      </c>
      <c r="F249" s="10" t="s">
        <v>0</v>
      </c>
      <c r="G249" s="10">
        <v>13.71</v>
      </c>
      <c r="H249" s="10">
        <v>16.93</v>
      </c>
      <c r="I249" s="10">
        <v>90.96</v>
      </c>
      <c r="J249" s="10">
        <v>578.9</v>
      </c>
      <c r="K249" s="10">
        <v>0.1026</v>
      </c>
      <c r="L249" s="10">
        <v>0.1517</v>
      </c>
      <c r="M249" s="10">
        <v>9.9010000000000001E-2</v>
      </c>
      <c r="N249" s="10">
        <v>5.602E-2</v>
      </c>
      <c r="O249" s="10">
        <v>0.21060000000000001</v>
      </c>
      <c r="P249" s="10">
        <v>6.9159999999999999E-2</v>
      </c>
      <c r="Q249" s="10">
        <v>0.25629999999999997</v>
      </c>
      <c r="R249" s="10">
        <v>1.194</v>
      </c>
      <c r="S249" s="10">
        <v>1.9330000000000001</v>
      </c>
      <c r="T249" s="10">
        <v>22.69</v>
      </c>
      <c r="U249" s="10">
        <v>5.96E-3</v>
      </c>
      <c r="V249" s="10">
        <v>3.4380000000000001E-2</v>
      </c>
      <c r="W249" s="10">
        <v>3.909E-2</v>
      </c>
      <c r="X249" s="10">
        <v>1.435E-2</v>
      </c>
      <c r="Y249" s="10">
        <v>1.9390000000000001E-2</v>
      </c>
      <c r="Z249" s="10">
        <v>4.5599999999999998E-3</v>
      </c>
      <c r="AA249" s="10">
        <v>15.75</v>
      </c>
      <c r="AB249" s="10">
        <v>26.93</v>
      </c>
      <c r="AC249" s="10">
        <v>104.4</v>
      </c>
      <c r="AD249" s="10">
        <v>750.1</v>
      </c>
      <c r="AE249" s="10">
        <v>0.14599999999999999</v>
      </c>
      <c r="AF249" s="10">
        <v>0.437</v>
      </c>
      <c r="AG249" s="10">
        <v>0.46360000000000001</v>
      </c>
      <c r="AH249" s="10">
        <v>0.16539999999999999</v>
      </c>
      <c r="AI249" s="10">
        <v>0.36299999999999999</v>
      </c>
      <c r="AJ249">
        <v>0.10589999999999999</v>
      </c>
    </row>
    <row r="250" spans="3:36">
      <c r="C250" s="11" t="s">
        <v>356</v>
      </c>
      <c r="D250" s="10">
        <v>217</v>
      </c>
      <c r="E250" s="10">
        <v>8811523</v>
      </c>
      <c r="F250" s="10" t="s">
        <v>1</v>
      </c>
      <c r="G250" s="10">
        <v>13.71</v>
      </c>
      <c r="H250" s="10">
        <v>18.350000000000001</v>
      </c>
      <c r="I250" s="10">
        <v>77.319999999999993</v>
      </c>
      <c r="J250" s="10">
        <v>432.2</v>
      </c>
      <c r="K250" s="10">
        <v>9.3630000000000005E-2</v>
      </c>
      <c r="L250" s="10">
        <v>0.1154</v>
      </c>
      <c r="M250" s="10">
        <v>6.6360000000000002E-2</v>
      </c>
      <c r="N250" s="10">
        <v>3.1419999999999997E-2</v>
      </c>
      <c r="O250" s="10">
        <v>0.19670000000000001</v>
      </c>
      <c r="P250" s="10">
        <v>6.3140000000000002E-2</v>
      </c>
      <c r="Q250" s="10">
        <v>0.29630000000000001</v>
      </c>
      <c r="R250" s="10">
        <v>1.5629999999999999</v>
      </c>
      <c r="S250" s="10">
        <v>2.0870000000000002</v>
      </c>
      <c r="T250" s="10">
        <v>21.46</v>
      </c>
      <c r="U250" s="10">
        <v>8.8719999999999997E-3</v>
      </c>
      <c r="V250" s="10">
        <v>4.1919999999999999E-2</v>
      </c>
      <c r="W250" s="10">
        <v>5.9459999999999999E-2</v>
      </c>
      <c r="X250" s="10">
        <v>1.7850000000000001E-2</v>
      </c>
      <c r="Y250" s="10">
        <v>2.793E-2</v>
      </c>
      <c r="Z250" s="10">
        <v>4.7749999999999997E-3</v>
      </c>
      <c r="AA250" s="10">
        <v>13.25</v>
      </c>
      <c r="AB250" s="10">
        <v>27.1</v>
      </c>
      <c r="AC250" s="10">
        <v>86.2</v>
      </c>
      <c r="AD250" s="10">
        <v>531.20000000000005</v>
      </c>
      <c r="AE250" s="10">
        <v>0.14050000000000001</v>
      </c>
      <c r="AF250" s="10">
        <v>0.30459999999999998</v>
      </c>
      <c r="AG250" s="10">
        <v>0.28060000000000002</v>
      </c>
      <c r="AH250" s="10">
        <v>0.1138</v>
      </c>
      <c r="AI250" s="10">
        <v>0.3397</v>
      </c>
      <c r="AJ250">
        <v>8.3650000000000002E-2</v>
      </c>
    </row>
    <row r="251" spans="3:36">
      <c r="C251" s="11" t="s">
        <v>357</v>
      </c>
      <c r="D251" s="10">
        <v>218</v>
      </c>
      <c r="E251" s="10">
        <v>8811779</v>
      </c>
      <c r="F251" s="10" t="s">
        <v>1</v>
      </c>
      <c r="G251" s="10">
        <v>13.71</v>
      </c>
      <c r="H251" s="10">
        <v>17.48</v>
      </c>
      <c r="I251" s="10">
        <v>65.05</v>
      </c>
      <c r="J251" s="10">
        <v>321.2</v>
      </c>
      <c r="K251" s="10">
        <v>8.054E-2</v>
      </c>
      <c r="L251" s="10">
        <v>5.9069999999999998E-2</v>
      </c>
      <c r="M251" s="10">
        <v>5.774E-2</v>
      </c>
      <c r="N251" s="10">
        <v>1.0710000000000001E-2</v>
      </c>
      <c r="O251" s="10">
        <v>0.19639999999999999</v>
      </c>
      <c r="P251" s="10">
        <v>6.3149999999999998E-2</v>
      </c>
      <c r="Q251" s="10">
        <v>0.35670000000000002</v>
      </c>
      <c r="R251" s="10">
        <v>1.9219999999999999</v>
      </c>
      <c r="S251" s="10">
        <v>2.7469999999999999</v>
      </c>
      <c r="T251" s="10">
        <v>22.79</v>
      </c>
      <c r="U251" s="10">
        <v>4.6800000000000001E-3</v>
      </c>
      <c r="V251" s="10">
        <v>3.1199999999999999E-2</v>
      </c>
      <c r="W251" s="10">
        <v>5.774E-2</v>
      </c>
      <c r="X251" s="10">
        <v>1.0710000000000001E-2</v>
      </c>
      <c r="Y251" s="10">
        <v>2.5600000000000001E-2</v>
      </c>
      <c r="Z251" s="10">
        <v>4.6129999999999999E-3</v>
      </c>
      <c r="AA251" s="10">
        <v>11.48</v>
      </c>
      <c r="AB251" s="10">
        <v>24.47</v>
      </c>
      <c r="AC251" s="10">
        <v>75.400000000000006</v>
      </c>
      <c r="AD251" s="10">
        <v>403.7</v>
      </c>
      <c r="AE251" s="10">
        <v>9.5269999999999994E-2</v>
      </c>
      <c r="AF251" s="10">
        <v>0.13969999999999999</v>
      </c>
      <c r="AG251" s="10">
        <v>0.1925</v>
      </c>
      <c r="AH251" s="10">
        <v>3.5709999999999999E-2</v>
      </c>
      <c r="AI251" s="10">
        <v>0.2868</v>
      </c>
      <c r="AJ251">
        <v>7.8090000000000007E-2</v>
      </c>
    </row>
    <row r="252" spans="3:36">
      <c r="C252" s="11" t="s">
        <v>358</v>
      </c>
      <c r="D252" s="10">
        <v>219</v>
      </c>
      <c r="E252" s="10">
        <v>8811842</v>
      </c>
      <c r="F252" s="10" t="s">
        <v>0</v>
      </c>
      <c r="G252" s="10">
        <v>13.71</v>
      </c>
      <c r="H252" s="10">
        <v>21.56</v>
      </c>
      <c r="I252" s="10">
        <v>129.69999999999999</v>
      </c>
      <c r="J252" s="10">
        <v>1230</v>
      </c>
      <c r="K252" s="10">
        <v>9.3829999999999997E-2</v>
      </c>
      <c r="L252" s="10">
        <v>0.13059999999999999</v>
      </c>
      <c r="M252" s="10">
        <v>0.12720000000000001</v>
      </c>
      <c r="N252" s="10">
        <v>8.6910000000000001E-2</v>
      </c>
      <c r="O252" s="10">
        <v>0.2094</v>
      </c>
      <c r="P252" s="10">
        <v>5.5809999999999998E-2</v>
      </c>
      <c r="Q252" s="10">
        <v>0.95530000000000004</v>
      </c>
      <c r="R252" s="10">
        <v>1.1859999999999999</v>
      </c>
      <c r="S252" s="10">
        <v>6.4870000000000001</v>
      </c>
      <c r="T252" s="10">
        <v>124.4</v>
      </c>
      <c r="U252" s="10">
        <v>6.8040000000000002E-3</v>
      </c>
      <c r="V252" s="10">
        <v>3.1690000000000003E-2</v>
      </c>
      <c r="W252" s="10">
        <v>3.4459999999999998E-2</v>
      </c>
      <c r="X252" s="10">
        <v>1.712E-2</v>
      </c>
      <c r="Y252" s="10">
        <v>1.8970000000000001E-2</v>
      </c>
      <c r="Z252" s="10">
        <v>4.045E-3</v>
      </c>
      <c r="AA252" s="10">
        <v>25.73</v>
      </c>
      <c r="AB252" s="10">
        <v>28.64</v>
      </c>
      <c r="AC252" s="10">
        <v>170.3</v>
      </c>
      <c r="AD252" s="10">
        <v>2009</v>
      </c>
      <c r="AE252" s="10">
        <v>0.1353</v>
      </c>
      <c r="AF252" s="10">
        <v>0.32350000000000001</v>
      </c>
      <c r="AG252" s="10">
        <v>0.36170000000000002</v>
      </c>
      <c r="AH252" s="10">
        <v>0.182</v>
      </c>
      <c r="AI252" s="10">
        <v>0.307</v>
      </c>
      <c r="AJ252">
        <v>8.2549999999999998E-2</v>
      </c>
    </row>
    <row r="253" spans="3:36">
      <c r="C253" s="11" t="s">
        <v>359</v>
      </c>
      <c r="D253" s="10">
        <v>220</v>
      </c>
      <c r="E253" s="10">
        <v>88119002</v>
      </c>
      <c r="F253" s="10" t="s">
        <v>0</v>
      </c>
      <c r="G253" s="10">
        <v>13.71</v>
      </c>
      <c r="H253" s="10">
        <v>32.47</v>
      </c>
      <c r="I253" s="10">
        <v>128</v>
      </c>
      <c r="J253" s="10">
        <v>1223</v>
      </c>
      <c r="K253" s="10">
        <v>8.4199999999999997E-2</v>
      </c>
      <c r="L253" s="10">
        <v>0.113</v>
      </c>
      <c r="M253" s="10">
        <v>0.1145</v>
      </c>
      <c r="N253" s="10">
        <v>6.6369999999999998E-2</v>
      </c>
      <c r="O253" s="10">
        <v>0.14280000000000001</v>
      </c>
      <c r="P253" s="10">
        <v>5.3129999999999997E-2</v>
      </c>
      <c r="Q253" s="10">
        <v>0.73919999999999997</v>
      </c>
      <c r="R253" s="10">
        <v>1.321</v>
      </c>
      <c r="S253" s="10">
        <v>4.7220000000000004</v>
      </c>
      <c r="T253" s="10">
        <v>109.9</v>
      </c>
      <c r="U253" s="10">
        <v>5.5389999999999997E-3</v>
      </c>
      <c r="V253" s="10">
        <v>2.6440000000000002E-2</v>
      </c>
      <c r="W253" s="10">
        <v>2.664E-2</v>
      </c>
      <c r="X253" s="10">
        <v>1.078E-2</v>
      </c>
      <c r="Y253" s="10">
        <v>1.332E-2</v>
      </c>
      <c r="Z253" s="10">
        <v>2.2560000000000002E-3</v>
      </c>
      <c r="AA253" s="10">
        <v>27.9</v>
      </c>
      <c r="AB253" s="10">
        <v>45.41</v>
      </c>
      <c r="AC253" s="10">
        <v>180.2</v>
      </c>
      <c r="AD253" s="10">
        <v>2477</v>
      </c>
      <c r="AE253" s="10">
        <v>0.14080000000000001</v>
      </c>
      <c r="AF253" s="10">
        <v>0.40970000000000001</v>
      </c>
      <c r="AG253" s="10">
        <v>0.39950000000000002</v>
      </c>
      <c r="AH253" s="10">
        <v>0.16250000000000001</v>
      </c>
      <c r="AI253" s="10">
        <v>0.27129999999999999</v>
      </c>
      <c r="AJ253">
        <v>7.5679999999999997E-2</v>
      </c>
    </row>
    <row r="254" spans="3:36">
      <c r="C254" s="11" t="s">
        <v>360</v>
      </c>
      <c r="D254" s="10">
        <v>221</v>
      </c>
      <c r="E254" s="10">
        <v>8812816</v>
      </c>
      <c r="F254" s="10" t="s">
        <v>1</v>
      </c>
      <c r="G254" s="10">
        <v>13.71</v>
      </c>
      <c r="H254" s="10">
        <v>13.16</v>
      </c>
      <c r="I254" s="10">
        <v>87.88</v>
      </c>
      <c r="J254" s="10">
        <v>568.9</v>
      </c>
      <c r="K254" s="10">
        <v>9.6460000000000004E-2</v>
      </c>
      <c r="L254" s="10">
        <v>8.7110000000000007E-2</v>
      </c>
      <c r="M254" s="10">
        <v>3.8879999999999998E-2</v>
      </c>
      <c r="N254" s="10">
        <v>2.563E-2</v>
      </c>
      <c r="O254" s="10">
        <v>0.13600000000000001</v>
      </c>
      <c r="P254" s="10">
        <v>6.3439999999999996E-2</v>
      </c>
      <c r="Q254" s="10">
        <v>0.2102</v>
      </c>
      <c r="R254" s="10">
        <v>0.43359999999999999</v>
      </c>
      <c r="S254" s="10">
        <v>1.391</v>
      </c>
      <c r="T254" s="10">
        <v>17.399999999999999</v>
      </c>
      <c r="U254" s="10">
        <v>4.1330000000000004E-3</v>
      </c>
      <c r="V254" s="10">
        <v>1.695E-2</v>
      </c>
      <c r="W254" s="10">
        <v>1.652E-2</v>
      </c>
      <c r="X254" s="10">
        <v>6.659E-3</v>
      </c>
      <c r="Y254" s="10">
        <v>1.371E-2</v>
      </c>
      <c r="Z254" s="10">
        <v>2.735E-3</v>
      </c>
      <c r="AA254" s="10">
        <v>15.34</v>
      </c>
      <c r="AB254" s="10">
        <v>16.350000000000001</v>
      </c>
      <c r="AC254" s="10">
        <v>99.71</v>
      </c>
      <c r="AD254" s="10">
        <v>706.2</v>
      </c>
      <c r="AE254" s="10">
        <v>0.13109999999999999</v>
      </c>
      <c r="AF254" s="10">
        <v>0.24740000000000001</v>
      </c>
      <c r="AG254" s="10">
        <v>0.1759</v>
      </c>
      <c r="AH254" s="10">
        <v>8.0560000000000007E-2</v>
      </c>
      <c r="AI254" s="10">
        <v>0.23799999999999999</v>
      </c>
      <c r="AJ254">
        <v>8.7179999999999994E-2</v>
      </c>
    </row>
    <row r="255" spans="3:36">
      <c r="C255" s="11" t="s">
        <v>361</v>
      </c>
      <c r="D255" s="10">
        <v>222</v>
      </c>
      <c r="E255" s="10">
        <v>8812818</v>
      </c>
      <c r="F255" s="10" t="s">
        <v>1</v>
      </c>
      <c r="G255" s="10">
        <v>13.71</v>
      </c>
      <c r="H255" s="10">
        <v>13.9</v>
      </c>
      <c r="I255" s="10">
        <v>88.59</v>
      </c>
      <c r="J255" s="10">
        <v>561.29999999999995</v>
      </c>
      <c r="K255" s="10">
        <v>0.1051</v>
      </c>
      <c r="L255" s="10">
        <v>0.1192</v>
      </c>
      <c r="M255" s="10">
        <v>7.8600000000000003E-2</v>
      </c>
      <c r="N255" s="10">
        <v>4.4510000000000001E-2</v>
      </c>
      <c r="O255" s="10">
        <v>0.19620000000000001</v>
      </c>
      <c r="P255" s="10">
        <v>6.3030000000000003E-2</v>
      </c>
      <c r="Q255" s="10">
        <v>0.25690000000000002</v>
      </c>
      <c r="R255" s="10">
        <v>0.49809999999999999</v>
      </c>
      <c r="S255" s="10">
        <v>2.0110000000000001</v>
      </c>
      <c r="T255" s="10">
        <v>21.03</v>
      </c>
      <c r="U255" s="10">
        <v>5.8510000000000003E-3</v>
      </c>
      <c r="V255" s="10">
        <v>2.3140000000000001E-2</v>
      </c>
      <c r="W255" s="10">
        <v>2.5440000000000001E-2</v>
      </c>
      <c r="X255" s="10">
        <v>8.3599999999999994E-3</v>
      </c>
      <c r="Y255" s="10">
        <v>1.8419999999999999E-2</v>
      </c>
      <c r="Z255" s="10">
        <v>2.918E-3</v>
      </c>
      <c r="AA255" s="10">
        <v>14.98</v>
      </c>
      <c r="AB255" s="10">
        <v>17.13</v>
      </c>
      <c r="AC255" s="10">
        <v>101.1</v>
      </c>
      <c r="AD255" s="10">
        <v>686.6</v>
      </c>
      <c r="AE255" s="10">
        <v>0.1376</v>
      </c>
      <c r="AF255" s="10">
        <v>0.26979999999999998</v>
      </c>
      <c r="AG255" s="10">
        <v>0.25769999999999998</v>
      </c>
      <c r="AH255" s="10">
        <v>9.0899999999999995E-2</v>
      </c>
      <c r="AI255" s="10">
        <v>0.30649999999999999</v>
      </c>
      <c r="AJ255">
        <v>8.1769999999999995E-2</v>
      </c>
    </row>
    <row r="256" spans="3:36">
      <c r="C256" s="11" t="s">
        <v>362</v>
      </c>
      <c r="D256" s="10">
        <v>223</v>
      </c>
      <c r="E256" s="10">
        <v>8812844</v>
      </c>
      <c r="F256" s="10" t="s">
        <v>1</v>
      </c>
      <c r="G256" s="10">
        <v>13.71</v>
      </c>
      <c r="H256" s="10">
        <v>17.53</v>
      </c>
      <c r="I256" s="10">
        <v>65.12</v>
      </c>
      <c r="J256" s="10">
        <v>313.10000000000002</v>
      </c>
      <c r="K256" s="10">
        <v>0.1061</v>
      </c>
      <c r="L256" s="10">
        <v>8.5019999999999998E-2</v>
      </c>
      <c r="M256" s="10">
        <v>1.7680000000000001E-2</v>
      </c>
      <c r="N256" s="10">
        <v>1.915E-2</v>
      </c>
      <c r="O256" s="10">
        <v>0.191</v>
      </c>
      <c r="P256" s="10">
        <v>6.9080000000000003E-2</v>
      </c>
      <c r="Q256" s="10">
        <v>0.2467</v>
      </c>
      <c r="R256" s="10">
        <v>1.2170000000000001</v>
      </c>
      <c r="S256" s="10">
        <v>1.641</v>
      </c>
      <c r="T256" s="10">
        <v>15.05</v>
      </c>
      <c r="U256" s="10">
        <v>7.8989999999999998E-3</v>
      </c>
      <c r="V256" s="10">
        <v>1.4E-2</v>
      </c>
      <c r="W256" s="10">
        <v>8.5339999999999999E-3</v>
      </c>
      <c r="X256" s="10">
        <v>7.6239999999999997E-3</v>
      </c>
      <c r="Y256" s="10">
        <v>2.6370000000000001E-2</v>
      </c>
      <c r="Z256" s="10">
        <v>3.761E-3</v>
      </c>
      <c r="AA256" s="10">
        <v>11.17</v>
      </c>
      <c r="AB256" s="10">
        <v>22.84</v>
      </c>
      <c r="AC256" s="10">
        <v>71.94</v>
      </c>
      <c r="AD256" s="10">
        <v>375.6</v>
      </c>
      <c r="AE256" s="10">
        <v>0.1406</v>
      </c>
      <c r="AF256" s="10">
        <v>0.14399999999999999</v>
      </c>
      <c r="AG256" s="10">
        <v>6.5720000000000001E-2</v>
      </c>
      <c r="AH256" s="10">
        <v>5.5750000000000001E-2</v>
      </c>
      <c r="AI256" s="10">
        <v>0.30549999999999999</v>
      </c>
      <c r="AJ256">
        <v>8.7970000000000007E-2</v>
      </c>
    </row>
    <row r="257" spans="3:36">
      <c r="C257" s="11" t="s">
        <v>363</v>
      </c>
      <c r="D257" s="10">
        <v>224</v>
      </c>
      <c r="E257" s="10">
        <v>8812877</v>
      </c>
      <c r="F257" s="10" t="s">
        <v>0</v>
      </c>
      <c r="G257" s="10">
        <v>13.71</v>
      </c>
      <c r="H257" s="10">
        <v>20.25</v>
      </c>
      <c r="I257" s="10">
        <v>102.6</v>
      </c>
      <c r="J257" s="10">
        <v>761.3</v>
      </c>
      <c r="K257" s="10">
        <v>0.10249999999999999</v>
      </c>
      <c r="L257" s="10">
        <v>0.12039999999999999</v>
      </c>
      <c r="M257" s="10">
        <v>0.1147</v>
      </c>
      <c r="N257" s="10">
        <v>6.4619999999999997E-2</v>
      </c>
      <c r="O257" s="10">
        <v>0.19350000000000001</v>
      </c>
      <c r="P257" s="10">
        <v>6.3030000000000003E-2</v>
      </c>
      <c r="Q257" s="10">
        <v>0.3473</v>
      </c>
      <c r="R257" s="10">
        <v>0.92090000000000005</v>
      </c>
      <c r="S257" s="10">
        <v>2.2440000000000002</v>
      </c>
      <c r="T257" s="10">
        <v>32.19</v>
      </c>
      <c r="U257" s="10">
        <v>4.7660000000000003E-3</v>
      </c>
      <c r="V257" s="10">
        <v>2.3740000000000001E-2</v>
      </c>
      <c r="W257" s="10">
        <v>2.384E-2</v>
      </c>
      <c r="X257" s="10">
        <v>8.6370000000000006E-3</v>
      </c>
      <c r="Y257" s="10">
        <v>1.772E-2</v>
      </c>
      <c r="Z257" s="10">
        <v>3.1310000000000001E-3</v>
      </c>
      <c r="AA257" s="10">
        <v>19.559999999999999</v>
      </c>
      <c r="AB257" s="10">
        <v>30.29</v>
      </c>
      <c r="AC257" s="10">
        <v>125.9</v>
      </c>
      <c r="AD257" s="10">
        <v>1088</v>
      </c>
      <c r="AE257" s="10">
        <v>0.1552</v>
      </c>
      <c r="AF257" s="10">
        <v>0.44800000000000001</v>
      </c>
      <c r="AG257" s="10">
        <v>0.39760000000000001</v>
      </c>
      <c r="AH257" s="10">
        <v>0.1479</v>
      </c>
      <c r="AI257" s="10">
        <v>0.39929999999999999</v>
      </c>
      <c r="AJ257">
        <v>0.10639999999999999</v>
      </c>
    </row>
    <row r="258" spans="3:36">
      <c r="C258" s="11" t="s">
        <v>364</v>
      </c>
      <c r="D258" s="10">
        <v>225</v>
      </c>
      <c r="E258" s="10">
        <v>8813129</v>
      </c>
      <c r="F258" s="10" t="s">
        <v>1</v>
      </c>
      <c r="G258" s="10">
        <v>13.71</v>
      </c>
      <c r="H258" s="10">
        <v>17.02</v>
      </c>
      <c r="I258" s="10">
        <v>84.55</v>
      </c>
      <c r="J258" s="10">
        <v>546.4</v>
      </c>
      <c r="K258" s="10">
        <v>8.4449999999999997E-2</v>
      </c>
      <c r="L258" s="10">
        <v>4.9939999999999998E-2</v>
      </c>
      <c r="M258" s="10">
        <v>3.5540000000000002E-2</v>
      </c>
      <c r="N258" s="10">
        <v>2.4559999999999998E-2</v>
      </c>
      <c r="O258" s="10">
        <v>0.14960000000000001</v>
      </c>
      <c r="P258" s="10">
        <v>5.6739999999999999E-2</v>
      </c>
      <c r="Q258" s="10">
        <v>0.29270000000000002</v>
      </c>
      <c r="R258" s="10">
        <v>0.89070000000000005</v>
      </c>
      <c r="S258" s="10">
        <v>2.044</v>
      </c>
      <c r="T258" s="10">
        <v>24.68</v>
      </c>
      <c r="U258" s="10">
        <v>6.032E-3</v>
      </c>
      <c r="V258" s="10">
        <v>1.1039999999999999E-2</v>
      </c>
      <c r="W258" s="10">
        <v>2.2589999999999999E-2</v>
      </c>
      <c r="X258" s="10">
        <v>9.0570000000000008E-3</v>
      </c>
      <c r="Y258" s="10">
        <v>1.482E-2</v>
      </c>
      <c r="Z258" s="10">
        <v>2.496E-3</v>
      </c>
      <c r="AA258" s="10">
        <v>15.14</v>
      </c>
      <c r="AB258" s="10">
        <v>23.6</v>
      </c>
      <c r="AC258" s="10">
        <v>98.84</v>
      </c>
      <c r="AD258" s="10">
        <v>708.8</v>
      </c>
      <c r="AE258" s="10">
        <v>0.12759999999999999</v>
      </c>
      <c r="AF258" s="10">
        <v>0.13109999999999999</v>
      </c>
      <c r="AG258" s="10">
        <v>0.17860000000000001</v>
      </c>
      <c r="AH258" s="10">
        <v>9.6780000000000005E-2</v>
      </c>
      <c r="AI258" s="10">
        <v>0.25059999999999999</v>
      </c>
      <c r="AJ258">
        <v>7.6230000000000006E-2</v>
      </c>
    </row>
    <row r="259" spans="3:36">
      <c r="C259" s="11" t="s">
        <v>365</v>
      </c>
      <c r="D259" s="10">
        <v>226</v>
      </c>
      <c r="E259" s="10">
        <v>88143502</v>
      </c>
      <c r="F259" s="10" t="s">
        <v>1</v>
      </c>
      <c r="G259" s="10">
        <v>13.71</v>
      </c>
      <c r="H259" s="10">
        <v>13.47</v>
      </c>
      <c r="I259" s="10">
        <v>92.51</v>
      </c>
      <c r="J259" s="10">
        <v>641.20000000000005</v>
      </c>
      <c r="K259" s="10">
        <v>9.9059999999999995E-2</v>
      </c>
      <c r="L259" s="10">
        <v>7.6240000000000002E-2</v>
      </c>
      <c r="M259" s="10">
        <v>5.7239999999999999E-2</v>
      </c>
      <c r="N259" s="10">
        <v>4.6030000000000001E-2</v>
      </c>
      <c r="O259" s="10">
        <v>0.20749999999999999</v>
      </c>
      <c r="P259" s="10">
        <v>5.4480000000000001E-2</v>
      </c>
      <c r="Q259" s="10">
        <v>0.52200000000000002</v>
      </c>
      <c r="R259" s="10">
        <v>0.81210000000000004</v>
      </c>
      <c r="S259" s="10">
        <v>3.7629999999999999</v>
      </c>
      <c r="T259" s="10">
        <v>48.29</v>
      </c>
      <c r="U259" s="10">
        <v>7.0889999999999998E-3</v>
      </c>
      <c r="V259" s="10">
        <v>1.4279999999999999E-2</v>
      </c>
      <c r="W259" s="10">
        <v>2.3599999999999999E-2</v>
      </c>
      <c r="X259" s="10">
        <v>1.286E-2</v>
      </c>
      <c r="Y259" s="10">
        <v>2.266E-2</v>
      </c>
      <c r="Z259" s="10">
        <v>1.4630000000000001E-3</v>
      </c>
      <c r="AA259" s="10">
        <v>16.77</v>
      </c>
      <c r="AB259" s="10">
        <v>16.899999999999999</v>
      </c>
      <c r="AC259" s="10">
        <v>110.4</v>
      </c>
      <c r="AD259" s="10">
        <v>873.2</v>
      </c>
      <c r="AE259" s="10">
        <v>0.12970000000000001</v>
      </c>
      <c r="AF259" s="10">
        <v>0.1525</v>
      </c>
      <c r="AG259" s="10">
        <v>0.16320000000000001</v>
      </c>
      <c r="AH259" s="10">
        <v>0.1087</v>
      </c>
      <c r="AI259" s="10">
        <v>0.30620000000000003</v>
      </c>
      <c r="AJ259">
        <v>6.0720000000000003E-2</v>
      </c>
    </row>
    <row r="260" spans="3:36">
      <c r="C260" s="11" t="s">
        <v>366</v>
      </c>
      <c r="D260" s="10">
        <v>227</v>
      </c>
      <c r="E260" s="10">
        <v>88147101</v>
      </c>
      <c r="F260" s="10" t="s">
        <v>1</v>
      </c>
      <c r="G260" s="10">
        <v>13.71</v>
      </c>
      <c r="H260" s="10">
        <v>15.46</v>
      </c>
      <c r="I260" s="10">
        <v>66.62</v>
      </c>
      <c r="J260" s="10">
        <v>329.6</v>
      </c>
      <c r="K260" s="10">
        <v>0.1053</v>
      </c>
      <c r="L260" s="10">
        <v>7.7219999999999997E-2</v>
      </c>
      <c r="M260" s="10">
        <v>6.6429999999999996E-3</v>
      </c>
      <c r="N260" s="10">
        <v>1.2160000000000001E-2</v>
      </c>
      <c r="O260" s="10">
        <v>0.17879999999999999</v>
      </c>
      <c r="P260" s="10">
        <v>6.4500000000000002E-2</v>
      </c>
      <c r="Q260" s="10">
        <v>0.1913</v>
      </c>
      <c r="R260" s="10">
        <v>0.90269999999999995</v>
      </c>
      <c r="S260" s="10">
        <v>1.208</v>
      </c>
      <c r="T260" s="10">
        <v>11.86</v>
      </c>
      <c r="U260" s="10">
        <v>6.5129999999999997E-3</v>
      </c>
      <c r="V260" s="10">
        <v>8.0610000000000005E-3</v>
      </c>
      <c r="W260" s="10">
        <v>2.8170000000000001E-3</v>
      </c>
      <c r="X260" s="10">
        <v>4.9719999999999999E-3</v>
      </c>
      <c r="Y260" s="10">
        <v>1.502E-2</v>
      </c>
      <c r="Z260" s="10">
        <v>2.8210000000000002E-3</v>
      </c>
      <c r="AA260" s="10">
        <v>11.52</v>
      </c>
      <c r="AB260" s="10">
        <v>19.8</v>
      </c>
      <c r="AC260" s="10">
        <v>73.47</v>
      </c>
      <c r="AD260" s="10">
        <v>395.4</v>
      </c>
      <c r="AE260" s="10">
        <v>0.1341</v>
      </c>
      <c r="AF260" s="10">
        <v>0.1153</v>
      </c>
      <c r="AG260" s="10">
        <v>2.639E-2</v>
      </c>
      <c r="AH260" s="10">
        <v>4.4639999999999999E-2</v>
      </c>
      <c r="AI260" s="10">
        <v>0.26150000000000001</v>
      </c>
      <c r="AJ260">
        <v>8.269E-2</v>
      </c>
    </row>
    <row r="261" spans="3:36">
      <c r="C261" s="11" t="s">
        <v>367</v>
      </c>
      <c r="D261" s="10">
        <v>228</v>
      </c>
      <c r="E261" s="10">
        <v>88147102</v>
      </c>
      <c r="F261" s="10" t="s">
        <v>1</v>
      </c>
      <c r="G261" s="10">
        <v>13.71</v>
      </c>
      <c r="H261" s="10">
        <v>15.51</v>
      </c>
      <c r="I261" s="10">
        <v>97.45</v>
      </c>
      <c r="J261" s="10">
        <v>684.5</v>
      </c>
      <c r="K261" s="10">
        <v>8.3710000000000007E-2</v>
      </c>
      <c r="L261" s="10">
        <v>0.1096</v>
      </c>
      <c r="M261" s="10">
        <v>6.5049999999999997E-2</v>
      </c>
      <c r="N261" s="10">
        <v>3.78E-2</v>
      </c>
      <c r="O261" s="10">
        <v>0.18809999999999999</v>
      </c>
      <c r="P261" s="10">
        <v>5.9069999999999998E-2</v>
      </c>
      <c r="Q261" s="10">
        <v>0.23180000000000001</v>
      </c>
      <c r="R261" s="10">
        <v>0.49659999999999999</v>
      </c>
      <c r="S261" s="10">
        <v>2.2759999999999998</v>
      </c>
      <c r="T261" s="10">
        <v>19.88</v>
      </c>
      <c r="U261" s="10">
        <v>4.1190000000000003E-3</v>
      </c>
      <c r="V261" s="10">
        <v>3.2070000000000001E-2</v>
      </c>
      <c r="W261" s="10">
        <v>3.644E-2</v>
      </c>
      <c r="X261" s="10">
        <v>1.155E-2</v>
      </c>
      <c r="Y261" s="10">
        <v>1.391E-2</v>
      </c>
      <c r="Z261" s="10">
        <v>3.2039999999999998E-3</v>
      </c>
      <c r="AA261" s="10">
        <v>16.41</v>
      </c>
      <c r="AB261" s="10">
        <v>19.309999999999999</v>
      </c>
      <c r="AC261" s="10">
        <v>114.2</v>
      </c>
      <c r="AD261" s="10">
        <v>808.2</v>
      </c>
      <c r="AE261" s="10">
        <v>0.11360000000000001</v>
      </c>
      <c r="AF261" s="10">
        <v>0.36270000000000002</v>
      </c>
      <c r="AG261" s="10">
        <v>0.3402</v>
      </c>
      <c r="AH261" s="10">
        <v>0.13789999999999999</v>
      </c>
      <c r="AI261" s="10">
        <v>0.2954</v>
      </c>
      <c r="AJ261">
        <v>8.362E-2</v>
      </c>
    </row>
    <row r="262" spans="3:36">
      <c r="C262" s="11" t="s">
        <v>368</v>
      </c>
      <c r="D262" s="10">
        <v>229</v>
      </c>
      <c r="E262" s="10">
        <v>88147202</v>
      </c>
      <c r="F262" s="10" t="s">
        <v>1</v>
      </c>
      <c r="G262" s="10">
        <v>13.71</v>
      </c>
      <c r="H262" s="10">
        <v>23.97</v>
      </c>
      <c r="I262" s="10">
        <v>81.349999999999994</v>
      </c>
      <c r="J262" s="10">
        <v>496.4</v>
      </c>
      <c r="K262" s="10">
        <v>7.9030000000000003E-2</v>
      </c>
      <c r="L262" s="10">
        <v>7.5289999999999996E-2</v>
      </c>
      <c r="M262" s="10">
        <v>5.4379999999999998E-2</v>
      </c>
      <c r="N262" s="10">
        <v>2.036E-2</v>
      </c>
      <c r="O262" s="10">
        <v>0.15140000000000001</v>
      </c>
      <c r="P262" s="10">
        <v>6.019E-2</v>
      </c>
      <c r="Q262" s="10">
        <v>0.24490000000000001</v>
      </c>
      <c r="R262" s="10">
        <v>1.0660000000000001</v>
      </c>
      <c r="S262" s="10">
        <v>1.4450000000000001</v>
      </c>
      <c r="T262" s="10">
        <v>18.510000000000002</v>
      </c>
      <c r="U262" s="10">
        <v>5.169E-3</v>
      </c>
      <c r="V262" s="10">
        <v>2.2939999999999999E-2</v>
      </c>
      <c r="W262" s="10">
        <v>3.0159999999999999E-2</v>
      </c>
      <c r="X262" s="10">
        <v>8.6910000000000008E-3</v>
      </c>
      <c r="Y262" s="10">
        <v>1.3650000000000001E-2</v>
      </c>
      <c r="Z262" s="10">
        <v>3.4069999999999999E-3</v>
      </c>
      <c r="AA262" s="10">
        <v>14.2</v>
      </c>
      <c r="AB262" s="10">
        <v>31.31</v>
      </c>
      <c r="AC262" s="10">
        <v>90.67</v>
      </c>
      <c r="AD262" s="10">
        <v>624</v>
      </c>
      <c r="AE262" s="10">
        <v>0.1227</v>
      </c>
      <c r="AF262" s="10">
        <v>0.34539999999999998</v>
      </c>
      <c r="AG262" s="10">
        <v>0.3911</v>
      </c>
      <c r="AH262" s="10">
        <v>0.11799999999999999</v>
      </c>
      <c r="AI262" s="10">
        <v>0.28260000000000002</v>
      </c>
      <c r="AJ262">
        <v>9.5850000000000005E-2</v>
      </c>
    </row>
    <row r="263" spans="3:36">
      <c r="C263" s="11" t="s">
        <v>369</v>
      </c>
      <c r="D263" s="10">
        <v>230</v>
      </c>
      <c r="E263" s="10">
        <v>881861</v>
      </c>
      <c r="F263" s="10" t="s">
        <v>0</v>
      </c>
      <c r="G263" s="10">
        <v>13.71</v>
      </c>
      <c r="H263" s="10">
        <v>22.33</v>
      </c>
      <c r="I263" s="10">
        <v>85.26</v>
      </c>
      <c r="J263" s="10">
        <v>503.2</v>
      </c>
      <c r="K263" s="10">
        <v>0.10879999999999999</v>
      </c>
      <c r="L263" s="10">
        <v>0.1799</v>
      </c>
      <c r="M263" s="10">
        <v>0.16950000000000001</v>
      </c>
      <c r="N263" s="10">
        <v>6.8610000000000004E-2</v>
      </c>
      <c r="O263" s="10">
        <v>0.21229999999999999</v>
      </c>
      <c r="P263" s="10">
        <v>7.2539999999999993E-2</v>
      </c>
      <c r="Q263" s="10">
        <v>0.30609999999999998</v>
      </c>
      <c r="R263" s="10">
        <v>1.069</v>
      </c>
      <c r="S263" s="10">
        <v>2.2570000000000001</v>
      </c>
      <c r="T263" s="10">
        <v>25.13</v>
      </c>
      <c r="U263" s="10">
        <v>6.9829999999999996E-3</v>
      </c>
      <c r="V263" s="10">
        <v>3.8580000000000003E-2</v>
      </c>
      <c r="W263" s="10">
        <v>4.6829999999999997E-2</v>
      </c>
      <c r="X263" s="10">
        <v>1.499E-2</v>
      </c>
      <c r="Y263" s="10">
        <v>1.6799999999999999E-2</v>
      </c>
      <c r="Z263" s="10">
        <v>5.6169999999999996E-3</v>
      </c>
      <c r="AA263" s="10">
        <v>15.2</v>
      </c>
      <c r="AB263" s="10">
        <v>30.15</v>
      </c>
      <c r="AC263" s="10">
        <v>105.3</v>
      </c>
      <c r="AD263" s="10">
        <v>706</v>
      </c>
      <c r="AE263" s="10">
        <v>0.1777</v>
      </c>
      <c r="AF263" s="10">
        <v>0.5343</v>
      </c>
      <c r="AG263" s="10">
        <v>0.62819999999999998</v>
      </c>
      <c r="AH263" s="10">
        <v>0.19769999999999999</v>
      </c>
      <c r="AI263" s="10">
        <v>0.3407</v>
      </c>
      <c r="AJ263">
        <v>0.12429999999999999</v>
      </c>
    </row>
    <row r="264" spans="3:36">
      <c r="C264" s="11" t="s">
        <v>370</v>
      </c>
      <c r="D264" s="10">
        <v>231</v>
      </c>
      <c r="E264" s="10">
        <v>881972</v>
      </c>
      <c r="F264" s="10" t="s">
        <v>0</v>
      </c>
      <c r="G264" s="10">
        <v>13.71</v>
      </c>
      <c r="H264" s="10">
        <v>19.079999999999998</v>
      </c>
      <c r="I264" s="10">
        <v>113.4</v>
      </c>
      <c r="J264" s="10">
        <v>895</v>
      </c>
      <c r="K264" s="10">
        <v>0.11409999999999999</v>
      </c>
      <c r="L264" s="10">
        <v>0.15720000000000001</v>
      </c>
      <c r="M264" s="10">
        <v>0.191</v>
      </c>
      <c r="N264" s="10">
        <v>0.109</v>
      </c>
      <c r="O264" s="10">
        <v>0.21310000000000001</v>
      </c>
      <c r="P264" s="10">
        <v>6.3250000000000001E-2</v>
      </c>
      <c r="Q264" s="10">
        <v>0.2959</v>
      </c>
      <c r="R264" s="10">
        <v>0.67900000000000005</v>
      </c>
      <c r="S264" s="10">
        <v>2.153</v>
      </c>
      <c r="T264" s="10">
        <v>31.98</v>
      </c>
      <c r="U264" s="10">
        <v>5.5319999999999996E-3</v>
      </c>
      <c r="V264" s="10">
        <v>2.0080000000000001E-2</v>
      </c>
      <c r="W264" s="10">
        <v>3.0550000000000001E-2</v>
      </c>
      <c r="X264" s="10">
        <v>1.384E-2</v>
      </c>
      <c r="Y264" s="10">
        <v>1.1769999999999999E-2</v>
      </c>
      <c r="Z264" s="10">
        <v>2.336E-3</v>
      </c>
      <c r="AA264" s="10">
        <v>19.59</v>
      </c>
      <c r="AB264" s="10">
        <v>24.89</v>
      </c>
      <c r="AC264" s="10">
        <v>133.5</v>
      </c>
      <c r="AD264" s="10">
        <v>1189</v>
      </c>
      <c r="AE264" s="10">
        <v>0.17030000000000001</v>
      </c>
      <c r="AF264" s="10">
        <v>0.39340000000000003</v>
      </c>
      <c r="AG264" s="10">
        <v>0.50180000000000002</v>
      </c>
      <c r="AH264" s="10">
        <v>0.25430000000000003</v>
      </c>
      <c r="AI264" s="10">
        <v>0.31090000000000001</v>
      </c>
      <c r="AJ264">
        <v>9.0609999999999996E-2</v>
      </c>
    </row>
    <row r="265" spans="3:36">
      <c r="C265" s="11" t="s">
        <v>371</v>
      </c>
      <c r="D265" s="10">
        <v>232</v>
      </c>
      <c r="E265" s="10">
        <v>88199202</v>
      </c>
      <c r="F265" s="10" t="s">
        <v>1</v>
      </c>
      <c r="G265" s="10">
        <v>13.71</v>
      </c>
      <c r="H265" s="10">
        <v>27.08</v>
      </c>
      <c r="I265" s="10">
        <v>71.760000000000005</v>
      </c>
      <c r="J265" s="10">
        <v>395.7</v>
      </c>
      <c r="K265" s="10">
        <v>6.8830000000000002E-2</v>
      </c>
      <c r="L265" s="10">
        <v>3.8129999999999997E-2</v>
      </c>
      <c r="M265" s="10">
        <v>1.6330000000000001E-2</v>
      </c>
      <c r="N265" s="10">
        <v>3.1250000000000002E-3</v>
      </c>
      <c r="O265" s="10">
        <v>0.18690000000000001</v>
      </c>
      <c r="P265" s="10">
        <v>5.6279999999999997E-2</v>
      </c>
      <c r="Q265" s="10">
        <v>0.121</v>
      </c>
      <c r="R265" s="10">
        <v>0.89270000000000005</v>
      </c>
      <c r="S265" s="10">
        <v>1.0589999999999999</v>
      </c>
      <c r="T265" s="10">
        <v>8.6050000000000004</v>
      </c>
      <c r="U265" s="10">
        <v>3.653E-3</v>
      </c>
      <c r="V265" s="10">
        <v>1.6469999999999999E-2</v>
      </c>
      <c r="W265" s="10">
        <v>1.6330000000000001E-2</v>
      </c>
      <c r="X265" s="10">
        <v>3.1250000000000002E-3</v>
      </c>
      <c r="Y265" s="10">
        <v>1.537E-2</v>
      </c>
      <c r="Z265" s="10">
        <v>2.052E-3</v>
      </c>
      <c r="AA265" s="10">
        <v>12.08</v>
      </c>
      <c r="AB265" s="10">
        <v>33.75</v>
      </c>
      <c r="AC265" s="10">
        <v>79.819999999999993</v>
      </c>
      <c r="AD265" s="10">
        <v>452.3</v>
      </c>
      <c r="AE265" s="10">
        <v>9.2030000000000001E-2</v>
      </c>
      <c r="AF265" s="10">
        <v>0.14319999999999999</v>
      </c>
      <c r="AG265" s="10">
        <v>0.1089</v>
      </c>
      <c r="AH265" s="10">
        <v>2.0830000000000001E-2</v>
      </c>
      <c r="AI265" s="10">
        <v>0.28489999999999999</v>
      </c>
      <c r="AJ265">
        <v>7.0870000000000002E-2</v>
      </c>
    </row>
    <row r="266" spans="3:36">
      <c r="C266" s="11" t="s">
        <v>372</v>
      </c>
      <c r="D266" s="10">
        <v>233</v>
      </c>
      <c r="E266" s="10">
        <v>88203002</v>
      </c>
      <c r="F266" s="10" t="s">
        <v>1</v>
      </c>
      <c r="G266" s="10">
        <v>13.71</v>
      </c>
      <c r="H266" s="10">
        <v>33.81</v>
      </c>
      <c r="I266" s="10">
        <v>70.790000000000006</v>
      </c>
      <c r="J266" s="10">
        <v>386.8</v>
      </c>
      <c r="K266" s="10">
        <v>7.7799999999999994E-2</v>
      </c>
      <c r="L266" s="10">
        <v>3.5740000000000001E-2</v>
      </c>
      <c r="M266" s="10">
        <v>4.9670000000000001E-3</v>
      </c>
      <c r="N266" s="10">
        <v>6.4339999999999996E-3</v>
      </c>
      <c r="O266" s="10">
        <v>0.1845</v>
      </c>
      <c r="P266" s="10">
        <v>5.8279999999999998E-2</v>
      </c>
      <c r="Q266" s="10">
        <v>0.22389999999999999</v>
      </c>
      <c r="R266" s="10">
        <v>1.647</v>
      </c>
      <c r="S266" s="10">
        <v>1.4890000000000001</v>
      </c>
      <c r="T266" s="10">
        <v>15.46</v>
      </c>
      <c r="U266" s="10">
        <v>4.359E-3</v>
      </c>
      <c r="V266" s="10">
        <v>6.8129999999999996E-3</v>
      </c>
      <c r="W266" s="10">
        <v>3.2230000000000002E-3</v>
      </c>
      <c r="X266" s="10">
        <v>3.4190000000000002E-3</v>
      </c>
      <c r="Y266" s="10">
        <v>1.916E-2</v>
      </c>
      <c r="Z266" s="10">
        <v>2.5339999999999998E-3</v>
      </c>
      <c r="AA266" s="10">
        <v>12.36</v>
      </c>
      <c r="AB266" s="10">
        <v>41.78</v>
      </c>
      <c r="AC266" s="10">
        <v>78.44</v>
      </c>
      <c r="AD266" s="10">
        <v>470.9</v>
      </c>
      <c r="AE266" s="10">
        <v>9.9940000000000001E-2</v>
      </c>
      <c r="AF266" s="10">
        <v>6.8849999999999995E-2</v>
      </c>
      <c r="AG266" s="10">
        <v>2.3179999999999999E-2</v>
      </c>
      <c r="AH266" s="10">
        <v>3.0020000000000002E-2</v>
      </c>
      <c r="AI266" s="10">
        <v>0.29110000000000003</v>
      </c>
      <c r="AJ266">
        <v>7.3069999999999996E-2</v>
      </c>
    </row>
    <row r="267" spans="3:36">
      <c r="C267" s="11" t="s">
        <v>373</v>
      </c>
      <c r="D267" s="10">
        <v>234</v>
      </c>
      <c r="E267" s="10">
        <v>88206102</v>
      </c>
      <c r="F267" s="10" t="s">
        <v>0</v>
      </c>
      <c r="G267" s="10">
        <v>13.71</v>
      </c>
      <c r="H267" s="10">
        <v>27.81</v>
      </c>
      <c r="I267" s="10">
        <v>134.4</v>
      </c>
      <c r="J267" s="10">
        <v>1319</v>
      </c>
      <c r="K267" s="10">
        <v>9.1590000000000005E-2</v>
      </c>
      <c r="L267" s="10">
        <v>0.1074</v>
      </c>
      <c r="M267" s="10">
        <v>0.15540000000000001</v>
      </c>
      <c r="N267" s="10">
        <v>8.3400000000000002E-2</v>
      </c>
      <c r="O267" s="10">
        <v>0.14480000000000001</v>
      </c>
      <c r="P267" s="10">
        <v>5.5919999999999997E-2</v>
      </c>
      <c r="Q267" s="10">
        <v>0.52400000000000002</v>
      </c>
      <c r="R267" s="10">
        <v>1.1890000000000001</v>
      </c>
      <c r="S267" s="10">
        <v>3.7669999999999999</v>
      </c>
      <c r="T267" s="10">
        <v>70.010000000000005</v>
      </c>
      <c r="U267" s="10">
        <v>5.0200000000000002E-3</v>
      </c>
      <c r="V267" s="10">
        <v>2.0619999999999999E-2</v>
      </c>
      <c r="W267" s="10">
        <v>3.4569999999999997E-2</v>
      </c>
      <c r="X267" s="10">
        <v>1.091E-2</v>
      </c>
      <c r="Y267" s="10">
        <v>1.298E-2</v>
      </c>
      <c r="Z267" s="10">
        <v>2.8869999999999998E-3</v>
      </c>
      <c r="AA267" s="10">
        <v>24.47</v>
      </c>
      <c r="AB267" s="10">
        <v>37.380000000000003</v>
      </c>
      <c r="AC267" s="10">
        <v>162.69999999999999</v>
      </c>
      <c r="AD267" s="10">
        <v>1872</v>
      </c>
      <c r="AE267" s="10">
        <v>0.12230000000000001</v>
      </c>
      <c r="AF267" s="10">
        <v>0.27610000000000001</v>
      </c>
      <c r="AG267" s="10">
        <v>0.41460000000000002</v>
      </c>
      <c r="AH267" s="10">
        <v>0.15629999999999999</v>
      </c>
      <c r="AI267" s="10">
        <v>0.2437</v>
      </c>
      <c r="AJ267">
        <v>8.3280000000000007E-2</v>
      </c>
    </row>
    <row r="268" spans="3:36">
      <c r="C268" s="11" t="s">
        <v>374</v>
      </c>
      <c r="D268" s="10">
        <v>235</v>
      </c>
      <c r="E268" s="10">
        <v>882488</v>
      </c>
      <c r="F268" s="10" t="s">
        <v>1</v>
      </c>
      <c r="G268" s="10">
        <v>13.71</v>
      </c>
      <c r="H268" s="10">
        <v>15.91</v>
      </c>
      <c r="I268" s="10">
        <v>60.21</v>
      </c>
      <c r="J268" s="10">
        <v>279.60000000000002</v>
      </c>
      <c r="K268" s="10">
        <v>8.4640000000000007E-2</v>
      </c>
      <c r="L268" s="10">
        <v>4.0869999999999997E-2</v>
      </c>
      <c r="M268" s="10">
        <v>1.652E-2</v>
      </c>
      <c r="N268" s="10">
        <v>1.6670000000000001E-2</v>
      </c>
      <c r="O268" s="10">
        <v>0.15509999999999999</v>
      </c>
      <c r="P268" s="10">
        <v>6.4030000000000004E-2</v>
      </c>
      <c r="Q268" s="10">
        <v>0.2152</v>
      </c>
      <c r="R268" s="10">
        <v>0.83009999999999995</v>
      </c>
      <c r="S268" s="10">
        <v>1.2150000000000001</v>
      </c>
      <c r="T268" s="10">
        <v>12.64</v>
      </c>
      <c r="U268" s="10">
        <v>1.1639999999999999E-2</v>
      </c>
      <c r="V268" s="10">
        <v>1.04E-2</v>
      </c>
      <c r="W268" s="10">
        <v>1.1860000000000001E-2</v>
      </c>
      <c r="X268" s="10">
        <v>9.6229999999999996E-3</v>
      </c>
      <c r="Y268" s="10">
        <v>2.383E-2</v>
      </c>
      <c r="Z268" s="10">
        <v>3.5400000000000002E-3</v>
      </c>
      <c r="AA268" s="10">
        <v>10.51</v>
      </c>
      <c r="AB268" s="10">
        <v>19.16</v>
      </c>
      <c r="AC268" s="10">
        <v>65.739999999999995</v>
      </c>
      <c r="AD268" s="10">
        <v>335.9</v>
      </c>
      <c r="AE268" s="10">
        <v>0.15040000000000001</v>
      </c>
      <c r="AF268" s="10">
        <v>9.5149999999999998E-2</v>
      </c>
      <c r="AG268" s="10">
        <v>7.1609999999999993E-2</v>
      </c>
      <c r="AH268" s="10">
        <v>7.2220000000000006E-2</v>
      </c>
      <c r="AI268" s="10">
        <v>0.2757</v>
      </c>
      <c r="AJ268">
        <v>8.1780000000000005E-2</v>
      </c>
    </row>
    <row r="269" spans="3:36">
      <c r="C269" s="11" t="s">
        <v>375</v>
      </c>
      <c r="D269" s="10">
        <v>236</v>
      </c>
      <c r="E269" s="10">
        <v>88249602</v>
      </c>
      <c r="F269" s="10" t="s">
        <v>1</v>
      </c>
      <c r="G269" s="10">
        <v>13.71</v>
      </c>
      <c r="H269" s="10">
        <v>21.25</v>
      </c>
      <c r="I269" s="10">
        <v>89.79</v>
      </c>
      <c r="J269" s="10">
        <v>603.4</v>
      </c>
      <c r="K269" s="10">
        <v>9.0700000000000003E-2</v>
      </c>
      <c r="L269" s="10">
        <v>6.9449999999999998E-2</v>
      </c>
      <c r="M269" s="10">
        <v>1.4619999999999999E-2</v>
      </c>
      <c r="N269" s="10">
        <v>1.8960000000000001E-2</v>
      </c>
      <c r="O269" s="10">
        <v>0.1517</v>
      </c>
      <c r="P269" s="10">
        <v>5.8349999999999999E-2</v>
      </c>
      <c r="Q269" s="10">
        <v>0.25890000000000002</v>
      </c>
      <c r="R269" s="10">
        <v>1.5029999999999999</v>
      </c>
      <c r="S269" s="10">
        <v>1.667</v>
      </c>
      <c r="T269" s="10">
        <v>22.07</v>
      </c>
      <c r="U269" s="10">
        <v>7.3889999999999997E-3</v>
      </c>
      <c r="V269" s="10">
        <v>1.383E-2</v>
      </c>
      <c r="W269" s="10">
        <v>7.3020000000000003E-3</v>
      </c>
      <c r="X269" s="10">
        <v>1.004E-2</v>
      </c>
      <c r="Y269" s="10">
        <v>1.2630000000000001E-2</v>
      </c>
      <c r="Z269" s="10">
        <v>2.9250000000000001E-3</v>
      </c>
      <c r="AA269" s="10">
        <v>15.33</v>
      </c>
      <c r="AB269" s="10">
        <v>30.28</v>
      </c>
      <c r="AC269" s="10">
        <v>98.27</v>
      </c>
      <c r="AD269" s="10">
        <v>715.5</v>
      </c>
      <c r="AE269" s="10">
        <v>0.12870000000000001</v>
      </c>
      <c r="AF269" s="10">
        <v>0.15129999999999999</v>
      </c>
      <c r="AG269" s="10">
        <v>6.2309999999999997E-2</v>
      </c>
      <c r="AH269" s="10">
        <v>7.9630000000000006E-2</v>
      </c>
      <c r="AI269" s="10">
        <v>0.22259999999999999</v>
      </c>
      <c r="AJ269">
        <v>7.6170000000000002E-2</v>
      </c>
    </row>
    <row r="270" spans="3:36">
      <c r="C270" s="11" t="s">
        <v>376</v>
      </c>
      <c r="D270" s="10">
        <v>237</v>
      </c>
      <c r="E270" s="10">
        <v>88299702</v>
      </c>
      <c r="F270" s="10" t="s">
        <v>0</v>
      </c>
      <c r="G270" s="10">
        <v>13.71</v>
      </c>
      <c r="H270" s="10">
        <v>26.97</v>
      </c>
      <c r="I270" s="10">
        <v>153.5</v>
      </c>
      <c r="J270" s="10">
        <v>1670</v>
      </c>
      <c r="K270" s="10">
        <v>9.5089999999999994E-2</v>
      </c>
      <c r="L270" s="10">
        <v>0.16819999999999999</v>
      </c>
      <c r="M270" s="10">
        <v>0.19500000000000001</v>
      </c>
      <c r="N270" s="10">
        <v>0.1237</v>
      </c>
      <c r="O270" s="10">
        <v>0.19089999999999999</v>
      </c>
      <c r="P270" s="10">
        <v>6.3089999999999993E-2</v>
      </c>
      <c r="Q270" s="10">
        <v>1.0580000000000001</v>
      </c>
      <c r="R270" s="10">
        <v>0.96350000000000002</v>
      </c>
      <c r="S270" s="10">
        <v>7.2469999999999999</v>
      </c>
      <c r="T270" s="10">
        <v>155.80000000000001</v>
      </c>
      <c r="U270" s="10">
        <v>6.4279999999999997E-3</v>
      </c>
      <c r="V270" s="10">
        <v>2.8629999999999999E-2</v>
      </c>
      <c r="W270" s="10">
        <v>4.4970000000000003E-2</v>
      </c>
      <c r="X270" s="10">
        <v>1.7160000000000002E-2</v>
      </c>
      <c r="Y270" s="10">
        <v>1.5900000000000001E-2</v>
      </c>
      <c r="Z270" s="10">
        <v>3.0530000000000002E-3</v>
      </c>
      <c r="AA270" s="10">
        <v>31.01</v>
      </c>
      <c r="AB270" s="10">
        <v>34.51</v>
      </c>
      <c r="AC270" s="10">
        <v>206</v>
      </c>
      <c r="AD270" s="10">
        <v>2944</v>
      </c>
      <c r="AE270" s="10">
        <v>0.14810000000000001</v>
      </c>
      <c r="AF270" s="10">
        <v>0.41260000000000002</v>
      </c>
      <c r="AG270" s="10">
        <v>0.58199999999999996</v>
      </c>
      <c r="AH270" s="10">
        <v>0.25929999999999997</v>
      </c>
      <c r="AI270" s="10">
        <v>0.31030000000000002</v>
      </c>
      <c r="AJ270">
        <v>8.677E-2</v>
      </c>
    </row>
    <row r="271" spans="3:36">
      <c r="C271" s="11" t="s">
        <v>377</v>
      </c>
      <c r="D271" s="10">
        <v>238</v>
      </c>
      <c r="E271" s="10">
        <v>883263</v>
      </c>
      <c r="F271" s="10" t="s">
        <v>0</v>
      </c>
      <c r="G271" s="10">
        <v>13.71</v>
      </c>
      <c r="H271" s="10">
        <v>21.46</v>
      </c>
      <c r="I271" s="10">
        <v>132.5</v>
      </c>
      <c r="J271" s="10">
        <v>1306</v>
      </c>
      <c r="K271" s="10">
        <v>8.3549999999999999E-2</v>
      </c>
      <c r="L271" s="10">
        <v>8.3479999999999999E-2</v>
      </c>
      <c r="M271" s="10">
        <v>9.042E-2</v>
      </c>
      <c r="N271" s="10">
        <v>6.0220000000000003E-2</v>
      </c>
      <c r="O271" s="10">
        <v>0.1467</v>
      </c>
      <c r="P271" s="10">
        <v>5.1769999999999997E-2</v>
      </c>
      <c r="Q271" s="10">
        <v>0.68740000000000001</v>
      </c>
      <c r="R271" s="10">
        <v>1.0409999999999999</v>
      </c>
      <c r="S271" s="10">
        <v>5.1440000000000001</v>
      </c>
      <c r="T271" s="10">
        <v>83.5</v>
      </c>
      <c r="U271" s="10">
        <v>7.9590000000000008E-3</v>
      </c>
      <c r="V271" s="10">
        <v>3.1329999999999997E-2</v>
      </c>
      <c r="W271" s="10">
        <v>4.2569999999999997E-2</v>
      </c>
      <c r="X271" s="10">
        <v>1.6709999999999999E-2</v>
      </c>
      <c r="Y271" s="10">
        <v>1.341E-2</v>
      </c>
      <c r="Z271" s="10">
        <v>3.9329999999999999E-3</v>
      </c>
      <c r="AA271" s="10">
        <v>24.22</v>
      </c>
      <c r="AB271" s="10">
        <v>26.17</v>
      </c>
      <c r="AC271" s="10">
        <v>161.69999999999999</v>
      </c>
      <c r="AD271" s="10">
        <v>1750</v>
      </c>
      <c r="AE271" s="10">
        <v>0.12280000000000001</v>
      </c>
      <c r="AF271" s="10">
        <v>0.2311</v>
      </c>
      <c r="AG271" s="10">
        <v>0.31580000000000003</v>
      </c>
      <c r="AH271" s="10">
        <v>0.14449999999999999</v>
      </c>
      <c r="AI271" s="10">
        <v>0.2238</v>
      </c>
      <c r="AJ271">
        <v>7.127E-2</v>
      </c>
    </row>
    <row r="272" spans="3:36">
      <c r="C272" s="11" t="s">
        <v>378</v>
      </c>
      <c r="D272" s="10">
        <v>239</v>
      </c>
      <c r="E272" s="10">
        <v>883270</v>
      </c>
      <c r="F272" s="10" t="s">
        <v>1</v>
      </c>
      <c r="G272" s="10">
        <v>13.71</v>
      </c>
      <c r="H272" s="10">
        <v>27.85</v>
      </c>
      <c r="I272" s="10">
        <v>92.55</v>
      </c>
      <c r="J272" s="10">
        <v>623.9</v>
      </c>
      <c r="K272" s="10">
        <v>8.2229999999999998E-2</v>
      </c>
      <c r="L272" s="10">
        <v>0.10390000000000001</v>
      </c>
      <c r="M272" s="10">
        <v>0.1103</v>
      </c>
      <c r="N272" s="10">
        <v>4.4080000000000001E-2</v>
      </c>
      <c r="O272" s="10">
        <v>0.13420000000000001</v>
      </c>
      <c r="P272" s="10">
        <v>6.1289999999999997E-2</v>
      </c>
      <c r="Q272" s="10">
        <v>0.33539999999999998</v>
      </c>
      <c r="R272" s="10">
        <v>2.3239999999999998</v>
      </c>
      <c r="S272" s="10">
        <v>2.105</v>
      </c>
      <c r="T272" s="10">
        <v>29.96</v>
      </c>
      <c r="U272" s="10">
        <v>6.3070000000000001E-3</v>
      </c>
      <c r="V272" s="10">
        <v>2.845E-2</v>
      </c>
      <c r="W272" s="10">
        <v>3.85E-2</v>
      </c>
      <c r="X272" s="10">
        <v>1.0109999999999999E-2</v>
      </c>
      <c r="Y272" s="10">
        <v>1.1849999999999999E-2</v>
      </c>
      <c r="Z272" s="10">
        <v>3.5890000000000002E-3</v>
      </c>
      <c r="AA272" s="10">
        <v>15.75</v>
      </c>
      <c r="AB272" s="10">
        <v>40.54</v>
      </c>
      <c r="AC272" s="10">
        <v>102.5</v>
      </c>
      <c r="AD272" s="10">
        <v>764</v>
      </c>
      <c r="AE272" s="10">
        <v>0.1081</v>
      </c>
      <c r="AF272" s="10">
        <v>0.24260000000000001</v>
      </c>
      <c r="AG272" s="10">
        <v>0.30640000000000001</v>
      </c>
      <c r="AH272" s="10">
        <v>8.2189999999999999E-2</v>
      </c>
      <c r="AI272" s="10">
        <v>0.189</v>
      </c>
      <c r="AJ272">
        <v>7.7960000000000002E-2</v>
      </c>
    </row>
    <row r="273" spans="3:36">
      <c r="C273" s="11" t="s">
        <v>379</v>
      </c>
      <c r="D273" s="10">
        <v>240</v>
      </c>
      <c r="E273" s="10">
        <v>88330202</v>
      </c>
      <c r="F273" s="10" t="s">
        <v>0</v>
      </c>
      <c r="G273" s="10">
        <v>13.71</v>
      </c>
      <c r="H273" s="10">
        <v>39.28</v>
      </c>
      <c r="I273" s="10">
        <v>113.4</v>
      </c>
      <c r="J273" s="10">
        <v>920.6</v>
      </c>
      <c r="K273" s="10">
        <v>9.8119999999999999E-2</v>
      </c>
      <c r="L273" s="10">
        <v>0.1298</v>
      </c>
      <c r="M273" s="10">
        <v>0.14169999999999999</v>
      </c>
      <c r="N273" s="10">
        <v>8.8109999999999994E-2</v>
      </c>
      <c r="O273" s="10">
        <v>0.18090000000000001</v>
      </c>
      <c r="P273" s="10">
        <v>5.9659999999999998E-2</v>
      </c>
      <c r="Q273" s="10">
        <v>0.53659999999999997</v>
      </c>
      <c r="R273" s="10">
        <v>0.85609999999999997</v>
      </c>
      <c r="S273" s="10">
        <v>3.0019999999999998</v>
      </c>
      <c r="T273" s="10">
        <v>49</v>
      </c>
      <c r="U273" s="10">
        <v>4.8599999999999997E-3</v>
      </c>
      <c r="V273" s="10">
        <v>2.785E-2</v>
      </c>
      <c r="W273" s="10">
        <v>2.6020000000000001E-2</v>
      </c>
      <c r="X273" s="10">
        <v>1.374E-2</v>
      </c>
      <c r="Y273" s="10">
        <v>1.226E-2</v>
      </c>
      <c r="Z273" s="10">
        <v>2.7590000000000002E-3</v>
      </c>
      <c r="AA273" s="10">
        <v>22.51</v>
      </c>
      <c r="AB273" s="10">
        <v>44.87</v>
      </c>
      <c r="AC273" s="10">
        <v>141.19999999999999</v>
      </c>
      <c r="AD273" s="10">
        <v>1408</v>
      </c>
      <c r="AE273" s="10">
        <v>0.13650000000000001</v>
      </c>
      <c r="AF273" s="10">
        <v>0.3735</v>
      </c>
      <c r="AG273" s="10">
        <v>0.3241</v>
      </c>
      <c r="AH273" s="10">
        <v>0.20660000000000001</v>
      </c>
      <c r="AI273" s="10">
        <v>0.2853</v>
      </c>
      <c r="AJ273">
        <v>8.4959999999999994E-2</v>
      </c>
    </row>
    <row r="274" spans="3:36">
      <c r="C274" s="11" t="s">
        <v>380</v>
      </c>
      <c r="D274" s="10">
        <v>241</v>
      </c>
      <c r="E274" s="10">
        <v>88350402</v>
      </c>
      <c r="F274" s="10" t="s">
        <v>1</v>
      </c>
      <c r="G274" s="10">
        <v>13.71</v>
      </c>
      <c r="H274" s="10">
        <v>15.6</v>
      </c>
      <c r="I274" s="10">
        <v>87.38</v>
      </c>
      <c r="J274" s="10">
        <v>575.29999999999995</v>
      </c>
      <c r="K274" s="10">
        <v>9.4229999999999994E-2</v>
      </c>
      <c r="L274" s="10">
        <v>6.6299999999999998E-2</v>
      </c>
      <c r="M274" s="10">
        <v>4.7050000000000002E-2</v>
      </c>
      <c r="N274" s="10">
        <v>3.7310000000000003E-2</v>
      </c>
      <c r="O274" s="10">
        <v>0.17169999999999999</v>
      </c>
      <c r="P274" s="10">
        <v>5.6599999999999998E-2</v>
      </c>
      <c r="Q274" s="10">
        <v>0.32419999999999999</v>
      </c>
      <c r="R274" s="10">
        <v>0.66120000000000001</v>
      </c>
      <c r="S274" s="10">
        <v>1.996</v>
      </c>
      <c r="T274" s="10">
        <v>27.19</v>
      </c>
      <c r="U274" s="10">
        <v>6.4700000000000001E-3</v>
      </c>
      <c r="V274" s="10">
        <v>1.248E-2</v>
      </c>
      <c r="W274" s="10">
        <v>1.8100000000000002E-2</v>
      </c>
      <c r="X274" s="10">
        <v>1.103E-2</v>
      </c>
      <c r="Y274" s="10">
        <v>1.898E-2</v>
      </c>
      <c r="Z274" s="10">
        <v>1.794E-3</v>
      </c>
      <c r="AA274" s="10">
        <v>14.85</v>
      </c>
      <c r="AB274" s="10">
        <v>19.05</v>
      </c>
      <c r="AC274" s="10">
        <v>94.11</v>
      </c>
      <c r="AD274" s="10">
        <v>683.4</v>
      </c>
      <c r="AE274" s="10">
        <v>0.1278</v>
      </c>
      <c r="AF274" s="10">
        <v>0.12909999999999999</v>
      </c>
      <c r="AG274" s="10">
        <v>0.15329999999999999</v>
      </c>
      <c r="AH274" s="10">
        <v>9.2219999999999996E-2</v>
      </c>
      <c r="AI274" s="10">
        <v>0.253</v>
      </c>
      <c r="AJ274">
        <v>6.5100000000000005E-2</v>
      </c>
    </row>
    <row r="275" spans="3:36">
      <c r="C275" s="11" t="s">
        <v>381</v>
      </c>
      <c r="D275" s="10">
        <v>242</v>
      </c>
      <c r="E275" s="10">
        <v>883539</v>
      </c>
      <c r="F275" s="10" t="s">
        <v>1</v>
      </c>
      <c r="G275" s="10">
        <v>13.71</v>
      </c>
      <c r="H275" s="10">
        <v>15.04</v>
      </c>
      <c r="I275" s="10">
        <v>78.61</v>
      </c>
      <c r="J275" s="10">
        <v>476.5</v>
      </c>
      <c r="K275" s="10">
        <v>7.9259999999999997E-2</v>
      </c>
      <c r="L275" s="10">
        <v>3.3930000000000002E-2</v>
      </c>
      <c r="M275" s="10">
        <v>1.0529999999999999E-2</v>
      </c>
      <c r="N275" s="10">
        <v>1.108E-2</v>
      </c>
      <c r="O275" s="10">
        <v>0.15459999999999999</v>
      </c>
      <c r="P275" s="10">
        <v>5.7540000000000001E-2</v>
      </c>
      <c r="Q275" s="10">
        <v>0.1153</v>
      </c>
      <c r="R275" s="10">
        <v>0.67449999999999999</v>
      </c>
      <c r="S275" s="10">
        <v>0.75700000000000001</v>
      </c>
      <c r="T275" s="10">
        <v>9.0060000000000002</v>
      </c>
      <c r="U275" s="10">
        <v>3.2650000000000001E-3</v>
      </c>
      <c r="V275" s="10">
        <v>4.9300000000000004E-3</v>
      </c>
      <c r="W275" s="10">
        <v>6.4929999999999996E-3</v>
      </c>
      <c r="X275" s="10">
        <v>3.7620000000000002E-3</v>
      </c>
      <c r="Y275" s="10">
        <v>1.72E-2</v>
      </c>
      <c r="Z275" s="10">
        <v>1.3600000000000001E-3</v>
      </c>
      <c r="AA275" s="10">
        <v>13.2</v>
      </c>
      <c r="AB275" s="10">
        <v>20.37</v>
      </c>
      <c r="AC275" s="10">
        <v>83.85</v>
      </c>
      <c r="AD275" s="10">
        <v>543.4</v>
      </c>
      <c r="AE275" s="10">
        <v>0.1037</v>
      </c>
      <c r="AF275" s="10">
        <v>7.7759999999999996E-2</v>
      </c>
      <c r="AG275" s="10">
        <v>6.2429999999999999E-2</v>
      </c>
      <c r="AH275" s="10">
        <v>4.052E-2</v>
      </c>
      <c r="AI275" s="10">
        <v>0.29010000000000002</v>
      </c>
      <c r="AJ275">
        <v>6.7830000000000001E-2</v>
      </c>
    </row>
    <row r="276" spans="3:36">
      <c r="C276" s="11" t="s">
        <v>382</v>
      </c>
      <c r="D276" s="10">
        <v>243</v>
      </c>
      <c r="E276" s="10">
        <v>883852</v>
      </c>
      <c r="F276" s="10" t="s">
        <v>1</v>
      </c>
      <c r="G276" s="10">
        <v>13.71</v>
      </c>
      <c r="H276" s="10">
        <v>18.190000000000001</v>
      </c>
      <c r="I276" s="10">
        <v>73.930000000000007</v>
      </c>
      <c r="J276" s="10">
        <v>389.4</v>
      </c>
      <c r="K276" s="10">
        <v>9.5920000000000005E-2</v>
      </c>
      <c r="L276" s="10">
        <v>0.13250000000000001</v>
      </c>
      <c r="M276" s="10">
        <v>0.15479999999999999</v>
      </c>
      <c r="N276" s="10">
        <v>2.8539999999999999E-2</v>
      </c>
      <c r="O276" s="10">
        <v>0.2054</v>
      </c>
      <c r="P276" s="10">
        <v>7.6689999999999994E-2</v>
      </c>
      <c r="Q276" s="10">
        <v>0.24279999999999999</v>
      </c>
      <c r="R276" s="10">
        <v>1.6419999999999999</v>
      </c>
      <c r="S276" s="10">
        <v>2.3690000000000002</v>
      </c>
      <c r="T276" s="10">
        <v>16.39</v>
      </c>
      <c r="U276" s="10">
        <v>6.6629999999999997E-3</v>
      </c>
      <c r="V276" s="10">
        <v>5.9139999999999998E-2</v>
      </c>
      <c r="W276" s="10">
        <v>8.8800000000000004E-2</v>
      </c>
      <c r="X276" s="10">
        <v>1.3140000000000001E-2</v>
      </c>
      <c r="Y276" s="10">
        <v>1.9949999999999999E-2</v>
      </c>
      <c r="Z276" s="10">
        <v>8.6750000000000004E-3</v>
      </c>
      <c r="AA276" s="10">
        <v>12.58</v>
      </c>
      <c r="AB276" s="10">
        <v>27.96</v>
      </c>
      <c r="AC276" s="10">
        <v>87.16</v>
      </c>
      <c r="AD276" s="10">
        <v>472.9</v>
      </c>
      <c r="AE276" s="10">
        <v>0.13469999999999999</v>
      </c>
      <c r="AF276" s="10">
        <v>0.48480000000000001</v>
      </c>
      <c r="AG276" s="10">
        <v>0.74360000000000004</v>
      </c>
      <c r="AH276" s="10">
        <v>0.12180000000000001</v>
      </c>
      <c r="AI276" s="10">
        <v>0.33079999999999998</v>
      </c>
      <c r="AJ276">
        <v>0.12970000000000001</v>
      </c>
    </row>
    <row r="277" spans="3:36">
      <c r="C277" s="11" t="s">
        <v>383</v>
      </c>
      <c r="D277" s="10">
        <v>244</v>
      </c>
      <c r="E277" s="10">
        <v>88411702</v>
      </c>
      <c r="F277" s="10" t="s">
        <v>1</v>
      </c>
      <c r="G277" s="10">
        <v>13.71</v>
      </c>
      <c r="H277" s="10">
        <v>23.77</v>
      </c>
      <c r="I277" s="10">
        <v>88.54</v>
      </c>
      <c r="J277" s="10">
        <v>590</v>
      </c>
      <c r="K277" s="10">
        <v>8.0430000000000001E-2</v>
      </c>
      <c r="L277" s="10">
        <v>6.8070000000000006E-2</v>
      </c>
      <c r="M277" s="10">
        <v>4.6969999999999998E-2</v>
      </c>
      <c r="N277" s="10">
        <v>2.3439999999999999E-2</v>
      </c>
      <c r="O277" s="10">
        <v>0.17730000000000001</v>
      </c>
      <c r="P277" s="10">
        <v>5.4289999999999998E-2</v>
      </c>
      <c r="Q277" s="10">
        <v>0.43469999999999998</v>
      </c>
      <c r="R277" s="10">
        <v>1.0569999999999999</v>
      </c>
      <c r="S277" s="10">
        <v>2.8290000000000002</v>
      </c>
      <c r="T277" s="10">
        <v>39.93</v>
      </c>
      <c r="U277" s="10">
        <v>4.3509999999999998E-3</v>
      </c>
      <c r="V277" s="10">
        <v>2.6669999999999999E-2</v>
      </c>
      <c r="W277" s="10">
        <v>3.3709999999999997E-2</v>
      </c>
      <c r="X277" s="10">
        <v>1.0070000000000001E-2</v>
      </c>
      <c r="Y277" s="10">
        <v>2.598E-2</v>
      </c>
      <c r="Z277" s="10">
        <v>3.0869999999999999E-3</v>
      </c>
      <c r="AA277" s="10">
        <v>15.01</v>
      </c>
      <c r="AB277" s="10">
        <v>26.34</v>
      </c>
      <c r="AC277" s="10">
        <v>98</v>
      </c>
      <c r="AD277" s="10">
        <v>706</v>
      </c>
      <c r="AE277" s="10">
        <v>9.3679999999999999E-2</v>
      </c>
      <c r="AF277" s="10">
        <v>0.14419999999999999</v>
      </c>
      <c r="AG277" s="10">
        <v>0.13589999999999999</v>
      </c>
      <c r="AH277" s="10">
        <v>6.1060000000000003E-2</v>
      </c>
      <c r="AI277" s="10">
        <v>0.26629999999999998</v>
      </c>
      <c r="AJ277">
        <v>6.3210000000000002E-2</v>
      </c>
    </row>
    <row r="278" spans="3:36">
      <c r="C278" s="11" t="s">
        <v>384</v>
      </c>
      <c r="D278" s="10">
        <v>245</v>
      </c>
      <c r="E278" s="10">
        <v>884180</v>
      </c>
      <c r="F278" s="10" t="s">
        <v>0</v>
      </c>
      <c r="G278" s="10">
        <v>13.71</v>
      </c>
      <c r="H278" s="10">
        <v>23.5</v>
      </c>
      <c r="I278" s="10">
        <v>129.1</v>
      </c>
      <c r="J278" s="10">
        <v>1155</v>
      </c>
      <c r="K278" s="10">
        <v>0.1027</v>
      </c>
      <c r="L278" s="10">
        <v>0.15579999999999999</v>
      </c>
      <c r="M278" s="10">
        <v>0.2049</v>
      </c>
      <c r="N278" s="10">
        <v>8.8859999999999995E-2</v>
      </c>
      <c r="O278" s="10">
        <v>0.1978</v>
      </c>
      <c r="P278" s="10">
        <v>0.06</v>
      </c>
      <c r="Q278" s="10">
        <v>0.52429999999999999</v>
      </c>
      <c r="R278" s="10">
        <v>1.802</v>
      </c>
      <c r="S278" s="10">
        <v>4.0369999999999999</v>
      </c>
      <c r="T278" s="10">
        <v>60.41</v>
      </c>
      <c r="U278" s="10">
        <v>1.061E-2</v>
      </c>
      <c r="V278" s="10">
        <v>3.252E-2</v>
      </c>
      <c r="W278" s="10">
        <v>3.9149999999999997E-2</v>
      </c>
      <c r="X278" s="10">
        <v>1.559E-2</v>
      </c>
      <c r="Y278" s="10">
        <v>2.1860000000000001E-2</v>
      </c>
      <c r="Z278" s="10">
        <v>3.9490000000000003E-3</v>
      </c>
      <c r="AA278" s="10">
        <v>21.65</v>
      </c>
      <c r="AB278" s="10">
        <v>30.53</v>
      </c>
      <c r="AC278" s="10">
        <v>144.9</v>
      </c>
      <c r="AD278" s="10">
        <v>1417</v>
      </c>
      <c r="AE278" s="10">
        <v>0.14630000000000001</v>
      </c>
      <c r="AF278" s="10">
        <v>0.29680000000000001</v>
      </c>
      <c r="AG278" s="10">
        <v>0.3458</v>
      </c>
      <c r="AH278" s="10">
        <v>0.15640000000000001</v>
      </c>
      <c r="AI278" s="10">
        <v>0.29199999999999998</v>
      </c>
      <c r="AJ278">
        <v>7.6139999999999999E-2</v>
      </c>
    </row>
    <row r="279" spans="3:36">
      <c r="C279" s="11" t="s">
        <v>385</v>
      </c>
      <c r="D279" s="10">
        <v>246</v>
      </c>
      <c r="E279" s="10">
        <v>884437</v>
      </c>
      <c r="F279" s="10" t="s">
        <v>1</v>
      </c>
      <c r="G279" s="10">
        <v>13.71</v>
      </c>
      <c r="H279" s="10">
        <v>19.86</v>
      </c>
      <c r="I279" s="10">
        <v>66.72</v>
      </c>
      <c r="J279" s="10">
        <v>337.7</v>
      </c>
      <c r="K279" s="10">
        <v>0.107</v>
      </c>
      <c r="L279" s="10">
        <v>5.9709999999999999E-2</v>
      </c>
      <c r="M279" s="10">
        <v>4.8309999999999999E-2</v>
      </c>
      <c r="N279" s="10">
        <v>3.0700000000000002E-2</v>
      </c>
      <c r="O279" s="10">
        <v>0.17369999999999999</v>
      </c>
      <c r="P279" s="10">
        <v>6.4399999999999999E-2</v>
      </c>
      <c r="Q279" s="10">
        <v>0.37190000000000001</v>
      </c>
      <c r="R279" s="10">
        <v>2.6120000000000001</v>
      </c>
      <c r="S279" s="10">
        <v>2.5169999999999999</v>
      </c>
      <c r="T279" s="10">
        <v>23.22</v>
      </c>
      <c r="U279" s="10">
        <v>1.6039999999999999E-2</v>
      </c>
      <c r="V279" s="10">
        <v>1.3860000000000001E-2</v>
      </c>
      <c r="W279" s="10">
        <v>1.865E-2</v>
      </c>
      <c r="X279" s="10">
        <v>1.133E-2</v>
      </c>
      <c r="Y279" s="10">
        <v>3.4759999999999999E-2</v>
      </c>
      <c r="Z279" s="10">
        <v>3.5599999999999998E-3</v>
      </c>
      <c r="AA279" s="10">
        <v>11.48</v>
      </c>
      <c r="AB279" s="10">
        <v>29.46</v>
      </c>
      <c r="AC279" s="10">
        <v>73.680000000000007</v>
      </c>
      <c r="AD279" s="10">
        <v>402.8</v>
      </c>
      <c r="AE279" s="10">
        <v>0.1515</v>
      </c>
      <c r="AF279" s="10">
        <v>0.1026</v>
      </c>
      <c r="AG279" s="10">
        <v>0.1181</v>
      </c>
      <c r="AH279" s="10">
        <v>6.7360000000000003E-2</v>
      </c>
      <c r="AI279" s="10">
        <v>0.2883</v>
      </c>
      <c r="AJ279">
        <v>7.7479999999999993E-2</v>
      </c>
    </row>
    <row r="280" spans="3:36">
      <c r="C280" s="11" t="s">
        <v>386</v>
      </c>
      <c r="D280" s="10">
        <v>247</v>
      </c>
      <c r="E280" s="10">
        <v>884448</v>
      </c>
      <c r="F280" s="10" t="s">
        <v>1</v>
      </c>
      <c r="G280" s="10">
        <v>13.71</v>
      </c>
      <c r="H280" s="10">
        <v>17.43</v>
      </c>
      <c r="I280" s="10">
        <v>84.13</v>
      </c>
      <c r="J280" s="10">
        <v>541.6</v>
      </c>
      <c r="K280" s="10">
        <v>7.2150000000000006E-2</v>
      </c>
      <c r="L280" s="10">
        <v>4.5240000000000002E-2</v>
      </c>
      <c r="M280" s="10">
        <v>4.3360000000000003E-2</v>
      </c>
      <c r="N280" s="10">
        <v>1.1050000000000001E-2</v>
      </c>
      <c r="O280" s="10">
        <v>0.1487</v>
      </c>
      <c r="P280" s="10">
        <v>5.6349999999999997E-2</v>
      </c>
      <c r="Q280" s="10">
        <v>0.16300000000000001</v>
      </c>
      <c r="R280" s="10">
        <v>1.601</v>
      </c>
      <c r="S280" s="10">
        <v>0.873</v>
      </c>
      <c r="T280" s="10">
        <v>13.56</v>
      </c>
      <c r="U280" s="10">
        <v>6.2610000000000001E-3</v>
      </c>
      <c r="V280" s="10">
        <v>1.5689999999999999E-2</v>
      </c>
      <c r="W280" s="10">
        <v>3.0790000000000001E-2</v>
      </c>
      <c r="X280" s="10">
        <v>5.3829999999999998E-3</v>
      </c>
      <c r="Y280" s="10">
        <v>1.9619999999999999E-2</v>
      </c>
      <c r="Z280" s="10">
        <v>2.2499999999999998E-3</v>
      </c>
      <c r="AA280" s="10">
        <v>13.94</v>
      </c>
      <c r="AB280" s="10">
        <v>27.82</v>
      </c>
      <c r="AC280" s="10">
        <v>88.28</v>
      </c>
      <c r="AD280" s="10">
        <v>602</v>
      </c>
      <c r="AE280" s="10">
        <v>0.1101</v>
      </c>
      <c r="AF280" s="10">
        <v>0.15079999999999999</v>
      </c>
      <c r="AG280" s="10">
        <v>0.2298</v>
      </c>
      <c r="AH280" s="10">
        <v>4.9700000000000001E-2</v>
      </c>
      <c r="AI280" s="10">
        <v>0.2767</v>
      </c>
      <c r="AJ280">
        <v>7.1980000000000002E-2</v>
      </c>
    </row>
    <row r="281" spans="3:36">
      <c r="C281" s="11" t="s">
        <v>387</v>
      </c>
      <c r="D281" s="10">
        <v>248</v>
      </c>
      <c r="E281" s="10">
        <v>884626</v>
      </c>
      <c r="F281" s="10" t="s">
        <v>1</v>
      </c>
      <c r="G281" s="10">
        <v>13.71</v>
      </c>
      <c r="H281" s="10">
        <v>14.11</v>
      </c>
      <c r="I281" s="10">
        <v>84.95</v>
      </c>
      <c r="J281" s="10">
        <v>512.20000000000005</v>
      </c>
      <c r="K281" s="10">
        <v>8.7599999999999997E-2</v>
      </c>
      <c r="L281" s="10">
        <v>0.1346</v>
      </c>
      <c r="M281" s="10">
        <v>0.13739999999999999</v>
      </c>
      <c r="N281" s="10">
        <v>3.9800000000000002E-2</v>
      </c>
      <c r="O281" s="10">
        <v>0.15959999999999999</v>
      </c>
      <c r="P281" s="10">
        <v>6.4089999999999994E-2</v>
      </c>
      <c r="Q281" s="10">
        <v>0.20250000000000001</v>
      </c>
      <c r="R281" s="10">
        <v>0.44019999999999998</v>
      </c>
      <c r="S281" s="10">
        <v>2.3929999999999998</v>
      </c>
      <c r="T281" s="10">
        <v>16.350000000000001</v>
      </c>
      <c r="U281" s="10">
        <v>5.5009999999999998E-3</v>
      </c>
      <c r="V281" s="10">
        <v>5.5919999999999997E-2</v>
      </c>
      <c r="W281" s="10">
        <v>8.158E-2</v>
      </c>
      <c r="X281" s="10">
        <v>1.37E-2</v>
      </c>
      <c r="Y281" s="10">
        <v>1.2659999999999999E-2</v>
      </c>
      <c r="Z281" s="10">
        <v>7.5550000000000001E-3</v>
      </c>
      <c r="AA281" s="10">
        <v>14.39</v>
      </c>
      <c r="AB281" s="10">
        <v>17.7</v>
      </c>
      <c r="AC281" s="10">
        <v>105</v>
      </c>
      <c r="AD281" s="10">
        <v>639.1</v>
      </c>
      <c r="AE281" s="10">
        <v>0.12540000000000001</v>
      </c>
      <c r="AF281" s="10">
        <v>0.58489999999999998</v>
      </c>
      <c r="AG281" s="10">
        <v>0.77270000000000005</v>
      </c>
      <c r="AH281" s="10">
        <v>0.15609999999999999</v>
      </c>
      <c r="AI281" s="10">
        <v>0.26390000000000002</v>
      </c>
      <c r="AJ281">
        <v>0.1178</v>
      </c>
    </row>
    <row r="282" spans="3:36">
      <c r="C282" s="11" t="s">
        <v>388</v>
      </c>
      <c r="D282" s="10">
        <v>249</v>
      </c>
      <c r="E282" s="10">
        <v>88466802</v>
      </c>
      <c r="F282" s="10" t="s">
        <v>1</v>
      </c>
      <c r="G282" s="10">
        <v>13.71</v>
      </c>
      <c r="H282" s="10">
        <v>25.22</v>
      </c>
      <c r="I282" s="10">
        <v>68.010000000000005</v>
      </c>
      <c r="J282" s="10">
        <v>347</v>
      </c>
      <c r="K282" s="10">
        <v>9.6570000000000003E-2</v>
      </c>
      <c r="L282" s="10">
        <v>7.2340000000000002E-2</v>
      </c>
      <c r="M282" s="10">
        <v>2.3789999999999999E-2</v>
      </c>
      <c r="N282" s="10">
        <v>1.6150000000000001E-2</v>
      </c>
      <c r="O282" s="10">
        <v>0.18970000000000001</v>
      </c>
      <c r="P282" s="10">
        <v>6.3289999999999999E-2</v>
      </c>
      <c r="Q282" s="10">
        <v>0.24970000000000001</v>
      </c>
      <c r="R282" s="10">
        <v>1.4930000000000001</v>
      </c>
      <c r="S282" s="10">
        <v>1.4970000000000001</v>
      </c>
      <c r="T282" s="10">
        <v>16.64</v>
      </c>
      <c r="U282" s="10">
        <v>7.1890000000000001E-3</v>
      </c>
      <c r="V282" s="10">
        <v>1.035E-2</v>
      </c>
      <c r="W282" s="10">
        <v>1.081E-2</v>
      </c>
      <c r="X282" s="10">
        <v>6.2449999999999997E-3</v>
      </c>
      <c r="Y282" s="10">
        <v>2.1579999999999998E-2</v>
      </c>
      <c r="Z282" s="10">
        <v>2.6189999999999998E-3</v>
      </c>
      <c r="AA282" s="10">
        <v>12.25</v>
      </c>
      <c r="AB282" s="10">
        <v>35.19</v>
      </c>
      <c r="AC282" s="10">
        <v>77.98</v>
      </c>
      <c r="AD282" s="10">
        <v>455.7</v>
      </c>
      <c r="AE282" s="10">
        <v>0.14990000000000001</v>
      </c>
      <c r="AF282" s="10">
        <v>0.13980000000000001</v>
      </c>
      <c r="AG282" s="10">
        <v>0.1125</v>
      </c>
      <c r="AH282" s="10">
        <v>6.1359999999999998E-2</v>
      </c>
      <c r="AI282" s="10">
        <v>0.34089999999999998</v>
      </c>
      <c r="AJ282">
        <v>8.1470000000000001E-2</v>
      </c>
    </row>
    <row r="283" spans="3:36">
      <c r="C283" s="11" t="s">
        <v>389</v>
      </c>
      <c r="D283" s="10">
        <v>250</v>
      </c>
      <c r="E283" s="10">
        <v>884689</v>
      </c>
      <c r="F283" s="10" t="s">
        <v>1</v>
      </c>
      <c r="G283" s="10">
        <v>13.71</v>
      </c>
      <c r="H283" s="10">
        <v>14.93</v>
      </c>
      <c r="I283" s="10">
        <v>73.87</v>
      </c>
      <c r="J283" s="10">
        <v>406.3</v>
      </c>
      <c r="K283" s="10">
        <v>0.1013</v>
      </c>
      <c r="L283" s="10">
        <v>7.8079999999999997E-2</v>
      </c>
      <c r="M283" s="10">
        <v>4.3279999999999999E-2</v>
      </c>
      <c r="N283" s="10">
        <v>2.929E-2</v>
      </c>
      <c r="O283" s="10">
        <v>0.1883</v>
      </c>
      <c r="P283" s="10">
        <v>6.1679999999999999E-2</v>
      </c>
      <c r="Q283" s="10">
        <v>0.25619999999999998</v>
      </c>
      <c r="R283" s="10">
        <v>1.038</v>
      </c>
      <c r="S283" s="10">
        <v>1.6859999999999999</v>
      </c>
      <c r="T283" s="10">
        <v>18.62</v>
      </c>
      <c r="U283" s="10">
        <v>6.6620000000000004E-3</v>
      </c>
      <c r="V283" s="10">
        <v>1.2279999999999999E-2</v>
      </c>
      <c r="W283" s="10">
        <v>2.1049999999999999E-2</v>
      </c>
      <c r="X283" s="10">
        <v>1.0059999999999999E-2</v>
      </c>
      <c r="Y283" s="10">
        <v>1.677E-2</v>
      </c>
      <c r="Z283" s="10">
        <v>2.784E-3</v>
      </c>
      <c r="AA283" s="10">
        <v>12.65</v>
      </c>
      <c r="AB283" s="10">
        <v>21.19</v>
      </c>
      <c r="AC283" s="10">
        <v>80.88</v>
      </c>
      <c r="AD283" s="10">
        <v>491.8</v>
      </c>
      <c r="AE283" s="10">
        <v>0.1389</v>
      </c>
      <c r="AF283" s="10">
        <v>0.15820000000000001</v>
      </c>
      <c r="AG283" s="10">
        <v>0.1804</v>
      </c>
      <c r="AH283" s="10">
        <v>9.6079999999999999E-2</v>
      </c>
      <c r="AI283" s="10">
        <v>0.26640000000000003</v>
      </c>
      <c r="AJ283">
        <v>7.8090000000000007E-2</v>
      </c>
    </row>
    <row r="284" spans="3:36">
      <c r="C284" s="11" t="s">
        <v>390</v>
      </c>
      <c r="D284" s="10">
        <v>251</v>
      </c>
      <c r="E284" s="10">
        <v>884948</v>
      </c>
      <c r="F284" s="10" t="s">
        <v>0</v>
      </c>
      <c r="G284" s="10">
        <v>13.71</v>
      </c>
      <c r="H284" s="10">
        <v>23.56</v>
      </c>
      <c r="I284" s="10">
        <v>138.9</v>
      </c>
      <c r="J284" s="10">
        <v>1364</v>
      </c>
      <c r="K284" s="10">
        <v>0.1007</v>
      </c>
      <c r="L284" s="10">
        <v>0.16059999999999999</v>
      </c>
      <c r="M284" s="10">
        <v>0.2712</v>
      </c>
      <c r="N284" s="10">
        <v>0.13100000000000001</v>
      </c>
      <c r="O284" s="10">
        <v>0.2205</v>
      </c>
      <c r="P284" s="10">
        <v>5.8979999999999998E-2</v>
      </c>
      <c r="Q284" s="10">
        <v>1.004</v>
      </c>
      <c r="R284" s="10">
        <v>0.82079999999999997</v>
      </c>
      <c r="S284" s="10">
        <v>6.3719999999999999</v>
      </c>
      <c r="T284" s="10">
        <v>137.9</v>
      </c>
      <c r="U284" s="10">
        <v>5.2830000000000004E-3</v>
      </c>
      <c r="V284" s="10">
        <v>3.9079999999999997E-2</v>
      </c>
      <c r="W284" s="10">
        <v>9.5180000000000001E-2</v>
      </c>
      <c r="X284" s="10">
        <v>1.864E-2</v>
      </c>
      <c r="Y284" s="10">
        <v>2.401E-2</v>
      </c>
      <c r="Z284" s="10">
        <v>5.0020000000000004E-3</v>
      </c>
      <c r="AA284" s="10">
        <v>25.58</v>
      </c>
      <c r="AB284" s="10">
        <v>27</v>
      </c>
      <c r="AC284" s="10">
        <v>165.3</v>
      </c>
      <c r="AD284" s="10">
        <v>2010</v>
      </c>
      <c r="AE284" s="10">
        <v>0.1211</v>
      </c>
      <c r="AF284" s="10">
        <v>0.31719999999999998</v>
      </c>
      <c r="AG284" s="10">
        <v>0.69910000000000005</v>
      </c>
      <c r="AH284" s="10">
        <v>0.21049999999999999</v>
      </c>
      <c r="AI284" s="10">
        <v>0.31259999999999999</v>
      </c>
      <c r="AJ284">
        <v>7.8490000000000004E-2</v>
      </c>
    </row>
    <row r="285" spans="3:36">
      <c r="C285" s="11" t="s">
        <v>391</v>
      </c>
      <c r="D285" s="10">
        <v>252</v>
      </c>
      <c r="E285" s="10">
        <v>88518501</v>
      </c>
      <c r="F285" s="10" t="s">
        <v>1</v>
      </c>
      <c r="G285" s="10">
        <v>13.71</v>
      </c>
      <c r="H285" s="10">
        <v>18.45</v>
      </c>
      <c r="I285" s="10">
        <v>73.28</v>
      </c>
      <c r="J285" s="10">
        <v>407.4</v>
      </c>
      <c r="K285" s="10">
        <v>9.3450000000000005E-2</v>
      </c>
      <c r="L285" s="10">
        <v>5.9909999999999998E-2</v>
      </c>
      <c r="M285" s="10">
        <v>2.6380000000000001E-2</v>
      </c>
      <c r="N285" s="10">
        <v>2.069E-2</v>
      </c>
      <c r="O285" s="10">
        <v>0.18340000000000001</v>
      </c>
      <c r="P285" s="10">
        <v>5.9339999999999997E-2</v>
      </c>
      <c r="Q285" s="10">
        <v>0.39269999999999999</v>
      </c>
      <c r="R285" s="10">
        <v>0.84289999999999998</v>
      </c>
      <c r="S285" s="10">
        <v>2.6840000000000002</v>
      </c>
      <c r="T285" s="10">
        <v>26.99</v>
      </c>
      <c r="U285" s="10">
        <v>6.3800000000000003E-3</v>
      </c>
      <c r="V285" s="10">
        <v>1.065E-2</v>
      </c>
      <c r="W285" s="10">
        <v>1.2449999999999999E-2</v>
      </c>
      <c r="X285" s="10">
        <v>9.1750000000000009E-3</v>
      </c>
      <c r="Y285" s="10">
        <v>2.2919999999999999E-2</v>
      </c>
      <c r="Z285" s="10">
        <v>1.4610000000000001E-3</v>
      </c>
      <c r="AA285" s="10">
        <v>12.97</v>
      </c>
      <c r="AB285" s="10">
        <v>22.46</v>
      </c>
      <c r="AC285" s="10">
        <v>83.12</v>
      </c>
      <c r="AD285" s="10">
        <v>508.9</v>
      </c>
      <c r="AE285" s="10">
        <v>0.1183</v>
      </c>
      <c r="AF285" s="10">
        <v>0.10489999999999999</v>
      </c>
      <c r="AG285" s="10">
        <v>8.1049999999999997E-2</v>
      </c>
      <c r="AH285" s="10">
        <v>6.5439999999999998E-2</v>
      </c>
      <c r="AI285" s="10">
        <v>0.27400000000000002</v>
      </c>
      <c r="AJ285">
        <v>6.4869999999999997E-2</v>
      </c>
    </row>
    <row r="286" spans="3:36">
      <c r="C286" s="11" t="s">
        <v>392</v>
      </c>
      <c r="D286" s="10">
        <v>253</v>
      </c>
      <c r="E286" s="10">
        <v>885429</v>
      </c>
      <c r="F286" s="10" t="s">
        <v>0</v>
      </c>
      <c r="G286" s="10">
        <v>13.71</v>
      </c>
      <c r="H286" s="10">
        <v>19.82</v>
      </c>
      <c r="I286" s="10">
        <v>130.69999999999999</v>
      </c>
      <c r="J286" s="10">
        <v>1206</v>
      </c>
      <c r="K286" s="10">
        <v>0.1062</v>
      </c>
      <c r="L286" s="10">
        <v>0.18490000000000001</v>
      </c>
      <c r="M286" s="10">
        <v>0.2417</v>
      </c>
      <c r="N286" s="10">
        <v>9.74E-2</v>
      </c>
      <c r="O286" s="10">
        <v>0.17330000000000001</v>
      </c>
      <c r="P286" s="10">
        <v>6.6970000000000002E-2</v>
      </c>
      <c r="Q286" s="10">
        <v>0.7661</v>
      </c>
      <c r="R286" s="10">
        <v>0.78</v>
      </c>
      <c r="S286" s="10">
        <v>4.1150000000000002</v>
      </c>
      <c r="T286" s="10">
        <v>92.81</v>
      </c>
      <c r="U286" s="10">
        <v>8.482E-3</v>
      </c>
      <c r="V286" s="10">
        <v>5.0569999999999997E-2</v>
      </c>
      <c r="W286" s="10">
        <v>6.8000000000000005E-2</v>
      </c>
      <c r="X286" s="10">
        <v>1.9709999999999998E-2</v>
      </c>
      <c r="Y286" s="10">
        <v>1.4670000000000001E-2</v>
      </c>
      <c r="Z286" s="10">
        <v>7.2589999999999998E-3</v>
      </c>
      <c r="AA286" s="10">
        <v>25.28</v>
      </c>
      <c r="AB286" s="10">
        <v>25.59</v>
      </c>
      <c r="AC286" s="10">
        <v>159.80000000000001</v>
      </c>
      <c r="AD286" s="10">
        <v>1933</v>
      </c>
      <c r="AE286" s="10">
        <v>0.17100000000000001</v>
      </c>
      <c r="AF286" s="10">
        <v>0.59550000000000003</v>
      </c>
      <c r="AG286" s="10">
        <v>0.84889999999999999</v>
      </c>
      <c r="AH286" s="10">
        <v>0.25069999999999998</v>
      </c>
      <c r="AI286" s="10">
        <v>0.27489999999999998</v>
      </c>
      <c r="AJ286">
        <v>0.12970000000000001</v>
      </c>
    </row>
    <row r="287" spans="3:36">
      <c r="C287" s="11" t="s">
        <v>393</v>
      </c>
      <c r="D287" s="10">
        <v>254</v>
      </c>
      <c r="E287" s="10">
        <v>8860702</v>
      </c>
      <c r="F287" s="10" t="s">
        <v>0</v>
      </c>
      <c r="G287" s="10">
        <v>13.71</v>
      </c>
      <c r="H287" s="10">
        <v>17.079999999999998</v>
      </c>
      <c r="I287" s="10">
        <v>113</v>
      </c>
      <c r="J287" s="10">
        <v>928.2</v>
      </c>
      <c r="K287" s="10">
        <v>0.1008</v>
      </c>
      <c r="L287" s="10">
        <v>0.1041</v>
      </c>
      <c r="M287" s="10">
        <v>0.12659999999999999</v>
      </c>
      <c r="N287" s="10">
        <v>8.3529999999999993E-2</v>
      </c>
      <c r="O287" s="10">
        <v>0.18129999999999999</v>
      </c>
      <c r="P287" s="10">
        <v>5.6129999999999999E-2</v>
      </c>
      <c r="Q287" s="10">
        <v>0.30930000000000002</v>
      </c>
      <c r="R287" s="10">
        <v>0.85680000000000001</v>
      </c>
      <c r="S287" s="10">
        <v>2.1930000000000001</v>
      </c>
      <c r="T287" s="10">
        <v>33.630000000000003</v>
      </c>
      <c r="U287" s="10">
        <v>4.7569999999999999E-3</v>
      </c>
      <c r="V287" s="10">
        <v>1.503E-2</v>
      </c>
      <c r="W287" s="10">
        <v>2.332E-2</v>
      </c>
      <c r="X287" s="10">
        <v>1.2619999999999999E-2</v>
      </c>
      <c r="Y287" s="10">
        <v>1.3939999999999999E-2</v>
      </c>
      <c r="Z287" s="10">
        <v>2.362E-3</v>
      </c>
      <c r="AA287" s="10">
        <v>19.850000000000001</v>
      </c>
      <c r="AB287" s="10">
        <v>25.09</v>
      </c>
      <c r="AC287" s="10">
        <v>130.9</v>
      </c>
      <c r="AD287" s="10">
        <v>1222</v>
      </c>
      <c r="AE287" s="10">
        <v>0.1416</v>
      </c>
      <c r="AF287" s="10">
        <v>0.24049999999999999</v>
      </c>
      <c r="AG287" s="10">
        <v>0.33779999999999999</v>
      </c>
      <c r="AH287" s="10">
        <v>0.1857</v>
      </c>
      <c r="AI287" s="10">
        <v>0.31380000000000002</v>
      </c>
      <c r="AJ287">
        <v>8.1129999999999994E-2</v>
      </c>
    </row>
    <row r="288" spans="3:36">
      <c r="C288" s="11" t="s">
        <v>394</v>
      </c>
      <c r="D288" s="10">
        <v>255</v>
      </c>
      <c r="E288" s="10">
        <v>886226</v>
      </c>
      <c r="F288" s="10" t="s">
        <v>0</v>
      </c>
      <c r="G288" s="10">
        <v>13.71</v>
      </c>
      <c r="H288" s="10">
        <v>19.329999999999998</v>
      </c>
      <c r="I288" s="10">
        <v>126.5</v>
      </c>
      <c r="J288" s="10">
        <v>1169</v>
      </c>
      <c r="K288" s="10">
        <v>0.10349999999999999</v>
      </c>
      <c r="L288" s="10">
        <v>0.1188</v>
      </c>
      <c r="M288" s="10">
        <v>0.13789999999999999</v>
      </c>
      <c r="N288" s="10">
        <v>8.591E-2</v>
      </c>
      <c r="O288" s="10">
        <v>0.17760000000000001</v>
      </c>
      <c r="P288" s="10">
        <v>5.6469999999999999E-2</v>
      </c>
      <c r="Q288" s="10">
        <v>0.59589999999999999</v>
      </c>
      <c r="R288" s="10">
        <v>0.63419999999999999</v>
      </c>
      <c r="S288" s="10">
        <v>3.7970000000000002</v>
      </c>
      <c r="T288" s="10">
        <v>71</v>
      </c>
      <c r="U288" s="10">
        <v>4.6490000000000004E-3</v>
      </c>
      <c r="V288" s="10">
        <v>1.7999999999999999E-2</v>
      </c>
      <c r="W288" s="10">
        <v>2.7490000000000001E-2</v>
      </c>
      <c r="X288" s="10">
        <v>1.2670000000000001E-2</v>
      </c>
      <c r="Y288" s="10">
        <v>1.3650000000000001E-2</v>
      </c>
      <c r="Z288" s="10">
        <v>2.5500000000000002E-3</v>
      </c>
      <c r="AA288" s="10">
        <v>25.7</v>
      </c>
      <c r="AB288" s="10">
        <v>24.57</v>
      </c>
      <c r="AC288" s="10">
        <v>163.1</v>
      </c>
      <c r="AD288" s="10">
        <v>1972</v>
      </c>
      <c r="AE288" s="10">
        <v>0.1497</v>
      </c>
      <c r="AF288" s="10">
        <v>0.31609999999999999</v>
      </c>
      <c r="AG288" s="10">
        <v>0.43169999999999997</v>
      </c>
      <c r="AH288" s="10">
        <v>0.19989999999999999</v>
      </c>
      <c r="AI288" s="10">
        <v>0.33789999999999998</v>
      </c>
      <c r="AJ288">
        <v>8.9499999999999996E-2</v>
      </c>
    </row>
    <row r="289" spans="3:36">
      <c r="C289" s="11" t="s">
        <v>395</v>
      </c>
      <c r="D289" s="10">
        <v>256</v>
      </c>
      <c r="E289" s="10">
        <v>886452</v>
      </c>
      <c r="F289" s="10" t="s">
        <v>0</v>
      </c>
      <c r="G289" s="10">
        <v>13.71</v>
      </c>
      <c r="H289" s="10">
        <v>17.05</v>
      </c>
      <c r="I289" s="10">
        <v>91.43</v>
      </c>
      <c r="J289" s="10">
        <v>602.4</v>
      </c>
      <c r="K289" s="10">
        <v>0.1096</v>
      </c>
      <c r="L289" s="10">
        <v>0.12790000000000001</v>
      </c>
      <c r="M289" s="10">
        <v>9.7890000000000005E-2</v>
      </c>
      <c r="N289" s="10">
        <v>5.246E-2</v>
      </c>
      <c r="O289" s="10">
        <v>0.1908</v>
      </c>
      <c r="P289" s="10">
        <v>6.13E-2</v>
      </c>
      <c r="Q289" s="10">
        <v>0.42499999999999999</v>
      </c>
      <c r="R289" s="10">
        <v>0.80979999999999996</v>
      </c>
      <c r="S289" s="10">
        <v>2.5630000000000002</v>
      </c>
      <c r="T289" s="10">
        <v>35.74</v>
      </c>
      <c r="U289" s="10">
        <v>6.3509999999999999E-3</v>
      </c>
      <c r="V289" s="10">
        <v>2.6790000000000001E-2</v>
      </c>
      <c r="W289" s="10">
        <v>3.1189999999999999E-2</v>
      </c>
      <c r="X289" s="10">
        <v>1.342E-2</v>
      </c>
      <c r="Y289" s="10">
        <v>2.0619999999999999E-2</v>
      </c>
      <c r="Z289" s="10">
        <v>2.6949999999999999E-3</v>
      </c>
      <c r="AA289" s="10">
        <v>16.39</v>
      </c>
      <c r="AB289" s="10">
        <v>22.07</v>
      </c>
      <c r="AC289" s="10">
        <v>108.1</v>
      </c>
      <c r="AD289" s="10">
        <v>826</v>
      </c>
      <c r="AE289" s="10">
        <v>0.1512</v>
      </c>
      <c r="AF289" s="10">
        <v>0.32619999999999999</v>
      </c>
      <c r="AG289" s="10">
        <v>0.32090000000000002</v>
      </c>
      <c r="AH289" s="10">
        <v>0.13739999999999999</v>
      </c>
      <c r="AI289" s="10">
        <v>0.30680000000000002</v>
      </c>
      <c r="AJ289">
        <v>7.9570000000000002E-2</v>
      </c>
    </row>
    <row r="290" spans="3:36">
      <c r="C290" s="11" t="s">
        <v>396</v>
      </c>
      <c r="D290" s="10">
        <v>257</v>
      </c>
      <c r="E290" s="10">
        <v>88649001</v>
      </c>
      <c r="F290" s="10" t="s">
        <v>0</v>
      </c>
      <c r="G290" s="10">
        <v>13.71</v>
      </c>
      <c r="H290" s="10">
        <v>28.77</v>
      </c>
      <c r="I290" s="10">
        <v>133.6</v>
      </c>
      <c r="J290" s="10">
        <v>1207</v>
      </c>
      <c r="K290" s="10">
        <v>9.2600000000000002E-2</v>
      </c>
      <c r="L290" s="10">
        <v>0.20630000000000001</v>
      </c>
      <c r="M290" s="10">
        <v>0.1784</v>
      </c>
      <c r="N290" s="10">
        <v>0.1144</v>
      </c>
      <c r="O290" s="10">
        <v>0.1893</v>
      </c>
      <c r="P290" s="10">
        <v>6.232E-2</v>
      </c>
      <c r="Q290" s="10">
        <v>0.84260000000000002</v>
      </c>
      <c r="R290" s="10">
        <v>1.1990000000000001</v>
      </c>
      <c r="S290" s="10">
        <v>7.1580000000000004</v>
      </c>
      <c r="T290" s="10">
        <v>106.4</v>
      </c>
      <c r="U290" s="10">
        <v>6.3559999999999997E-3</v>
      </c>
      <c r="V290" s="10">
        <v>4.7649999999999998E-2</v>
      </c>
      <c r="W290" s="10">
        <v>3.8629999999999998E-2</v>
      </c>
      <c r="X290" s="10">
        <v>1.519E-2</v>
      </c>
      <c r="Y290" s="10">
        <v>1.9359999999999999E-2</v>
      </c>
      <c r="Z290" s="10">
        <v>5.2519999999999997E-3</v>
      </c>
      <c r="AA290" s="10">
        <v>25.05</v>
      </c>
      <c r="AB290" s="10">
        <v>36.270000000000003</v>
      </c>
      <c r="AC290" s="10">
        <v>178.6</v>
      </c>
      <c r="AD290" s="10">
        <v>1926</v>
      </c>
      <c r="AE290" s="10">
        <v>0.12809999999999999</v>
      </c>
      <c r="AF290" s="10">
        <v>0.53290000000000004</v>
      </c>
      <c r="AG290" s="10">
        <v>0.42509999999999998</v>
      </c>
      <c r="AH290" s="10">
        <v>0.19409999999999999</v>
      </c>
      <c r="AI290" s="10">
        <v>0.28179999999999999</v>
      </c>
      <c r="AJ290">
        <v>0.10050000000000001</v>
      </c>
    </row>
    <row r="291" spans="3:36">
      <c r="C291" s="11" t="s">
        <v>397</v>
      </c>
      <c r="D291" s="10">
        <v>258</v>
      </c>
      <c r="E291" s="10">
        <v>886776</v>
      </c>
      <c r="F291" s="10" t="s">
        <v>0</v>
      </c>
      <c r="G291" s="10">
        <v>13.71</v>
      </c>
      <c r="H291" s="10">
        <v>17.27</v>
      </c>
      <c r="I291" s="10">
        <v>103.2</v>
      </c>
      <c r="J291" s="10">
        <v>713.3</v>
      </c>
      <c r="K291" s="10">
        <v>0.13350000000000001</v>
      </c>
      <c r="L291" s="10">
        <v>0.22839999999999999</v>
      </c>
      <c r="M291" s="10">
        <v>0.24479999999999999</v>
      </c>
      <c r="N291" s="10">
        <v>0.1242</v>
      </c>
      <c r="O291" s="10">
        <v>0.23980000000000001</v>
      </c>
      <c r="P291" s="10">
        <v>7.596E-2</v>
      </c>
      <c r="Q291" s="10">
        <v>0.65920000000000001</v>
      </c>
      <c r="R291" s="10">
        <v>1.0589999999999999</v>
      </c>
      <c r="S291" s="10">
        <v>4.0609999999999999</v>
      </c>
      <c r="T291" s="10">
        <v>59.46</v>
      </c>
      <c r="U291" s="10">
        <v>1.0149999999999999E-2</v>
      </c>
      <c r="V291" s="10">
        <v>4.5879999999999997E-2</v>
      </c>
      <c r="W291" s="10">
        <v>4.9829999999999999E-2</v>
      </c>
      <c r="X291" s="10">
        <v>2.1270000000000001E-2</v>
      </c>
      <c r="Y291" s="10">
        <v>1.8839999999999999E-2</v>
      </c>
      <c r="Z291" s="10">
        <v>8.6599999999999993E-3</v>
      </c>
      <c r="AA291" s="10">
        <v>17.73</v>
      </c>
      <c r="AB291" s="10">
        <v>22.66</v>
      </c>
      <c r="AC291" s="10">
        <v>119.8</v>
      </c>
      <c r="AD291" s="10">
        <v>928.8</v>
      </c>
      <c r="AE291" s="10">
        <v>0.17649999999999999</v>
      </c>
      <c r="AF291" s="10">
        <v>0.45029999999999998</v>
      </c>
      <c r="AG291" s="10">
        <v>0.44290000000000002</v>
      </c>
      <c r="AH291" s="10">
        <v>0.22289999999999999</v>
      </c>
      <c r="AI291" s="10">
        <v>0.32579999999999998</v>
      </c>
      <c r="AJ291">
        <v>0.1191</v>
      </c>
    </row>
    <row r="292" spans="3:36">
      <c r="C292" s="11" t="s">
        <v>398</v>
      </c>
      <c r="D292" s="10">
        <v>259</v>
      </c>
      <c r="E292" s="10">
        <v>887181</v>
      </c>
      <c r="F292" s="10" t="s">
        <v>0</v>
      </c>
      <c r="G292" s="10">
        <v>13.71</v>
      </c>
      <c r="H292" s="10">
        <v>23.2</v>
      </c>
      <c r="I292" s="10">
        <v>110.2</v>
      </c>
      <c r="J292" s="10">
        <v>773.5</v>
      </c>
      <c r="K292" s="10">
        <v>0.1109</v>
      </c>
      <c r="L292" s="10">
        <v>0.31140000000000001</v>
      </c>
      <c r="M292" s="10">
        <v>0.31759999999999999</v>
      </c>
      <c r="N292" s="10">
        <v>0.13769999999999999</v>
      </c>
      <c r="O292" s="10">
        <v>0.2495</v>
      </c>
      <c r="P292" s="10">
        <v>8.1040000000000001E-2</v>
      </c>
      <c r="Q292" s="10">
        <v>1.292</v>
      </c>
      <c r="R292" s="10">
        <v>2.4540000000000002</v>
      </c>
      <c r="S292" s="10">
        <v>10.119999999999999</v>
      </c>
      <c r="T292" s="10">
        <v>138.5</v>
      </c>
      <c r="U292" s="10">
        <v>1.2359999999999999E-2</v>
      </c>
      <c r="V292" s="10">
        <v>5.9950000000000003E-2</v>
      </c>
      <c r="W292" s="10">
        <v>8.2320000000000004E-2</v>
      </c>
      <c r="X292" s="10">
        <v>3.024E-2</v>
      </c>
      <c r="Y292" s="10">
        <v>2.3369999999999998E-2</v>
      </c>
      <c r="Z292" s="10">
        <v>6.0419999999999996E-3</v>
      </c>
      <c r="AA292" s="10">
        <v>19.850000000000001</v>
      </c>
      <c r="AB292" s="10">
        <v>31.64</v>
      </c>
      <c r="AC292" s="10">
        <v>143.69999999999999</v>
      </c>
      <c r="AD292" s="10">
        <v>1226</v>
      </c>
      <c r="AE292" s="10">
        <v>0.15040000000000001</v>
      </c>
      <c r="AF292" s="10">
        <v>0.51719999999999999</v>
      </c>
      <c r="AG292" s="10">
        <v>0.61809999999999998</v>
      </c>
      <c r="AH292" s="10">
        <v>0.2462</v>
      </c>
      <c r="AI292" s="10">
        <v>0.32769999999999999</v>
      </c>
      <c r="AJ292">
        <v>0.1019</v>
      </c>
    </row>
    <row r="293" spans="3:36">
      <c r="C293" s="11" t="s">
        <v>399</v>
      </c>
      <c r="D293" s="10">
        <v>260</v>
      </c>
      <c r="E293" s="10">
        <v>88725602</v>
      </c>
      <c r="F293" s="10" t="s">
        <v>0</v>
      </c>
      <c r="G293" s="10">
        <v>13.71</v>
      </c>
      <c r="H293" s="10">
        <v>33.56</v>
      </c>
      <c r="I293" s="10">
        <v>103.7</v>
      </c>
      <c r="J293" s="10">
        <v>744.9</v>
      </c>
      <c r="K293" s="10">
        <v>0.10630000000000001</v>
      </c>
      <c r="L293" s="10">
        <v>0.16389999999999999</v>
      </c>
      <c r="M293" s="10">
        <v>0.17510000000000001</v>
      </c>
      <c r="N293" s="10">
        <v>8.3989999999999995E-2</v>
      </c>
      <c r="O293" s="10">
        <v>0.20910000000000001</v>
      </c>
      <c r="P293" s="10">
        <v>6.6500000000000004E-2</v>
      </c>
      <c r="Q293" s="10">
        <v>0.2419</v>
      </c>
      <c r="R293" s="10">
        <v>1.278</v>
      </c>
      <c r="S293" s="10">
        <v>1.903</v>
      </c>
      <c r="T293" s="10">
        <v>23.02</v>
      </c>
      <c r="U293" s="10">
        <v>5.3449999999999999E-3</v>
      </c>
      <c r="V293" s="10">
        <v>2.5559999999999999E-2</v>
      </c>
      <c r="W293" s="10">
        <v>2.8889999999999999E-2</v>
      </c>
      <c r="X293" s="10">
        <v>1.022E-2</v>
      </c>
      <c r="Y293" s="10">
        <v>9.9469999999999992E-3</v>
      </c>
      <c r="Z293" s="10">
        <v>3.359E-3</v>
      </c>
      <c r="AA293" s="10">
        <v>18.489999999999998</v>
      </c>
      <c r="AB293" s="10">
        <v>49.54</v>
      </c>
      <c r="AC293" s="10">
        <v>126.3</v>
      </c>
      <c r="AD293" s="10">
        <v>1035</v>
      </c>
      <c r="AE293" s="10">
        <v>0.1883</v>
      </c>
      <c r="AF293" s="10">
        <v>0.55640000000000001</v>
      </c>
      <c r="AG293" s="10">
        <v>0.57030000000000003</v>
      </c>
      <c r="AH293" s="10">
        <v>0.2014</v>
      </c>
      <c r="AI293" s="10">
        <v>0.35120000000000001</v>
      </c>
      <c r="AJ293">
        <v>0.12039999999999999</v>
      </c>
    </row>
    <row r="294" spans="3:36">
      <c r="C294" s="11" t="s">
        <v>400</v>
      </c>
      <c r="D294" s="10">
        <v>261</v>
      </c>
      <c r="E294" s="10">
        <v>887549</v>
      </c>
      <c r="F294" s="10" t="s">
        <v>0</v>
      </c>
      <c r="G294" s="10">
        <v>13.71</v>
      </c>
      <c r="H294" s="10">
        <v>27.06</v>
      </c>
      <c r="I294" s="10">
        <v>132.9</v>
      </c>
      <c r="J294" s="10">
        <v>1288</v>
      </c>
      <c r="K294" s="10">
        <v>0.1</v>
      </c>
      <c r="L294" s="10">
        <v>0.10879999999999999</v>
      </c>
      <c r="M294" s="10">
        <v>0.15190000000000001</v>
      </c>
      <c r="N294" s="10">
        <v>9.3329999999999996E-2</v>
      </c>
      <c r="O294" s="10">
        <v>0.18140000000000001</v>
      </c>
      <c r="P294" s="10">
        <v>5.5719999999999999E-2</v>
      </c>
      <c r="Q294" s="10">
        <v>0.3977</v>
      </c>
      <c r="R294" s="10">
        <v>1.0329999999999999</v>
      </c>
      <c r="S294" s="10">
        <v>2.5870000000000002</v>
      </c>
      <c r="T294" s="10">
        <v>52.34</v>
      </c>
      <c r="U294" s="10">
        <v>5.0429999999999997E-3</v>
      </c>
      <c r="V294" s="10">
        <v>1.5779999999999999E-2</v>
      </c>
      <c r="W294" s="10">
        <v>2.1170000000000001E-2</v>
      </c>
      <c r="X294" s="10">
        <v>8.1849999999999996E-3</v>
      </c>
      <c r="Y294" s="10">
        <v>1.282E-2</v>
      </c>
      <c r="Z294" s="10">
        <v>1.892E-3</v>
      </c>
      <c r="AA294" s="10">
        <v>24.33</v>
      </c>
      <c r="AB294" s="10">
        <v>39.159999999999997</v>
      </c>
      <c r="AC294" s="10">
        <v>162.30000000000001</v>
      </c>
      <c r="AD294" s="10">
        <v>1844</v>
      </c>
      <c r="AE294" s="10">
        <v>0.1522</v>
      </c>
      <c r="AF294" s="10">
        <v>0.29449999999999998</v>
      </c>
      <c r="AG294" s="10">
        <v>0.37880000000000003</v>
      </c>
      <c r="AH294" s="10">
        <v>0.16969999999999999</v>
      </c>
      <c r="AI294" s="10">
        <v>0.31509999999999999</v>
      </c>
      <c r="AJ294">
        <v>7.9990000000000006E-2</v>
      </c>
    </row>
    <row r="295" spans="3:36">
      <c r="C295" s="11" t="s">
        <v>401</v>
      </c>
      <c r="D295" s="10">
        <v>262</v>
      </c>
      <c r="E295" s="10">
        <v>888264</v>
      </c>
      <c r="F295" s="10" t="s">
        <v>0</v>
      </c>
      <c r="G295" s="10">
        <v>13.71</v>
      </c>
      <c r="H295" s="10">
        <v>23.06</v>
      </c>
      <c r="I295" s="10">
        <v>111</v>
      </c>
      <c r="J295" s="10">
        <v>933.1</v>
      </c>
      <c r="K295" s="10">
        <v>8.6620000000000003E-2</v>
      </c>
      <c r="L295" s="10">
        <v>6.2899999999999998E-2</v>
      </c>
      <c r="M295" s="10">
        <v>2.8910000000000002E-2</v>
      </c>
      <c r="N295" s="10">
        <v>2.8369999999999999E-2</v>
      </c>
      <c r="O295" s="10">
        <v>0.15640000000000001</v>
      </c>
      <c r="P295" s="10">
        <v>5.3069999999999999E-2</v>
      </c>
      <c r="Q295" s="10">
        <v>0.4007</v>
      </c>
      <c r="R295" s="10">
        <v>1.3169999999999999</v>
      </c>
      <c r="S295" s="10">
        <v>2.577</v>
      </c>
      <c r="T295" s="10">
        <v>44.41</v>
      </c>
      <c r="U295" s="10">
        <v>5.7260000000000002E-3</v>
      </c>
      <c r="V295" s="10">
        <v>1.106E-2</v>
      </c>
      <c r="W295" s="10">
        <v>1.2460000000000001E-2</v>
      </c>
      <c r="X295" s="10">
        <v>7.6709999999999999E-3</v>
      </c>
      <c r="Y295" s="10">
        <v>1.4109999999999999E-2</v>
      </c>
      <c r="Z295" s="10">
        <v>1.578E-3</v>
      </c>
      <c r="AA295" s="10">
        <v>19.850000000000001</v>
      </c>
      <c r="AB295" s="10">
        <v>31.47</v>
      </c>
      <c r="AC295" s="10">
        <v>128.19999999999999</v>
      </c>
      <c r="AD295" s="10">
        <v>1218</v>
      </c>
      <c r="AE295" s="10">
        <v>0.124</v>
      </c>
      <c r="AF295" s="10">
        <v>0.14860000000000001</v>
      </c>
      <c r="AG295" s="10">
        <v>0.1211</v>
      </c>
      <c r="AH295" s="10">
        <v>8.2350000000000007E-2</v>
      </c>
      <c r="AI295" s="10">
        <v>0.2452</v>
      </c>
      <c r="AJ295">
        <v>6.515E-2</v>
      </c>
    </row>
    <row r="296" spans="3:36">
      <c r="C296" s="11" t="s">
        <v>402</v>
      </c>
      <c r="D296" s="10">
        <v>263</v>
      </c>
      <c r="E296" s="10">
        <v>888570</v>
      </c>
      <c r="F296" s="10" t="s">
        <v>0</v>
      </c>
      <c r="G296" s="10">
        <v>13.71</v>
      </c>
      <c r="H296" s="10">
        <v>22.13</v>
      </c>
      <c r="I296" s="10">
        <v>114.4</v>
      </c>
      <c r="J296" s="10">
        <v>947.8</v>
      </c>
      <c r="K296" s="10">
        <v>8.9990000000000001E-2</v>
      </c>
      <c r="L296" s="10">
        <v>0.1273</v>
      </c>
      <c r="M296" s="10">
        <v>9.6970000000000001E-2</v>
      </c>
      <c r="N296" s="10">
        <v>7.5069999999999998E-2</v>
      </c>
      <c r="O296" s="10">
        <v>0.21079999999999999</v>
      </c>
      <c r="P296" s="10">
        <v>5.4640000000000001E-2</v>
      </c>
      <c r="Q296" s="10">
        <v>0.83479999999999999</v>
      </c>
      <c r="R296" s="10">
        <v>1.633</v>
      </c>
      <c r="S296" s="10">
        <v>6.1459999999999999</v>
      </c>
      <c r="T296" s="10">
        <v>90.94</v>
      </c>
      <c r="U296" s="10">
        <v>6.7169999999999999E-3</v>
      </c>
      <c r="V296" s="10">
        <v>5.9810000000000002E-2</v>
      </c>
      <c r="W296" s="10">
        <v>4.6379999999999998E-2</v>
      </c>
      <c r="X296" s="10">
        <v>2.1489999999999999E-2</v>
      </c>
      <c r="Y296" s="10">
        <v>2.7470000000000001E-2</v>
      </c>
      <c r="Z296" s="10">
        <v>5.8380000000000003E-3</v>
      </c>
      <c r="AA296" s="10">
        <v>20.39</v>
      </c>
      <c r="AB296" s="10">
        <v>27.24</v>
      </c>
      <c r="AC296" s="10">
        <v>137.9</v>
      </c>
      <c r="AD296" s="10">
        <v>1295</v>
      </c>
      <c r="AE296" s="10">
        <v>0.1134</v>
      </c>
      <c r="AF296" s="10">
        <v>0.28670000000000001</v>
      </c>
      <c r="AG296" s="10">
        <v>0.2298</v>
      </c>
      <c r="AH296" s="10">
        <v>0.15279999999999999</v>
      </c>
      <c r="AI296" s="10">
        <v>0.30669999999999997</v>
      </c>
      <c r="AJ296">
        <v>7.4840000000000004E-2</v>
      </c>
    </row>
    <row r="297" spans="3:36">
      <c r="C297" s="11" t="s">
        <v>403</v>
      </c>
      <c r="D297" s="10">
        <v>264</v>
      </c>
      <c r="E297" s="10">
        <v>889403</v>
      </c>
      <c r="F297" s="10" t="s">
        <v>0</v>
      </c>
      <c r="G297" s="10">
        <v>13.71</v>
      </c>
      <c r="H297" s="10">
        <v>19.38</v>
      </c>
      <c r="I297" s="10">
        <v>100</v>
      </c>
      <c r="J297" s="10">
        <v>758.6</v>
      </c>
      <c r="K297" s="10">
        <v>7.8399999999999997E-2</v>
      </c>
      <c r="L297" s="10">
        <v>5.6160000000000002E-2</v>
      </c>
      <c r="M297" s="10">
        <v>4.2090000000000002E-2</v>
      </c>
      <c r="N297" s="10">
        <v>2.8469999999999999E-2</v>
      </c>
      <c r="O297" s="10">
        <v>0.1547</v>
      </c>
      <c r="P297" s="10">
        <v>5.4429999999999999E-2</v>
      </c>
      <c r="Q297" s="10">
        <v>0.2298</v>
      </c>
      <c r="R297" s="10">
        <v>0.99880000000000002</v>
      </c>
      <c r="S297" s="10">
        <v>1.534</v>
      </c>
      <c r="T297" s="10">
        <v>22.18</v>
      </c>
      <c r="U297" s="10">
        <v>2.826E-3</v>
      </c>
      <c r="V297" s="10">
        <v>9.1050000000000002E-3</v>
      </c>
      <c r="W297" s="10">
        <v>1.311E-2</v>
      </c>
      <c r="X297" s="10">
        <v>5.1739999999999998E-3</v>
      </c>
      <c r="Y297" s="10">
        <v>1.013E-2</v>
      </c>
      <c r="Z297" s="10">
        <v>1.3450000000000001E-3</v>
      </c>
      <c r="AA297" s="10">
        <v>17.91</v>
      </c>
      <c r="AB297" s="10">
        <v>31.67</v>
      </c>
      <c r="AC297" s="10">
        <v>115.9</v>
      </c>
      <c r="AD297" s="10">
        <v>988.6</v>
      </c>
      <c r="AE297" s="10">
        <v>0.1084</v>
      </c>
      <c r="AF297" s="10">
        <v>0.1807</v>
      </c>
      <c r="AG297" s="10">
        <v>0.22600000000000001</v>
      </c>
      <c r="AH297" s="10">
        <v>8.5680000000000006E-2</v>
      </c>
      <c r="AI297" s="10">
        <v>0.26829999999999998</v>
      </c>
      <c r="AJ297">
        <v>6.8290000000000003E-2</v>
      </c>
    </row>
    <row r="298" spans="3:36">
      <c r="C298" s="11" t="s">
        <v>404</v>
      </c>
      <c r="D298" s="10">
        <v>265</v>
      </c>
      <c r="E298" s="10">
        <v>889719</v>
      </c>
      <c r="F298" s="10" t="s">
        <v>0</v>
      </c>
      <c r="G298" s="10">
        <v>13.71</v>
      </c>
      <c r="H298" s="10">
        <v>22.07</v>
      </c>
      <c r="I298" s="10">
        <v>111.6</v>
      </c>
      <c r="J298" s="10">
        <v>928.3</v>
      </c>
      <c r="K298" s="10">
        <v>9.7259999999999999E-2</v>
      </c>
      <c r="L298" s="10">
        <v>8.9950000000000002E-2</v>
      </c>
      <c r="M298" s="10">
        <v>9.0609999999999996E-2</v>
      </c>
      <c r="N298" s="10">
        <v>6.5269999999999995E-2</v>
      </c>
      <c r="O298" s="10">
        <v>0.1867</v>
      </c>
      <c r="P298" s="10">
        <v>5.5800000000000002E-2</v>
      </c>
      <c r="Q298" s="10">
        <v>0.42030000000000001</v>
      </c>
      <c r="R298" s="10">
        <v>0.73829999999999996</v>
      </c>
      <c r="S298" s="10">
        <v>2.819</v>
      </c>
      <c r="T298" s="10">
        <v>45.42</v>
      </c>
      <c r="U298" s="10">
        <v>4.4929999999999996E-3</v>
      </c>
      <c r="V298" s="10">
        <v>1.206E-2</v>
      </c>
      <c r="W298" s="10">
        <v>2.0480000000000002E-2</v>
      </c>
      <c r="X298" s="10">
        <v>9.8750000000000001E-3</v>
      </c>
      <c r="Y298" s="10">
        <v>1.1440000000000001E-2</v>
      </c>
      <c r="Z298" s="10">
        <v>1.575E-3</v>
      </c>
      <c r="AA298" s="10">
        <v>21.58</v>
      </c>
      <c r="AB298" s="10">
        <v>29.33</v>
      </c>
      <c r="AC298" s="10">
        <v>140.5</v>
      </c>
      <c r="AD298" s="10">
        <v>1436</v>
      </c>
      <c r="AE298" s="10">
        <v>0.15579999999999999</v>
      </c>
      <c r="AF298" s="10">
        <v>0.25669999999999998</v>
      </c>
      <c r="AG298" s="10">
        <v>0.38890000000000002</v>
      </c>
      <c r="AH298" s="10">
        <v>0.19839999999999999</v>
      </c>
      <c r="AI298" s="10">
        <v>0.3216</v>
      </c>
      <c r="AJ298">
        <v>7.5700000000000003E-2</v>
      </c>
    </row>
    <row r="299" spans="3:36">
      <c r="C299" s="11" t="s">
        <v>405</v>
      </c>
      <c r="D299" s="10">
        <v>266</v>
      </c>
      <c r="E299" s="10">
        <v>88995002</v>
      </c>
      <c r="F299" s="10" t="s">
        <v>0</v>
      </c>
      <c r="G299" s="10">
        <v>13.71</v>
      </c>
      <c r="H299" s="10">
        <v>31.12</v>
      </c>
      <c r="I299" s="10">
        <v>135.69999999999999</v>
      </c>
      <c r="J299" s="10">
        <v>1419</v>
      </c>
      <c r="K299" s="10">
        <v>9.4689999999999996E-2</v>
      </c>
      <c r="L299" s="10">
        <v>0.1143</v>
      </c>
      <c r="M299" s="10">
        <v>0.13669999999999999</v>
      </c>
      <c r="N299" s="10">
        <v>8.6459999999999995E-2</v>
      </c>
      <c r="O299" s="10">
        <v>0.1769</v>
      </c>
      <c r="P299" s="10">
        <v>5.6739999999999999E-2</v>
      </c>
      <c r="Q299" s="10">
        <v>1.1719999999999999</v>
      </c>
      <c r="R299" s="10">
        <v>1.617</v>
      </c>
      <c r="S299" s="10">
        <v>7.7489999999999997</v>
      </c>
      <c r="T299" s="10">
        <v>199.7</v>
      </c>
      <c r="U299" s="10">
        <v>4.5510000000000004E-3</v>
      </c>
      <c r="V299" s="10">
        <v>1.478E-2</v>
      </c>
      <c r="W299" s="10">
        <v>2.1430000000000001E-2</v>
      </c>
      <c r="X299" s="10">
        <v>9.2800000000000001E-3</v>
      </c>
      <c r="Y299" s="10">
        <v>1.367E-2</v>
      </c>
      <c r="Z299" s="10">
        <v>2.2989999999999998E-3</v>
      </c>
      <c r="AA299" s="10">
        <v>32.49</v>
      </c>
      <c r="AB299" s="10">
        <v>47.16</v>
      </c>
      <c r="AC299" s="10">
        <v>214</v>
      </c>
      <c r="AD299" s="10">
        <v>3432</v>
      </c>
      <c r="AE299" s="10">
        <v>0.1401</v>
      </c>
      <c r="AF299" s="10">
        <v>0.26440000000000002</v>
      </c>
      <c r="AG299" s="10">
        <v>0.34420000000000001</v>
      </c>
      <c r="AH299" s="10">
        <v>0.16589999999999999</v>
      </c>
      <c r="AI299" s="10">
        <v>0.2868</v>
      </c>
      <c r="AJ299">
        <v>8.2180000000000003E-2</v>
      </c>
    </row>
    <row r="300" spans="3:36">
      <c r="C300" s="11" t="s">
        <v>406</v>
      </c>
      <c r="D300" s="10">
        <v>267</v>
      </c>
      <c r="E300" s="10">
        <v>8910251</v>
      </c>
      <c r="F300" s="10" t="s">
        <v>1</v>
      </c>
      <c r="G300" s="10">
        <v>13.71</v>
      </c>
      <c r="H300" s="10">
        <v>18.95</v>
      </c>
      <c r="I300" s="10">
        <v>69.28</v>
      </c>
      <c r="J300" s="10">
        <v>346.4</v>
      </c>
      <c r="K300" s="10">
        <v>9.6879999999999994E-2</v>
      </c>
      <c r="L300" s="10">
        <v>0.1147</v>
      </c>
      <c r="M300" s="10">
        <v>6.3869999999999996E-2</v>
      </c>
      <c r="N300" s="10">
        <v>2.6419999999999999E-2</v>
      </c>
      <c r="O300" s="10">
        <v>0.19220000000000001</v>
      </c>
      <c r="P300" s="10">
        <v>6.4909999999999995E-2</v>
      </c>
      <c r="Q300" s="10">
        <v>0.45050000000000001</v>
      </c>
      <c r="R300" s="10">
        <v>1.1970000000000001</v>
      </c>
      <c r="S300" s="10">
        <v>3.43</v>
      </c>
      <c r="T300" s="10">
        <v>27.1</v>
      </c>
      <c r="U300" s="10">
        <v>7.4700000000000001E-3</v>
      </c>
      <c r="V300" s="10">
        <v>3.5810000000000002E-2</v>
      </c>
      <c r="W300" s="10">
        <v>3.354E-2</v>
      </c>
      <c r="X300" s="10">
        <v>1.3650000000000001E-2</v>
      </c>
      <c r="Y300" s="10">
        <v>3.5040000000000002E-2</v>
      </c>
      <c r="Z300" s="10">
        <v>3.3180000000000002E-3</v>
      </c>
      <c r="AA300" s="10">
        <v>11.88</v>
      </c>
      <c r="AB300" s="10">
        <v>22.94</v>
      </c>
      <c r="AC300" s="10">
        <v>78.28</v>
      </c>
      <c r="AD300" s="10">
        <v>424.8</v>
      </c>
      <c r="AE300" s="10">
        <v>0.12130000000000001</v>
      </c>
      <c r="AF300" s="10">
        <v>0.2515</v>
      </c>
      <c r="AG300" s="10">
        <v>0.19159999999999999</v>
      </c>
      <c r="AH300" s="10">
        <v>7.9259999999999997E-2</v>
      </c>
      <c r="AI300" s="10">
        <v>0.29399999999999998</v>
      </c>
      <c r="AJ300">
        <v>7.5870000000000007E-2</v>
      </c>
    </row>
    <row r="301" spans="3:36">
      <c r="C301" s="11" t="s">
        <v>407</v>
      </c>
      <c r="D301" s="10">
        <v>268</v>
      </c>
      <c r="E301" s="10">
        <v>8910499</v>
      </c>
      <c r="F301" s="10" t="s">
        <v>1</v>
      </c>
      <c r="G301" s="10">
        <v>13.71</v>
      </c>
      <c r="H301" s="10">
        <v>21.84</v>
      </c>
      <c r="I301" s="10">
        <v>87.16</v>
      </c>
      <c r="J301" s="10">
        <v>561</v>
      </c>
      <c r="K301" s="10">
        <v>7.9560000000000006E-2</v>
      </c>
      <c r="L301" s="10">
        <v>8.2589999999999997E-2</v>
      </c>
      <c r="M301" s="10">
        <v>4.0719999999999999E-2</v>
      </c>
      <c r="N301" s="10">
        <v>2.1420000000000002E-2</v>
      </c>
      <c r="O301" s="10">
        <v>0.16350000000000001</v>
      </c>
      <c r="P301" s="10">
        <v>5.8590000000000003E-2</v>
      </c>
      <c r="Q301" s="10">
        <v>0.33800000000000002</v>
      </c>
      <c r="R301" s="10">
        <v>1.9159999999999999</v>
      </c>
      <c r="S301" s="10">
        <v>2.5910000000000002</v>
      </c>
      <c r="T301" s="10">
        <v>26.76</v>
      </c>
      <c r="U301" s="10">
        <v>5.4359999999999999E-3</v>
      </c>
      <c r="V301" s="10">
        <v>2.4060000000000002E-2</v>
      </c>
      <c r="W301" s="10">
        <v>3.099E-2</v>
      </c>
      <c r="X301" s="10">
        <v>9.9190000000000007E-3</v>
      </c>
      <c r="Y301" s="10">
        <v>2.0299999999999999E-2</v>
      </c>
      <c r="Z301" s="10">
        <v>3.009E-3</v>
      </c>
      <c r="AA301" s="10">
        <v>14.8</v>
      </c>
      <c r="AB301" s="10">
        <v>30.04</v>
      </c>
      <c r="AC301" s="10">
        <v>97.66</v>
      </c>
      <c r="AD301" s="10">
        <v>661.5</v>
      </c>
      <c r="AE301" s="10">
        <v>0.10050000000000001</v>
      </c>
      <c r="AF301" s="10">
        <v>0.17299999999999999</v>
      </c>
      <c r="AG301" s="10">
        <v>0.14530000000000001</v>
      </c>
      <c r="AH301" s="10">
        <v>6.1890000000000001E-2</v>
      </c>
      <c r="AI301" s="10">
        <v>0.24460000000000001</v>
      </c>
      <c r="AJ301">
        <v>7.0239999999999997E-2</v>
      </c>
    </row>
    <row r="302" spans="3:36">
      <c r="C302" s="11" t="s">
        <v>408</v>
      </c>
      <c r="D302" s="10">
        <v>269</v>
      </c>
      <c r="E302" s="10">
        <v>8910506</v>
      </c>
      <c r="F302" s="10" t="s">
        <v>1</v>
      </c>
      <c r="G302" s="10">
        <v>13.71</v>
      </c>
      <c r="H302" s="10">
        <v>16.21</v>
      </c>
      <c r="I302" s="10">
        <v>82.38</v>
      </c>
      <c r="J302" s="10">
        <v>512.20000000000005</v>
      </c>
      <c r="K302" s="10">
        <v>9.425E-2</v>
      </c>
      <c r="L302" s="10">
        <v>6.2190000000000002E-2</v>
      </c>
      <c r="M302" s="10">
        <v>3.9E-2</v>
      </c>
      <c r="N302" s="10">
        <v>1.6150000000000001E-2</v>
      </c>
      <c r="O302" s="10">
        <v>0.20100000000000001</v>
      </c>
      <c r="P302" s="10">
        <v>5.7689999999999998E-2</v>
      </c>
      <c r="Q302" s="10">
        <v>0.23449999999999999</v>
      </c>
      <c r="R302" s="10">
        <v>1.2190000000000001</v>
      </c>
      <c r="S302" s="10">
        <v>1.546</v>
      </c>
      <c r="T302" s="10">
        <v>18.239999999999998</v>
      </c>
      <c r="U302" s="10">
        <v>5.5180000000000003E-3</v>
      </c>
      <c r="V302" s="10">
        <v>2.1780000000000001E-2</v>
      </c>
      <c r="W302" s="10">
        <v>2.589E-2</v>
      </c>
      <c r="X302" s="10">
        <v>6.3299999999999997E-3</v>
      </c>
      <c r="Y302" s="10">
        <v>2.5930000000000002E-2</v>
      </c>
      <c r="Z302" s="10">
        <v>2.1570000000000001E-3</v>
      </c>
      <c r="AA302" s="10">
        <v>13.9</v>
      </c>
      <c r="AB302" s="10">
        <v>23.64</v>
      </c>
      <c r="AC302" s="10">
        <v>89.27</v>
      </c>
      <c r="AD302" s="10">
        <v>597.5</v>
      </c>
      <c r="AE302" s="10">
        <v>0.12559999999999999</v>
      </c>
      <c r="AF302" s="10">
        <v>0.18079999999999999</v>
      </c>
      <c r="AG302" s="10">
        <v>0.19919999999999999</v>
      </c>
      <c r="AH302" s="10">
        <v>5.7799999999999997E-2</v>
      </c>
      <c r="AI302" s="10">
        <v>0.3604</v>
      </c>
      <c r="AJ302">
        <v>7.0620000000000002E-2</v>
      </c>
    </row>
    <row r="303" spans="3:36">
      <c r="C303" s="11" t="s">
        <v>409</v>
      </c>
      <c r="D303" s="10">
        <v>270</v>
      </c>
      <c r="E303" s="10">
        <v>8910720</v>
      </c>
      <c r="F303" s="10" t="s">
        <v>1</v>
      </c>
      <c r="G303" s="10">
        <v>13.71</v>
      </c>
      <c r="H303" s="10">
        <v>20.39</v>
      </c>
      <c r="I303" s="10">
        <v>69.5</v>
      </c>
      <c r="J303" s="10">
        <v>344.9</v>
      </c>
      <c r="K303" s="10">
        <v>0.1082</v>
      </c>
      <c r="L303" s="10">
        <v>0.12889999999999999</v>
      </c>
      <c r="M303" s="10">
        <v>8.448E-2</v>
      </c>
      <c r="N303" s="10">
        <v>2.8670000000000001E-2</v>
      </c>
      <c r="O303" s="10">
        <v>0.1668</v>
      </c>
      <c r="P303" s="10">
        <v>6.862E-2</v>
      </c>
      <c r="Q303" s="10">
        <v>0.31979999999999997</v>
      </c>
      <c r="R303" s="10">
        <v>1.4890000000000001</v>
      </c>
      <c r="S303" s="10">
        <v>2.23</v>
      </c>
      <c r="T303" s="10">
        <v>20.74</v>
      </c>
      <c r="U303" s="10">
        <v>8.9020000000000002E-3</v>
      </c>
      <c r="V303" s="10">
        <v>4.7849999999999997E-2</v>
      </c>
      <c r="W303" s="10">
        <v>7.3389999999999997E-2</v>
      </c>
      <c r="X303" s="10">
        <v>1.745E-2</v>
      </c>
      <c r="Y303" s="10">
        <v>2.7279999999999999E-2</v>
      </c>
      <c r="Z303" s="10">
        <v>7.6099999999999996E-3</v>
      </c>
      <c r="AA303" s="10">
        <v>11.69</v>
      </c>
      <c r="AB303" s="10">
        <v>25.21</v>
      </c>
      <c r="AC303" s="10">
        <v>76.510000000000005</v>
      </c>
      <c r="AD303" s="10">
        <v>410.4</v>
      </c>
      <c r="AE303" s="10">
        <v>0.13350000000000001</v>
      </c>
      <c r="AF303" s="10">
        <v>0.255</v>
      </c>
      <c r="AG303" s="10">
        <v>0.25340000000000001</v>
      </c>
      <c r="AH303" s="10">
        <v>8.5999999999999993E-2</v>
      </c>
      <c r="AI303" s="10">
        <v>0.26050000000000001</v>
      </c>
      <c r="AJ303">
        <v>8.7010000000000004E-2</v>
      </c>
    </row>
    <row r="304" spans="3:36">
      <c r="C304" s="11" t="s">
        <v>410</v>
      </c>
      <c r="D304" s="10">
        <v>271</v>
      </c>
      <c r="E304" s="10">
        <v>8910721</v>
      </c>
      <c r="F304" s="10" t="s">
        <v>1</v>
      </c>
      <c r="G304" s="10">
        <v>13.71</v>
      </c>
      <c r="H304" s="10">
        <v>16.82</v>
      </c>
      <c r="I304" s="10">
        <v>90.3</v>
      </c>
      <c r="J304" s="10">
        <v>632.6</v>
      </c>
      <c r="K304" s="10">
        <v>6.429E-2</v>
      </c>
      <c r="L304" s="10">
        <v>2.6749999999999999E-2</v>
      </c>
      <c r="M304" s="10">
        <v>7.2500000000000004E-3</v>
      </c>
      <c r="N304" s="10">
        <v>6.2500000000000003E-3</v>
      </c>
      <c r="O304" s="10">
        <v>0.15079999999999999</v>
      </c>
      <c r="P304" s="10">
        <v>5.3760000000000002E-2</v>
      </c>
      <c r="Q304" s="10">
        <v>0.13020000000000001</v>
      </c>
      <c r="R304" s="10">
        <v>0.7198</v>
      </c>
      <c r="S304" s="10">
        <v>0.84389999999999998</v>
      </c>
      <c r="T304" s="10">
        <v>10.77</v>
      </c>
      <c r="U304" s="10">
        <v>3.4919999999999999E-3</v>
      </c>
      <c r="V304" s="10">
        <v>3.7100000000000002E-3</v>
      </c>
      <c r="W304" s="10">
        <v>4.8260000000000004E-3</v>
      </c>
      <c r="X304" s="10">
        <v>3.6080000000000001E-3</v>
      </c>
      <c r="Y304" s="10">
        <v>1.536E-2</v>
      </c>
      <c r="Z304" s="10">
        <v>1.3810000000000001E-3</v>
      </c>
      <c r="AA304" s="10">
        <v>14.91</v>
      </c>
      <c r="AB304" s="10">
        <v>20.65</v>
      </c>
      <c r="AC304" s="10">
        <v>94.44</v>
      </c>
      <c r="AD304" s="10">
        <v>684.6</v>
      </c>
      <c r="AE304" s="10">
        <v>8.5669999999999996E-2</v>
      </c>
      <c r="AF304" s="10">
        <v>5.0360000000000002E-2</v>
      </c>
      <c r="AG304" s="10">
        <v>3.866E-2</v>
      </c>
      <c r="AH304" s="10">
        <v>3.3329999999999999E-2</v>
      </c>
      <c r="AI304" s="10">
        <v>0.24579999999999999</v>
      </c>
      <c r="AJ304">
        <v>6.1199999999999997E-2</v>
      </c>
    </row>
    <row r="305" spans="3:36">
      <c r="C305" s="11" t="s">
        <v>411</v>
      </c>
      <c r="D305" s="10">
        <v>272</v>
      </c>
      <c r="E305" s="10">
        <v>8910748</v>
      </c>
      <c r="F305" s="10" t="s">
        <v>1</v>
      </c>
      <c r="G305" s="10">
        <v>13.71</v>
      </c>
      <c r="H305" s="10">
        <v>13.04</v>
      </c>
      <c r="I305" s="10">
        <v>72.23</v>
      </c>
      <c r="J305" s="10">
        <v>388</v>
      </c>
      <c r="K305" s="10">
        <v>9.8339999999999997E-2</v>
      </c>
      <c r="L305" s="10">
        <v>7.6079999999999995E-2</v>
      </c>
      <c r="M305" s="10">
        <v>3.2649999999999998E-2</v>
      </c>
      <c r="N305" s="10">
        <v>2.7550000000000002E-2</v>
      </c>
      <c r="O305" s="10">
        <v>0.1769</v>
      </c>
      <c r="P305" s="10">
        <v>6.2700000000000006E-2</v>
      </c>
      <c r="Q305" s="10">
        <v>0.19040000000000001</v>
      </c>
      <c r="R305" s="10">
        <v>0.52929999999999999</v>
      </c>
      <c r="S305" s="10">
        <v>1.1639999999999999</v>
      </c>
      <c r="T305" s="10">
        <v>13.17</v>
      </c>
      <c r="U305" s="10">
        <v>6.4720000000000003E-3</v>
      </c>
      <c r="V305" s="10">
        <v>1.1220000000000001E-2</v>
      </c>
      <c r="W305" s="10">
        <v>1.282E-2</v>
      </c>
      <c r="X305" s="10">
        <v>8.8489999999999992E-3</v>
      </c>
      <c r="Y305" s="10">
        <v>1.6920000000000001E-2</v>
      </c>
      <c r="Z305" s="10">
        <v>2.8170000000000001E-3</v>
      </c>
      <c r="AA305" s="10">
        <v>12.32</v>
      </c>
      <c r="AB305" s="10">
        <v>16.18</v>
      </c>
      <c r="AC305" s="10">
        <v>78.27</v>
      </c>
      <c r="AD305" s="10">
        <v>457.5</v>
      </c>
      <c r="AE305" s="10">
        <v>0.1358</v>
      </c>
      <c r="AF305" s="10">
        <v>0.1507</v>
      </c>
      <c r="AG305" s="10">
        <v>0.1275</v>
      </c>
      <c r="AH305" s="10">
        <v>8.7499999999999994E-2</v>
      </c>
      <c r="AI305" s="10">
        <v>0.27329999999999999</v>
      </c>
      <c r="AJ305">
        <v>8.022E-2</v>
      </c>
    </row>
    <row r="306" spans="3:36">
      <c r="C306" s="11" t="s">
        <v>412</v>
      </c>
      <c r="D306" s="10">
        <v>273</v>
      </c>
      <c r="E306" s="10">
        <v>8910988</v>
      </c>
      <c r="F306" s="10" t="s">
        <v>0</v>
      </c>
      <c r="G306" s="10">
        <v>13.71</v>
      </c>
      <c r="H306" s="10">
        <v>20.99</v>
      </c>
      <c r="I306" s="10">
        <v>147.30000000000001</v>
      </c>
      <c r="J306" s="10">
        <v>1491</v>
      </c>
      <c r="K306" s="10">
        <v>9.4009999999999996E-2</v>
      </c>
      <c r="L306" s="10">
        <v>0.1961</v>
      </c>
      <c r="M306" s="10">
        <v>0.2195</v>
      </c>
      <c r="N306" s="10">
        <v>0.10879999999999999</v>
      </c>
      <c r="O306" s="10">
        <v>0.1721</v>
      </c>
      <c r="P306" s="10">
        <v>6.1940000000000002E-2</v>
      </c>
      <c r="Q306" s="10">
        <v>1.167</v>
      </c>
      <c r="R306" s="10">
        <v>1.3520000000000001</v>
      </c>
      <c r="S306" s="10">
        <v>8.8670000000000009</v>
      </c>
      <c r="T306" s="10">
        <v>156.80000000000001</v>
      </c>
      <c r="U306" s="10">
        <v>5.6870000000000002E-3</v>
      </c>
      <c r="V306" s="10">
        <v>4.9599999999999998E-2</v>
      </c>
      <c r="W306" s="10">
        <v>6.3289999999999999E-2</v>
      </c>
      <c r="X306" s="10">
        <v>1.5610000000000001E-2</v>
      </c>
      <c r="Y306" s="10">
        <v>1.924E-2</v>
      </c>
      <c r="Z306" s="10">
        <v>4.614E-3</v>
      </c>
      <c r="AA306" s="10">
        <v>28.19</v>
      </c>
      <c r="AB306" s="10">
        <v>28.18</v>
      </c>
      <c r="AC306" s="10">
        <v>195.9</v>
      </c>
      <c r="AD306" s="10">
        <v>2384</v>
      </c>
      <c r="AE306" s="10">
        <v>0.12720000000000001</v>
      </c>
      <c r="AF306" s="10">
        <v>0.47249999999999998</v>
      </c>
      <c r="AG306" s="10">
        <v>0.58069999999999999</v>
      </c>
      <c r="AH306" s="10">
        <v>0.18410000000000001</v>
      </c>
      <c r="AI306" s="10">
        <v>0.2833</v>
      </c>
      <c r="AJ306">
        <v>8.8580000000000006E-2</v>
      </c>
    </row>
    <row r="307" spans="3:36">
      <c r="C307" s="11" t="s">
        <v>413</v>
      </c>
      <c r="D307" s="10">
        <v>274</v>
      </c>
      <c r="E307" s="10">
        <v>8910996</v>
      </c>
      <c r="F307" s="10" t="s">
        <v>1</v>
      </c>
      <c r="G307" s="10">
        <v>13.71</v>
      </c>
      <c r="H307" s="10">
        <v>15.67</v>
      </c>
      <c r="I307" s="10">
        <v>61.5</v>
      </c>
      <c r="J307" s="10">
        <v>289.89999999999998</v>
      </c>
      <c r="K307" s="10">
        <v>9.0370000000000006E-2</v>
      </c>
      <c r="L307" s="10">
        <v>4.6890000000000001E-2</v>
      </c>
      <c r="M307" s="10">
        <v>1.103E-2</v>
      </c>
      <c r="N307" s="10">
        <v>1.4069999999999999E-2</v>
      </c>
      <c r="O307" s="10">
        <v>0.20810000000000001</v>
      </c>
      <c r="P307" s="10">
        <v>6.3119999999999996E-2</v>
      </c>
      <c r="Q307" s="10">
        <v>0.26840000000000003</v>
      </c>
      <c r="R307" s="10">
        <v>1.409</v>
      </c>
      <c r="S307" s="10">
        <v>1.75</v>
      </c>
      <c r="T307" s="10">
        <v>16.39</v>
      </c>
      <c r="U307" s="10">
        <v>1.38E-2</v>
      </c>
      <c r="V307" s="10">
        <v>1.0670000000000001E-2</v>
      </c>
      <c r="W307" s="10">
        <v>8.3470000000000003E-3</v>
      </c>
      <c r="X307" s="10">
        <v>9.4719999999999995E-3</v>
      </c>
      <c r="Y307" s="10">
        <v>1.7979999999999999E-2</v>
      </c>
      <c r="Z307" s="10">
        <v>4.261E-3</v>
      </c>
      <c r="AA307" s="10">
        <v>10.75</v>
      </c>
      <c r="AB307" s="10">
        <v>20.88</v>
      </c>
      <c r="AC307" s="10">
        <v>68.09</v>
      </c>
      <c r="AD307" s="10">
        <v>355.2</v>
      </c>
      <c r="AE307" s="10">
        <v>0.1467</v>
      </c>
      <c r="AF307" s="10">
        <v>9.3700000000000006E-2</v>
      </c>
      <c r="AG307" s="10">
        <v>4.0430000000000001E-2</v>
      </c>
      <c r="AH307" s="10">
        <v>5.1589999999999997E-2</v>
      </c>
      <c r="AI307" s="10">
        <v>0.28410000000000002</v>
      </c>
      <c r="AJ307">
        <v>8.1750000000000003E-2</v>
      </c>
    </row>
    <row r="308" spans="3:36">
      <c r="C308" s="11" t="s">
        <v>414</v>
      </c>
      <c r="D308" s="10">
        <v>275</v>
      </c>
      <c r="E308" s="10">
        <v>8911163</v>
      </c>
      <c r="F308" s="10" t="s">
        <v>0</v>
      </c>
      <c r="G308" s="10">
        <v>13.71</v>
      </c>
      <c r="H308" s="10">
        <v>24.48</v>
      </c>
      <c r="I308" s="10">
        <v>115.2</v>
      </c>
      <c r="J308" s="10">
        <v>998.9</v>
      </c>
      <c r="K308" s="10">
        <v>8.8550000000000004E-2</v>
      </c>
      <c r="L308" s="10">
        <v>7.0269999999999999E-2</v>
      </c>
      <c r="M308" s="10">
        <v>5.6989999999999999E-2</v>
      </c>
      <c r="N308" s="10">
        <v>4.7440000000000003E-2</v>
      </c>
      <c r="O308" s="10">
        <v>0.15379999999999999</v>
      </c>
      <c r="P308" s="10">
        <v>5.5100000000000003E-2</v>
      </c>
      <c r="Q308" s="10">
        <v>0.42120000000000002</v>
      </c>
      <c r="R308" s="10">
        <v>1.4330000000000001</v>
      </c>
      <c r="S308" s="10">
        <v>2.7650000000000001</v>
      </c>
      <c r="T308" s="10">
        <v>45.81</v>
      </c>
      <c r="U308" s="10">
        <v>5.4440000000000001E-3</v>
      </c>
      <c r="V308" s="10">
        <v>1.1690000000000001E-2</v>
      </c>
      <c r="W308" s="10">
        <v>1.6219999999999998E-2</v>
      </c>
      <c r="X308" s="10">
        <v>8.5220000000000001E-3</v>
      </c>
      <c r="Y308" s="10">
        <v>1.4189999999999999E-2</v>
      </c>
      <c r="Z308" s="10">
        <v>2.751E-3</v>
      </c>
      <c r="AA308" s="10">
        <v>20.92</v>
      </c>
      <c r="AB308" s="10">
        <v>34.69</v>
      </c>
      <c r="AC308" s="10">
        <v>135.1</v>
      </c>
      <c r="AD308" s="10">
        <v>1320</v>
      </c>
      <c r="AE308" s="10">
        <v>0.13150000000000001</v>
      </c>
      <c r="AF308" s="10">
        <v>0.18060000000000001</v>
      </c>
      <c r="AG308" s="10">
        <v>0.20799999999999999</v>
      </c>
      <c r="AH308" s="10">
        <v>0.11360000000000001</v>
      </c>
      <c r="AI308" s="10">
        <v>0.25040000000000001</v>
      </c>
      <c r="AJ308">
        <v>7.9479999999999995E-2</v>
      </c>
    </row>
    <row r="309" spans="3:36">
      <c r="C309" s="11" t="s">
        <v>415</v>
      </c>
      <c r="D309" s="10">
        <v>276</v>
      </c>
      <c r="E309" s="10">
        <v>8911164</v>
      </c>
      <c r="F309" s="10" t="s">
        <v>1</v>
      </c>
      <c r="G309" s="10">
        <v>13.71</v>
      </c>
      <c r="H309" s="10">
        <v>17.36</v>
      </c>
      <c r="I309" s="10">
        <v>76.2</v>
      </c>
      <c r="J309" s="10">
        <v>435.6</v>
      </c>
      <c r="K309" s="10">
        <v>0.1225</v>
      </c>
      <c r="L309" s="10">
        <v>7.2099999999999997E-2</v>
      </c>
      <c r="M309" s="10">
        <v>5.9290000000000002E-2</v>
      </c>
      <c r="N309" s="10">
        <v>7.4039999999999995E-2</v>
      </c>
      <c r="O309" s="10">
        <v>0.20150000000000001</v>
      </c>
      <c r="P309" s="10">
        <v>5.8749999999999997E-2</v>
      </c>
      <c r="Q309" s="10">
        <v>0.64119999999999999</v>
      </c>
      <c r="R309" s="10">
        <v>2.2930000000000001</v>
      </c>
      <c r="S309" s="10">
        <v>4.0209999999999999</v>
      </c>
      <c r="T309" s="10">
        <v>48.84</v>
      </c>
      <c r="U309" s="10">
        <v>1.418E-2</v>
      </c>
      <c r="V309" s="10">
        <v>1.489E-2</v>
      </c>
      <c r="W309" s="10">
        <v>1.2670000000000001E-2</v>
      </c>
      <c r="X309" s="10">
        <v>1.9099999999999999E-2</v>
      </c>
      <c r="Y309" s="10">
        <v>2.6780000000000002E-2</v>
      </c>
      <c r="Z309" s="10">
        <v>3.0019999999999999E-3</v>
      </c>
      <c r="AA309" s="10">
        <v>12.4</v>
      </c>
      <c r="AB309" s="10">
        <v>18.989999999999998</v>
      </c>
      <c r="AC309" s="10">
        <v>79.459999999999994</v>
      </c>
      <c r="AD309" s="10">
        <v>472.4</v>
      </c>
      <c r="AE309" s="10">
        <v>0.13589999999999999</v>
      </c>
      <c r="AF309" s="10">
        <v>8.3680000000000004E-2</v>
      </c>
      <c r="AG309" s="10">
        <v>7.1529999999999996E-2</v>
      </c>
      <c r="AH309" s="10">
        <v>8.9459999999999998E-2</v>
      </c>
      <c r="AI309" s="10">
        <v>0.222</v>
      </c>
      <c r="AJ309">
        <v>6.0330000000000002E-2</v>
      </c>
    </row>
    <row r="310" spans="3:36">
      <c r="C310" s="11" t="s">
        <v>416</v>
      </c>
      <c r="D310" s="10">
        <v>277</v>
      </c>
      <c r="E310" s="10">
        <v>8911230</v>
      </c>
      <c r="F310" s="10" t="s">
        <v>1</v>
      </c>
      <c r="G310" s="10">
        <v>13.71</v>
      </c>
      <c r="H310" s="10">
        <v>14.16</v>
      </c>
      <c r="I310" s="10">
        <v>71.790000000000006</v>
      </c>
      <c r="J310" s="10">
        <v>396.6</v>
      </c>
      <c r="K310" s="10">
        <v>9.3789999999999998E-2</v>
      </c>
      <c r="L310" s="10">
        <v>3.8719999999999997E-2</v>
      </c>
      <c r="M310" s="10">
        <v>1.487E-3</v>
      </c>
      <c r="N310" s="10">
        <v>3.333E-3</v>
      </c>
      <c r="O310" s="10">
        <v>0.19539999999999999</v>
      </c>
      <c r="P310" s="10">
        <v>5.8209999999999998E-2</v>
      </c>
      <c r="Q310" s="10">
        <v>0.23749999999999999</v>
      </c>
      <c r="R310" s="10">
        <v>1.28</v>
      </c>
      <c r="S310" s="10">
        <v>1.5649999999999999</v>
      </c>
      <c r="T310" s="10">
        <v>17.09</v>
      </c>
      <c r="U310" s="10">
        <v>8.4259999999999995E-3</v>
      </c>
      <c r="V310" s="10">
        <v>8.9980000000000008E-3</v>
      </c>
      <c r="W310" s="10">
        <v>1.487E-3</v>
      </c>
      <c r="X310" s="10">
        <v>3.333E-3</v>
      </c>
      <c r="Y310" s="10">
        <v>2.358E-2</v>
      </c>
      <c r="Z310" s="10">
        <v>1.627E-3</v>
      </c>
      <c r="AA310" s="10">
        <v>12.2</v>
      </c>
      <c r="AB310" s="10">
        <v>18.989999999999998</v>
      </c>
      <c r="AC310" s="10">
        <v>77.37</v>
      </c>
      <c r="AD310" s="10">
        <v>458</v>
      </c>
      <c r="AE310" s="10">
        <v>0.12590000000000001</v>
      </c>
      <c r="AF310" s="10">
        <v>7.3480000000000004E-2</v>
      </c>
      <c r="AG310" s="10">
        <v>4.9550000000000002E-3</v>
      </c>
      <c r="AH310" s="10">
        <v>1.111E-2</v>
      </c>
      <c r="AI310" s="10">
        <v>0.27579999999999999</v>
      </c>
      <c r="AJ310">
        <v>6.386E-2</v>
      </c>
    </row>
    <row r="311" spans="3:36">
      <c r="C311" s="11" t="s">
        <v>417</v>
      </c>
      <c r="D311" s="10">
        <v>278</v>
      </c>
      <c r="E311" s="10">
        <v>8911670</v>
      </c>
      <c r="F311" s="10" t="s">
        <v>0</v>
      </c>
      <c r="G311" s="10">
        <v>13.71</v>
      </c>
      <c r="H311" s="10">
        <v>19.98</v>
      </c>
      <c r="I311" s="10">
        <v>120.9</v>
      </c>
      <c r="J311" s="10">
        <v>1102</v>
      </c>
      <c r="K311" s="10">
        <v>8.9230000000000004E-2</v>
      </c>
      <c r="L311" s="10">
        <v>5.8840000000000003E-2</v>
      </c>
      <c r="M311" s="10">
        <v>8.0199999999999994E-2</v>
      </c>
      <c r="N311" s="10">
        <v>5.8430000000000003E-2</v>
      </c>
      <c r="O311" s="10">
        <v>0.155</v>
      </c>
      <c r="P311" s="10">
        <v>4.9959999999999997E-2</v>
      </c>
      <c r="Q311" s="10">
        <v>0.32829999999999998</v>
      </c>
      <c r="R311" s="10">
        <v>0.82799999999999996</v>
      </c>
      <c r="S311" s="10">
        <v>2.363</v>
      </c>
      <c r="T311" s="10">
        <v>36.74</v>
      </c>
      <c r="U311" s="10">
        <v>7.5709999999999996E-3</v>
      </c>
      <c r="V311" s="10">
        <v>1.1140000000000001E-2</v>
      </c>
      <c r="W311" s="10">
        <v>2.623E-2</v>
      </c>
      <c r="X311" s="10">
        <v>1.4630000000000001E-2</v>
      </c>
      <c r="Y311" s="10">
        <v>1.9300000000000001E-2</v>
      </c>
      <c r="Z311" s="10">
        <v>1.676E-3</v>
      </c>
      <c r="AA311" s="10">
        <v>19.96</v>
      </c>
      <c r="AB311" s="10">
        <v>24.3</v>
      </c>
      <c r="AC311" s="10">
        <v>129</v>
      </c>
      <c r="AD311" s="10">
        <v>1236</v>
      </c>
      <c r="AE311" s="10">
        <v>0.12429999999999999</v>
      </c>
      <c r="AF311" s="10">
        <v>0.11600000000000001</v>
      </c>
      <c r="AG311" s="10">
        <v>0.221</v>
      </c>
      <c r="AH311" s="10">
        <v>0.12939999999999999</v>
      </c>
      <c r="AI311" s="10">
        <v>0.25669999999999998</v>
      </c>
      <c r="AJ311">
        <v>5.7369999999999997E-2</v>
      </c>
    </row>
    <row r="312" spans="3:36">
      <c r="C312" s="11" t="s">
        <v>418</v>
      </c>
      <c r="D312" s="10">
        <v>279</v>
      </c>
      <c r="E312" s="10">
        <v>8911800</v>
      </c>
      <c r="F312" s="10" t="s">
        <v>1</v>
      </c>
      <c r="G312" s="10">
        <v>13.71</v>
      </c>
      <c r="H312" s="10">
        <v>17.84</v>
      </c>
      <c r="I312" s="10">
        <v>86.24</v>
      </c>
      <c r="J312" s="10">
        <v>572.29999999999995</v>
      </c>
      <c r="K312" s="10">
        <v>7.9479999999999995E-2</v>
      </c>
      <c r="L312" s="10">
        <v>4.052E-2</v>
      </c>
      <c r="M312" s="10">
        <v>1.9970000000000002E-2</v>
      </c>
      <c r="N312" s="10">
        <v>1.238E-2</v>
      </c>
      <c r="O312" s="10">
        <v>0.1573</v>
      </c>
      <c r="P312" s="10">
        <v>5.5199999999999999E-2</v>
      </c>
      <c r="Q312" s="10">
        <v>0.25800000000000001</v>
      </c>
      <c r="R312" s="10">
        <v>1.1659999999999999</v>
      </c>
      <c r="S312" s="10">
        <v>1.6830000000000001</v>
      </c>
      <c r="T312" s="10">
        <v>22.22</v>
      </c>
      <c r="U312" s="10">
        <v>3.741E-3</v>
      </c>
      <c r="V312" s="10">
        <v>5.274E-3</v>
      </c>
      <c r="W312" s="10">
        <v>1.065E-2</v>
      </c>
      <c r="X312" s="10">
        <v>5.0439999999999999E-3</v>
      </c>
      <c r="Y312" s="10">
        <v>1.3440000000000001E-2</v>
      </c>
      <c r="Z312" s="10">
        <v>1.126E-3</v>
      </c>
      <c r="AA312" s="10">
        <v>15.5</v>
      </c>
      <c r="AB312" s="10">
        <v>26.1</v>
      </c>
      <c r="AC312" s="10">
        <v>98.91</v>
      </c>
      <c r="AD312" s="10">
        <v>739.1</v>
      </c>
      <c r="AE312" s="10">
        <v>0.105</v>
      </c>
      <c r="AF312" s="10">
        <v>7.6219999999999996E-2</v>
      </c>
      <c r="AG312" s="10">
        <v>0.106</v>
      </c>
      <c r="AH312" s="10">
        <v>5.185E-2</v>
      </c>
      <c r="AI312" s="10">
        <v>0.23350000000000001</v>
      </c>
      <c r="AJ312">
        <v>6.2630000000000005E-2</v>
      </c>
    </row>
    <row r="313" spans="3:36">
      <c r="C313" s="11" t="s">
        <v>419</v>
      </c>
      <c r="D313" s="10">
        <v>280</v>
      </c>
      <c r="E313" s="10">
        <v>8911834</v>
      </c>
      <c r="F313" s="10" t="s">
        <v>1</v>
      </c>
      <c r="G313" s="10">
        <v>13.71</v>
      </c>
      <c r="H313" s="10">
        <v>15.18</v>
      </c>
      <c r="I313" s="10">
        <v>88.99</v>
      </c>
      <c r="J313" s="10">
        <v>587.4</v>
      </c>
      <c r="K313" s="10">
        <v>9.5159999999999995E-2</v>
      </c>
      <c r="L313" s="10">
        <v>7.6880000000000004E-2</v>
      </c>
      <c r="M313" s="10">
        <v>4.4790000000000003E-2</v>
      </c>
      <c r="N313" s="10">
        <v>3.7109999999999997E-2</v>
      </c>
      <c r="O313" s="10">
        <v>0.21099999999999999</v>
      </c>
      <c r="P313" s="10">
        <v>5.8529999999999999E-2</v>
      </c>
      <c r="Q313" s="10">
        <v>0.24790000000000001</v>
      </c>
      <c r="R313" s="10">
        <v>0.91949999999999998</v>
      </c>
      <c r="S313" s="10">
        <v>1.83</v>
      </c>
      <c r="T313" s="10">
        <v>19.41</v>
      </c>
      <c r="U313" s="10">
        <v>4.235E-3</v>
      </c>
      <c r="V313" s="10">
        <v>1.541E-2</v>
      </c>
      <c r="W313" s="10">
        <v>1.457E-2</v>
      </c>
      <c r="X313" s="10">
        <v>1.043E-2</v>
      </c>
      <c r="Y313" s="10">
        <v>1.528E-2</v>
      </c>
      <c r="Z313" s="10">
        <v>1.593E-3</v>
      </c>
      <c r="AA313" s="10">
        <v>14.98</v>
      </c>
      <c r="AB313" s="10">
        <v>21.74</v>
      </c>
      <c r="AC313" s="10">
        <v>98.37</v>
      </c>
      <c r="AD313" s="10">
        <v>670</v>
      </c>
      <c r="AE313" s="10">
        <v>0.11849999999999999</v>
      </c>
      <c r="AF313" s="10">
        <v>0.1724</v>
      </c>
      <c r="AG313" s="10">
        <v>0.14560000000000001</v>
      </c>
      <c r="AH313" s="10">
        <v>9.9930000000000005E-2</v>
      </c>
      <c r="AI313" s="10">
        <v>0.29549999999999998</v>
      </c>
      <c r="AJ313">
        <v>6.9120000000000001E-2</v>
      </c>
    </row>
    <row r="314" spans="3:36">
      <c r="C314" s="11" t="s">
        <v>420</v>
      </c>
      <c r="D314" s="10">
        <v>281</v>
      </c>
      <c r="E314" s="10">
        <v>8912049</v>
      </c>
      <c r="F314" s="10" t="s">
        <v>0</v>
      </c>
      <c r="G314" s="10">
        <v>13.71</v>
      </c>
      <c r="H314" s="10">
        <v>26.6</v>
      </c>
      <c r="I314" s="10">
        <v>126.2</v>
      </c>
      <c r="J314" s="10">
        <v>1138</v>
      </c>
      <c r="K314" s="10">
        <v>0.10199999999999999</v>
      </c>
      <c r="L314" s="10">
        <v>0.14530000000000001</v>
      </c>
      <c r="M314" s="10">
        <v>0.19209999999999999</v>
      </c>
      <c r="N314" s="10">
        <v>9.6640000000000004E-2</v>
      </c>
      <c r="O314" s="10">
        <v>0.19020000000000001</v>
      </c>
      <c r="P314" s="10">
        <v>6.2199999999999998E-2</v>
      </c>
      <c r="Q314" s="10">
        <v>0.6361</v>
      </c>
      <c r="R314" s="10">
        <v>1.0009999999999999</v>
      </c>
      <c r="S314" s="10">
        <v>4.3209999999999997</v>
      </c>
      <c r="T314" s="10">
        <v>69.650000000000006</v>
      </c>
      <c r="U314" s="10">
        <v>7.3920000000000001E-3</v>
      </c>
      <c r="V314" s="10">
        <v>2.4490000000000001E-2</v>
      </c>
      <c r="W314" s="10">
        <v>3.9879999999999999E-2</v>
      </c>
      <c r="X314" s="10">
        <v>1.2930000000000001E-2</v>
      </c>
      <c r="Y314" s="10">
        <v>1.435E-2</v>
      </c>
      <c r="Z314" s="10">
        <v>3.4459999999999998E-3</v>
      </c>
      <c r="AA314" s="10">
        <v>23.72</v>
      </c>
      <c r="AB314" s="10">
        <v>35.9</v>
      </c>
      <c r="AC314" s="10">
        <v>159.80000000000001</v>
      </c>
      <c r="AD314" s="10">
        <v>1724</v>
      </c>
      <c r="AE314" s="10">
        <v>0.1782</v>
      </c>
      <c r="AF314" s="10">
        <v>0.3841</v>
      </c>
      <c r="AG314" s="10">
        <v>0.57540000000000002</v>
      </c>
      <c r="AH314" s="10">
        <v>0.18720000000000001</v>
      </c>
      <c r="AI314" s="10">
        <v>0.32579999999999998</v>
      </c>
      <c r="AJ314">
        <v>9.7199999999999995E-2</v>
      </c>
    </row>
    <row r="315" spans="3:36">
      <c r="C315" s="11" t="s">
        <v>421</v>
      </c>
      <c r="D315" s="10">
        <v>282</v>
      </c>
      <c r="E315" s="10">
        <v>8912055</v>
      </c>
      <c r="F315" s="10" t="s">
        <v>1</v>
      </c>
      <c r="G315" s="10">
        <v>13.71</v>
      </c>
      <c r="H315" s="10">
        <v>14.02</v>
      </c>
      <c r="I315" s="10">
        <v>74.239999999999995</v>
      </c>
      <c r="J315" s="10">
        <v>427.3</v>
      </c>
      <c r="K315" s="10">
        <v>7.8130000000000005E-2</v>
      </c>
      <c r="L315" s="10">
        <v>4.3400000000000001E-2</v>
      </c>
      <c r="M315" s="10">
        <v>2.2450000000000001E-2</v>
      </c>
      <c r="N315" s="10">
        <v>2.7629999999999998E-2</v>
      </c>
      <c r="O315" s="10">
        <v>0.21010000000000001</v>
      </c>
      <c r="P315" s="10">
        <v>6.1129999999999997E-2</v>
      </c>
      <c r="Q315" s="10">
        <v>0.56189999999999996</v>
      </c>
      <c r="R315" s="10">
        <v>1.268</v>
      </c>
      <c r="S315" s="10">
        <v>3.7170000000000001</v>
      </c>
      <c r="T315" s="10">
        <v>37.83</v>
      </c>
      <c r="U315" s="10">
        <v>8.0339999999999995E-3</v>
      </c>
      <c r="V315" s="10">
        <v>1.4420000000000001E-2</v>
      </c>
      <c r="W315" s="10">
        <v>1.5140000000000001E-2</v>
      </c>
      <c r="X315" s="10">
        <v>1.8460000000000001E-2</v>
      </c>
      <c r="Y315" s="10">
        <v>2.921E-2</v>
      </c>
      <c r="Z315" s="10">
        <v>2.0049999999999998E-3</v>
      </c>
      <c r="AA315" s="10">
        <v>13.31</v>
      </c>
      <c r="AB315" s="10">
        <v>18.260000000000002</v>
      </c>
      <c r="AC315" s="10">
        <v>84.7</v>
      </c>
      <c r="AD315" s="10">
        <v>533.70000000000005</v>
      </c>
      <c r="AE315" s="10">
        <v>0.1036</v>
      </c>
      <c r="AF315" s="10">
        <v>8.5000000000000006E-2</v>
      </c>
      <c r="AG315" s="10">
        <v>6.7349999999999993E-2</v>
      </c>
      <c r="AH315" s="10">
        <v>8.2900000000000001E-2</v>
      </c>
      <c r="AI315" s="10">
        <v>0.31009999999999999</v>
      </c>
      <c r="AJ315">
        <v>6.6879999999999995E-2</v>
      </c>
    </row>
    <row r="316" spans="3:36">
      <c r="C316" s="11" t="s">
        <v>422</v>
      </c>
      <c r="D316" s="10">
        <v>283</v>
      </c>
      <c r="E316" s="10">
        <v>89122</v>
      </c>
      <c r="F316" s="10" t="s">
        <v>0</v>
      </c>
      <c r="G316" s="10">
        <v>13.71</v>
      </c>
      <c r="H316" s="10">
        <v>18.18</v>
      </c>
      <c r="I316" s="10">
        <v>127.2</v>
      </c>
      <c r="J316" s="10">
        <v>1145</v>
      </c>
      <c r="K316" s="10">
        <v>0.1037</v>
      </c>
      <c r="L316" s="10">
        <v>0.14419999999999999</v>
      </c>
      <c r="M316" s="10">
        <v>0.16259999999999999</v>
      </c>
      <c r="N316" s="10">
        <v>9.4640000000000002E-2</v>
      </c>
      <c r="O316" s="10">
        <v>0.1893</v>
      </c>
      <c r="P316" s="10">
        <v>5.892E-2</v>
      </c>
      <c r="Q316" s="10">
        <v>0.47089999999999999</v>
      </c>
      <c r="R316" s="10">
        <v>0.99509999999999998</v>
      </c>
      <c r="S316" s="10">
        <v>2.903</v>
      </c>
      <c r="T316" s="10">
        <v>53.16</v>
      </c>
      <c r="U316" s="10">
        <v>5.6540000000000002E-3</v>
      </c>
      <c r="V316" s="10">
        <v>2.1989999999999999E-2</v>
      </c>
      <c r="W316" s="10">
        <v>3.0589999999999999E-2</v>
      </c>
      <c r="X316" s="10">
        <v>1.499E-2</v>
      </c>
      <c r="Y316" s="10">
        <v>1.6230000000000001E-2</v>
      </c>
      <c r="Z316" s="10">
        <v>1.9650000000000002E-3</v>
      </c>
      <c r="AA316" s="10">
        <v>23.79</v>
      </c>
      <c r="AB316" s="10">
        <v>28.65</v>
      </c>
      <c r="AC316" s="10">
        <v>152.4</v>
      </c>
      <c r="AD316" s="10">
        <v>1628</v>
      </c>
      <c r="AE316" s="10">
        <v>0.15179999999999999</v>
      </c>
      <c r="AF316" s="10">
        <v>0.37490000000000001</v>
      </c>
      <c r="AG316" s="10">
        <v>0.43159999999999998</v>
      </c>
      <c r="AH316" s="10">
        <v>0.22520000000000001</v>
      </c>
      <c r="AI316" s="10">
        <v>0.35899999999999999</v>
      </c>
      <c r="AJ316">
        <v>7.7869999999999995E-2</v>
      </c>
    </row>
    <row r="317" spans="3:36">
      <c r="C317" s="11" t="s">
        <v>423</v>
      </c>
      <c r="D317" s="10">
        <v>284</v>
      </c>
      <c r="E317" s="10">
        <v>8912280</v>
      </c>
      <c r="F317" s="10" t="s">
        <v>0</v>
      </c>
      <c r="G317" s="10">
        <v>13.71</v>
      </c>
      <c r="H317" s="10">
        <v>18.77</v>
      </c>
      <c r="I317" s="10">
        <v>108.8</v>
      </c>
      <c r="J317" s="10">
        <v>805.1</v>
      </c>
      <c r="K317" s="10">
        <v>0.1066</v>
      </c>
      <c r="L317" s="10">
        <v>0.1802</v>
      </c>
      <c r="M317" s="10">
        <v>0.1948</v>
      </c>
      <c r="N317" s="10">
        <v>9.0520000000000003E-2</v>
      </c>
      <c r="O317" s="10">
        <v>0.18759999999999999</v>
      </c>
      <c r="P317" s="10">
        <v>6.6839999999999997E-2</v>
      </c>
      <c r="Q317" s="10">
        <v>0.2873</v>
      </c>
      <c r="R317" s="10">
        <v>0.9173</v>
      </c>
      <c r="S317" s="10">
        <v>2.464</v>
      </c>
      <c r="T317" s="10">
        <v>28.09</v>
      </c>
      <c r="U317" s="10">
        <v>4.5630000000000002E-3</v>
      </c>
      <c r="V317" s="10">
        <v>3.4810000000000001E-2</v>
      </c>
      <c r="W317" s="10">
        <v>3.8719999999999997E-2</v>
      </c>
      <c r="X317" s="10">
        <v>1.209E-2</v>
      </c>
      <c r="Y317" s="10">
        <v>1.388E-2</v>
      </c>
      <c r="Z317" s="10">
        <v>4.0810000000000004E-3</v>
      </c>
      <c r="AA317" s="10">
        <v>18.55</v>
      </c>
      <c r="AB317" s="10">
        <v>25.09</v>
      </c>
      <c r="AC317" s="10">
        <v>126.9</v>
      </c>
      <c r="AD317" s="10">
        <v>1031</v>
      </c>
      <c r="AE317" s="10">
        <v>0.13650000000000001</v>
      </c>
      <c r="AF317" s="10">
        <v>0.47060000000000002</v>
      </c>
      <c r="AG317" s="10">
        <v>0.50260000000000005</v>
      </c>
      <c r="AH317" s="10">
        <v>0.17319999999999999</v>
      </c>
      <c r="AI317" s="10">
        <v>0.27700000000000002</v>
      </c>
      <c r="AJ317">
        <v>0.10630000000000001</v>
      </c>
    </row>
    <row r="318" spans="3:36">
      <c r="C318" s="11" t="s">
        <v>424</v>
      </c>
      <c r="D318" s="10">
        <v>285</v>
      </c>
      <c r="E318" s="10">
        <v>8912284</v>
      </c>
      <c r="F318" s="10" t="s">
        <v>1</v>
      </c>
      <c r="G318" s="10">
        <v>13.71</v>
      </c>
      <c r="H318" s="10">
        <v>15.7</v>
      </c>
      <c r="I318" s="10">
        <v>84.08</v>
      </c>
      <c r="J318" s="10">
        <v>516.6</v>
      </c>
      <c r="K318" s="10">
        <v>7.8179999999999999E-2</v>
      </c>
      <c r="L318" s="10">
        <v>9.5799999999999996E-2</v>
      </c>
      <c r="M318" s="10">
        <v>0.1115</v>
      </c>
      <c r="N318" s="10">
        <v>3.39E-2</v>
      </c>
      <c r="O318" s="10">
        <v>0.14319999999999999</v>
      </c>
      <c r="P318" s="10">
        <v>5.935E-2</v>
      </c>
      <c r="Q318" s="10">
        <v>0.2913</v>
      </c>
      <c r="R318" s="10">
        <v>1.389</v>
      </c>
      <c r="S318" s="10">
        <v>2.347</v>
      </c>
      <c r="T318" s="10">
        <v>23.29</v>
      </c>
      <c r="U318" s="10">
        <v>6.4180000000000001E-3</v>
      </c>
      <c r="V318" s="10">
        <v>3.9609999999999999E-2</v>
      </c>
      <c r="W318" s="10">
        <v>7.9269999999999993E-2</v>
      </c>
      <c r="X318" s="10">
        <v>1.7739999999999999E-2</v>
      </c>
      <c r="Y318" s="10">
        <v>1.8780000000000002E-2</v>
      </c>
      <c r="Z318" s="10">
        <v>3.6960000000000001E-3</v>
      </c>
      <c r="AA318" s="10">
        <v>13.9</v>
      </c>
      <c r="AB318" s="10">
        <v>19.690000000000001</v>
      </c>
      <c r="AC318" s="10">
        <v>92.12</v>
      </c>
      <c r="AD318" s="10">
        <v>595.6</v>
      </c>
      <c r="AE318" s="10">
        <v>9.9260000000000001E-2</v>
      </c>
      <c r="AF318" s="10">
        <v>0.23169999999999999</v>
      </c>
      <c r="AG318" s="10">
        <v>0.33439999999999998</v>
      </c>
      <c r="AH318" s="10">
        <v>0.1017</v>
      </c>
      <c r="AI318" s="10">
        <v>0.19989999999999999</v>
      </c>
      <c r="AJ318">
        <v>7.127E-2</v>
      </c>
    </row>
    <row r="319" spans="3:36">
      <c r="C319" s="11" t="s">
        <v>425</v>
      </c>
      <c r="D319" s="10">
        <v>286</v>
      </c>
      <c r="E319" s="10">
        <v>8912521</v>
      </c>
      <c r="F319" s="10" t="s">
        <v>1</v>
      </c>
      <c r="G319" s="10">
        <v>13.71</v>
      </c>
      <c r="H319" s="10">
        <v>18.399999999999999</v>
      </c>
      <c r="I319" s="10">
        <v>79.83</v>
      </c>
      <c r="J319" s="10">
        <v>489</v>
      </c>
      <c r="K319" s="10">
        <v>8.3930000000000005E-2</v>
      </c>
      <c r="L319" s="10">
        <v>4.2160000000000003E-2</v>
      </c>
      <c r="M319" s="10">
        <v>1.8600000000000001E-3</v>
      </c>
      <c r="N319" s="10">
        <v>2.9239999999999999E-3</v>
      </c>
      <c r="O319" s="10">
        <v>0.16969999999999999</v>
      </c>
      <c r="P319" s="10">
        <v>5.8549999999999998E-2</v>
      </c>
      <c r="Q319" s="10">
        <v>0.27189999999999998</v>
      </c>
      <c r="R319" s="10">
        <v>1.35</v>
      </c>
      <c r="S319" s="10">
        <v>1.7210000000000001</v>
      </c>
      <c r="T319" s="10">
        <v>22.45</v>
      </c>
      <c r="U319" s="10">
        <v>6.3829999999999998E-3</v>
      </c>
      <c r="V319" s="10">
        <v>8.0079999999999995E-3</v>
      </c>
      <c r="W319" s="10">
        <v>1.8600000000000001E-3</v>
      </c>
      <c r="X319" s="10">
        <v>2.9239999999999999E-3</v>
      </c>
      <c r="Y319" s="10">
        <v>2.571E-2</v>
      </c>
      <c r="Z319" s="10">
        <v>2.0149999999999999E-3</v>
      </c>
      <c r="AA319" s="10">
        <v>13.5</v>
      </c>
      <c r="AB319" s="10">
        <v>23.08</v>
      </c>
      <c r="AC319" s="10">
        <v>85.56</v>
      </c>
      <c r="AD319" s="10">
        <v>564.1</v>
      </c>
      <c r="AE319" s="10">
        <v>0.1038</v>
      </c>
      <c r="AF319" s="10">
        <v>6.6239999999999993E-2</v>
      </c>
      <c r="AG319" s="10">
        <v>5.5789999999999998E-3</v>
      </c>
      <c r="AH319" s="10">
        <v>8.7720000000000003E-3</v>
      </c>
      <c r="AI319" s="10">
        <v>0.2505</v>
      </c>
      <c r="AJ319">
        <v>6.4310000000000006E-2</v>
      </c>
    </row>
    <row r="320" spans="3:36">
      <c r="C320" s="11" t="s">
        <v>426</v>
      </c>
      <c r="D320" s="10">
        <v>287</v>
      </c>
      <c r="E320" s="10">
        <v>8912909</v>
      </c>
      <c r="F320" s="10" t="s">
        <v>1</v>
      </c>
      <c r="G320" s="10">
        <v>13.71</v>
      </c>
      <c r="H320" s="10">
        <v>20.76</v>
      </c>
      <c r="I320" s="10">
        <v>77.87</v>
      </c>
      <c r="J320" s="10">
        <v>441</v>
      </c>
      <c r="K320" s="10">
        <v>8.6050000000000001E-2</v>
      </c>
      <c r="L320" s="10">
        <v>0.1011</v>
      </c>
      <c r="M320" s="10">
        <v>6.5740000000000007E-2</v>
      </c>
      <c r="N320" s="10">
        <v>3.7909999999999999E-2</v>
      </c>
      <c r="O320" s="10">
        <v>0.1588</v>
      </c>
      <c r="P320" s="10">
        <v>6.7659999999999998E-2</v>
      </c>
      <c r="Q320" s="10">
        <v>0.2742</v>
      </c>
      <c r="R320" s="10">
        <v>1.39</v>
      </c>
      <c r="S320" s="10">
        <v>3.198</v>
      </c>
      <c r="T320" s="10">
        <v>21.91</v>
      </c>
      <c r="U320" s="10">
        <v>6.7190000000000001E-3</v>
      </c>
      <c r="V320" s="10">
        <v>5.1560000000000002E-2</v>
      </c>
      <c r="W320" s="10">
        <v>4.3869999999999999E-2</v>
      </c>
      <c r="X320" s="10">
        <v>1.6330000000000001E-2</v>
      </c>
      <c r="Y320" s="10">
        <v>1.8720000000000001E-2</v>
      </c>
      <c r="Z320" s="10">
        <v>8.0149999999999996E-3</v>
      </c>
      <c r="AA320" s="10">
        <v>13.24</v>
      </c>
      <c r="AB320" s="10">
        <v>27.29</v>
      </c>
      <c r="AC320" s="10">
        <v>92.2</v>
      </c>
      <c r="AD320" s="10">
        <v>546.1</v>
      </c>
      <c r="AE320" s="10">
        <v>0.1116</v>
      </c>
      <c r="AF320" s="10">
        <v>0.28129999999999999</v>
      </c>
      <c r="AG320" s="10">
        <v>0.23649999999999999</v>
      </c>
      <c r="AH320" s="10">
        <v>0.11550000000000001</v>
      </c>
      <c r="AI320" s="10">
        <v>0.2465</v>
      </c>
      <c r="AJ320">
        <v>9.9809999999999996E-2</v>
      </c>
    </row>
    <row r="321" spans="3:36">
      <c r="C321" s="11" t="s">
        <v>427</v>
      </c>
      <c r="D321" s="10">
        <v>288</v>
      </c>
      <c r="E321" s="10">
        <v>8913</v>
      </c>
      <c r="F321" s="10" t="s">
        <v>1</v>
      </c>
      <c r="G321" s="10">
        <v>13.71</v>
      </c>
      <c r="H321" s="10">
        <v>13.12</v>
      </c>
      <c r="I321" s="10">
        <v>81.89</v>
      </c>
      <c r="J321" s="10">
        <v>515.9</v>
      </c>
      <c r="K321" s="10">
        <v>6.9550000000000001E-2</v>
      </c>
      <c r="L321" s="10">
        <v>3.7289999999999997E-2</v>
      </c>
      <c r="M321" s="10">
        <v>2.2599999999999999E-2</v>
      </c>
      <c r="N321" s="10">
        <v>1.171E-2</v>
      </c>
      <c r="O321" s="10">
        <v>0.13370000000000001</v>
      </c>
      <c r="P321" s="10">
        <v>5.5809999999999998E-2</v>
      </c>
      <c r="Q321" s="10">
        <v>0.1532</v>
      </c>
      <c r="R321" s="10">
        <v>0.46899999999999997</v>
      </c>
      <c r="S321" s="10">
        <v>1.115</v>
      </c>
      <c r="T321" s="10">
        <v>12.68</v>
      </c>
      <c r="U321" s="10">
        <v>4.731E-3</v>
      </c>
      <c r="V321" s="10">
        <v>1.345E-2</v>
      </c>
      <c r="W321" s="10">
        <v>1.652E-2</v>
      </c>
      <c r="X321" s="10">
        <v>5.9049999999999997E-3</v>
      </c>
      <c r="Y321" s="10">
        <v>1.619E-2</v>
      </c>
      <c r="Z321" s="10">
        <v>2.081E-3</v>
      </c>
      <c r="AA321" s="10">
        <v>13.62</v>
      </c>
      <c r="AB321" s="10">
        <v>15.54</v>
      </c>
      <c r="AC321" s="10">
        <v>87.4</v>
      </c>
      <c r="AD321" s="10">
        <v>577</v>
      </c>
      <c r="AE321" s="10">
        <v>9.6159999999999995E-2</v>
      </c>
      <c r="AF321" s="10">
        <v>0.1147</v>
      </c>
      <c r="AG321" s="10">
        <v>0.1186</v>
      </c>
      <c r="AH321" s="10">
        <v>5.3659999999999999E-2</v>
      </c>
      <c r="AI321" s="10">
        <v>0.23089999999999999</v>
      </c>
      <c r="AJ321">
        <v>6.9150000000000003E-2</v>
      </c>
    </row>
    <row r="322" spans="3:36">
      <c r="C322" s="11" t="s">
        <v>428</v>
      </c>
      <c r="D322" s="10">
        <v>289</v>
      </c>
      <c r="E322" s="10">
        <v>8913049</v>
      </c>
      <c r="F322" s="10" t="s">
        <v>1</v>
      </c>
      <c r="G322" s="10">
        <v>13.71</v>
      </c>
      <c r="H322" s="10">
        <v>19.96</v>
      </c>
      <c r="I322" s="10">
        <v>73.72</v>
      </c>
      <c r="J322" s="10">
        <v>394.1</v>
      </c>
      <c r="K322" s="10">
        <v>8.0199999999999994E-2</v>
      </c>
      <c r="L322" s="10">
        <v>0.1181</v>
      </c>
      <c r="M322" s="10">
        <v>9.2740000000000003E-2</v>
      </c>
      <c r="N322" s="10">
        <v>5.5879999999999999E-2</v>
      </c>
      <c r="O322" s="10">
        <v>0.25950000000000001</v>
      </c>
      <c r="P322" s="10">
        <v>6.2330000000000003E-2</v>
      </c>
      <c r="Q322" s="10">
        <v>0.48659999999999998</v>
      </c>
      <c r="R322" s="10">
        <v>1.905</v>
      </c>
      <c r="S322" s="10">
        <v>2.8769999999999998</v>
      </c>
      <c r="T322" s="10">
        <v>34.68</v>
      </c>
      <c r="U322" s="10">
        <v>1.5740000000000001E-2</v>
      </c>
      <c r="V322" s="10">
        <v>8.2619999999999999E-2</v>
      </c>
      <c r="W322" s="10">
        <v>8.0990000000000006E-2</v>
      </c>
      <c r="X322" s="10">
        <v>3.4869999999999998E-2</v>
      </c>
      <c r="Y322" s="10">
        <v>3.4180000000000002E-2</v>
      </c>
      <c r="Z322" s="10">
        <v>6.5170000000000002E-3</v>
      </c>
      <c r="AA322" s="10">
        <v>11.86</v>
      </c>
      <c r="AB322" s="10">
        <v>22.33</v>
      </c>
      <c r="AC322" s="10">
        <v>78.27</v>
      </c>
      <c r="AD322" s="10">
        <v>437.6</v>
      </c>
      <c r="AE322" s="10">
        <v>0.1028</v>
      </c>
      <c r="AF322" s="10">
        <v>0.18429999999999999</v>
      </c>
      <c r="AG322" s="10">
        <v>0.15459999999999999</v>
      </c>
      <c r="AH322" s="10">
        <v>9.3140000000000001E-2</v>
      </c>
      <c r="AI322" s="10">
        <v>0.29549999999999998</v>
      </c>
      <c r="AJ322">
        <v>7.009E-2</v>
      </c>
    </row>
    <row r="323" spans="3:36">
      <c r="C323" s="11" t="s">
        <v>429</v>
      </c>
      <c r="D323" s="10">
        <v>290</v>
      </c>
      <c r="E323" s="10">
        <v>89143601</v>
      </c>
      <c r="F323" s="10" t="s">
        <v>1</v>
      </c>
      <c r="G323" s="10">
        <v>13.71</v>
      </c>
      <c r="H323" s="10">
        <v>18.89</v>
      </c>
      <c r="I323" s="10">
        <v>72.17</v>
      </c>
      <c r="J323" s="10">
        <v>396</v>
      </c>
      <c r="K323" s="10">
        <v>8.7129999999999999E-2</v>
      </c>
      <c r="L323" s="10">
        <v>5.008E-2</v>
      </c>
      <c r="M323" s="10">
        <v>2.3990000000000001E-2</v>
      </c>
      <c r="N323" s="10">
        <v>2.1729999999999999E-2</v>
      </c>
      <c r="O323" s="10">
        <v>0.20130000000000001</v>
      </c>
      <c r="P323" s="10">
        <v>5.9549999999999999E-2</v>
      </c>
      <c r="Q323" s="10">
        <v>0.2656</v>
      </c>
      <c r="R323" s="10">
        <v>1.974</v>
      </c>
      <c r="S323" s="10">
        <v>1.954</v>
      </c>
      <c r="T323" s="10">
        <v>17.489999999999998</v>
      </c>
      <c r="U323" s="10">
        <v>6.5380000000000004E-3</v>
      </c>
      <c r="V323" s="10">
        <v>1.3950000000000001E-2</v>
      </c>
      <c r="W323" s="10">
        <v>1.376E-2</v>
      </c>
      <c r="X323" s="10">
        <v>9.9240000000000005E-3</v>
      </c>
      <c r="Y323" s="10">
        <v>3.4160000000000003E-2</v>
      </c>
      <c r="Z323" s="10">
        <v>2.928E-3</v>
      </c>
      <c r="AA323" s="10">
        <v>12.36</v>
      </c>
      <c r="AB323" s="10">
        <v>26.14</v>
      </c>
      <c r="AC323" s="10">
        <v>79.290000000000006</v>
      </c>
      <c r="AD323" s="10">
        <v>459.3</v>
      </c>
      <c r="AE323" s="10">
        <v>0.1118</v>
      </c>
      <c r="AF323" s="10">
        <v>9.708E-2</v>
      </c>
      <c r="AG323" s="10">
        <v>7.5289999999999996E-2</v>
      </c>
      <c r="AH323" s="10">
        <v>6.2030000000000002E-2</v>
      </c>
      <c r="AI323" s="10">
        <v>0.32669999999999999</v>
      </c>
      <c r="AJ323">
        <v>6.9940000000000002E-2</v>
      </c>
    </row>
    <row r="324" spans="3:36">
      <c r="C324" s="11" t="s">
        <v>430</v>
      </c>
      <c r="D324" s="10">
        <v>291</v>
      </c>
      <c r="E324" s="10">
        <v>89143602</v>
      </c>
      <c r="F324" s="10" t="s">
        <v>1</v>
      </c>
      <c r="G324" s="10">
        <v>13.71</v>
      </c>
      <c r="H324" s="10">
        <v>19.73</v>
      </c>
      <c r="I324" s="10">
        <v>96.03</v>
      </c>
      <c r="J324" s="10">
        <v>651</v>
      </c>
      <c r="K324" s="10">
        <v>8.7569999999999995E-2</v>
      </c>
      <c r="L324" s="10">
        <v>0.1676</v>
      </c>
      <c r="M324" s="10">
        <v>0.13619999999999999</v>
      </c>
      <c r="N324" s="10">
        <v>6.6019999999999995E-2</v>
      </c>
      <c r="O324" s="10">
        <v>0.1714</v>
      </c>
      <c r="P324" s="10">
        <v>7.1919999999999998E-2</v>
      </c>
      <c r="Q324" s="10">
        <v>0.88109999999999999</v>
      </c>
      <c r="R324" s="10">
        <v>1.77</v>
      </c>
      <c r="S324" s="10">
        <v>4.3600000000000003</v>
      </c>
      <c r="T324" s="10">
        <v>77.11</v>
      </c>
      <c r="U324" s="10">
        <v>7.7619999999999998E-3</v>
      </c>
      <c r="V324" s="10">
        <v>0.10639999999999999</v>
      </c>
      <c r="W324" s="10">
        <v>9.9599999999999994E-2</v>
      </c>
      <c r="X324" s="10">
        <v>2.7709999999999999E-2</v>
      </c>
      <c r="Y324" s="10">
        <v>4.0770000000000001E-2</v>
      </c>
      <c r="Z324" s="10">
        <v>2.2859999999999998E-2</v>
      </c>
      <c r="AA324" s="10">
        <v>15.77</v>
      </c>
      <c r="AB324" s="10">
        <v>22.13</v>
      </c>
      <c r="AC324" s="10">
        <v>101.7</v>
      </c>
      <c r="AD324" s="10">
        <v>767.3</v>
      </c>
      <c r="AE324" s="10">
        <v>9.9830000000000002E-2</v>
      </c>
      <c r="AF324" s="10">
        <v>0.2472</v>
      </c>
      <c r="AG324" s="10">
        <v>0.222</v>
      </c>
      <c r="AH324" s="10">
        <v>0.1021</v>
      </c>
      <c r="AI324" s="10">
        <v>0.22720000000000001</v>
      </c>
      <c r="AJ324">
        <v>8.7989999999999999E-2</v>
      </c>
    </row>
    <row r="325" spans="3:36">
      <c r="C325" s="11" t="s">
        <v>431</v>
      </c>
      <c r="D325" s="10">
        <v>292</v>
      </c>
      <c r="E325" s="10">
        <v>8915</v>
      </c>
      <c r="F325" s="10" t="s">
        <v>1</v>
      </c>
      <c r="G325" s="10">
        <v>13.71</v>
      </c>
      <c r="H325" s="10">
        <v>19.100000000000001</v>
      </c>
      <c r="I325" s="10">
        <v>97.03</v>
      </c>
      <c r="J325" s="10">
        <v>687.3</v>
      </c>
      <c r="K325" s="10">
        <v>8.992E-2</v>
      </c>
      <c r="L325" s="10">
        <v>9.8229999999999998E-2</v>
      </c>
      <c r="M325" s="10">
        <v>5.9400000000000001E-2</v>
      </c>
      <c r="N325" s="10">
        <v>4.8189999999999997E-2</v>
      </c>
      <c r="O325" s="10">
        <v>0.18790000000000001</v>
      </c>
      <c r="P325" s="10">
        <v>5.8520000000000003E-2</v>
      </c>
      <c r="Q325" s="10">
        <v>0.28770000000000001</v>
      </c>
      <c r="R325" s="10">
        <v>0.94799999999999995</v>
      </c>
      <c r="S325" s="10">
        <v>2.1709999999999998</v>
      </c>
      <c r="T325" s="10">
        <v>24.87</v>
      </c>
      <c r="U325" s="10">
        <v>5.3319999999999999E-3</v>
      </c>
      <c r="V325" s="10">
        <v>2.1149999999999999E-2</v>
      </c>
      <c r="W325" s="10">
        <v>1.536E-2</v>
      </c>
      <c r="X325" s="10">
        <v>1.187E-2</v>
      </c>
      <c r="Y325" s="10">
        <v>1.5219999999999999E-2</v>
      </c>
      <c r="Z325" s="10">
        <v>2.8149999999999998E-3</v>
      </c>
      <c r="AA325" s="10">
        <v>16.25</v>
      </c>
      <c r="AB325" s="10">
        <v>26.19</v>
      </c>
      <c r="AC325" s="10">
        <v>109.1</v>
      </c>
      <c r="AD325" s="10">
        <v>809.8</v>
      </c>
      <c r="AE325" s="10">
        <v>0.1313</v>
      </c>
      <c r="AF325" s="10">
        <v>0.30299999999999999</v>
      </c>
      <c r="AG325" s="10">
        <v>0.1804</v>
      </c>
      <c r="AH325" s="10">
        <v>0.1489</v>
      </c>
      <c r="AI325" s="10">
        <v>0.29620000000000002</v>
      </c>
      <c r="AJ325">
        <v>8.4720000000000004E-2</v>
      </c>
    </row>
    <row r="326" spans="3:36">
      <c r="C326" s="11" t="s">
        <v>432</v>
      </c>
      <c r="D326" s="10">
        <v>293</v>
      </c>
      <c r="E326" s="10">
        <v>891670</v>
      </c>
      <c r="F326" s="10" t="s">
        <v>1</v>
      </c>
      <c r="G326" s="10">
        <v>13.71</v>
      </c>
      <c r="H326" s="10">
        <v>16.02</v>
      </c>
      <c r="I326" s="10">
        <v>83.14</v>
      </c>
      <c r="J326" s="10">
        <v>513.70000000000005</v>
      </c>
      <c r="K326" s="10">
        <v>0.10050000000000001</v>
      </c>
      <c r="L326" s="10">
        <v>7.9430000000000001E-2</v>
      </c>
      <c r="M326" s="10">
        <v>6.1550000000000001E-2</v>
      </c>
      <c r="N326" s="10">
        <v>3.3700000000000001E-2</v>
      </c>
      <c r="O326" s="10">
        <v>0.17299999999999999</v>
      </c>
      <c r="P326" s="10">
        <v>6.4699999999999994E-2</v>
      </c>
      <c r="Q326" s="10">
        <v>0.2094</v>
      </c>
      <c r="R326" s="10">
        <v>0.76359999999999995</v>
      </c>
      <c r="S326" s="10">
        <v>1.2310000000000001</v>
      </c>
      <c r="T326" s="10">
        <v>17.670000000000002</v>
      </c>
      <c r="U326" s="10">
        <v>8.7250000000000001E-3</v>
      </c>
      <c r="V326" s="10">
        <v>2.0029999999999999E-2</v>
      </c>
      <c r="W326" s="10">
        <v>2.3349999999999999E-2</v>
      </c>
      <c r="X326" s="10">
        <v>1.132E-2</v>
      </c>
      <c r="Y326" s="10">
        <v>2.6249999999999999E-2</v>
      </c>
      <c r="Z326" s="10">
        <v>4.7260000000000002E-3</v>
      </c>
      <c r="AA326" s="10">
        <v>13.74</v>
      </c>
      <c r="AB326" s="10">
        <v>19.93</v>
      </c>
      <c r="AC326" s="10">
        <v>88.81</v>
      </c>
      <c r="AD326" s="10">
        <v>585.4</v>
      </c>
      <c r="AE326" s="10">
        <v>0.14829999999999999</v>
      </c>
      <c r="AF326" s="10">
        <v>0.20680000000000001</v>
      </c>
      <c r="AG326" s="10">
        <v>0.22409999999999999</v>
      </c>
      <c r="AH326" s="10">
        <v>0.1056</v>
      </c>
      <c r="AI326" s="10">
        <v>0.33800000000000002</v>
      </c>
      <c r="AJ326">
        <v>9.5839999999999995E-2</v>
      </c>
    </row>
    <row r="327" spans="3:36">
      <c r="C327" s="11" t="s">
        <v>433</v>
      </c>
      <c r="D327" s="10">
        <v>294</v>
      </c>
      <c r="E327" s="10">
        <v>891703</v>
      </c>
      <c r="F327" s="10" t="s">
        <v>1</v>
      </c>
      <c r="G327" s="10">
        <v>13.71</v>
      </c>
      <c r="H327" s="10">
        <v>17.46</v>
      </c>
      <c r="I327" s="10">
        <v>75.540000000000006</v>
      </c>
      <c r="J327" s="10">
        <v>432.7</v>
      </c>
      <c r="K327" s="10">
        <v>8.3720000000000003E-2</v>
      </c>
      <c r="L327" s="10">
        <v>5.6419999999999998E-2</v>
      </c>
      <c r="M327" s="10">
        <v>2.6880000000000001E-2</v>
      </c>
      <c r="N327" s="10">
        <v>2.2800000000000001E-2</v>
      </c>
      <c r="O327" s="10">
        <v>0.1875</v>
      </c>
      <c r="P327" s="10">
        <v>5.7149999999999999E-2</v>
      </c>
      <c r="Q327" s="10">
        <v>0.20699999999999999</v>
      </c>
      <c r="R327" s="10">
        <v>1.238</v>
      </c>
      <c r="S327" s="10">
        <v>1.234</v>
      </c>
      <c r="T327" s="10">
        <v>13.88</v>
      </c>
      <c r="U327" s="10">
        <v>7.5950000000000002E-3</v>
      </c>
      <c r="V327" s="10">
        <v>1.4999999999999999E-2</v>
      </c>
      <c r="W327" s="10">
        <v>1.4120000000000001E-2</v>
      </c>
      <c r="X327" s="10">
        <v>8.5780000000000006E-3</v>
      </c>
      <c r="Y327" s="10">
        <v>1.7919999999999998E-2</v>
      </c>
      <c r="Z327" s="10">
        <v>1.784E-3</v>
      </c>
      <c r="AA327" s="10">
        <v>13.06</v>
      </c>
      <c r="AB327" s="10">
        <v>25.75</v>
      </c>
      <c r="AC327" s="10">
        <v>84.35</v>
      </c>
      <c r="AD327" s="10">
        <v>517.79999999999995</v>
      </c>
      <c r="AE327" s="10">
        <v>0.13689999999999999</v>
      </c>
      <c r="AF327" s="10">
        <v>0.17580000000000001</v>
      </c>
      <c r="AG327" s="10">
        <v>0.13159999999999999</v>
      </c>
      <c r="AH327" s="10">
        <v>9.1399999999999995E-2</v>
      </c>
      <c r="AI327" s="10">
        <v>0.31009999999999999</v>
      </c>
      <c r="AJ327">
        <v>7.0069999999999993E-2</v>
      </c>
    </row>
    <row r="328" spans="3:36">
      <c r="C328" s="11" t="s">
        <v>434</v>
      </c>
      <c r="D328" s="10">
        <v>295</v>
      </c>
      <c r="E328" s="10">
        <v>891716</v>
      </c>
      <c r="F328" s="10" t="s">
        <v>1</v>
      </c>
      <c r="G328" s="10">
        <v>13.71</v>
      </c>
      <c r="H328" s="10">
        <v>13.78</v>
      </c>
      <c r="I328" s="10">
        <v>81.78</v>
      </c>
      <c r="J328" s="10">
        <v>492.1</v>
      </c>
      <c r="K328" s="10">
        <v>9.6670000000000006E-2</v>
      </c>
      <c r="L328" s="10">
        <v>8.3930000000000005E-2</v>
      </c>
      <c r="M328" s="10">
        <v>1.2880000000000001E-2</v>
      </c>
      <c r="N328" s="10">
        <v>1.924E-2</v>
      </c>
      <c r="O328" s="10">
        <v>0.1638</v>
      </c>
      <c r="P328" s="10">
        <v>6.0999999999999999E-2</v>
      </c>
      <c r="Q328" s="10">
        <v>0.1807</v>
      </c>
      <c r="R328" s="10">
        <v>0.69310000000000005</v>
      </c>
      <c r="S328" s="10">
        <v>1.34</v>
      </c>
      <c r="T328" s="10">
        <v>13.38</v>
      </c>
      <c r="U328" s="10">
        <v>6.0639999999999999E-3</v>
      </c>
      <c r="V328" s="10">
        <v>1.18E-2</v>
      </c>
      <c r="W328" s="10">
        <v>6.5640000000000004E-3</v>
      </c>
      <c r="X328" s="10">
        <v>7.9780000000000007E-3</v>
      </c>
      <c r="Y328" s="10">
        <v>1.374E-2</v>
      </c>
      <c r="Z328" s="10">
        <v>1.392E-3</v>
      </c>
      <c r="AA328" s="10">
        <v>13.5</v>
      </c>
      <c r="AB328" s="10">
        <v>17.48</v>
      </c>
      <c r="AC328" s="10">
        <v>88.54</v>
      </c>
      <c r="AD328" s="10">
        <v>553.70000000000005</v>
      </c>
      <c r="AE328" s="10">
        <v>0.1298</v>
      </c>
      <c r="AF328" s="10">
        <v>0.1472</v>
      </c>
      <c r="AG328" s="10">
        <v>5.2330000000000002E-2</v>
      </c>
      <c r="AH328" s="10">
        <v>6.343E-2</v>
      </c>
      <c r="AI328" s="10">
        <v>0.2369</v>
      </c>
      <c r="AJ328">
        <v>6.9220000000000004E-2</v>
      </c>
    </row>
    <row r="329" spans="3:36">
      <c r="C329" s="11" t="s">
        <v>435</v>
      </c>
      <c r="D329" s="10">
        <v>296</v>
      </c>
      <c r="E329" s="10">
        <v>891923</v>
      </c>
      <c r="F329" s="10" t="s">
        <v>1</v>
      </c>
      <c r="G329" s="10">
        <v>13.71</v>
      </c>
      <c r="H329" s="10">
        <v>13.27</v>
      </c>
      <c r="I329" s="10">
        <v>88.06</v>
      </c>
      <c r="J329" s="10">
        <v>582.70000000000005</v>
      </c>
      <c r="K329" s="10">
        <v>9.1980000000000006E-2</v>
      </c>
      <c r="L329" s="10">
        <v>6.2210000000000001E-2</v>
      </c>
      <c r="M329" s="10">
        <v>1.0630000000000001E-2</v>
      </c>
      <c r="N329" s="10">
        <v>1.917E-2</v>
      </c>
      <c r="O329" s="10">
        <v>0.15920000000000001</v>
      </c>
      <c r="P329" s="10">
        <v>5.9119999999999999E-2</v>
      </c>
      <c r="Q329" s="10">
        <v>0.21909999999999999</v>
      </c>
      <c r="R329" s="10">
        <v>0.6946</v>
      </c>
      <c r="S329" s="10">
        <v>1.4790000000000001</v>
      </c>
      <c r="T329" s="10">
        <v>17.739999999999998</v>
      </c>
      <c r="U329" s="10">
        <v>4.3480000000000003E-3</v>
      </c>
      <c r="V329" s="10">
        <v>8.1530000000000005E-3</v>
      </c>
      <c r="W329" s="10">
        <v>4.2719999999999998E-3</v>
      </c>
      <c r="X329" s="10">
        <v>6.829E-3</v>
      </c>
      <c r="Y329" s="10">
        <v>2.154E-2</v>
      </c>
      <c r="Z329" s="10">
        <v>1.802E-3</v>
      </c>
      <c r="AA329" s="10">
        <v>14.67</v>
      </c>
      <c r="AB329" s="10">
        <v>16.93</v>
      </c>
      <c r="AC329" s="10">
        <v>94.17</v>
      </c>
      <c r="AD329" s="10">
        <v>661.1</v>
      </c>
      <c r="AE329" s="10">
        <v>0.11700000000000001</v>
      </c>
      <c r="AF329" s="10">
        <v>0.1072</v>
      </c>
      <c r="AG329" s="10">
        <v>3.7319999999999999E-2</v>
      </c>
      <c r="AH329" s="10">
        <v>5.8020000000000002E-2</v>
      </c>
      <c r="AI329" s="10">
        <v>0.2823</v>
      </c>
      <c r="AJ329">
        <v>6.794E-2</v>
      </c>
    </row>
    <row r="330" spans="3:36">
      <c r="C330" s="11" t="s">
        <v>436</v>
      </c>
      <c r="D330" s="10">
        <v>297</v>
      </c>
      <c r="E330" s="10">
        <v>891936</v>
      </c>
      <c r="F330" s="10" t="s">
        <v>1</v>
      </c>
      <c r="G330" s="10">
        <v>13.71</v>
      </c>
      <c r="H330" s="10">
        <v>12.35</v>
      </c>
      <c r="I330" s="10">
        <v>69.14</v>
      </c>
      <c r="J330" s="10">
        <v>363.7</v>
      </c>
      <c r="K330" s="10">
        <v>8.5180000000000006E-2</v>
      </c>
      <c r="L330" s="10">
        <v>4.7210000000000002E-2</v>
      </c>
      <c r="M330" s="10">
        <v>1.2359999999999999E-2</v>
      </c>
      <c r="N330" s="10">
        <v>1.3690000000000001E-2</v>
      </c>
      <c r="O330" s="10">
        <v>0.1449</v>
      </c>
      <c r="P330" s="10">
        <v>6.0310000000000002E-2</v>
      </c>
      <c r="Q330" s="10">
        <v>0.17530000000000001</v>
      </c>
      <c r="R330" s="10">
        <v>1.0269999999999999</v>
      </c>
      <c r="S330" s="10">
        <v>1.2669999999999999</v>
      </c>
      <c r="T330" s="10">
        <v>11.09</v>
      </c>
      <c r="U330" s="10">
        <v>3.4780000000000002E-3</v>
      </c>
      <c r="V330" s="10">
        <v>1.221E-2</v>
      </c>
      <c r="W330" s="10">
        <v>1.072E-2</v>
      </c>
      <c r="X330" s="10">
        <v>9.3930000000000003E-3</v>
      </c>
      <c r="Y330" s="10">
        <v>2.9409999999999999E-2</v>
      </c>
      <c r="Z330" s="10">
        <v>3.4280000000000001E-3</v>
      </c>
      <c r="AA330" s="10">
        <v>11.37</v>
      </c>
      <c r="AB330" s="10">
        <v>14.82</v>
      </c>
      <c r="AC330" s="10">
        <v>72.42</v>
      </c>
      <c r="AD330" s="10">
        <v>392.2</v>
      </c>
      <c r="AE330" s="10">
        <v>9.3119999999999994E-2</v>
      </c>
      <c r="AF330" s="10">
        <v>7.5060000000000002E-2</v>
      </c>
      <c r="AG330" s="10">
        <v>2.8840000000000001E-2</v>
      </c>
      <c r="AH330" s="10">
        <v>3.1940000000000003E-2</v>
      </c>
      <c r="AI330" s="10">
        <v>0.21429999999999999</v>
      </c>
      <c r="AJ330">
        <v>6.6430000000000003E-2</v>
      </c>
    </row>
    <row r="331" spans="3:36">
      <c r="C331" s="11" t="s">
        <v>437</v>
      </c>
      <c r="D331" s="10">
        <v>298</v>
      </c>
      <c r="E331" s="10">
        <v>892189</v>
      </c>
      <c r="F331" s="10" t="s">
        <v>0</v>
      </c>
      <c r="G331" s="10">
        <v>13.71</v>
      </c>
      <c r="H331" s="10">
        <v>18.14</v>
      </c>
      <c r="I331" s="10">
        <v>75</v>
      </c>
      <c r="J331" s="10">
        <v>431.1</v>
      </c>
      <c r="K331" s="10">
        <v>9.9680000000000005E-2</v>
      </c>
      <c r="L331" s="10">
        <v>5.9139999999999998E-2</v>
      </c>
      <c r="M331" s="10">
        <v>2.6849999999999999E-2</v>
      </c>
      <c r="N331" s="10">
        <v>3.5150000000000001E-2</v>
      </c>
      <c r="O331" s="10">
        <v>0.16189999999999999</v>
      </c>
      <c r="P331" s="10">
        <v>6.2869999999999995E-2</v>
      </c>
      <c r="Q331" s="10">
        <v>0.64500000000000002</v>
      </c>
      <c r="R331" s="10">
        <v>2.105</v>
      </c>
      <c r="S331" s="10">
        <v>4.1379999999999999</v>
      </c>
      <c r="T331" s="10">
        <v>49.11</v>
      </c>
      <c r="U331" s="10">
        <v>5.5960000000000003E-3</v>
      </c>
      <c r="V331" s="10">
        <v>1.005E-2</v>
      </c>
      <c r="W331" s="10">
        <v>1.272E-2</v>
      </c>
      <c r="X331" s="10">
        <v>1.4319999999999999E-2</v>
      </c>
      <c r="Y331" s="10">
        <v>1.575E-2</v>
      </c>
      <c r="Z331" s="10">
        <v>2.758E-3</v>
      </c>
      <c r="AA331" s="10">
        <v>13.36</v>
      </c>
      <c r="AB331" s="10">
        <v>23.39</v>
      </c>
      <c r="AC331" s="10">
        <v>85.1</v>
      </c>
      <c r="AD331" s="10">
        <v>553.6</v>
      </c>
      <c r="AE331" s="10">
        <v>0.1137</v>
      </c>
      <c r="AF331" s="10">
        <v>7.9740000000000005E-2</v>
      </c>
      <c r="AG331" s="10">
        <v>6.1199999999999997E-2</v>
      </c>
      <c r="AH331" s="10">
        <v>7.1599999999999997E-2</v>
      </c>
      <c r="AI331" s="10">
        <v>0.1978</v>
      </c>
      <c r="AJ331">
        <v>6.9150000000000003E-2</v>
      </c>
    </row>
    <row r="332" spans="3:36">
      <c r="C332" s="11" t="s">
        <v>438</v>
      </c>
      <c r="D332" s="10">
        <v>299</v>
      </c>
      <c r="E332" s="10">
        <v>892214</v>
      </c>
      <c r="F332" s="10" t="s">
        <v>1</v>
      </c>
      <c r="G332" s="10">
        <v>13.71</v>
      </c>
      <c r="H332" s="10">
        <v>18.170000000000002</v>
      </c>
      <c r="I332" s="10">
        <v>91.22</v>
      </c>
      <c r="J332" s="10">
        <v>633.1</v>
      </c>
      <c r="K332" s="10">
        <v>6.5759999999999999E-2</v>
      </c>
      <c r="L332" s="10">
        <v>5.2200000000000003E-2</v>
      </c>
      <c r="M332" s="10">
        <v>2.4750000000000001E-2</v>
      </c>
      <c r="N332" s="10">
        <v>1.374E-2</v>
      </c>
      <c r="O332" s="10">
        <v>0.16350000000000001</v>
      </c>
      <c r="P332" s="10">
        <v>5.586E-2</v>
      </c>
      <c r="Q332" s="10">
        <v>0.23</v>
      </c>
      <c r="R332" s="10">
        <v>0.66900000000000004</v>
      </c>
      <c r="S332" s="10">
        <v>1.661</v>
      </c>
      <c r="T332" s="10">
        <v>20.56</v>
      </c>
      <c r="U332" s="10">
        <v>3.1689999999999999E-3</v>
      </c>
      <c r="V332" s="10">
        <v>1.3769999999999999E-2</v>
      </c>
      <c r="W332" s="10">
        <v>1.0789999999999999E-2</v>
      </c>
      <c r="X332" s="10">
        <v>5.2430000000000003E-3</v>
      </c>
      <c r="Y332" s="10">
        <v>1.103E-2</v>
      </c>
      <c r="Z332" s="10">
        <v>1.957E-3</v>
      </c>
      <c r="AA332" s="10">
        <v>16.22</v>
      </c>
      <c r="AB332" s="10">
        <v>25.26</v>
      </c>
      <c r="AC332" s="10">
        <v>105.8</v>
      </c>
      <c r="AD332" s="10">
        <v>819.7</v>
      </c>
      <c r="AE332" s="10">
        <v>9.4450000000000006E-2</v>
      </c>
      <c r="AF332" s="10">
        <v>0.2167</v>
      </c>
      <c r="AG332" s="10">
        <v>0.1565</v>
      </c>
      <c r="AH332" s="10">
        <v>7.5300000000000006E-2</v>
      </c>
      <c r="AI332" s="10">
        <v>0.2636</v>
      </c>
      <c r="AJ332">
        <v>7.6759999999999995E-2</v>
      </c>
    </row>
    <row r="333" spans="3:36">
      <c r="C333" s="11" t="s">
        <v>439</v>
      </c>
      <c r="D333" s="10">
        <v>300</v>
      </c>
      <c r="E333" s="10">
        <v>892399</v>
      </c>
      <c r="F333" s="10" t="s">
        <v>1</v>
      </c>
      <c r="G333" s="10">
        <v>13.71</v>
      </c>
      <c r="H333" s="10">
        <v>23.09</v>
      </c>
      <c r="I333" s="10">
        <v>66.849999999999994</v>
      </c>
      <c r="J333" s="10">
        <v>334.2</v>
      </c>
      <c r="K333" s="10">
        <v>0.10150000000000001</v>
      </c>
      <c r="L333" s="10">
        <v>6.7970000000000003E-2</v>
      </c>
      <c r="M333" s="10">
        <v>2.495E-2</v>
      </c>
      <c r="N333" s="10">
        <v>1.8749999999999999E-2</v>
      </c>
      <c r="O333" s="10">
        <v>0.16950000000000001</v>
      </c>
      <c r="P333" s="10">
        <v>6.5559999999999993E-2</v>
      </c>
      <c r="Q333" s="10">
        <v>0.2868</v>
      </c>
      <c r="R333" s="10">
        <v>1.143</v>
      </c>
      <c r="S333" s="10">
        <v>2.2890000000000001</v>
      </c>
      <c r="T333" s="10">
        <v>20.56</v>
      </c>
      <c r="U333" s="10">
        <v>1.017E-2</v>
      </c>
      <c r="V333" s="10">
        <v>1.443E-2</v>
      </c>
      <c r="W333" s="10">
        <v>1.8610000000000002E-2</v>
      </c>
      <c r="X333" s="10">
        <v>1.2500000000000001E-2</v>
      </c>
      <c r="Y333" s="10">
        <v>3.4639999999999997E-2</v>
      </c>
      <c r="Z333" s="10">
        <v>1.9710000000000001E-3</v>
      </c>
      <c r="AA333" s="10">
        <v>10.93</v>
      </c>
      <c r="AB333" s="10">
        <v>24.22</v>
      </c>
      <c r="AC333" s="10">
        <v>70.099999999999994</v>
      </c>
      <c r="AD333" s="10">
        <v>362.7</v>
      </c>
      <c r="AE333" s="10">
        <v>0.1143</v>
      </c>
      <c r="AF333" s="10">
        <v>8.6139999999999994E-2</v>
      </c>
      <c r="AG333" s="10">
        <v>4.1579999999999999E-2</v>
      </c>
      <c r="AH333" s="10">
        <v>3.125E-2</v>
      </c>
      <c r="AI333" s="10">
        <v>0.22270000000000001</v>
      </c>
      <c r="AJ333">
        <v>6.7769999999999997E-2</v>
      </c>
    </row>
    <row r="334" spans="3:36">
      <c r="C334" s="11" t="s">
        <v>440</v>
      </c>
      <c r="D334" s="10">
        <v>301</v>
      </c>
      <c r="E334" s="10">
        <v>892438</v>
      </c>
      <c r="F334" s="10" t="s">
        <v>0</v>
      </c>
      <c r="G334" s="10">
        <v>13.71</v>
      </c>
      <c r="H334" s="10">
        <v>18.899999999999999</v>
      </c>
      <c r="I334" s="10">
        <v>129.5</v>
      </c>
      <c r="J334" s="10">
        <v>1217</v>
      </c>
      <c r="K334" s="10">
        <v>0.115</v>
      </c>
      <c r="L334" s="10">
        <v>0.16420000000000001</v>
      </c>
      <c r="M334" s="10">
        <v>0.21970000000000001</v>
      </c>
      <c r="N334" s="10">
        <v>0.1062</v>
      </c>
      <c r="O334" s="10">
        <v>0.1792</v>
      </c>
      <c r="P334" s="10">
        <v>6.5519999999999995E-2</v>
      </c>
      <c r="Q334" s="10">
        <v>1.111</v>
      </c>
      <c r="R334" s="10">
        <v>1.161</v>
      </c>
      <c r="S334" s="10">
        <v>7.2370000000000001</v>
      </c>
      <c r="T334" s="10">
        <v>133</v>
      </c>
      <c r="U334" s="10">
        <v>6.0559999999999998E-3</v>
      </c>
      <c r="V334" s="10">
        <v>3.2030000000000003E-2</v>
      </c>
      <c r="W334" s="10">
        <v>5.638E-2</v>
      </c>
      <c r="X334" s="10">
        <v>1.7330000000000002E-2</v>
      </c>
      <c r="Y334" s="10">
        <v>1.8839999999999999E-2</v>
      </c>
      <c r="Z334" s="10">
        <v>4.7869999999999996E-3</v>
      </c>
      <c r="AA334" s="10">
        <v>25.93</v>
      </c>
      <c r="AB334" s="10">
        <v>26.24</v>
      </c>
      <c r="AC334" s="10">
        <v>171.1</v>
      </c>
      <c r="AD334" s="10">
        <v>2053</v>
      </c>
      <c r="AE334" s="10">
        <v>0.14949999999999999</v>
      </c>
      <c r="AF334" s="10">
        <v>0.41160000000000002</v>
      </c>
      <c r="AG334" s="10">
        <v>0.61209999999999998</v>
      </c>
      <c r="AH334" s="10">
        <v>0.19800000000000001</v>
      </c>
      <c r="AI334" s="10">
        <v>0.29680000000000001</v>
      </c>
      <c r="AJ334">
        <v>9.9290000000000003E-2</v>
      </c>
    </row>
    <row r="335" spans="3:36">
      <c r="C335" s="11" t="s">
        <v>441</v>
      </c>
      <c r="D335" s="10">
        <v>302</v>
      </c>
      <c r="E335" s="10">
        <v>892604</v>
      </c>
      <c r="F335" s="10" t="s">
        <v>1</v>
      </c>
      <c r="G335" s="10">
        <v>13.71</v>
      </c>
      <c r="H335" s="10">
        <v>19.89</v>
      </c>
      <c r="I335" s="10">
        <v>80.430000000000007</v>
      </c>
      <c r="J335" s="10">
        <v>471.3</v>
      </c>
      <c r="K335" s="10">
        <v>8.4510000000000002E-2</v>
      </c>
      <c r="L335" s="10">
        <v>0.1014</v>
      </c>
      <c r="M335" s="10">
        <v>6.83E-2</v>
      </c>
      <c r="N335" s="10">
        <v>3.099E-2</v>
      </c>
      <c r="O335" s="10">
        <v>0.17810000000000001</v>
      </c>
      <c r="P335" s="10">
        <v>6.2489999999999997E-2</v>
      </c>
      <c r="Q335" s="10">
        <v>0.36420000000000002</v>
      </c>
      <c r="R335" s="10">
        <v>1.04</v>
      </c>
      <c r="S335" s="10">
        <v>2.5790000000000002</v>
      </c>
      <c r="T335" s="10">
        <v>28.32</v>
      </c>
      <c r="U335" s="10">
        <v>6.5300000000000002E-3</v>
      </c>
      <c r="V335" s="10">
        <v>3.3689999999999998E-2</v>
      </c>
      <c r="W335" s="10">
        <v>4.7120000000000002E-2</v>
      </c>
      <c r="X335" s="10">
        <v>1.4030000000000001E-2</v>
      </c>
      <c r="Y335" s="10">
        <v>2.7400000000000001E-2</v>
      </c>
      <c r="Z335" s="10">
        <v>4.6509999999999998E-3</v>
      </c>
      <c r="AA335" s="10">
        <v>13.46</v>
      </c>
      <c r="AB335" s="10">
        <v>23.07</v>
      </c>
      <c r="AC335" s="10">
        <v>88.13</v>
      </c>
      <c r="AD335" s="10">
        <v>551.29999999999995</v>
      </c>
      <c r="AE335" s="10">
        <v>0.105</v>
      </c>
      <c r="AF335" s="10">
        <v>0.21579999999999999</v>
      </c>
      <c r="AG335" s="10">
        <v>0.19040000000000001</v>
      </c>
      <c r="AH335" s="10">
        <v>7.6249999999999998E-2</v>
      </c>
      <c r="AI335" s="10">
        <v>0.26850000000000002</v>
      </c>
      <c r="AJ335">
        <v>7.7640000000000001E-2</v>
      </c>
    </row>
    <row r="336" spans="3:36">
      <c r="C336" s="11" t="s">
        <v>442</v>
      </c>
      <c r="D336" s="10">
        <v>303</v>
      </c>
      <c r="E336" s="10">
        <v>89263202</v>
      </c>
      <c r="F336" s="10" t="s">
        <v>0</v>
      </c>
      <c r="G336" s="10">
        <v>13.71</v>
      </c>
      <c r="H336" s="10">
        <v>23.86</v>
      </c>
      <c r="I336" s="10">
        <v>134.69999999999999</v>
      </c>
      <c r="J336" s="10">
        <v>1247</v>
      </c>
      <c r="K336" s="10">
        <v>0.108</v>
      </c>
      <c r="L336" s="10">
        <v>0.18379999999999999</v>
      </c>
      <c r="M336" s="10">
        <v>0.2283</v>
      </c>
      <c r="N336" s="10">
        <v>0.128</v>
      </c>
      <c r="O336" s="10">
        <v>0.22489999999999999</v>
      </c>
      <c r="P336" s="10">
        <v>7.4690000000000006E-2</v>
      </c>
      <c r="Q336" s="10">
        <v>1.0720000000000001</v>
      </c>
      <c r="R336" s="10">
        <v>1.7430000000000001</v>
      </c>
      <c r="S336" s="10">
        <v>7.8040000000000003</v>
      </c>
      <c r="T336" s="10">
        <v>130.80000000000001</v>
      </c>
      <c r="U336" s="10">
        <v>7.9640000000000006E-3</v>
      </c>
      <c r="V336" s="10">
        <v>4.7320000000000001E-2</v>
      </c>
      <c r="W336" s="10">
        <v>7.6490000000000002E-2</v>
      </c>
      <c r="X336" s="10">
        <v>1.9359999999999999E-2</v>
      </c>
      <c r="Y336" s="10">
        <v>2.7359999999999999E-2</v>
      </c>
      <c r="Z336" s="10">
        <v>5.9280000000000001E-3</v>
      </c>
      <c r="AA336" s="10">
        <v>23.68</v>
      </c>
      <c r="AB336" s="10">
        <v>29.43</v>
      </c>
      <c r="AC336" s="10">
        <v>158.80000000000001</v>
      </c>
      <c r="AD336" s="10">
        <v>1696</v>
      </c>
      <c r="AE336" s="10">
        <v>0.13469999999999999</v>
      </c>
      <c r="AF336" s="10">
        <v>0.33910000000000001</v>
      </c>
      <c r="AG336" s="10">
        <v>0.49320000000000003</v>
      </c>
      <c r="AH336" s="10">
        <v>0.1923</v>
      </c>
      <c r="AI336" s="10">
        <v>0.32940000000000003</v>
      </c>
      <c r="AJ336">
        <v>9.4689999999999996E-2</v>
      </c>
    </row>
    <row r="337" spans="3:36">
      <c r="C337" s="11" t="s">
        <v>443</v>
      </c>
      <c r="D337" s="10">
        <v>304</v>
      </c>
      <c r="E337" s="10">
        <v>892657</v>
      </c>
      <c r="F337" s="10" t="s">
        <v>1</v>
      </c>
      <c r="G337" s="10">
        <v>13.71</v>
      </c>
      <c r="H337" s="10">
        <v>18.61</v>
      </c>
      <c r="I337" s="10">
        <v>66.86</v>
      </c>
      <c r="J337" s="10">
        <v>334.3</v>
      </c>
      <c r="K337" s="10">
        <v>0.10680000000000001</v>
      </c>
      <c r="L337" s="10">
        <v>6.6780000000000006E-2</v>
      </c>
      <c r="M337" s="10">
        <v>2.2970000000000001E-2</v>
      </c>
      <c r="N337" s="10">
        <v>1.78E-2</v>
      </c>
      <c r="O337" s="10">
        <v>0.1482</v>
      </c>
      <c r="P337" s="10">
        <v>6.6000000000000003E-2</v>
      </c>
      <c r="Q337" s="10">
        <v>0.14849999999999999</v>
      </c>
      <c r="R337" s="10">
        <v>1.5629999999999999</v>
      </c>
      <c r="S337" s="10">
        <v>1.0349999999999999</v>
      </c>
      <c r="T337" s="10">
        <v>10.08</v>
      </c>
      <c r="U337" s="10">
        <v>8.8749999999999992E-3</v>
      </c>
      <c r="V337" s="10">
        <v>9.3620000000000005E-3</v>
      </c>
      <c r="W337" s="10">
        <v>1.8079999999999999E-2</v>
      </c>
      <c r="X337" s="10">
        <v>9.1990000000000006E-3</v>
      </c>
      <c r="Y337" s="10">
        <v>1.7909999999999999E-2</v>
      </c>
      <c r="Z337" s="10">
        <v>3.3170000000000001E-3</v>
      </c>
      <c r="AA337" s="10">
        <v>11.06</v>
      </c>
      <c r="AB337" s="10">
        <v>24.54</v>
      </c>
      <c r="AC337" s="10">
        <v>70.760000000000005</v>
      </c>
      <c r="AD337" s="10">
        <v>375.4</v>
      </c>
      <c r="AE337" s="10">
        <v>0.14130000000000001</v>
      </c>
      <c r="AF337" s="10">
        <v>0.10440000000000001</v>
      </c>
      <c r="AG337" s="10">
        <v>8.4229999999999999E-2</v>
      </c>
      <c r="AH337" s="10">
        <v>6.5280000000000005E-2</v>
      </c>
      <c r="AI337" s="10">
        <v>0.2213</v>
      </c>
      <c r="AJ337">
        <v>7.8420000000000004E-2</v>
      </c>
    </row>
    <row r="338" spans="3:36">
      <c r="C338" s="11" t="s">
        <v>444</v>
      </c>
      <c r="D338" s="10">
        <v>305</v>
      </c>
      <c r="E338" s="10">
        <v>89296</v>
      </c>
      <c r="F338" s="10" t="s">
        <v>1</v>
      </c>
      <c r="G338" s="10">
        <v>13.71</v>
      </c>
      <c r="H338" s="10">
        <v>18.16</v>
      </c>
      <c r="I338" s="10">
        <v>73.59</v>
      </c>
      <c r="J338" s="10">
        <v>403.1</v>
      </c>
      <c r="K338" s="10">
        <v>8.8529999999999998E-2</v>
      </c>
      <c r="L338" s="10">
        <v>7.6939999999999995E-2</v>
      </c>
      <c r="M338" s="10">
        <v>3.3439999999999998E-2</v>
      </c>
      <c r="N338" s="10">
        <v>1.502E-2</v>
      </c>
      <c r="O338" s="10">
        <v>0.1411</v>
      </c>
      <c r="P338" s="10">
        <v>6.2429999999999999E-2</v>
      </c>
      <c r="Q338" s="10">
        <v>0.32779999999999998</v>
      </c>
      <c r="R338" s="10">
        <v>1.0589999999999999</v>
      </c>
      <c r="S338" s="10">
        <v>2.4750000000000001</v>
      </c>
      <c r="T338" s="10">
        <v>22.93</v>
      </c>
      <c r="U338" s="10">
        <v>6.6519999999999999E-3</v>
      </c>
      <c r="V338" s="10">
        <v>2.6519999999999998E-2</v>
      </c>
      <c r="W338" s="10">
        <v>2.2210000000000001E-2</v>
      </c>
      <c r="X338" s="10">
        <v>7.8069999999999997E-3</v>
      </c>
      <c r="Y338" s="10">
        <v>1.8939999999999999E-2</v>
      </c>
      <c r="Z338" s="10">
        <v>3.411E-3</v>
      </c>
      <c r="AA338" s="10">
        <v>12.68</v>
      </c>
      <c r="AB338" s="10">
        <v>21.61</v>
      </c>
      <c r="AC338" s="10">
        <v>82.69</v>
      </c>
      <c r="AD338" s="10">
        <v>489.8</v>
      </c>
      <c r="AE338" s="10">
        <v>0.1144</v>
      </c>
      <c r="AF338" s="10">
        <v>0.1789</v>
      </c>
      <c r="AG338" s="10">
        <v>0.1226</v>
      </c>
      <c r="AH338" s="10">
        <v>5.509E-2</v>
      </c>
      <c r="AI338" s="10">
        <v>0.2208</v>
      </c>
      <c r="AJ338">
        <v>7.6380000000000003E-2</v>
      </c>
    </row>
    <row r="339" spans="3:36">
      <c r="C339" s="11" t="s">
        <v>445</v>
      </c>
      <c r="D339" s="10">
        <v>306</v>
      </c>
      <c r="E339" s="10">
        <v>893061</v>
      </c>
      <c r="F339" s="10" t="s">
        <v>1</v>
      </c>
      <c r="G339" s="10">
        <v>13.71</v>
      </c>
      <c r="H339" s="10">
        <v>24.49</v>
      </c>
      <c r="I339" s="10">
        <v>74.23</v>
      </c>
      <c r="J339" s="10">
        <v>417.2</v>
      </c>
      <c r="K339" s="10">
        <v>7.4740000000000001E-2</v>
      </c>
      <c r="L339" s="10">
        <v>5.688E-2</v>
      </c>
      <c r="M339" s="10">
        <v>1.9740000000000001E-2</v>
      </c>
      <c r="N339" s="10">
        <v>1.3129999999999999E-2</v>
      </c>
      <c r="O339" s="10">
        <v>0.19350000000000001</v>
      </c>
      <c r="P339" s="10">
        <v>5.8779999999999999E-2</v>
      </c>
      <c r="Q339" s="10">
        <v>0.25119999999999998</v>
      </c>
      <c r="R339" s="10">
        <v>1.786</v>
      </c>
      <c r="S339" s="10">
        <v>1.9610000000000001</v>
      </c>
      <c r="T339" s="10">
        <v>18.21</v>
      </c>
      <c r="U339" s="10">
        <v>6.1219999999999998E-3</v>
      </c>
      <c r="V339" s="10">
        <v>2.3369999999999998E-2</v>
      </c>
      <c r="W339" s="10">
        <v>1.5959999999999998E-2</v>
      </c>
      <c r="X339" s="10">
        <v>6.9979999999999999E-3</v>
      </c>
      <c r="Y339" s="10">
        <v>3.1940000000000003E-2</v>
      </c>
      <c r="Z339" s="10">
        <v>2.2109999999999999E-3</v>
      </c>
      <c r="AA339" s="10">
        <v>12.44</v>
      </c>
      <c r="AB339" s="10">
        <v>31.62</v>
      </c>
      <c r="AC339" s="10">
        <v>81.39</v>
      </c>
      <c r="AD339" s="10">
        <v>476.5</v>
      </c>
      <c r="AE339" s="10">
        <v>9.5449999999999993E-2</v>
      </c>
      <c r="AF339" s="10">
        <v>0.1361</v>
      </c>
      <c r="AG339" s="10">
        <v>7.2389999999999996E-2</v>
      </c>
      <c r="AH339" s="10">
        <v>4.8149999999999998E-2</v>
      </c>
      <c r="AI339" s="10">
        <v>0.32440000000000002</v>
      </c>
      <c r="AJ339">
        <v>6.7449999999999996E-2</v>
      </c>
    </row>
    <row r="340" spans="3:36">
      <c r="C340" s="11" t="s">
        <v>446</v>
      </c>
      <c r="D340" s="10">
        <v>307</v>
      </c>
      <c r="E340" s="10">
        <v>89344</v>
      </c>
      <c r="F340" s="10" t="s">
        <v>1</v>
      </c>
      <c r="G340" s="10">
        <v>13.71</v>
      </c>
      <c r="H340" s="10">
        <v>15.82</v>
      </c>
      <c r="I340" s="10">
        <v>84.07</v>
      </c>
      <c r="J340" s="10">
        <v>537.29999999999995</v>
      </c>
      <c r="K340" s="10">
        <v>8.5110000000000005E-2</v>
      </c>
      <c r="L340" s="10">
        <v>5.2510000000000001E-2</v>
      </c>
      <c r="M340" s="10">
        <v>1.4610000000000001E-3</v>
      </c>
      <c r="N340" s="10">
        <v>3.261E-3</v>
      </c>
      <c r="O340" s="10">
        <v>0.16320000000000001</v>
      </c>
      <c r="P340" s="10">
        <v>5.8939999999999999E-2</v>
      </c>
      <c r="Q340" s="10">
        <v>0.1903</v>
      </c>
      <c r="R340" s="10">
        <v>0.57350000000000001</v>
      </c>
      <c r="S340" s="10">
        <v>1.204</v>
      </c>
      <c r="T340" s="10">
        <v>15.5</v>
      </c>
      <c r="U340" s="10">
        <v>3.6319999999999998E-3</v>
      </c>
      <c r="V340" s="10">
        <v>7.8609999999999999E-3</v>
      </c>
      <c r="W340" s="10">
        <v>1.1280000000000001E-3</v>
      </c>
      <c r="X340" s="10">
        <v>2.3860000000000001E-3</v>
      </c>
      <c r="Y340" s="10">
        <v>1.3440000000000001E-2</v>
      </c>
      <c r="Z340" s="10">
        <v>2.5850000000000001E-3</v>
      </c>
      <c r="AA340" s="10">
        <v>14.41</v>
      </c>
      <c r="AB340" s="10">
        <v>20.45</v>
      </c>
      <c r="AC340" s="10">
        <v>92</v>
      </c>
      <c r="AD340" s="10">
        <v>636.9</v>
      </c>
      <c r="AE340" s="10">
        <v>0.1128</v>
      </c>
      <c r="AF340" s="10">
        <v>0.1346</v>
      </c>
      <c r="AG340" s="10">
        <v>1.12E-2</v>
      </c>
      <c r="AH340" s="10">
        <v>2.5000000000000001E-2</v>
      </c>
      <c r="AI340" s="10">
        <v>0.2651</v>
      </c>
      <c r="AJ340">
        <v>8.3849999999999994E-2</v>
      </c>
    </row>
    <row r="341" spans="3:36">
      <c r="C341" s="11" t="s">
        <v>447</v>
      </c>
      <c r="D341" s="10">
        <v>308</v>
      </c>
      <c r="E341" s="10">
        <v>89346</v>
      </c>
      <c r="F341" s="10" t="s">
        <v>1</v>
      </c>
      <c r="G341" s="10">
        <v>13.71</v>
      </c>
      <c r="H341" s="10">
        <v>14.4</v>
      </c>
      <c r="I341" s="10">
        <v>56.36</v>
      </c>
      <c r="J341" s="10">
        <v>246.3</v>
      </c>
      <c r="K341" s="10">
        <v>7.0050000000000001E-2</v>
      </c>
      <c r="L341" s="10">
        <v>3.116E-2</v>
      </c>
      <c r="M341" s="10">
        <v>3.6809999999999998E-3</v>
      </c>
      <c r="N341" s="10">
        <v>3.4719999999999998E-3</v>
      </c>
      <c r="O341" s="10">
        <v>0.17879999999999999</v>
      </c>
      <c r="P341" s="10">
        <v>6.8330000000000002E-2</v>
      </c>
      <c r="Q341" s="10">
        <v>0.17460000000000001</v>
      </c>
      <c r="R341" s="10">
        <v>1.3049999999999999</v>
      </c>
      <c r="S341" s="10">
        <v>1.1439999999999999</v>
      </c>
      <c r="T341" s="10">
        <v>9.7889999999999997</v>
      </c>
      <c r="U341" s="10">
        <v>7.3889999999999997E-3</v>
      </c>
      <c r="V341" s="10">
        <v>4.8830000000000002E-3</v>
      </c>
      <c r="W341" s="10">
        <v>3.6809999999999998E-3</v>
      </c>
      <c r="X341" s="10">
        <v>3.4719999999999998E-3</v>
      </c>
      <c r="Y341" s="10">
        <v>2.7009999999999999E-2</v>
      </c>
      <c r="Z341" s="10">
        <v>2.153E-3</v>
      </c>
      <c r="AA341" s="10">
        <v>9.6989999999999998</v>
      </c>
      <c r="AB341" s="10">
        <v>20.07</v>
      </c>
      <c r="AC341" s="10">
        <v>60.9</v>
      </c>
      <c r="AD341" s="10">
        <v>285.5</v>
      </c>
      <c r="AE341" s="10">
        <v>9.8610000000000003E-2</v>
      </c>
      <c r="AF341" s="10">
        <v>5.2319999999999998E-2</v>
      </c>
      <c r="AG341" s="10">
        <v>1.472E-2</v>
      </c>
      <c r="AH341" s="10">
        <v>1.389E-2</v>
      </c>
      <c r="AI341" s="10">
        <v>0.29909999999999998</v>
      </c>
      <c r="AJ341">
        <v>7.8039999999999998E-2</v>
      </c>
    </row>
    <row r="342" spans="3:36">
      <c r="C342" s="11" t="s">
        <v>448</v>
      </c>
      <c r="D342" s="10">
        <v>309</v>
      </c>
      <c r="E342" s="10">
        <v>893526</v>
      </c>
      <c r="F342" s="10" t="s">
        <v>1</v>
      </c>
      <c r="G342" s="10">
        <v>13.71</v>
      </c>
      <c r="H342" s="10">
        <v>12.71</v>
      </c>
      <c r="I342" s="10">
        <v>85.69</v>
      </c>
      <c r="J342" s="10">
        <v>566.20000000000005</v>
      </c>
      <c r="K342" s="10">
        <v>7.3760000000000006E-2</v>
      </c>
      <c r="L342" s="10">
        <v>3.6139999999999999E-2</v>
      </c>
      <c r="M342" s="10">
        <v>2.758E-3</v>
      </c>
      <c r="N342" s="10">
        <v>4.4190000000000002E-3</v>
      </c>
      <c r="O342" s="10">
        <v>0.13650000000000001</v>
      </c>
      <c r="P342" s="10">
        <v>5.3350000000000002E-2</v>
      </c>
      <c r="Q342" s="10">
        <v>0.22439999999999999</v>
      </c>
      <c r="R342" s="10">
        <v>0.68640000000000001</v>
      </c>
      <c r="S342" s="10">
        <v>1.5089999999999999</v>
      </c>
      <c r="T342" s="10">
        <v>20.39</v>
      </c>
      <c r="U342" s="10">
        <v>3.3379999999999998E-3</v>
      </c>
      <c r="V342" s="10">
        <v>3.7460000000000002E-3</v>
      </c>
      <c r="W342" s="10">
        <v>2.0300000000000001E-3</v>
      </c>
      <c r="X342" s="10">
        <v>3.2420000000000001E-3</v>
      </c>
      <c r="Y342" s="10">
        <v>1.4800000000000001E-2</v>
      </c>
      <c r="Z342" s="10">
        <v>1.5659999999999999E-3</v>
      </c>
      <c r="AA342" s="10">
        <v>14.97</v>
      </c>
      <c r="AB342" s="10">
        <v>16.940000000000001</v>
      </c>
      <c r="AC342" s="10">
        <v>95.48</v>
      </c>
      <c r="AD342" s="10">
        <v>698.7</v>
      </c>
      <c r="AE342" s="10">
        <v>9.0230000000000005E-2</v>
      </c>
      <c r="AF342" s="10">
        <v>5.8360000000000002E-2</v>
      </c>
      <c r="AG342" s="10">
        <v>1.379E-2</v>
      </c>
      <c r="AH342" s="10">
        <v>2.2100000000000002E-2</v>
      </c>
      <c r="AI342" s="10">
        <v>0.22670000000000001</v>
      </c>
      <c r="AJ342">
        <v>6.1920000000000003E-2</v>
      </c>
    </row>
    <row r="343" spans="3:36">
      <c r="C343" s="11" t="s">
        <v>449</v>
      </c>
      <c r="D343" s="10">
        <v>310</v>
      </c>
      <c r="E343" s="10">
        <v>893548</v>
      </c>
      <c r="F343" s="10" t="s">
        <v>1</v>
      </c>
      <c r="G343" s="10">
        <v>13.71</v>
      </c>
      <c r="H343" s="10">
        <v>13.84</v>
      </c>
      <c r="I343" s="10">
        <v>82.71</v>
      </c>
      <c r="J343" s="10">
        <v>530.6</v>
      </c>
      <c r="K343" s="10">
        <v>8.3519999999999997E-2</v>
      </c>
      <c r="L343" s="10">
        <v>3.7350000000000001E-2</v>
      </c>
      <c r="M343" s="10">
        <v>4.5589999999999997E-3</v>
      </c>
      <c r="N343" s="10">
        <v>8.829E-3</v>
      </c>
      <c r="O343" s="10">
        <v>0.14530000000000001</v>
      </c>
      <c r="P343" s="10">
        <v>5.518E-2</v>
      </c>
      <c r="Q343" s="10">
        <v>0.39750000000000002</v>
      </c>
      <c r="R343" s="10">
        <v>0.82850000000000001</v>
      </c>
      <c r="S343" s="10">
        <v>2.5670000000000002</v>
      </c>
      <c r="T343" s="10">
        <v>33.01</v>
      </c>
      <c r="U343" s="10">
        <v>4.1479999999999998E-3</v>
      </c>
      <c r="V343" s="10">
        <v>4.7109999999999999E-3</v>
      </c>
      <c r="W343" s="10">
        <v>2.8310000000000002E-3</v>
      </c>
      <c r="X343" s="10">
        <v>4.8209999999999998E-3</v>
      </c>
      <c r="Y343" s="10">
        <v>1.422E-2</v>
      </c>
      <c r="Z343" s="10">
        <v>2.2729999999999998E-3</v>
      </c>
      <c r="AA343" s="10">
        <v>14.73</v>
      </c>
      <c r="AB343" s="10">
        <v>17.399999999999999</v>
      </c>
      <c r="AC343" s="10">
        <v>93.96</v>
      </c>
      <c r="AD343" s="10">
        <v>672.4</v>
      </c>
      <c r="AE343" s="10">
        <v>0.1016</v>
      </c>
      <c r="AF343" s="10">
        <v>5.8470000000000001E-2</v>
      </c>
      <c r="AG343" s="10">
        <v>1.8239999999999999E-2</v>
      </c>
      <c r="AH343" s="10">
        <v>3.5319999999999997E-2</v>
      </c>
      <c r="AI343" s="10">
        <v>0.2107</v>
      </c>
      <c r="AJ343">
        <v>6.5799999999999997E-2</v>
      </c>
    </row>
    <row r="344" spans="3:36">
      <c r="C344" s="11" t="s">
        <v>450</v>
      </c>
      <c r="D344" s="10">
        <v>311</v>
      </c>
      <c r="E344" s="10">
        <v>893783</v>
      </c>
      <c r="F344" s="10" t="s">
        <v>1</v>
      </c>
      <c r="G344" s="10">
        <v>13.71</v>
      </c>
      <c r="H344" s="10">
        <v>19.11</v>
      </c>
      <c r="I344" s="10">
        <v>74.33</v>
      </c>
      <c r="J344" s="10">
        <v>418.7</v>
      </c>
      <c r="K344" s="10">
        <v>8.8139999999999996E-2</v>
      </c>
      <c r="L344" s="10">
        <v>5.253E-2</v>
      </c>
      <c r="M344" s="10">
        <v>1.583E-2</v>
      </c>
      <c r="N344" s="10">
        <v>1.1480000000000001E-2</v>
      </c>
      <c r="O344" s="10">
        <v>0.19359999999999999</v>
      </c>
      <c r="P344" s="10">
        <v>6.1280000000000001E-2</v>
      </c>
      <c r="Q344" s="10">
        <v>0.16009999999999999</v>
      </c>
      <c r="R344" s="10">
        <v>1.43</v>
      </c>
      <c r="S344" s="10">
        <v>1.109</v>
      </c>
      <c r="T344" s="10">
        <v>11.28</v>
      </c>
      <c r="U344" s="10">
        <v>6.0639999999999999E-3</v>
      </c>
      <c r="V344" s="10">
        <v>9.11E-3</v>
      </c>
      <c r="W344" s="10">
        <v>1.042E-2</v>
      </c>
      <c r="X344" s="10">
        <v>7.6379999999999998E-3</v>
      </c>
      <c r="Y344" s="10">
        <v>2.349E-2</v>
      </c>
      <c r="Z344" s="10">
        <v>1.6609999999999999E-3</v>
      </c>
      <c r="AA344" s="10">
        <v>12.61</v>
      </c>
      <c r="AB344" s="10">
        <v>26.55</v>
      </c>
      <c r="AC344" s="10">
        <v>80.92</v>
      </c>
      <c r="AD344" s="10">
        <v>483.1</v>
      </c>
      <c r="AE344" s="10">
        <v>0.12230000000000001</v>
      </c>
      <c r="AF344" s="10">
        <v>0.1087</v>
      </c>
      <c r="AG344" s="10">
        <v>7.9149999999999998E-2</v>
      </c>
      <c r="AH344" s="10">
        <v>5.7410000000000003E-2</v>
      </c>
      <c r="AI344" s="10">
        <v>0.34870000000000001</v>
      </c>
      <c r="AJ344">
        <v>6.9580000000000003E-2</v>
      </c>
    </row>
    <row r="345" spans="3:36">
      <c r="C345" s="11" t="s">
        <v>451</v>
      </c>
      <c r="D345" s="10">
        <v>312</v>
      </c>
      <c r="E345" s="10">
        <v>89382601</v>
      </c>
      <c r="F345" s="10" t="s">
        <v>1</v>
      </c>
      <c r="G345" s="10">
        <v>13.71</v>
      </c>
      <c r="H345" s="10">
        <v>15.69</v>
      </c>
      <c r="I345" s="10">
        <v>92.68</v>
      </c>
      <c r="J345" s="10">
        <v>664.9</v>
      </c>
      <c r="K345" s="10">
        <v>7.6179999999999998E-2</v>
      </c>
      <c r="L345" s="10">
        <v>3.5150000000000001E-2</v>
      </c>
      <c r="M345" s="10">
        <v>1.447E-2</v>
      </c>
      <c r="N345" s="10">
        <v>1.8769999999999998E-2</v>
      </c>
      <c r="O345" s="10">
        <v>0.16320000000000001</v>
      </c>
      <c r="P345" s="10">
        <v>5.2549999999999999E-2</v>
      </c>
      <c r="Q345" s="10">
        <v>0.316</v>
      </c>
      <c r="R345" s="10">
        <v>0.91149999999999998</v>
      </c>
      <c r="S345" s="10">
        <v>1.954</v>
      </c>
      <c r="T345" s="10">
        <v>28.9</v>
      </c>
      <c r="U345" s="10">
        <v>5.0309999999999999E-3</v>
      </c>
      <c r="V345" s="10">
        <v>6.0210000000000003E-3</v>
      </c>
      <c r="W345" s="10">
        <v>5.3249999999999999E-3</v>
      </c>
      <c r="X345" s="10">
        <v>6.3239999999999998E-3</v>
      </c>
      <c r="Y345" s="10">
        <v>1.494E-2</v>
      </c>
      <c r="Z345" s="10">
        <v>8.9479999999999996E-4</v>
      </c>
      <c r="AA345" s="10">
        <v>16.46</v>
      </c>
      <c r="AB345" s="10">
        <v>21.75</v>
      </c>
      <c r="AC345" s="10">
        <v>103.7</v>
      </c>
      <c r="AD345" s="10">
        <v>840.8</v>
      </c>
      <c r="AE345" s="10">
        <v>0.1011</v>
      </c>
      <c r="AF345" s="10">
        <v>7.0870000000000002E-2</v>
      </c>
      <c r="AG345" s="10">
        <v>4.7460000000000002E-2</v>
      </c>
      <c r="AH345" s="10">
        <v>5.8130000000000001E-2</v>
      </c>
      <c r="AI345" s="10">
        <v>0.253</v>
      </c>
      <c r="AJ345">
        <v>5.6950000000000001E-2</v>
      </c>
    </row>
    <row r="346" spans="3:36">
      <c r="C346" s="11" t="s">
        <v>452</v>
      </c>
      <c r="D346" s="10">
        <v>313</v>
      </c>
      <c r="E346" s="10">
        <v>89382602</v>
      </c>
      <c r="F346" s="10" t="s">
        <v>1</v>
      </c>
      <c r="G346" s="10">
        <v>13.71</v>
      </c>
      <c r="H346" s="10">
        <v>13.37</v>
      </c>
      <c r="I346" s="10">
        <v>82.29</v>
      </c>
      <c r="J346" s="10">
        <v>504.1</v>
      </c>
      <c r="K346" s="10">
        <v>8.7940000000000004E-2</v>
      </c>
      <c r="L346" s="10">
        <v>7.9479999999999995E-2</v>
      </c>
      <c r="M346" s="10">
        <v>4.052E-2</v>
      </c>
      <c r="N346" s="10">
        <v>2.5479999999999999E-2</v>
      </c>
      <c r="O346" s="10">
        <v>0.16009999999999999</v>
      </c>
      <c r="P346" s="10">
        <v>6.1400000000000003E-2</v>
      </c>
      <c r="Q346" s="10">
        <v>0.32650000000000001</v>
      </c>
      <c r="R346" s="10">
        <v>0.65939999999999999</v>
      </c>
      <c r="S346" s="10">
        <v>2.3460000000000001</v>
      </c>
      <c r="T346" s="10">
        <v>25.18</v>
      </c>
      <c r="U346" s="10">
        <v>6.4939999999999998E-3</v>
      </c>
      <c r="V346" s="10">
        <v>2.768E-2</v>
      </c>
      <c r="W346" s="10">
        <v>3.1370000000000002E-2</v>
      </c>
      <c r="X346" s="10">
        <v>1.069E-2</v>
      </c>
      <c r="Y346" s="10">
        <v>1.7309999999999999E-2</v>
      </c>
      <c r="Z346" s="10">
        <v>4.3920000000000001E-3</v>
      </c>
      <c r="AA346" s="10">
        <v>14.19</v>
      </c>
      <c r="AB346" s="10">
        <v>16.399999999999999</v>
      </c>
      <c r="AC346" s="10">
        <v>92.04</v>
      </c>
      <c r="AD346" s="10">
        <v>618.79999999999995</v>
      </c>
      <c r="AE346" s="10">
        <v>0.11940000000000001</v>
      </c>
      <c r="AF346" s="10">
        <v>0.2208</v>
      </c>
      <c r="AG346" s="10">
        <v>0.1769</v>
      </c>
      <c r="AH346" s="10">
        <v>8.4110000000000004E-2</v>
      </c>
      <c r="AI346" s="10">
        <v>0.25640000000000002</v>
      </c>
      <c r="AJ346">
        <v>8.2530000000000006E-2</v>
      </c>
    </row>
    <row r="347" spans="3:36">
      <c r="C347" s="11" t="s">
        <v>453</v>
      </c>
      <c r="D347" s="10">
        <v>314</v>
      </c>
      <c r="E347" s="10">
        <v>893988</v>
      </c>
      <c r="F347" s="10" t="s">
        <v>1</v>
      </c>
      <c r="G347" s="10">
        <v>13.71</v>
      </c>
      <c r="H347" s="10">
        <v>10.72</v>
      </c>
      <c r="I347" s="10">
        <v>73.73</v>
      </c>
      <c r="J347" s="10">
        <v>409.1</v>
      </c>
      <c r="K347" s="10">
        <v>8.5970000000000005E-2</v>
      </c>
      <c r="L347" s="10">
        <v>5.969E-2</v>
      </c>
      <c r="M347" s="10">
        <v>1.367E-2</v>
      </c>
      <c r="N347" s="10">
        <v>8.907E-3</v>
      </c>
      <c r="O347" s="10">
        <v>0.18329999999999999</v>
      </c>
      <c r="P347" s="10">
        <v>6.0999999999999999E-2</v>
      </c>
      <c r="Q347" s="10">
        <v>0.13120000000000001</v>
      </c>
      <c r="R347" s="10">
        <v>0.36020000000000002</v>
      </c>
      <c r="S347" s="10">
        <v>1.107</v>
      </c>
      <c r="T347" s="10">
        <v>9.4380000000000006</v>
      </c>
      <c r="U347" s="10">
        <v>4.1240000000000001E-3</v>
      </c>
      <c r="V347" s="10">
        <v>1.34E-2</v>
      </c>
      <c r="W347" s="10">
        <v>1.0030000000000001E-2</v>
      </c>
      <c r="X347" s="10">
        <v>4.6670000000000001E-3</v>
      </c>
      <c r="Y347" s="10">
        <v>2.0320000000000001E-2</v>
      </c>
      <c r="Z347" s="10">
        <v>1.952E-3</v>
      </c>
      <c r="AA347" s="10">
        <v>12.34</v>
      </c>
      <c r="AB347" s="10">
        <v>12.87</v>
      </c>
      <c r="AC347" s="10">
        <v>81.23</v>
      </c>
      <c r="AD347" s="10">
        <v>467.8</v>
      </c>
      <c r="AE347" s="10">
        <v>0.10920000000000001</v>
      </c>
      <c r="AF347" s="10">
        <v>0.16259999999999999</v>
      </c>
      <c r="AG347" s="10">
        <v>8.3239999999999995E-2</v>
      </c>
      <c r="AH347" s="10">
        <v>4.7149999999999997E-2</v>
      </c>
      <c r="AI347" s="10">
        <v>0.33900000000000002</v>
      </c>
      <c r="AJ347">
        <v>7.4340000000000003E-2</v>
      </c>
    </row>
    <row r="348" spans="3:36">
      <c r="C348" s="11" t="s">
        <v>454</v>
      </c>
      <c r="D348" s="10">
        <v>315</v>
      </c>
      <c r="E348" s="10">
        <v>894047</v>
      </c>
      <c r="F348" s="10" t="s">
        <v>1</v>
      </c>
      <c r="G348" s="10">
        <v>13.71</v>
      </c>
      <c r="H348" s="10">
        <v>18.600000000000001</v>
      </c>
      <c r="I348" s="10">
        <v>54.09</v>
      </c>
      <c r="J348" s="10">
        <v>221.2</v>
      </c>
      <c r="K348" s="10">
        <v>0.1074</v>
      </c>
      <c r="L348" s="10">
        <v>5.8470000000000001E-2</v>
      </c>
      <c r="M348" s="10">
        <v>0</v>
      </c>
      <c r="N348" s="10">
        <v>0</v>
      </c>
      <c r="O348" s="10">
        <v>0.21629999999999999</v>
      </c>
      <c r="P348" s="10">
        <v>7.3590000000000003E-2</v>
      </c>
      <c r="Q348" s="10">
        <v>0.33679999999999999</v>
      </c>
      <c r="R348" s="10">
        <v>2.7770000000000001</v>
      </c>
      <c r="S348" s="10">
        <v>2.222</v>
      </c>
      <c r="T348" s="10">
        <v>17.809999999999999</v>
      </c>
      <c r="U348" s="10">
        <v>2.0750000000000001E-2</v>
      </c>
      <c r="V348" s="10">
        <v>1.4030000000000001E-2</v>
      </c>
      <c r="W348" s="10">
        <v>0</v>
      </c>
      <c r="X348" s="10">
        <v>0</v>
      </c>
      <c r="Y348" s="10">
        <v>6.1460000000000001E-2</v>
      </c>
      <c r="Z348" s="10">
        <v>6.8199999999999997E-3</v>
      </c>
      <c r="AA348" s="10">
        <v>8.952</v>
      </c>
      <c r="AB348" s="10">
        <v>22.44</v>
      </c>
      <c r="AC348" s="10">
        <v>56.65</v>
      </c>
      <c r="AD348" s="10">
        <v>240.1</v>
      </c>
      <c r="AE348" s="10">
        <v>0.13469999999999999</v>
      </c>
      <c r="AF348" s="10">
        <v>7.7670000000000003E-2</v>
      </c>
      <c r="AG348" s="10">
        <v>0</v>
      </c>
      <c r="AH348" s="10">
        <v>0</v>
      </c>
      <c r="AI348" s="10">
        <v>0.31419999999999998</v>
      </c>
      <c r="AJ348">
        <v>8.1159999999999996E-2</v>
      </c>
    </row>
    <row r="349" spans="3:36">
      <c r="C349" s="11" t="s">
        <v>455</v>
      </c>
      <c r="D349" s="10">
        <v>316</v>
      </c>
      <c r="E349" s="10">
        <v>894089</v>
      </c>
      <c r="F349" s="10" t="s">
        <v>1</v>
      </c>
      <c r="G349" s="10">
        <v>13.71</v>
      </c>
      <c r="H349" s="10">
        <v>16.850000000000001</v>
      </c>
      <c r="I349" s="10">
        <v>79.19</v>
      </c>
      <c r="J349" s="10">
        <v>481.6</v>
      </c>
      <c r="K349" s="10">
        <v>8.5110000000000005E-2</v>
      </c>
      <c r="L349" s="10">
        <v>3.8339999999999999E-2</v>
      </c>
      <c r="M349" s="10">
        <v>4.4730000000000004E-3</v>
      </c>
      <c r="N349" s="10">
        <v>6.4229999999999999E-3</v>
      </c>
      <c r="O349" s="10">
        <v>0.1215</v>
      </c>
      <c r="P349" s="10">
        <v>5.6730000000000003E-2</v>
      </c>
      <c r="Q349" s="10">
        <v>0.1716</v>
      </c>
      <c r="R349" s="10">
        <v>0.71509999999999996</v>
      </c>
      <c r="S349" s="10">
        <v>1.0469999999999999</v>
      </c>
      <c r="T349" s="10">
        <v>12.69</v>
      </c>
      <c r="U349" s="10">
        <v>4.9280000000000001E-3</v>
      </c>
      <c r="V349" s="10">
        <v>3.0119999999999999E-3</v>
      </c>
      <c r="W349" s="10">
        <v>2.6199999999999999E-3</v>
      </c>
      <c r="X349" s="10">
        <v>3.3899999999999998E-3</v>
      </c>
      <c r="Y349" s="10">
        <v>1.393E-2</v>
      </c>
      <c r="Z349" s="10">
        <v>1.3439999999999999E-3</v>
      </c>
      <c r="AA349" s="10">
        <v>13.34</v>
      </c>
      <c r="AB349" s="10">
        <v>19.71</v>
      </c>
      <c r="AC349" s="10">
        <v>84.48</v>
      </c>
      <c r="AD349" s="10">
        <v>544.20000000000005</v>
      </c>
      <c r="AE349" s="10">
        <v>0.1104</v>
      </c>
      <c r="AF349" s="10">
        <v>4.9529999999999998E-2</v>
      </c>
      <c r="AG349" s="10">
        <v>1.9380000000000001E-2</v>
      </c>
      <c r="AH349" s="10">
        <v>2.784E-2</v>
      </c>
      <c r="AI349" s="10">
        <v>0.19170000000000001</v>
      </c>
      <c r="AJ349">
        <v>6.1740000000000003E-2</v>
      </c>
    </row>
    <row r="350" spans="3:36">
      <c r="C350" s="11" t="s">
        <v>456</v>
      </c>
      <c r="D350" s="10">
        <v>317</v>
      </c>
      <c r="E350" s="10">
        <v>894090</v>
      </c>
      <c r="F350" s="10" t="s">
        <v>1</v>
      </c>
      <c r="G350" s="10">
        <v>13.71</v>
      </c>
      <c r="H350" s="10">
        <v>14.08</v>
      </c>
      <c r="I350" s="10">
        <v>77.25</v>
      </c>
      <c r="J350" s="10">
        <v>461.4</v>
      </c>
      <c r="K350" s="10">
        <v>7.7340000000000006E-2</v>
      </c>
      <c r="L350" s="10">
        <v>3.2120000000000003E-2</v>
      </c>
      <c r="M350" s="10">
        <v>1.123E-2</v>
      </c>
      <c r="N350" s="10">
        <v>5.0509999999999999E-3</v>
      </c>
      <c r="O350" s="10">
        <v>0.1673</v>
      </c>
      <c r="P350" s="10">
        <v>5.6489999999999999E-2</v>
      </c>
      <c r="Q350" s="10">
        <v>0.21129999999999999</v>
      </c>
      <c r="R350" s="10">
        <v>0.59960000000000002</v>
      </c>
      <c r="S350" s="10">
        <v>1.4379999999999999</v>
      </c>
      <c r="T350" s="10">
        <v>15.82</v>
      </c>
      <c r="U350" s="10">
        <v>5.3429999999999997E-3</v>
      </c>
      <c r="V350" s="10">
        <v>5.7670000000000004E-3</v>
      </c>
      <c r="W350" s="10">
        <v>1.123E-2</v>
      </c>
      <c r="X350" s="10">
        <v>5.0509999999999999E-3</v>
      </c>
      <c r="Y350" s="10">
        <v>1.9769999999999999E-2</v>
      </c>
      <c r="Z350" s="10">
        <v>9.502E-4</v>
      </c>
      <c r="AA350" s="10">
        <v>12.85</v>
      </c>
      <c r="AB350" s="10">
        <v>16.47</v>
      </c>
      <c r="AC350" s="10">
        <v>81.599999999999994</v>
      </c>
      <c r="AD350" s="10">
        <v>513.1</v>
      </c>
      <c r="AE350" s="10">
        <v>0.10009999999999999</v>
      </c>
      <c r="AF350" s="10">
        <v>5.3319999999999999E-2</v>
      </c>
      <c r="AG350" s="10">
        <v>4.1160000000000002E-2</v>
      </c>
      <c r="AH350" s="10">
        <v>1.8519999999999998E-2</v>
      </c>
      <c r="AI350" s="10">
        <v>0.2293</v>
      </c>
      <c r="AJ350">
        <v>6.037E-2</v>
      </c>
    </row>
    <row r="351" spans="3:36">
      <c r="C351" s="11" t="s">
        <v>457</v>
      </c>
      <c r="D351" s="10">
        <v>318</v>
      </c>
      <c r="E351" s="10">
        <v>894326</v>
      </c>
      <c r="F351" s="10" t="s">
        <v>0</v>
      </c>
      <c r="G351" s="10">
        <v>13.71</v>
      </c>
      <c r="H351" s="10">
        <v>18.87</v>
      </c>
      <c r="I351" s="10">
        <v>118.7</v>
      </c>
      <c r="J351" s="10">
        <v>1027</v>
      </c>
      <c r="K351" s="10">
        <v>9.7460000000000005E-2</v>
      </c>
      <c r="L351" s="10">
        <v>0.11169999999999999</v>
      </c>
      <c r="M351" s="10">
        <v>0.113</v>
      </c>
      <c r="N351" s="10">
        <v>7.9500000000000001E-2</v>
      </c>
      <c r="O351" s="10">
        <v>0.1807</v>
      </c>
      <c r="P351" s="10">
        <v>5.6640000000000003E-2</v>
      </c>
      <c r="Q351" s="10">
        <v>0.40410000000000001</v>
      </c>
      <c r="R351" s="10">
        <v>0.55030000000000001</v>
      </c>
      <c r="S351" s="10">
        <v>2.5470000000000002</v>
      </c>
      <c r="T351" s="10">
        <v>48.9</v>
      </c>
      <c r="U351" s="10">
        <v>4.8209999999999998E-3</v>
      </c>
      <c r="V351" s="10">
        <v>1.6590000000000001E-2</v>
      </c>
      <c r="W351" s="10">
        <v>2.4080000000000001E-2</v>
      </c>
      <c r="X351" s="10">
        <v>1.1429999999999999E-2</v>
      </c>
      <c r="Y351" s="10">
        <v>1.2749999999999999E-2</v>
      </c>
      <c r="Z351" s="10">
        <v>2.4510000000000001E-3</v>
      </c>
      <c r="AA351" s="10">
        <v>21.84</v>
      </c>
      <c r="AB351" s="10">
        <v>25</v>
      </c>
      <c r="AC351" s="10">
        <v>140.9</v>
      </c>
      <c r="AD351" s="10">
        <v>1485</v>
      </c>
      <c r="AE351" s="10">
        <v>0.1434</v>
      </c>
      <c r="AF351" s="10">
        <v>0.27629999999999999</v>
      </c>
      <c r="AG351" s="10">
        <v>0.38529999999999998</v>
      </c>
      <c r="AH351" s="10">
        <v>0.17760000000000001</v>
      </c>
      <c r="AI351" s="10">
        <v>0.28120000000000001</v>
      </c>
      <c r="AJ351">
        <v>8.1979999999999997E-2</v>
      </c>
    </row>
    <row r="352" spans="3:36">
      <c r="C352" s="11" t="s">
        <v>458</v>
      </c>
      <c r="D352" s="10">
        <v>319</v>
      </c>
      <c r="E352" s="10">
        <v>894329</v>
      </c>
      <c r="F352" s="10" t="s">
        <v>1</v>
      </c>
      <c r="G352" s="10">
        <v>13.71</v>
      </c>
      <c r="H352" s="10">
        <v>18.899999999999999</v>
      </c>
      <c r="I352" s="10">
        <v>60.07</v>
      </c>
      <c r="J352" s="10">
        <v>244.5</v>
      </c>
      <c r="K352" s="10">
        <v>9.9680000000000005E-2</v>
      </c>
      <c r="L352" s="10">
        <v>0.19719999999999999</v>
      </c>
      <c r="M352" s="10">
        <v>0.19750000000000001</v>
      </c>
      <c r="N352" s="10">
        <v>4.9079999999999999E-2</v>
      </c>
      <c r="O352" s="10">
        <v>0.23300000000000001</v>
      </c>
      <c r="P352" s="10">
        <v>8.7429999999999994E-2</v>
      </c>
      <c r="Q352" s="10">
        <v>0.46529999999999999</v>
      </c>
      <c r="R352" s="10">
        <v>1.911</v>
      </c>
      <c r="S352" s="10">
        <v>3.7690000000000001</v>
      </c>
      <c r="T352" s="10">
        <v>24.2</v>
      </c>
      <c r="U352" s="10">
        <v>9.8449999999999996E-3</v>
      </c>
      <c r="V352" s="10">
        <v>6.59E-2</v>
      </c>
      <c r="W352" s="10">
        <v>0.1027</v>
      </c>
      <c r="X352" s="10">
        <v>2.5270000000000001E-2</v>
      </c>
      <c r="Y352" s="10">
        <v>3.4909999999999997E-2</v>
      </c>
      <c r="Z352" s="10">
        <v>7.8770000000000003E-3</v>
      </c>
      <c r="AA352" s="10">
        <v>10.06</v>
      </c>
      <c r="AB352" s="10">
        <v>23.4</v>
      </c>
      <c r="AC352" s="10">
        <v>68.62</v>
      </c>
      <c r="AD352" s="10">
        <v>297.10000000000002</v>
      </c>
      <c r="AE352" s="10">
        <v>0.1221</v>
      </c>
      <c r="AF352" s="10">
        <v>0.37480000000000002</v>
      </c>
      <c r="AG352" s="10">
        <v>0.46089999999999998</v>
      </c>
      <c r="AH352" s="10">
        <v>0.1145</v>
      </c>
      <c r="AI352" s="10">
        <v>0.3135</v>
      </c>
      <c r="AJ352">
        <v>0.1055</v>
      </c>
    </row>
    <row r="353" spans="3:36">
      <c r="C353" s="11" t="s">
        <v>459</v>
      </c>
      <c r="D353" s="10">
        <v>320</v>
      </c>
      <c r="E353" s="10">
        <v>894335</v>
      </c>
      <c r="F353" s="10" t="s">
        <v>1</v>
      </c>
      <c r="G353" s="10">
        <v>13.71</v>
      </c>
      <c r="H353" s="10">
        <v>17</v>
      </c>
      <c r="I353" s="10">
        <v>78.599999999999994</v>
      </c>
      <c r="J353" s="10">
        <v>477.3</v>
      </c>
      <c r="K353" s="10">
        <v>7.5569999999999998E-2</v>
      </c>
      <c r="L353" s="10">
        <v>3.4540000000000001E-2</v>
      </c>
      <c r="M353" s="10">
        <v>1.342E-2</v>
      </c>
      <c r="N353" s="10">
        <v>1.6990000000000002E-2</v>
      </c>
      <c r="O353" s="10">
        <v>0.1472</v>
      </c>
      <c r="P353" s="10">
        <v>5.561E-2</v>
      </c>
      <c r="Q353" s="10">
        <v>0.37780000000000002</v>
      </c>
      <c r="R353" s="10">
        <v>2.2000000000000002</v>
      </c>
      <c r="S353" s="10">
        <v>2.4870000000000001</v>
      </c>
      <c r="T353" s="10">
        <v>31.16</v>
      </c>
      <c r="U353" s="10">
        <v>7.3569999999999998E-3</v>
      </c>
      <c r="V353" s="10">
        <v>1.0789999999999999E-2</v>
      </c>
      <c r="W353" s="10">
        <v>9.9590000000000008E-3</v>
      </c>
      <c r="X353" s="10">
        <v>1.12E-2</v>
      </c>
      <c r="Y353" s="10">
        <v>3.4329999999999999E-2</v>
      </c>
      <c r="Z353" s="10">
        <v>2.9610000000000001E-3</v>
      </c>
      <c r="AA353" s="10">
        <v>12.9</v>
      </c>
      <c r="AB353" s="10">
        <v>20.21</v>
      </c>
      <c r="AC353" s="10">
        <v>81.760000000000005</v>
      </c>
      <c r="AD353" s="10">
        <v>515.9</v>
      </c>
      <c r="AE353" s="10">
        <v>8.4089999999999998E-2</v>
      </c>
      <c r="AF353" s="10">
        <v>4.7120000000000002E-2</v>
      </c>
      <c r="AG353" s="10">
        <v>2.2370000000000001E-2</v>
      </c>
      <c r="AH353" s="10">
        <v>2.8320000000000001E-2</v>
      </c>
      <c r="AI353" s="10">
        <v>0.19009999999999999</v>
      </c>
      <c r="AJ353">
        <v>5.9319999999999998E-2</v>
      </c>
    </row>
    <row r="354" spans="3:36">
      <c r="C354" s="11" t="s">
        <v>460</v>
      </c>
      <c r="D354" s="10">
        <v>321</v>
      </c>
      <c r="E354" s="10">
        <v>894604</v>
      </c>
      <c r="F354" s="10" t="s">
        <v>1</v>
      </c>
      <c r="G354" s="10">
        <v>13.71</v>
      </c>
      <c r="H354" s="10">
        <v>16.18</v>
      </c>
      <c r="I354" s="10">
        <v>66.52</v>
      </c>
      <c r="J354" s="10">
        <v>324.2</v>
      </c>
      <c r="K354" s="10">
        <v>0.1061</v>
      </c>
      <c r="L354" s="10">
        <v>0.1111</v>
      </c>
      <c r="M354" s="10">
        <v>6.726E-2</v>
      </c>
      <c r="N354" s="10">
        <v>3.9649999999999998E-2</v>
      </c>
      <c r="O354" s="10">
        <v>0.17430000000000001</v>
      </c>
      <c r="P354" s="10">
        <v>7.2789999999999994E-2</v>
      </c>
      <c r="Q354" s="10">
        <v>0.36770000000000003</v>
      </c>
      <c r="R354" s="10">
        <v>1.4710000000000001</v>
      </c>
      <c r="S354" s="10">
        <v>1.597</v>
      </c>
      <c r="T354" s="10">
        <v>22.68</v>
      </c>
      <c r="U354" s="10">
        <v>1.0489999999999999E-2</v>
      </c>
      <c r="V354" s="10">
        <v>4.265E-2</v>
      </c>
      <c r="W354" s="10">
        <v>4.0039999999999999E-2</v>
      </c>
      <c r="X354" s="10">
        <v>1.5440000000000001E-2</v>
      </c>
      <c r="Y354" s="10">
        <v>2.7189999999999999E-2</v>
      </c>
      <c r="Z354" s="10">
        <v>7.5960000000000003E-3</v>
      </c>
      <c r="AA354" s="10">
        <v>11.28</v>
      </c>
      <c r="AB354" s="10">
        <v>20.61</v>
      </c>
      <c r="AC354" s="10">
        <v>71.53</v>
      </c>
      <c r="AD354" s="10">
        <v>390.4</v>
      </c>
      <c r="AE354" s="10">
        <v>0.14019999999999999</v>
      </c>
      <c r="AF354" s="10">
        <v>0.23599999999999999</v>
      </c>
      <c r="AG354" s="10">
        <v>0.1898</v>
      </c>
      <c r="AH354" s="10">
        <v>9.7439999999999999E-2</v>
      </c>
      <c r="AI354" s="10">
        <v>0.26079999999999998</v>
      </c>
      <c r="AJ354">
        <v>9.7019999999999995E-2</v>
      </c>
    </row>
    <row r="355" spans="3:36">
      <c r="C355" s="11" t="s">
        <v>461</v>
      </c>
      <c r="D355" s="10">
        <v>322</v>
      </c>
      <c r="E355" s="10">
        <v>894618</v>
      </c>
      <c r="F355" s="10" t="s">
        <v>0</v>
      </c>
      <c r="G355" s="10">
        <v>13.71</v>
      </c>
      <c r="H355" s="10">
        <v>19.66</v>
      </c>
      <c r="I355" s="10">
        <v>131.1</v>
      </c>
      <c r="J355" s="10">
        <v>1274</v>
      </c>
      <c r="K355" s="10">
        <v>8.0199999999999994E-2</v>
      </c>
      <c r="L355" s="10">
        <v>8.5639999999999994E-2</v>
      </c>
      <c r="M355" s="10">
        <v>0.11550000000000001</v>
      </c>
      <c r="N355" s="10">
        <v>7.7259999999999995E-2</v>
      </c>
      <c r="O355" s="10">
        <v>0.1928</v>
      </c>
      <c r="P355" s="10">
        <v>5.0959999999999998E-2</v>
      </c>
      <c r="Q355" s="10">
        <v>0.59250000000000003</v>
      </c>
      <c r="R355" s="10">
        <v>0.68630000000000002</v>
      </c>
      <c r="S355" s="10">
        <v>3.8679999999999999</v>
      </c>
      <c r="T355" s="10">
        <v>74.849999999999994</v>
      </c>
      <c r="U355" s="10">
        <v>4.5360000000000001E-3</v>
      </c>
      <c r="V355" s="10">
        <v>1.376E-2</v>
      </c>
      <c r="W355" s="10">
        <v>2.6450000000000001E-2</v>
      </c>
      <c r="X355" s="10">
        <v>1.247E-2</v>
      </c>
      <c r="Y355" s="10">
        <v>2.1930000000000002E-2</v>
      </c>
      <c r="Z355" s="10">
        <v>1.5889999999999999E-3</v>
      </c>
      <c r="AA355" s="10">
        <v>23.06</v>
      </c>
      <c r="AB355" s="10">
        <v>23.03</v>
      </c>
      <c r="AC355" s="10">
        <v>150.19999999999999</v>
      </c>
      <c r="AD355" s="10">
        <v>1657</v>
      </c>
      <c r="AE355" s="10">
        <v>0.10539999999999999</v>
      </c>
      <c r="AF355" s="10">
        <v>0.1537</v>
      </c>
      <c r="AG355" s="10">
        <v>0.2606</v>
      </c>
      <c r="AH355" s="10">
        <v>0.14249999999999999</v>
      </c>
      <c r="AI355" s="10">
        <v>0.30549999999999999</v>
      </c>
      <c r="AJ355">
        <v>5.9330000000000001E-2</v>
      </c>
    </row>
    <row r="356" spans="3:36">
      <c r="C356" s="11" t="s">
        <v>462</v>
      </c>
      <c r="D356" s="10">
        <v>323</v>
      </c>
      <c r="E356" s="10">
        <v>894855</v>
      </c>
      <c r="F356" s="10" t="s">
        <v>1</v>
      </c>
      <c r="G356" s="10">
        <v>13.71</v>
      </c>
      <c r="H356" s="10">
        <v>13.32</v>
      </c>
      <c r="I356" s="10">
        <v>82.82</v>
      </c>
      <c r="J356" s="10">
        <v>504.8</v>
      </c>
      <c r="K356" s="10">
        <v>0.1134</v>
      </c>
      <c r="L356" s="10">
        <v>8.8340000000000002E-2</v>
      </c>
      <c r="M356" s="10">
        <v>3.7999999999999999E-2</v>
      </c>
      <c r="N356" s="10">
        <v>3.4000000000000002E-2</v>
      </c>
      <c r="O356" s="10">
        <v>0.15429999999999999</v>
      </c>
      <c r="P356" s="10">
        <v>6.4759999999999998E-2</v>
      </c>
      <c r="Q356" s="10">
        <v>0.22120000000000001</v>
      </c>
      <c r="R356" s="10">
        <v>1.042</v>
      </c>
      <c r="S356" s="10">
        <v>1.6140000000000001</v>
      </c>
      <c r="T356" s="10">
        <v>16.57</v>
      </c>
      <c r="U356" s="10">
        <v>5.9100000000000003E-3</v>
      </c>
      <c r="V356" s="10">
        <v>2.0160000000000001E-2</v>
      </c>
      <c r="W356" s="10">
        <v>1.9019999999999999E-2</v>
      </c>
      <c r="X356" s="10">
        <v>1.0109999999999999E-2</v>
      </c>
      <c r="Y356" s="10">
        <v>1.2019999999999999E-2</v>
      </c>
      <c r="Z356" s="10">
        <v>3.107E-3</v>
      </c>
      <c r="AA356" s="10">
        <v>14.04</v>
      </c>
      <c r="AB356" s="10">
        <v>21.08</v>
      </c>
      <c r="AC356" s="10">
        <v>92.8</v>
      </c>
      <c r="AD356" s="10">
        <v>599.5</v>
      </c>
      <c r="AE356" s="10">
        <v>0.1547</v>
      </c>
      <c r="AF356" s="10">
        <v>0.22309999999999999</v>
      </c>
      <c r="AG356" s="10">
        <v>0.17910000000000001</v>
      </c>
      <c r="AH356" s="10">
        <v>0.11550000000000001</v>
      </c>
      <c r="AI356" s="10">
        <v>0.2382</v>
      </c>
      <c r="AJ356">
        <v>8.5529999999999995E-2</v>
      </c>
    </row>
    <row r="357" spans="3:36">
      <c r="C357" s="11" t="s">
        <v>463</v>
      </c>
      <c r="D357" s="10">
        <v>324</v>
      </c>
      <c r="E357" s="10">
        <v>895100</v>
      </c>
      <c r="F357" s="10" t="s">
        <v>0</v>
      </c>
      <c r="G357" s="10">
        <v>13.71</v>
      </c>
      <c r="H357" s="10">
        <v>21.51</v>
      </c>
      <c r="I357" s="10">
        <v>135.9</v>
      </c>
      <c r="J357" s="10">
        <v>1264</v>
      </c>
      <c r="K357" s="10">
        <v>0.11700000000000001</v>
      </c>
      <c r="L357" s="10">
        <v>0.1875</v>
      </c>
      <c r="M357" s="10">
        <v>0.25650000000000001</v>
      </c>
      <c r="N357" s="10">
        <v>0.15040000000000001</v>
      </c>
      <c r="O357" s="10">
        <v>0.25690000000000002</v>
      </c>
      <c r="P357" s="10">
        <v>6.6699999999999995E-2</v>
      </c>
      <c r="Q357" s="10">
        <v>0.57020000000000004</v>
      </c>
      <c r="R357" s="10">
        <v>1.0229999999999999</v>
      </c>
      <c r="S357" s="10">
        <v>4.0119999999999996</v>
      </c>
      <c r="T357" s="10">
        <v>69.06</v>
      </c>
      <c r="U357" s="10">
        <v>5.4850000000000003E-3</v>
      </c>
      <c r="V357" s="10">
        <v>2.4309999999999998E-2</v>
      </c>
      <c r="W357" s="10">
        <v>3.1899999999999998E-2</v>
      </c>
      <c r="X357" s="10">
        <v>1.3690000000000001E-2</v>
      </c>
      <c r="Y357" s="10">
        <v>2.768E-2</v>
      </c>
      <c r="Z357" s="10">
        <v>3.3449999999999999E-3</v>
      </c>
      <c r="AA357" s="10">
        <v>25.3</v>
      </c>
      <c r="AB357" s="10">
        <v>31.86</v>
      </c>
      <c r="AC357" s="10">
        <v>171.1</v>
      </c>
      <c r="AD357" s="10">
        <v>1938</v>
      </c>
      <c r="AE357" s="10">
        <v>0.15920000000000001</v>
      </c>
      <c r="AF357" s="10">
        <v>0.44919999999999999</v>
      </c>
      <c r="AG357" s="10">
        <v>0.53439999999999999</v>
      </c>
      <c r="AH357" s="10">
        <v>0.26850000000000002</v>
      </c>
      <c r="AI357" s="10">
        <v>0.55579999999999996</v>
      </c>
      <c r="AJ357">
        <v>0.1024</v>
      </c>
    </row>
    <row r="358" spans="3:36">
      <c r="C358" s="11" t="s">
        <v>464</v>
      </c>
      <c r="D358" s="10">
        <v>325</v>
      </c>
      <c r="E358" s="10">
        <v>89511501</v>
      </c>
      <c r="F358" s="10" t="s">
        <v>1</v>
      </c>
      <c r="G358" s="10">
        <v>13.71</v>
      </c>
      <c r="H358" s="10">
        <v>15.21</v>
      </c>
      <c r="I358" s="10">
        <v>78.010000000000005</v>
      </c>
      <c r="J358" s="10">
        <v>457.9</v>
      </c>
      <c r="K358" s="10">
        <v>8.6730000000000002E-2</v>
      </c>
      <c r="L358" s="10">
        <v>6.5449999999999994E-2</v>
      </c>
      <c r="M358" s="10">
        <v>1.9939999999999999E-2</v>
      </c>
      <c r="N358" s="10">
        <v>1.6920000000000001E-2</v>
      </c>
      <c r="O358" s="10">
        <v>0.1638</v>
      </c>
      <c r="P358" s="10">
        <v>6.1289999999999997E-2</v>
      </c>
      <c r="Q358" s="10">
        <v>0.25750000000000001</v>
      </c>
      <c r="R358" s="10">
        <v>0.80730000000000002</v>
      </c>
      <c r="S358" s="10">
        <v>1.9590000000000001</v>
      </c>
      <c r="T358" s="10">
        <v>19.010000000000002</v>
      </c>
      <c r="U358" s="10">
        <v>5.4029999999999998E-3</v>
      </c>
      <c r="V358" s="10">
        <v>1.418E-2</v>
      </c>
      <c r="W358" s="10">
        <v>1.051E-2</v>
      </c>
      <c r="X358" s="10">
        <v>5.1419999999999999E-3</v>
      </c>
      <c r="Y358" s="10">
        <v>1.333E-2</v>
      </c>
      <c r="Z358" s="10">
        <v>2.065E-3</v>
      </c>
      <c r="AA358" s="10">
        <v>13.75</v>
      </c>
      <c r="AB358" s="10">
        <v>21.38</v>
      </c>
      <c r="AC358" s="10">
        <v>91.11</v>
      </c>
      <c r="AD358" s="10">
        <v>583.1</v>
      </c>
      <c r="AE358" s="10">
        <v>0.12559999999999999</v>
      </c>
      <c r="AF358" s="10">
        <v>0.1928</v>
      </c>
      <c r="AG358" s="10">
        <v>0.1167</v>
      </c>
      <c r="AH358" s="10">
        <v>5.5559999999999998E-2</v>
      </c>
      <c r="AI358" s="10">
        <v>0.2661</v>
      </c>
      <c r="AJ358">
        <v>7.961E-2</v>
      </c>
    </row>
    <row r="359" spans="3:36">
      <c r="C359" s="11" t="s">
        <v>465</v>
      </c>
      <c r="D359" s="10">
        <v>326</v>
      </c>
      <c r="E359" s="10">
        <v>89511502</v>
      </c>
      <c r="F359" s="10" t="s">
        <v>1</v>
      </c>
      <c r="G359" s="10">
        <v>13.71</v>
      </c>
      <c r="H359" s="10">
        <v>17.3</v>
      </c>
      <c r="I359" s="10">
        <v>81.25</v>
      </c>
      <c r="J359" s="10">
        <v>489.9</v>
      </c>
      <c r="K359" s="10">
        <v>0.1028</v>
      </c>
      <c r="L359" s="10">
        <v>7.664E-2</v>
      </c>
      <c r="M359" s="10">
        <v>3.193E-2</v>
      </c>
      <c r="N359" s="10">
        <v>2.1069999999999998E-2</v>
      </c>
      <c r="O359" s="10">
        <v>0.17069999999999999</v>
      </c>
      <c r="P359" s="10">
        <v>5.9839999999999997E-2</v>
      </c>
      <c r="Q359" s="10">
        <v>0.21</v>
      </c>
      <c r="R359" s="10">
        <v>0.95050000000000001</v>
      </c>
      <c r="S359" s="10">
        <v>1.5660000000000001</v>
      </c>
      <c r="T359" s="10">
        <v>17.61</v>
      </c>
      <c r="U359" s="10">
        <v>6.8089999999999999E-3</v>
      </c>
      <c r="V359" s="10">
        <v>9.5139999999999999E-3</v>
      </c>
      <c r="W359" s="10">
        <v>1.329E-2</v>
      </c>
      <c r="X359" s="10">
        <v>6.4739999999999997E-3</v>
      </c>
      <c r="Y359" s="10">
        <v>2.0570000000000001E-2</v>
      </c>
      <c r="Z359" s="10">
        <v>1.784E-3</v>
      </c>
      <c r="AA359" s="10">
        <v>13.71</v>
      </c>
      <c r="AB359" s="10">
        <v>21.1</v>
      </c>
      <c r="AC359" s="10">
        <v>88.7</v>
      </c>
      <c r="AD359" s="10">
        <v>574.4</v>
      </c>
      <c r="AE359" s="10">
        <v>0.1384</v>
      </c>
      <c r="AF359" s="10">
        <v>0.1212</v>
      </c>
      <c r="AG359" s="10">
        <v>0.10199999999999999</v>
      </c>
      <c r="AH359" s="10">
        <v>5.602E-2</v>
      </c>
      <c r="AI359" s="10">
        <v>0.26879999999999998</v>
      </c>
      <c r="AJ359">
        <v>6.8879999999999997E-2</v>
      </c>
    </row>
    <row r="360" spans="3:36">
      <c r="C360" s="11" t="s">
        <v>466</v>
      </c>
      <c r="D360" s="10">
        <v>327</v>
      </c>
      <c r="E360" s="10">
        <v>89524</v>
      </c>
      <c r="F360" s="10" t="s">
        <v>1</v>
      </c>
      <c r="G360" s="10">
        <v>13.71</v>
      </c>
      <c r="H360" s="10">
        <v>12.88</v>
      </c>
      <c r="I360" s="10">
        <v>90.03</v>
      </c>
      <c r="J360" s="10">
        <v>616.5</v>
      </c>
      <c r="K360" s="10">
        <v>9.3090000000000006E-2</v>
      </c>
      <c r="L360" s="10">
        <v>5.3060000000000003E-2</v>
      </c>
      <c r="M360" s="10">
        <v>1.7649999999999999E-2</v>
      </c>
      <c r="N360" s="10">
        <v>2.733E-2</v>
      </c>
      <c r="O360" s="10">
        <v>0.13730000000000001</v>
      </c>
      <c r="P360" s="10">
        <v>5.7000000000000002E-2</v>
      </c>
      <c r="Q360" s="10">
        <v>0.2571</v>
      </c>
      <c r="R360" s="10">
        <v>1.081</v>
      </c>
      <c r="S360" s="10">
        <v>1.5580000000000001</v>
      </c>
      <c r="T360" s="10">
        <v>23.92</v>
      </c>
      <c r="U360" s="10">
        <v>6.692E-3</v>
      </c>
      <c r="V360" s="10">
        <v>1.132E-2</v>
      </c>
      <c r="W360" s="10">
        <v>5.7169999999999999E-3</v>
      </c>
      <c r="X360" s="10">
        <v>6.6270000000000001E-3</v>
      </c>
      <c r="Y360" s="10">
        <v>1.4160000000000001E-2</v>
      </c>
      <c r="Z360" s="10">
        <v>2.4759999999999999E-3</v>
      </c>
      <c r="AA360" s="10">
        <v>15.53</v>
      </c>
      <c r="AB360" s="10">
        <v>18</v>
      </c>
      <c r="AC360" s="10">
        <v>98.4</v>
      </c>
      <c r="AD360" s="10">
        <v>749.9</v>
      </c>
      <c r="AE360" s="10">
        <v>0.12809999999999999</v>
      </c>
      <c r="AF360" s="10">
        <v>0.1109</v>
      </c>
      <c r="AG360" s="10">
        <v>5.3069999999999999E-2</v>
      </c>
      <c r="AH360" s="10">
        <v>5.8900000000000001E-2</v>
      </c>
      <c r="AI360" s="10">
        <v>0.21</v>
      </c>
      <c r="AJ360">
        <v>7.0830000000000004E-2</v>
      </c>
    </row>
    <row r="361" spans="3:36">
      <c r="C361" s="11" t="s">
        <v>467</v>
      </c>
      <c r="D361" s="10">
        <v>328</v>
      </c>
      <c r="E361" s="10">
        <v>895299</v>
      </c>
      <c r="F361" s="10" t="s">
        <v>1</v>
      </c>
      <c r="G361" s="10">
        <v>13.71</v>
      </c>
      <c r="H361" s="10">
        <v>17.93</v>
      </c>
      <c r="I361" s="10">
        <v>76.09</v>
      </c>
      <c r="J361" s="10">
        <v>446</v>
      </c>
      <c r="K361" s="10">
        <v>7.6829999999999996E-2</v>
      </c>
      <c r="L361" s="10">
        <v>3.8920000000000003E-2</v>
      </c>
      <c r="M361" s="10">
        <v>1.5460000000000001E-3</v>
      </c>
      <c r="N361" s="10">
        <v>5.5919999999999997E-3</v>
      </c>
      <c r="O361" s="10">
        <v>0.13819999999999999</v>
      </c>
      <c r="P361" s="10">
        <v>6.0699999999999997E-2</v>
      </c>
      <c r="Q361" s="10">
        <v>0.23350000000000001</v>
      </c>
      <c r="R361" s="10">
        <v>0.90969999999999995</v>
      </c>
      <c r="S361" s="10">
        <v>1.466</v>
      </c>
      <c r="T361" s="10">
        <v>16.97</v>
      </c>
      <c r="U361" s="10">
        <v>4.7289999999999997E-3</v>
      </c>
      <c r="V361" s="10">
        <v>6.8869999999999999E-3</v>
      </c>
      <c r="W361" s="10">
        <v>1.1839999999999999E-3</v>
      </c>
      <c r="X361" s="10">
        <v>3.9509999999999997E-3</v>
      </c>
      <c r="Y361" s="10">
        <v>1.4659999999999999E-2</v>
      </c>
      <c r="Z361" s="10">
        <v>1.755E-3</v>
      </c>
      <c r="AA361" s="10">
        <v>13.07</v>
      </c>
      <c r="AB361" s="10">
        <v>22.25</v>
      </c>
      <c r="AC361" s="10">
        <v>82.74</v>
      </c>
      <c r="AD361" s="10">
        <v>523.4</v>
      </c>
      <c r="AE361" s="10">
        <v>0.1013</v>
      </c>
      <c r="AF361" s="10">
        <v>7.3899999999999993E-2</v>
      </c>
      <c r="AG361" s="10">
        <v>7.7320000000000002E-3</v>
      </c>
      <c r="AH361" s="10">
        <v>2.7959999999999999E-2</v>
      </c>
      <c r="AI361" s="10">
        <v>0.21709999999999999</v>
      </c>
      <c r="AJ361">
        <v>7.0370000000000002E-2</v>
      </c>
    </row>
    <row r="362" spans="3:36">
      <c r="C362" s="11" t="s">
        <v>468</v>
      </c>
      <c r="D362" s="10">
        <v>329</v>
      </c>
      <c r="E362" s="10">
        <v>8953902</v>
      </c>
      <c r="F362" s="10" t="s">
        <v>0</v>
      </c>
      <c r="G362" s="10">
        <v>13.71</v>
      </c>
      <c r="H362" s="10">
        <v>20.71</v>
      </c>
      <c r="I362" s="10">
        <v>106.9</v>
      </c>
      <c r="J362" s="10">
        <v>813.7</v>
      </c>
      <c r="K362" s="10">
        <v>0.1169</v>
      </c>
      <c r="L362" s="10">
        <v>0.13189999999999999</v>
      </c>
      <c r="M362" s="10">
        <v>0.14779999999999999</v>
      </c>
      <c r="N362" s="10">
        <v>8.4879999999999997E-2</v>
      </c>
      <c r="O362" s="10">
        <v>0.1948</v>
      </c>
      <c r="P362" s="10">
        <v>6.2770000000000006E-2</v>
      </c>
      <c r="Q362" s="10">
        <v>0.4375</v>
      </c>
      <c r="R362" s="10">
        <v>1.232</v>
      </c>
      <c r="S362" s="10">
        <v>3.27</v>
      </c>
      <c r="T362" s="10">
        <v>44.41</v>
      </c>
      <c r="U362" s="10">
        <v>6.6969999999999998E-3</v>
      </c>
      <c r="V362" s="10">
        <v>2.0830000000000001E-2</v>
      </c>
      <c r="W362" s="10">
        <v>3.2480000000000002E-2</v>
      </c>
      <c r="X362" s="10">
        <v>1.392E-2</v>
      </c>
      <c r="Y362" s="10">
        <v>1.536E-2</v>
      </c>
      <c r="Z362" s="10">
        <v>2.7889999999999998E-3</v>
      </c>
      <c r="AA362" s="10">
        <v>19.28</v>
      </c>
      <c r="AB362" s="10">
        <v>30.38</v>
      </c>
      <c r="AC362" s="10">
        <v>129.80000000000001</v>
      </c>
      <c r="AD362" s="10">
        <v>1121</v>
      </c>
      <c r="AE362" s="10">
        <v>0.159</v>
      </c>
      <c r="AF362" s="10">
        <v>0.29470000000000002</v>
      </c>
      <c r="AG362" s="10">
        <v>0.35970000000000002</v>
      </c>
      <c r="AH362" s="10">
        <v>0.1583</v>
      </c>
      <c r="AI362" s="10">
        <v>0.31030000000000002</v>
      </c>
      <c r="AJ362">
        <v>8.2000000000000003E-2</v>
      </c>
    </row>
    <row r="363" spans="3:36">
      <c r="C363" s="11" t="s">
        <v>469</v>
      </c>
      <c r="D363" s="10">
        <v>330</v>
      </c>
      <c r="E363" s="10">
        <v>895633</v>
      </c>
      <c r="F363" s="10" t="s">
        <v>0</v>
      </c>
      <c r="G363" s="10">
        <v>13.71</v>
      </c>
      <c r="H363" s="10">
        <v>21.88</v>
      </c>
      <c r="I363" s="10">
        <v>107.5</v>
      </c>
      <c r="J363" s="10">
        <v>826.8</v>
      </c>
      <c r="K363" s="10">
        <v>0.11650000000000001</v>
      </c>
      <c r="L363" s="10">
        <v>0.1283</v>
      </c>
      <c r="M363" s="10">
        <v>0.1799</v>
      </c>
      <c r="N363" s="10">
        <v>7.9810000000000006E-2</v>
      </c>
      <c r="O363" s="10">
        <v>0.18690000000000001</v>
      </c>
      <c r="P363" s="10">
        <v>6.5320000000000003E-2</v>
      </c>
      <c r="Q363" s="10">
        <v>0.5706</v>
      </c>
      <c r="R363" s="10">
        <v>1.4570000000000001</v>
      </c>
      <c r="S363" s="10">
        <v>2.9609999999999999</v>
      </c>
      <c r="T363" s="10">
        <v>57.72</v>
      </c>
      <c r="U363" s="10">
        <v>1.056E-2</v>
      </c>
      <c r="V363" s="10">
        <v>3.7560000000000003E-2</v>
      </c>
      <c r="W363" s="10">
        <v>5.8389999999999997E-2</v>
      </c>
      <c r="X363" s="10">
        <v>1.1860000000000001E-2</v>
      </c>
      <c r="Y363" s="10">
        <v>4.0219999999999999E-2</v>
      </c>
      <c r="Z363" s="10">
        <v>6.1869999999999998E-3</v>
      </c>
      <c r="AA363" s="10">
        <v>17.73</v>
      </c>
      <c r="AB363" s="10">
        <v>25.21</v>
      </c>
      <c r="AC363" s="10">
        <v>113.7</v>
      </c>
      <c r="AD363" s="10">
        <v>975.2</v>
      </c>
      <c r="AE363" s="10">
        <v>0.1426</v>
      </c>
      <c r="AF363" s="10">
        <v>0.21160000000000001</v>
      </c>
      <c r="AG363" s="10">
        <v>0.33439999999999998</v>
      </c>
      <c r="AH363" s="10">
        <v>0.1047</v>
      </c>
      <c r="AI363" s="10">
        <v>0.27360000000000001</v>
      </c>
      <c r="AJ363">
        <v>7.9530000000000003E-2</v>
      </c>
    </row>
    <row r="364" spans="3:36">
      <c r="C364" s="11" t="s">
        <v>470</v>
      </c>
      <c r="D364" s="10">
        <v>331</v>
      </c>
      <c r="E364" s="10">
        <v>896839</v>
      </c>
      <c r="F364" s="10" t="s">
        <v>0</v>
      </c>
      <c r="G364" s="10">
        <v>13.71</v>
      </c>
      <c r="H364" s="10">
        <v>15.51</v>
      </c>
      <c r="I364" s="10">
        <v>105.8</v>
      </c>
      <c r="J364" s="10">
        <v>793.2</v>
      </c>
      <c r="K364" s="10">
        <v>9.4909999999999994E-2</v>
      </c>
      <c r="L364" s="10">
        <v>0.1371</v>
      </c>
      <c r="M364" s="10">
        <v>0.12039999999999999</v>
      </c>
      <c r="N364" s="10">
        <v>7.041E-2</v>
      </c>
      <c r="O364" s="10">
        <v>0.1782</v>
      </c>
      <c r="P364" s="10">
        <v>5.9760000000000001E-2</v>
      </c>
      <c r="Q364" s="10">
        <v>0.33710000000000001</v>
      </c>
      <c r="R364" s="10">
        <v>0.74760000000000004</v>
      </c>
      <c r="S364" s="10">
        <v>2.629</v>
      </c>
      <c r="T364" s="10">
        <v>33.270000000000003</v>
      </c>
      <c r="U364" s="10">
        <v>5.8389999999999996E-3</v>
      </c>
      <c r="V364" s="10">
        <v>3.245E-2</v>
      </c>
      <c r="W364" s="10">
        <v>3.7150000000000002E-2</v>
      </c>
      <c r="X364" s="10">
        <v>1.4590000000000001E-2</v>
      </c>
      <c r="Y364" s="10">
        <v>1.4670000000000001E-2</v>
      </c>
      <c r="Z364" s="10">
        <v>3.1210000000000001E-3</v>
      </c>
      <c r="AA364" s="10">
        <v>18.760000000000002</v>
      </c>
      <c r="AB364" s="10">
        <v>21.98</v>
      </c>
      <c r="AC364" s="10">
        <v>124.3</v>
      </c>
      <c r="AD364" s="10">
        <v>1070</v>
      </c>
      <c r="AE364" s="10">
        <v>0.14349999999999999</v>
      </c>
      <c r="AF364" s="10">
        <v>0.44779999999999998</v>
      </c>
      <c r="AG364" s="10">
        <v>0.49559999999999998</v>
      </c>
      <c r="AH364" s="10">
        <v>0.1981</v>
      </c>
      <c r="AI364" s="10">
        <v>0.3019</v>
      </c>
      <c r="AJ364">
        <v>9.1240000000000002E-2</v>
      </c>
    </row>
    <row r="365" spans="3:36">
      <c r="C365" s="11" t="s">
        <v>471</v>
      </c>
      <c r="D365" s="10">
        <v>332</v>
      </c>
      <c r="E365" s="10">
        <v>896864</v>
      </c>
      <c r="F365" s="10" t="s">
        <v>1</v>
      </c>
      <c r="G365" s="10">
        <v>13.71</v>
      </c>
      <c r="H365" s="10">
        <v>19.350000000000001</v>
      </c>
      <c r="I365" s="10">
        <v>84.52</v>
      </c>
      <c r="J365" s="10">
        <v>514</v>
      </c>
      <c r="K365" s="10">
        <v>9.579E-2</v>
      </c>
      <c r="L365" s="10">
        <v>0.1125</v>
      </c>
      <c r="M365" s="10">
        <v>7.1069999999999994E-2</v>
      </c>
      <c r="N365" s="10">
        <v>2.9499999999999998E-2</v>
      </c>
      <c r="O365" s="10">
        <v>0.17610000000000001</v>
      </c>
      <c r="P365" s="10">
        <v>6.54E-2</v>
      </c>
      <c r="Q365" s="10">
        <v>0.26840000000000003</v>
      </c>
      <c r="R365" s="10">
        <v>0.56640000000000001</v>
      </c>
      <c r="S365" s="10">
        <v>2.4649999999999999</v>
      </c>
      <c r="T365" s="10">
        <v>20.65</v>
      </c>
      <c r="U365" s="10">
        <v>5.7270000000000003E-3</v>
      </c>
      <c r="V365" s="10">
        <v>3.2550000000000003E-2</v>
      </c>
      <c r="W365" s="10">
        <v>4.3929999999999997E-2</v>
      </c>
      <c r="X365" s="10">
        <v>9.8110000000000003E-3</v>
      </c>
      <c r="Y365" s="10">
        <v>2.751E-2</v>
      </c>
      <c r="Z365" s="10">
        <v>4.5719999999999997E-3</v>
      </c>
      <c r="AA365" s="10">
        <v>14.42</v>
      </c>
      <c r="AB365" s="10">
        <v>21.95</v>
      </c>
      <c r="AC365" s="10">
        <v>99.21</v>
      </c>
      <c r="AD365" s="10">
        <v>634.29999999999995</v>
      </c>
      <c r="AE365" s="10">
        <v>0.1288</v>
      </c>
      <c r="AF365" s="10">
        <v>0.32529999999999998</v>
      </c>
      <c r="AG365" s="10">
        <v>0.34389999999999998</v>
      </c>
      <c r="AH365" s="10">
        <v>9.8580000000000001E-2</v>
      </c>
      <c r="AI365" s="10">
        <v>0.35959999999999998</v>
      </c>
      <c r="AJ365">
        <v>9.1660000000000005E-2</v>
      </c>
    </row>
    <row r="366" spans="3:36">
      <c r="C366" s="11" t="s">
        <v>472</v>
      </c>
      <c r="D366" s="10">
        <v>333</v>
      </c>
      <c r="E366" s="10">
        <v>897132</v>
      </c>
      <c r="F366" s="10" t="s">
        <v>1</v>
      </c>
      <c r="G366" s="10">
        <v>13.71</v>
      </c>
      <c r="H366" s="10">
        <v>19.86</v>
      </c>
      <c r="I366" s="10">
        <v>71.94</v>
      </c>
      <c r="J366" s="10">
        <v>387.3</v>
      </c>
      <c r="K366" s="10">
        <v>0.10539999999999999</v>
      </c>
      <c r="L366" s="10">
        <v>6.7790000000000003E-2</v>
      </c>
      <c r="M366" s="10">
        <v>5.006E-3</v>
      </c>
      <c r="N366" s="10">
        <v>7.5830000000000003E-3</v>
      </c>
      <c r="O366" s="10">
        <v>0.19400000000000001</v>
      </c>
      <c r="P366" s="10">
        <v>6.028E-2</v>
      </c>
      <c r="Q366" s="10">
        <v>0.29759999999999998</v>
      </c>
      <c r="R366" s="10">
        <v>1.966</v>
      </c>
      <c r="S366" s="10">
        <v>1.9590000000000001</v>
      </c>
      <c r="T366" s="10">
        <v>19.62</v>
      </c>
      <c r="U366" s="10">
        <v>1.289E-2</v>
      </c>
      <c r="V366" s="10">
        <v>1.1039999999999999E-2</v>
      </c>
      <c r="W366" s="10">
        <v>3.297E-3</v>
      </c>
      <c r="X366" s="10">
        <v>4.9670000000000001E-3</v>
      </c>
      <c r="Y366" s="10">
        <v>4.2430000000000002E-2</v>
      </c>
      <c r="Z366" s="10">
        <v>1.9629999999999999E-3</v>
      </c>
      <c r="AA366" s="10">
        <v>11.98</v>
      </c>
      <c r="AB366" s="10">
        <v>25.78</v>
      </c>
      <c r="AC366" s="10">
        <v>76.91</v>
      </c>
      <c r="AD366" s="10">
        <v>436.1</v>
      </c>
      <c r="AE366" s="10">
        <v>0.1424</v>
      </c>
      <c r="AF366" s="10">
        <v>9.6689999999999998E-2</v>
      </c>
      <c r="AG366" s="10">
        <v>1.3350000000000001E-2</v>
      </c>
      <c r="AH366" s="10">
        <v>2.0219999999999998E-2</v>
      </c>
      <c r="AI366" s="10">
        <v>0.32919999999999999</v>
      </c>
      <c r="AJ366">
        <v>6.522E-2</v>
      </c>
    </row>
    <row r="367" spans="3:36">
      <c r="C367" s="11" t="s">
        <v>473</v>
      </c>
      <c r="D367" s="10">
        <v>334</v>
      </c>
      <c r="E367" s="10">
        <v>897137</v>
      </c>
      <c r="F367" s="10" t="s">
        <v>1</v>
      </c>
      <c r="G367" s="10">
        <v>13.71</v>
      </c>
      <c r="H367" s="10">
        <v>14.78</v>
      </c>
      <c r="I367" s="10">
        <v>71.38</v>
      </c>
      <c r="J367" s="10">
        <v>390</v>
      </c>
      <c r="K367" s="10">
        <v>8.3059999999999995E-2</v>
      </c>
      <c r="L367" s="10">
        <v>4.4580000000000002E-2</v>
      </c>
      <c r="M367" s="10">
        <v>9.7369999999999998E-4</v>
      </c>
      <c r="N367" s="10">
        <v>2.941E-3</v>
      </c>
      <c r="O367" s="10">
        <v>0.17730000000000001</v>
      </c>
      <c r="P367" s="10">
        <v>6.0810000000000003E-2</v>
      </c>
      <c r="Q367" s="10">
        <v>0.21440000000000001</v>
      </c>
      <c r="R367" s="10">
        <v>0.99609999999999999</v>
      </c>
      <c r="S367" s="10">
        <v>1.5289999999999999</v>
      </c>
      <c r="T367" s="10">
        <v>15.07</v>
      </c>
      <c r="U367" s="10">
        <v>5.6169999999999996E-3</v>
      </c>
      <c r="V367" s="10">
        <v>7.1240000000000001E-3</v>
      </c>
      <c r="W367" s="10">
        <v>9.7369999999999998E-4</v>
      </c>
      <c r="X367" s="10">
        <v>2.941E-3</v>
      </c>
      <c r="Y367" s="10">
        <v>1.7000000000000001E-2</v>
      </c>
      <c r="Z367" s="10">
        <v>2.0300000000000001E-3</v>
      </c>
      <c r="AA367" s="10">
        <v>12.76</v>
      </c>
      <c r="AB367" s="10">
        <v>22.06</v>
      </c>
      <c r="AC367" s="10">
        <v>82.08</v>
      </c>
      <c r="AD367" s="10">
        <v>492.7</v>
      </c>
      <c r="AE367" s="10">
        <v>0.1166</v>
      </c>
      <c r="AF367" s="10">
        <v>9.7939999999999999E-2</v>
      </c>
      <c r="AG367" s="10">
        <v>5.5180000000000003E-3</v>
      </c>
      <c r="AH367" s="10">
        <v>1.6670000000000001E-2</v>
      </c>
      <c r="AI367" s="10">
        <v>0.28149999999999997</v>
      </c>
      <c r="AJ367">
        <v>7.4179999999999996E-2</v>
      </c>
    </row>
    <row r="368" spans="3:36">
      <c r="C368" s="11" t="s">
        <v>474</v>
      </c>
      <c r="D368" s="10">
        <v>335</v>
      </c>
      <c r="E368" s="10">
        <v>897374</v>
      </c>
      <c r="F368" s="10" t="s">
        <v>1</v>
      </c>
      <c r="G368" s="10">
        <v>13.71</v>
      </c>
      <c r="H368" s="10">
        <v>19.02</v>
      </c>
      <c r="I368" s="10">
        <v>77.88</v>
      </c>
      <c r="J368" s="10">
        <v>464.4</v>
      </c>
      <c r="K368" s="10">
        <v>8.3129999999999996E-2</v>
      </c>
      <c r="L368" s="10">
        <v>4.2020000000000002E-2</v>
      </c>
      <c r="M368" s="10">
        <v>7.7559999999999999E-3</v>
      </c>
      <c r="N368" s="10">
        <v>8.5349999999999992E-3</v>
      </c>
      <c r="O368" s="10">
        <v>0.15390000000000001</v>
      </c>
      <c r="P368" s="10">
        <v>5.9450000000000003E-2</v>
      </c>
      <c r="Q368" s="10">
        <v>0.184</v>
      </c>
      <c r="R368" s="10">
        <v>1.532</v>
      </c>
      <c r="S368" s="10">
        <v>1.1990000000000001</v>
      </c>
      <c r="T368" s="10">
        <v>13.24</v>
      </c>
      <c r="U368" s="10">
        <v>7.8810000000000009E-3</v>
      </c>
      <c r="V368" s="10">
        <v>8.4320000000000003E-3</v>
      </c>
      <c r="W368" s="10">
        <v>7.0039999999999998E-3</v>
      </c>
      <c r="X368" s="10">
        <v>6.522E-3</v>
      </c>
      <c r="Y368" s="10">
        <v>1.9390000000000001E-2</v>
      </c>
      <c r="Z368" s="10">
        <v>2.222E-3</v>
      </c>
      <c r="AA368" s="10">
        <v>13.35</v>
      </c>
      <c r="AB368" s="10">
        <v>28.46</v>
      </c>
      <c r="AC368" s="10">
        <v>84.53</v>
      </c>
      <c r="AD368" s="10">
        <v>544.29999999999995</v>
      </c>
      <c r="AE368" s="10">
        <v>0.1222</v>
      </c>
      <c r="AF368" s="10">
        <v>9.0520000000000003E-2</v>
      </c>
      <c r="AG368" s="10">
        <v>3.619E-2</v>
      </c>
      <c r="AH368" s="10">
        <v>3.9829999999999997E-2</v>
      </c>
      <c r="AI368" s="10">
        <v>0.25540000000000002</v>
      </c>
      <c r="AJ368">
        <v>7.2069999999999995E-2</v>
      </c>
    </row>
    <row r="369" spans="3:36">
      <c r="C369" s="11" t="s">
        <v>475</v>
      </c>
      <c r="D369" s="10">
        <v>336</v>
      </c>
      <c r="E369" s="10">
        <v>89742801</v>
      </c>
      <c r="F369" s="10" t="s">
        <v>0</v>
      </c>
      <c r="G369" s="10">
        <v>13.71</v>
      </c>
      <c r="H369" s="10">
        <v>21</v>
      </c>
      <c r="I369" s="10">
        <v>111.8</v>
      </c>
      <c r="J369" s="10">
        <v>918.6</v>
      </c>
      <c r="K369" s="10">
        <v>0.1119</v>
      </c>
      <c r="L369" s="10">
        <v>0.1056</v>
      </c>
      <c r="M369" s="10">
        <v>0.15079999999999999</v>
      </c>
      <c r="N369" s="10">
        <v>9.9339999999999998E-2</v>
      </c>
      <c r="O369" s="10">
        <v>0.17269999999999999</v>
      </c>
      <c r="P369" s="10">
        <v>6.071E-2</v>
      </c>
      <c r="Q369" s="10">
        <v>0.81610000000000005</v>
      </c>
      <c r="R369" s="10">
        <v>2.129</v>
      </c>
      <c r="S369" s="10">
        <v>6.0759999999999996</v>
      </c>
      <c r="T369" s="10">
        <v>87.17</v>
      </c>
      <c r="U369" s="10">
        <v>6.4549999999999998E-3</v>
      </c>
      <c r="V369" s="10">
        <v>1.797E-2</v>
      </c>
      <c r="W369" s="10">
        <v>4.5019999999999998E-2</v>
      </c>
      <c r="X369" s="10">
        <v>1.7440000000000001E-2</v>
      </c>
      <c r="Y369" s="10">
        <v>1.8290000000000001E-2</v>
      </c>
      <c r="Z369" s="10">
        <v>3.7330000000000002E-3</v>
      </c>
      <c r="AA369" s="10">
        <v>20.99</v>
      </c>
      <c r="AB369" s="10">
        <v>33.15</v>
      </c>
      <c r="AC369" s="10">
        <v>143.19999999999999</v>
      </c>
      <c r="AD369" s="10">
        <v>1362</v>
      </c>
      <c r="AE369" s="10">
        <v>0.1449</v>
      </c>
      <c r="AF369" s="10">
        <v>0.20530000000000001</v>
      </c>
      <c r="AG369" s="10">
        <v>0.39200000000000002</v>
      </c>
      <c r="AH369" s="10">
        <v>0.1827</v>
      </c>
      <c r="AI369" s="10">
        <v>0.26229999999999998</v>
      </c>
      <c r="AJ369">
        <v>7.5990000000000002E-2</v>
      </c>
    </row>
    <row r="370" spans="3:36">
      <c r="C370" s="11" t="s">
        <v>476</v>
      </c>
      <c r="D370" s="10">
        <v>337</v>
      </c>
      <c r="E370" s="10">
        <v>897604</v>
      </c>
      <c r="F370" s="10" t="s">
        <v>1</v>
      </c>
      <c r="G370" s="10">
        <v>13.71</v>
      </c>
      <c r="H370" s="10">
        <v>14.23</v>
      </c>
      <c r="I370" s="10">
        <v>84.08</v>
      </c>
      <c r="J370" s="10">
        <v>514.29999999999995</v>
      </c>
      <c r="K370" s="10">
        <v>9.4619999999999996E-2</v>
      </c>
      <c r="L370" s="10">
        <v>9.9650000000000002E-2</v>
      </c>
      <c r="M370" s="10">
        <v>3.7379999999999997E-2</v>
      </c>
      <c r="N370" s="10">
        <v>2.0979999999999999E-2</v>
      </c>
      <c r="O370" s="10">
        <v>0.16520000000000001</v>
      </c>
      <c r="P370" s="10">
        <v>7.238E-2</v>
      </c>
      <c r="Q370" s="10">
        <v>0.18140000000000001</v>
      </c>
      <c r="R370" s="10">
        <v>0.64119999999999999</v>
      </c>
      <c r="S370" s="10">
        <v>0.92190000000000005</v>
      </c>
      <c r="T370" s="10">
        <v>14.41</v>
      </c>
      <c r="U370" s="10">
        <v>5.2310000000000004E-3</v>
      </c>
      <c r="V370" s="10">
        <v>2.3050000000000001E-2</v>
      </c>
      <c r="W370" s="10">
        <v>3.1130000000000001E-2</v>
      </c>
      <c r="X370" s="10">
        <v>7.3150000000000003E-3</v>
      </c>
      <c r="Y370" s="10">
        <v>1.6389999999999998E-2</v>
      </c>
      <c r="Z370" s="10">
        <v>5.7010000000000003E-3</v>
      </c>
      <c r="AA370" s="10">
        <v>13.72</v>
      </c>
      <c r="AB370" s="10">
        <v>16.91</v>
      </c>
      <c r="AC370" s="10">
        <v>87.38</v>
      </c>
      <c r="AD370" s="10">
        <v>576</v>
      </c>
      <c r="AE370" s="10">
        <v>0.1142</v>
      </c>
      <c r="AF370" s="10">
        <v>0.19750000000000001</v>
      </c>
      <c r="AG370" s="10">
        <v>0.14499999999999999</v>
      </c>
      <c r="AH370" s="10">
        <v>5.8500000000000003E-2</v>
      </c>
      <c r="AI370" s="10">
        <v>0.2432</v>
      </c>
      <c r="AJ370">
        <v>0.1009</v>
      </c>
    </row>
    <row r="371" spans="3:36">
      <c r="C371" s="11" t="s">
        <v>477</v>
      </c>
      <c r="D371" s="10">
        <v>338</v>
      </c>
      <c r="E371" s="10">
        <v>897630</v>
      </c>
      <c r="F371" s="10" t="s">
        <v>0</v>
      </c>
      <c r="G371" s="10">
        <v>13.71</v>
      </c>
      <c r="H371" s="10">
        <v>21.43</v>
      </c>
      <c r="I371" s="10">
        <v>122.9</v>
      </c>
      <c r="J371" s="10">
        <v>1092</v>
      </c>
      <c r="K371" s="10">
        <v>9.1160000000000005E-2</v>
      </c>
      <c r="L371" s="10">
        <v>0.14019999999999999</v>
      </c>
      <c r="M371" s="10">
        <v>0.106</v>
      </c>
      <c r="N371" s="10">
        <v>6.0900000000000003E-2</v>
      </c>
      <c r="O371" s="10">
        <v>0.1953</v>
      </c>
      <c r="P371" s="10">
        <v>6.0830000000000002E-2</v>
      </c>
      <c r="Q371" s="10">
        <v>0.64219999999999999</v>
      </c>
      <c r="R371" s="10">
        <v>1.53</v>
      </c>
      <c r="S371" s="10">
        <v>4.3689999999999998</v>
      </c>
      <c r="T371" s="10">
        <v>88.25</v>
      </c>
      <c r="U371" s="10">
        <v>7.548E-3</v>
      </c>
      <c r="V371" s="10">
        <v>3.8969999999999998E-2</v>
      </c>
      <c r="W371" s="10">
        <v>3.9140000000000001E-2</v>
      </c>
      <c r="X371" s="10">
        <v>1.8159999999999999E-2</v>
      </c>
      <c r="Y371" s="10">
        <v>2.1680000000000001E-2</v>
      </c>
      <c r="Z371" s="10">
        <v>4.4450000000000002E-3</v>
      </c>
      <c r="AA371" s="10">
        <v>24.54</v>
      </c>
      <c r="AB371" s="10">
        <v>34.369999999999997</v>
      </c>
      <c r="AC371" s="10">
        <v>161.1</v>
      </c>
      <c r="AD371" s="10">
        <v>1873</v>
      </c>
      <c r="AE371" s="10">
        <v>0.14979999999999999</v>
      </c>
      <c r="AF371" s="10">
        <v>0.48270000000000002</v>
      </c>
      <c r="AG371" s="10">
        <v>0.46339999999999998</v>
      </c>
      <c r="AH371" s="10">
        <v>0.20480000000000001</v>
      </c>
      <c r="AI371" s="10">
        <v>0.3679</v>
      </c>
      <c r="AJ371">
        <v>9.8699999999999996E-2</v>
      </c>
    </row>
    <row r="372" spans="3:36">
      <c r="C372" s="11" t="s">
        <v>478</v>
      </c>
      <c r="D372" s="10">
        <v>339</v>
      </c>
      <c r="E372" s="10">
        <v>897880</v>
      </c>
      <c r="F372" s="10" t="s">
        <v>1</v>
      </c>
      <c r="G372" s="10">
        <v>13.71</v>
      </c>
      <c r="H372" s="10">
        <v>17.53</v>
      </c>
      <c r="I372" s="10">
        <v>64.41</v>
      </c>
      <c r="J372" s="10">
        <v>310.8</v>
      </c>
      <c r="K372" s="10">
        <v>0.1007</v>
      </c>
      <c r="L372" s="10">
        <v>7.3260000000000006E-2</v>
      </c>
      <c r="M372" s="10">
        <v>2.511E-2</v>
      </c>
      <c r="N372" s="10">
        <v>1.7749999999999998E-2</v>
      </c>
      <c r="O372" s="10">
        <v>0.189</v>
      </c>
      <c r="P372" s="10">
        <v>6.3310000000000005E-2</v>
      </c>
      <c r="Q372" s="10">
        <v>0.26190000000000002</v>
      </c>
      <c r="R372" s="10">
        <v>2.0150000000000001</v>
      </c>
      <c r="S372" s="10">
        <v>1.778</v>
      </c>
      <c r="T372" s="10">
        <v>16.850000000000001</v>
      </c>
      <c r="U372" s="10">
        <v>7.803E-3</v>
      </c>
      <c r="V372" s="10">
        <v>1.4489999999999999E-2</v>
      </c>
      <c r="W372" s="10">
        <v>1.6899999999999998E-2</v>
      </c>
      <c r="X372" s="10">
        <v>8.0429999999999998E-3</v>
      </c>
      <c r="Y372" s="10">
        <v>2.1000000000000001E-2</v>
      </c>
      <c r="Z372" s="10">
        <v>2.7780000000000001E-3</v>
      </c>
      <c r="AA372" s="10">
        <v>11.16</v>
      </c>
      <c r="AB372" s="10">
        <v>26.84</v>
      </c>
      <c r="AC372" s="10">
        <v>71.98</v>
      </c>
      <c r="AD372" s="10">
        <v>384</v>
      </c>
      <c r="AE372" s="10">
        <v>0.14019999999999999</v>
      </c>
      <c r="AF372" s="10">
        <v>0.14019999999999999</v>
      </c>
      <c r="AG372" s="10">
        <v>0.1055</v>
      </c>
      <c r="AH372" s="10">
        <v>6.4990000000000006E-2</v>
      </c>
      <c r="AI372" s="10">
        <v>0.28939999999999999</v>
      </c>
      <c r="AJ372">
        <v>7.664E-2</v>
      </c>
    </row>
    <row r="373" spans="3:36">
      <c r="C373" s="11" t="s">
        <v>479</v>
      </c>
      <c r="D373" s="10">
        <v>340</v>
      </c>
      <c r="E373" s="10">
        <v>89812</v>
      </c>
      <c r="F373" s="10" t="s">
        <v>0</v>
      </c>
      <c r="G373" s="10">
        <v>13.71</v>
      </c>
      <c r="H373" s="10">
        <v>24.27</v>
      </c>
      <c r="I373" s="10">
        <v>155.1</v>
      </c>
      <c r="J373" s="10">
        <v>1747</v>
      </c>
      <c r="K373" s="10">
        <v>0.1069</v>
      </c>
      <c r="L373" s="10">
        <v>0.1283</v>
      </c>
      <c r="M373" s="10">
        <v>0.23080000000000001</v>
      </c>
      <c r="N373" s="10">
        <v>0.14099999999999999</v>
      </c>
      <c r="O373" s="10">
        <v>0.1797</v>
      </c>
      <c r="P373" s="10">
        <v>5.5059999999999998E-2</v>
      </c>
      <c r="Q373" s="10">
        <v>1.0089999999999999</v>
      </c>
      <c r="R373" s="10">
        <v>0.92449999999999999</v>
      </c>
      <c r="S373" s="10">
        <v>6.4619999999999997</v>
      </c>
      <c r="T373" s="10">
        <v>164.1</v>
      </c>
      <c r="U373" s="10">
        <v>6.2919999999999998E-3</v>
      </c>
      <c r="V373" s="10">
        <v>1.9709999999999998E-2</v>
      </c>
      <c r="W373" s="10">
        <v>3.5819999999999998E-2</v>
      </c>
      <c r="X373" s="10">
        <v>1.3010000000000001E-2</v>
      </c>
      <c r="Y373" s="10">
        <v>1.4789999999999999E-2</v>
      </c>
      <c r="Z373" s="10">
        <v>3.1180000000000001E-3</v>
      </c>
      <c r="AA373" s="10">
        <v>30.67</v>
      </c>
      <c r="AB373" s="10">
        <v>30.73</v>
      </c>
      <c r="AC373" s="10">
        <v>202.4</v>
      </c>
      <c r="AD373" s="10">
        <v>2906</v>
      </c>
      <c r="AE373" s="10">
        <v>0.1515</v>
      </c>
      <c r="AF373" s="10">
        <v>0.26779999999999998</v>
      </c>
      <c r="AG373" s="10">
        <v>0.4819</v>
      </c>
      <c r="AH373" s="10">
        <v>0.2089</v>
      </c>
      <c r="AI373" s="10">
        <v>0.25929999999999997</v>
      </c>
      <c r="AJ373">
        <v>7.7380000000000004E-2</v>
      </c>
    </row>
    <row r="374" spans="3:36">
      <c r="C374" s="11" t="s">
        <v>480</v>
      </c>
      <c r="D374" s="10">
        <v>341</v>
      </c>
      <c r="E374" s="10">
        <v>89813</v>
      </c>
      <c r="F374" s="10" t="s">
        <v>1</v>
      </c>
      <c r="G374" s="10">
        <v>13.71</v>
      </c>
      <c r="H374" s="10">
        <v>16.54</v>
      </c>
      <c r="I374" s="10">
        <v>94.15</v>
      </c>
      <c r="J374" s="10">
        <v>641.20000000000005</v>
      </c>
      <c r="K374" s="10">
        <v>9.7509999999999999E-2</v>
      </c>
      <c r="L374" s="10">
        <v>0.1139</v>
      </c>
      <c r="M374" s="10">
        <v>8.0070000000000002E-2</v>
      </c>
      <c r="N374" s="10">
        <v>4.2229999999999997E-2</v>
      </c>
      <c r="O374" s="10">
        <v>0.19120000000000001</v>
      </c>
      <c r="P374" s="10">
        <v>6.4119999999999996E-2</v>
      </c>
      <c r="Q374" s="10">
        <v>0.34910000000000002</v>
      </c>
      <c r="R374" s="10">
        <v>0.77059999999999995</v>
      </c>
      <c r="S374" s="10">
        <v>2.677</v>
      </c>
      <c r="T374" s="10">
        <v>32.14</v>
      </c>
      <c r="U374" s="10">
        <v>4.5770000000000003E-3</v>
      </c>
      <c r="V374" s="10">
        <v>3.0530000000000002E-2</v>
      </c>
      <c r="W374" s="10">
        <v>3.8399999999999997E-2</v>
      </c>
      <c r="X374" s="10">
        <v>1.243E-2</v>
      </c>
      <c r="Y374" s="10">
        <v>1.873E-2</v>
      </c>
      <c r="Z374" s="10">
        <v>3.3730000000000001E-3</v>
      </c>
      <c r="AA374" s="10">
        <v>16.670000000000002</v>
      </c>
      <c r="AB374" s="10">
        <v>21.51</v>
      </c>
      <c r="AC374" s="10">
        <v>111.4</v>
      </c>
      <c r="AD374" s="10">
        <v>862.1</v>
      </c>
      <c r="AE374" s="10">
        <v>0.12939999999999999</v>
      </c>
      <c r="AF374" s="10">
        <v>0.33710000000000001</v>
      </c>
      <c r="AG374" s="10">
        <v>0.3755</v>
      </c>
      <c r="AH374" s="10">
        <v>0.1414</v>
      </c>
      <c r="AI374" s="10">
        <v>0.30530000000000002</v>
      </c>
      <c r="AJ374">
        <v>8.7639999999999996E-2</v>
      </c>
    </row>
    <row r="375" spans="3:36">
      <c r="C375" s="11" t="s">
        <v>481</v>
      </c>
      <c r="D375" s="10">
        <v>342</v>
      </c>
      <c r="E375" s="10">
        <v>898143</v>
      </c>
      <c r="F375" s="10" t="s">
        <v>1</v>
      </c>
      <c r="G375" s="10">
        <v>13.71</v>
      </c>
      <c r="H375" s="10">
        <v>16.84</v>
      </c>
      <c r="I375" s="10">
        <v>61.64</v>
      </c>
      <c r="J375" s="10">
        <v>280.5</v>
      </c>
      <c r="K375" s="10">
        <v>8.4809999999999997E-2</v>
      </c>
      <c r="L375" s="10">
        <v>9.2280000000000001E-2</v>
      </c>
      <c r="M375" s="10">
        <v>8.4220000000000003E-2</v>
      </c>
      <c r="N375" s="10">
        <v>2.2919999999999999E-2</v>
      </c>
      <c r="O375" s="10">
        <v>0.2036</v>
      </c>
      <c r="P375" s="10">
        <v>7.1249999999999994E-2</v>
      </c>
      <c r="Q375" s="10">
        <v>0.18440000000000001</v>
      </c>
      <c r="R375" s="10">
        <v>0.94289999999999996</v>
      </c>
      <c r="S375" s="10">
        <v>1.429</v>
      </c>
      <c r="T375" s="10">
        <v>12.07</v>
      </c>
      <c r="U375" s="10">
        <v>5.9540000000000001E-3</v>
      </c>
      <c r="V375" s="10">
        <v>3.4709999999999998E-2</v>
      </c>
      <c r="W375" s="10">
        <v>5.0279999999999998E-2</v>
      </c>
      <c r="X375" s="10">
        <v>8.5100000000000002E-3</v>
      </c>
      <c r="Y375" s="10">
        <v>1.7500000000000002E-2</v>
      </c>
      <c r="Z375" s="10">
        <v>4.0309999999999999E-3</v>
      </c>
      <c r="AA375" s="10">
        <v>10.75</v>
      </c>
      <c r="AB375" s="10">
        <v>23.07</v>
      </c>
      <c r="AC375" s="10">
        <v>71.25</v>
      </c>
      <c r="AD375" s="10">
        <v>353.6</v>
      </c>
      <c r="AE375" s="10">
        <v>0.12330000000000001</v>
      </c>
      <c r="AF375" s="10">
        <v>0.34160000000000001</v>
      </c>
      <c r="AG375" s="10">
        <v>0.43409999999999999</v>
      </c>
      <c r="AH375" s="10">
        <v>8.1199999999999994E-2</v>
      </c>
      <c r="AI375" s="10">
        <v>0.29820000000000002</v>
      </c>
      <c r="AJ375">
        <v>9.8250000000000004E-2</v>
      </c>
    </row>
    <row r="376" spans="3:36">
      <c r="C376" s="11" t="s">
        <v>482</v>
      </c>
      <c r="D376" s="10">
        <v>343</v>
      </c>
      <c r="E376" s="10">
        <v>89827</v>
      </c>
      <c r="F376" s="10" t="s">
        <v>1</v>
      </c>
      <c r="G376" s="10">
        <v>13.71</v>
      </c>
      <c r="H376" s="10">
        <v>14.96</v>
      </c>
      <c r="I376" s="10">
        <v>71.489999999999995</v>
      </c>
      <c r="J376" s="10">
        <v>373.9</v>
      </c>
      <c r="K376" s="10">
        <v>0.1033</v>
      </c>
      <c r="L376" s="10">
        <v>9.0969999999999995E-2</v>
      </c>
      <c r="M376" s="10">
        <v>5.3969999999999997E-2</v>
      </c>
      <c r="N376" s="10">
        <v>3.3410000000000002E-2</v>
      </c>
      <c r="O376" s="10">
        <v>0.17760000000000001</v>
      </c>
      <c r="P376" s="10">
        <v>6.9070000000000006E-2</v>
      </c>
      <c r="Q376" s="10">
        <v>0.16009999999999999</v>
      </c>
      <c r="R376" s="10">
        <v>0.82250000000000001</v>
      </c>
      <c r="S376" s="10">
        <v>1.355</v>
      </c>
      <c r="T376" s="10">
        <v>10.8</v>
      </c>
      <c r="U376" s="10">
        <v>7.4159999999999998E-3</v>
      </c>
      <c r="V376" s="10">
        <v>1.8769999999999998E-2</v>
      </c>
      <c r="W376" s="10">
        <v>2.758E-2</v>
      </c>
      <c r="X376" s="10">
        <v>1.01E-2</v>
      </c>
      <c r="Y376" s="10">
        <v>2.3480000000000001E-2</v>
      </c>
      <c r="Z376" s="10">
        <v>2.9169999999999999E-3</v>
      </c>
      <c r="AA376" s="10">
        <v>11.92</v>
      </c>
      <c r="AB376" s="10">
        <v>19.899999999999999</v>
      </c>
      <c r="AC376" s="10">
        <v>79.760000000000005</v>
      </c>
      <c r="AD376" s="10">
        <v>440</v>
      </c>
      <c r="AE376" s="10">
        <v>0.14180000000000001</v>
      </c>
      <c r="AF376" s="10">
        <v>0.221</v>
      </c>
      <c r="AG376" s="10">
        <v>0.22989999999999999</v>
      </c>
      <c r="AH376" s="10">
        <v>0.1075</v>
      </c>
      <c r="AI376" s="10">
        <v>0.3301</v>
      </c>
      <c r="AJ376">
        <v>9.0800000000000006E-2</v>
      </c>
    </row>
    <row r="377" spans="3:36">
      <c r="C377" s="11" t="s">
        <v>483</v>
      </c>
      <c r="D377" s="10">
        <v>344</v>
      </c>
      <c r="E377" s="10">
        <v>898431</v>
      </c>
      <c r="F377" s="10" t="s">
        <v>0</v>
      </c>
      <c r="G377" s="10">
        <v>13.71</v>
      </c>
      <c r="H377" s="10">
        <v>21.68</v>
      </c>
      <c r="I377" s="10">
        <v>129.9</v>
      </c>
      <c r="J377" s="10">
        <v>1194</v>
      </c>
      <c r="K377" s="10">
        <v>9.7970000000000002E-2</v>
      </c>
      <c r="L377" s="10">
        <v>0.13389999999999999</v>
      </c>
      <c r="M377" s="10">
        <v>0.18629999999999999</v>
      </c>
      <c r="N377" s="10">
        <v>0.1103</v>
      </c>
      <c r="O377" s="10">
        <v>0.2082</v>
      </c>
      <c r="P377" s="10">
        <v>5.7149999999999999E-2</v>
      </c>
      <c r="Q377" s="10">
        <v>0.62260000000000004</v>
      </c>
      <c r="R377" s="10">
        <v>2.2839999999999998</v>
      </c>
      <c r="S377" s="10">
        <v>5.173</v>
      </c>
      <c r="T377" s="10">
        <v>67.66</v>
      </c>
      <c r="U377" s="10">
        <v>4.7559999999999998E-3</v>
      </c>
      <c r="V377" s="10">
        <v>3.3680000000000002E-2</v>
      </c>
      <c r="W377" s="10">
        <v>4.3450000000000003E-2</v>
      </c>
      <c r="X377" s="10">
        <v>1.806E-2</v>
      </c>
      <c r="Y377" s="10">
        <v>3.7560000000000003E-2</v>
      </c>
      <c r="Z377" s="10">
        <v>3.2880000000000001E-3</v>
      </c>
      <c r="AA377" s="10">
        <v>22.75</v>
      </c>
      <c r="AB377" s="10">
        <v>34.659999999999997</v>
      </c>
      <c r="AC377" s="10">
        <v>157.6</v>
      </c>
      <c r="AD377" s="10">
        <v>1540</v>
      </c>
      <c r="AE377" s="10">
        <v>0.12180000000000001</v>
      </c>
      <c r="AF377" s="10">
        <v>0.3458</v>
      </c>
      <c r="AG377" s="10">
        <v>0.47339999999999999</v>
      </c>
      <c r="AH377" s="10">
        <v>0.22550000000000001</v>
      </c>
      <c r="AI377" s="10">
        <v>0.40450000000000003</v>
      </c>
      <c r="AJ377">
        <v>7.918E-2</v>
      </c>
    </row>
    <row r="378" spans="3:36">
      <c r="C378" s="11" t="s">
        <v>484</v>
      </c>
      <c r="D378" s="10">
        <v>345</v>
      </c>
      <c r="E378" s="10">
        <v>89864002</v>
      </c>
      <c r="F378" s="10" t="s">
        <v>1</v>
      </c>
      <c r="G378" s="10">
        <v>13.71</v>
      </c>
      <c r="H378" s="10">
        <v>15.45</v>
      </c>
      <c r="I378" s="10">
        <v>75.03</v>
      </c>
      <c r="J378" s="10">
        <v>420.3</v>
      </c>
      <c r="K378" s="10">
        <v>0.115</v>
      </c>
      <c r="L378" s="10">
        <v>7.281E-2</v>
      </c>
      <c r="M378" s="10">
        <v>4.0059999999999998E-2</v>
      </c>
      <c r="N378" s="10">
        <v>3.2500000000000001E-2</v>
      </c>
      <c r="O378" s="10">
        <v>0.2009</v>
      </c>
      <c r="P378" s="10">
        <v>6.5060000000000007E-2</v>
      </c>
      <c r="Q378" s="10">
        <v>0.34460000000000002</v>
      </c>
      <c r="R378" s="10">
        <v>0.73950000000000005</v>
      </c>
      <c r="S378" s="10">
        <v>2.355</v>
      </c>
      <c r="T378" s="10">
        <v>24.53</v>
      </c>
      <c r="U378" s="10">
        <v>9.5359999999999993E-3</v>
      </c>
      <c r="V378" s="10">
        <v>1.0970000000000001E-2</v>
      </c>
      <c r="W378" s="10">
        <v>1.651E-2</v>
      </c>
      <c r="X378" s="10">
        <v>1.1209999999999999E-2</v>
      </c>
      <c r="Y378" s="10">
        <v>1.9529999999999999E-2</v>
      </c>
      <c r="Z378" s="10">
        <v>3.0999999999999999E-3</v>
      </c>
      <c r="AA378" s="10">
        <v>13.06</v>
      </c>
      <c r="AB378" s="10">
        <v>18.16</v>
      </c>
      <c r="AC378" s="10">
        <v>84.16</v>
      </c>
      <c r="AD378" s="10">
        <v>516.4</v>
      </c>
      <c r="AE378" s="10">
        <v>0.14599999999999999</v>
      </c>
      <c r="AF378" s="10">
        <v>0.1115</v>
      </c>
      <c r="AG378" s="10">
        <v>0.1087</v>
      </c>
      <c r="AH378" s="10">
        <v>7.8640000000000002E-2</v>
      </c>
      <c r="AI378" s="10">
        <v>0.27650000000000002</v>
      </c>
      <c r="AJ378">
        <v>7.8060000000000004E-2</v>
      </c>
    </row>
    <row r="379" spans="3:36">
      <c r="C379" s="11" t="s">
        <v>485</v>
      </c>
      <c r="D379" s="10">
        <v>346</v>
      </c>
      <c r="E379" s="10">
        <v>898677</v>
      </c>
      <c r="F379" s="10" t="s">
        <v>1</v>
      </c>
      <c r="G379" s="10">
        <v>13.71</v>
      </c>
      <c r="H379" s="10">
        <v>14.71</v>
      </c>
      <c r="I379" s="10">
        <v>66.2</v>
      </c>
      <c r="J379" s="10">
        <v>321.60000000000002</v>
      </c>
      <c r="K379" s="10">
        <v>9.8820000000000005E-2</v>
      </c>
      <c r="L379" s="10">
        <v>9.1590000000000005E-2</v>
      </c>
      <c r="M379" s="10">
        <v>3.5810000000000002E-2</v>
      </c>
      <c r="N379" s="10">
        <v>2.0369999999999999E-2</v>
      </c>
      <c r="O379" s="10">
        <v>0.1633</v>
      </c>
      <c r="P379" s="10">
        <v>7.0050000000000001E-2</v>
      </c>
      <c r="Q379" s="10">
        <v>0.33800000000000002</v>
      </c>
      <c r="R379" s="10">
        <v>2.5089999999999999</v>
      </c>
      <c r="S379" s="10">
        <v>2.3940000000000001</v>
      </c>
      <c r="T379" s="10">
        <v>19.329999999999998</v>
      </c>
      <c r="U379" s="10">
        <v>1.736E-2</v>
      </c>
      <c r="V379" s="10">
        <v>4.6710000000000002E-2</v>
      </c>
      <c r="W379" s="10">
        <v>2.6110000000000001E-2</v>
      </c>
      <c r="X379" s="10">
        <v>1.2959999999999999E-2</v>
      </c>
      <c r="Y379" s="10">
        <v>3.6749999999999998E-2</v>
      </c>
      <c r="Z379" s="10">
        <v>6.7580000000000001E-3</v>
      </c>
      <c r="AA379" s="10">
        <v>10.88</v>
      </c>
      <c r="AB379" s="10">
        <v>19.48</v>
      </c>
      <c r="AC379" s="10">
        <v>70.89</v>
      </c>
      <c r="AD379" s="10">
        <v>357.1</v>
      </c>
      <c r="AE379" s="10">
        <v>0.13600000000000001</v>
      </c>
      <c r="AF379" s="10">
        <v>0.1636</v>
      </c>
      <c r="AG379" s="10">
        <v>7.1620000000000003E-2</v>
      </c>
      <c r="AH379" s="10">
        <v>4.0739999999999998E-2</v>
      </c>
      <c r="AI379" s="10">
        <v>0.24340000000000001</v>
      </c>
      <c r="AJ379">
        <v>8.4879999999999997E-2</v>
      </c>
    </row>
    <row r="380" spans="3:36">
      <c r="C380" s="11" t="s">
        <v>486</v>
      </c>
      <c r="D380" s="10">
        <v>347</v>
      </c>
      <c r="E380" s="10">
        <v>898678</v>
      </c>
      <c r="F380" s="10" t="s">
        <v>1</v>
      </c>
      <c r="G380" s="10">
        <v>13.71</v>
      </c>
      <c r="H380" s="10">
        <v>18.899999999999999</v>
      </c>
      <c r="I380" s="10">
        <v>76.66</v>
      </c>
      <c r="J380" s="10">
        <v>445.3</v>
      </c>
      <c r="K380" s="10">
        <v>8.3860000000000004E-2</v>
      </c>
      <c r="L380" s="10">
        <v>5.7939999999999998E-2</v>
      </c>
      <c r="M380" s="10">
        <v>7.5100000000000002E-3</v>
      </c>
      <c r="N380" s="10">
        <v>8.4880000000000008E-3</v>
      </c>
      <c r="O380" s="10">
        <v>0.1555</v>
      </c>
      <c r="P380" s="10">
        <v>6.0479999999999999E-2</v>
      </c>
      <c r="Q380" s="10">
        <v>0.24299999999999999</v>
      </c>
      <c r="R380" s="10">
        <v>1.1519999999999999</v>
      </c>
      <c r="S380" s="10">
        <v>1.5589999999999999</v>
      </c>
      <c r="T380" s="10">
        <v>18.02</v>
      </c>
      <c r="U380" s="10">
        <v>7.1799999999999998E-3</v>
      </c>
      <c r="V380" s="10">
        <v>1.0959999999999999E-2</v>
      </c>
      <c r="W380" s="10">
        <v>5.8320000000000004E-3</v>
      </c>
      <c r="X380" s="10">
        <v>5.4949999999999999E-3</v>
      </c>
      <c r="Y380" s="10">
        <v>1.9820000000000001E-2</v>
      </c>
      <c r="Z380" s="10">
        <v>2.7539999999999999E-3</v>
      </c>
      <c r="AA380" s="10">
        <v>13.64</v>
      </c>
      <c r="AB380" s="10">
        <v>27.06</v>
      </c>
      <c r="AC380" s="10">
        <v>86.54</v>
      </c>
      <c r="AD380" s="10">
        <v>562.6</v>
      </c>
      <c r="AE380" s="10">
        <v>0.12889999999999999</v>
      </c>
      <c r="AF380" s="10">
        <v>0.13519999999999999</v>
      </c>
      <c r="AG380" s="10">
        <v>4.5060000000000003E-2</v>
      </c>
      <c r="AH380" s="10">
        <v>5.0930000000000003E-2</v>
      </c>
      <c r="AI380" s="10">
        <v>0.28799999999999998</v>
      </c>
      <c r="AJ380">
        <v>8.0829999999999999E-2</v>
      </c>
    </row>
    <row r="381" spans="3:36">
      <c r="C381" s="11" t="s">
        <v>487</v>
      </c>
      <c r="D381" s="10">
        <v>348</v>
      </c>
      <c r="E381" s="10">
        <v>89869</v>
      </c>
      <c r="F381" s="10" t="s">
        <v>1</v>
      </c>
      <c r="G381" s="10">
        <v>13.71</v>
      </c>
      <c r="H381" s="10">
        <v>14.74</v>
      </c>
      <c r="I381" s="10">
        <v>94.87</v>
      </c>
      <c r="J381" s="10">
        <v>668.7</v>
      </c>
      <c r="K381" s="10">
        <v>8.8749999999999996E-2</v>
      </c>
      <c r="L381" s="10">
        <v>7.7799999999999994E-2</v>
      </c>
      <c r="M381" s="10">
        <v>4.6080000000000003E-2</v>
      </c>
      <c r="N381" s="10">
        <v>3.5279999999999999E-2</v>
      </c>
      <c r="O381" s="10">
        <v>0.15210000000000001</v>
      </c>
      <c r="P381" s="10">
        <v>5.9119999999999999E-2</v>
      </c>
      <c r="Q381" s="10">
        <v>0.34279999999999999</v>
      </c>
      <c r="R381" s="10">
        <v>0.39810000000000001</v>
      </c>
      <c r="S381" s="10">
        <v>2.5369999999999999</v>
      </c>
      <c r="T381" s="10">
        <v>29.06</v>
      </c>
      <c r="U381" s="10">
        <v>4.7320000000000001E-3</v>
      </c>
      <c r="V381" s="10">
        <v>1.506E-2</v>
      </c>
      <c r="W381" s="10">
        <v>1.8550000000000001E-2</v>
      </c>
      <c r="X381" s="10">
        <v>1.0670000000000001E-2</v>
      </c>
      <c r="Y381" s="10">
        <v>2.163E-2</v>
      </c>
      <c r="Z381" s="10">
        <v>2.7829999999999999E-3</v>
      </c>
      <c r="AA381" s="10">
        <v>17.27</v>
      </c>
      <c r="AB381" s="10">
        <v>17.93</v>
      </c>
      <c r="AC381" s="10">
        <v>114.2</v>
      </c>
      <c r="AD381" s="10">
        <v>880.8</v>
      </c>
      <c r="AE381" s="10">
        <v>0.122</v>
      </c>
      <c r="AF381" s="10">
        <v>0.2009</v>
      </c>
      <c r="AG381" s="10">
        <v>0.21510000000000001</v>
      </c>
      <c r="AH381" s="10">
        <v>0.12509999999999999</v>
      </c>
      <c r="AI381" s="10">
        <v>0.31090000000000001</v>
      </c>
      <c r="AJ381">
        <v>8.1869999999999998E-2</v>
      </c>
    </row>
    <row r="382" spans="3:36">
      <c r="C382" s="11" t="s">
        <v>488</v>
      </c>
      <c r="D382" s="10">
        <v>349</v>
      </c>
      <c r="E382" s="10">
        <v>898690</v>
      </c>
      <c r="F382" s="10" t="s">
        <v>1</v>
      </c>
      <c r="G382" s="10">
        <v>13.71</v>
      </c>
      <c r="H382" s="10">
        <v>16.03</v>
      </c>
      <c r="I382" s="10">
        <v>73.02</v>
      </c>
      <c r="J382" s="10">
        <v>402.7</v>
      </c>
      <c r="K382" s="10">
        <v>9.0759999999999993E-2</v>
      </c>
      <c r="L382" s="10">
        <v>5.8860000000000003E-2</v>
      </c>
      <c r="M382" s="10">
        <v>2.5870000000000001E-2</v>
      </c>
      <c r="N382" s="10">
        <v>2.3220000000000001E-2</v>
      </c>
      <c r="O382" s="10">
        <v>0.16339999999999999</v>
      </c>
      <c r="P382" s="10">
        <v>6.3719999999999999E-2</v>
      </c>
      <c r="Q382" s="10">
        <v>0.17069999999999999</v>
      </c>
      <c r="R382" s="10">
        <v>0.76149999999999995</v>
      </c>
      <c r="S382" s="10">
        <v>1.0900000000000001</v>
      </c>
      <c r="T382" s="10">
        <v>12.25</v>
      </c>
      <c r="U382" s="10">
        <v>9.1909999999999995E-3</v>
      </c>
      <c r="V382" s="10">
        <v>8.548E-3</v>
      </c>
      <c r="W382" s="10">
        <v>9.4000000000000004E-3</v>
      </c>
      <c r="X382" s="10">
        <v>6.3150000000000003E-3</v>
      </c>
      <c r="Y382" s="10">
        <v>1.755E-2</v>
      </c>
      <c r="Z382" s="10">
        <v>3.009E-3</v>
      </c>
      <c r="AA382" s="10">
        <v>12.51</v>
      </c>
      <c r="AB382" s="10">
        <v>20.79</v>
      </c>
      <c r="AC382" s="10">
        <v>79.67</v>
      </c>
      <c r="AD382" s="10">
        <v>475.8</v>
      </c>
      <c r="AE382" s="10">
        <v>0.15310000000000001</v>
      </c>
      <c r="AF382" s="10">
        <v>0.112</v>
      </c>
      <c r="AG382" s="10">
        <v>9.8229999999999998E-2</v>
      </c>
      <c r="AH382" s="10">
        <v>6.5479999999999997E-2</v>
      </c>
      <c r="AI382" s="10">
        <v>0.28510000000000002</v>
      </c>
      <c r="AJ382">
        <v>8.763E-2</v>
      </c>
    </row>
    <row r="383" spans="3:36">
      <c r="C383" s="11" t="s">
        <v>489</v>
      </c>
      <c r="D383" s="10">
        <v>350</v>
      </c>
      <c r="E383" s="10">
        <v>899147</v>
      </c>
      <c r="F383" s="10" t="s">
        <v>1</v>
      </c>
      <c r="G383" s="10">
        <v>13.71</v>
      </c>
      <c r="H383" s="10">
        <v>14.96</v>
      </c>
      <c r="I383" s="10">
        <v>77.23</v>
      </c>
      <c r="J383" s="10">
        <v>426.7</v>
      </c>
      <c r="K383" s="10">
        <v>0.1158</v>
      </c>
      <c r="L383" s="10">
        <v>0.1206</v>
      </c>
      <c r="M383" s="10">
        <v>1.171E-2</v>
      </c>
      <c r="N383" s="10">
        <v>1.787E-2</v>
      </c>
      <c r="O383" s="10">
        <v>0.24590000000000001</v>
      </c>
      <c r="P383" s="10">
        <v>6.5809999999999994E-2</v>
      </c>
      <c r="Q383" s="10">
        <v>0.36099999999999999</v>
      </c>
      <c r="R383" s="10">
        <v>1.05</v>
      </c>
      <c r="S383" s="10">
        <v>2.4550000000000001</v>
      </c>
      <c r="T383" s="10">
        <v>26.65</v>
      </c>
      <c r="U383" s="10">
        <v>5.7999999999999996E-3</v>
      </c>
      <c r="V383" s="10">
        <v>2.4170000000000001E-2</v>
      </c>
      <c r="W383" s="10">
        <v>7.816E-3</v>
      </c>
      <c r="X383" s="10">
        <v>1.052E-2</v>
      </c>
      <c r="Y383" s="10">
        <v>2.734E-2</v>
      </c>
      <c r="Z383" s="10">
        <v>3.114E-3</v>
      </c>
      <c r="AA383" s="10">
        <v>12.81</v>
      </c>
      <c r="AB383" s="10">
        <v>17.72</v>
      </c>
      <c r="AC383" s="10">
        <v>83.09</v>
      </c>
      <c r="AD383" s="10">
        <v>496.2</v>
      </c>
      <c r="AE383" s="10">
        <v>0.1293</v>
      </c>
      <c r="AF383" s="10">
        <v>0.1885</v>
      </c>
      <c r="AG383" s="10">
        <v>3.1220000000000001E-2</v>
      </c>
      <c r="AH383" s="10">
        <v>4.7660000000000001E-2</v>
      </c>
      <c r="AI383" s="10">
        <v>0.31240000000000001</v>
      </c>
      <c r="AJ383">
        <v>7.5899999999999995E-2</v>
      </c>
    </row>
    <row r="384" spans="3:36">
      <c r="C384" s="11" t="s">
        <v>490</v>
      </c>
      <c r="D384" s="10">
        <v>351</v>
      </c>
      <c r="E384" s="10">
        <v>899187</v>
      </c>
      <c r="F384" s="10" t="s">
        <v>1</v>
      </c>
      <c r="G384" s="10">
        <v>13.71</v>
      </c>
      <c r="H384" s="10">
        <v>17.07</v>
      </c>
      <c r="I384" s="10">
        <v>73.7</v>
      </c>
      <c r="J384" s="10">
        <v>421</v>
      </c>
      <c r="K384" s="10">
        <v>7.5609999999999997E-2</v>
      </c>
      <c r="L384" s="10">
        <v>3.6299999999999999E-2</v>
      </c>
      <c r="M384" s="10">
        <v>8.3059999999999991E-3</v>
      </c>
      <c r="N384" s="10">
        <v>1.162E-2</v>
      </c>
      <c r="O384" s="10">
        <v>0.1671</v>
      </c>
      <c r="P384" s="10">
        <v>5.731E-2</v>
      </c>
      <c r="Q384" s="10">
        <v>0.35339999999999999</v>
      </c>
      <c r="R384" s="10">
        <v>0.6724</v>
      </c>
      <c r="S384" s="10">
        <v>2.2250000000000001</v>
      </c>
      <c r="T384" s="10">
        <v>26.03</v>
      </c>
      <c r="U384" s="10">
        <v>6.5830000000000003E-3</v>
      </c>
      <c r="V384" s="10">
        <v>6.9909999999999998E-3</v>
      </c>
      <c r="W384" s="10">
        <v>5.9490000000000003E-3</v>
      </c>
      <c r="X384" s="10">
        <v>6.2960000000000004E-3</v>
      </c>
      <c r="Y384" s="10">
        <v>2.2159999999999999E-2</v>
      </c>
      <c r="Z384" s="10">
        <v>2.6679999999999998E-3</v>
      </c>
      <c r="AA384" s="10">
        <v>13.28</v>
      </c>
      <c r="AB384" s="10">
        <v>19.739999999999998</v>
      </c>
      <c r="AC384" s="10">
        <v>83.61</v>
      </c>
      <c r="AD384" s="10">
        <v>542.5</v>
      </c>
      <c r="AE384" s="10">
        <v>9.9580000000000002E-2</v>
      </c>
      <c r="AF384" s="10">
        <v>6.4759999999999998E-2</v>
      </c>
      <c r="AG384" s="10">
        <v>3.0460000000000001E-2</v>
      </c>
      <c r="AH384" s="10">
        <v>4.2619999999999998E-2</v>
      </c>
      <c r="AI384" s="10">
        <v>0.27310000000000001</v>
      </c>
      <c r="AJ384">
        <v>6.8250000000000005E-2</v>
      </c>
    </row>
    <row r="385" spans="3:36">
      <c r="C385" s="11" t="s">
        <v>491</v>
      </c>
      <c r="D385" s="10">
        <v>352</v>
      </c>
      <c r="E385" s="10">
        <v>899667</v>
      </c>
      <c r="F385" s="10" t="s">
        <v>0</v>
      </c>
      <c r="G385" s="10">
        <v>13.71</v>
      </c>
      <c r="H385" s="10">
        <v>19.22</v>
      </c>
      <c r="I385" s="10">
        <v>107.1</v>
      </c>
      <c r="J385" s="10">
        <v>758.6</v>
      </c>
      <c r="K385" s="10">
        <v>0.12429999999999999</v>
      </c>
      <c r="L385" s="10">
        <v>0.2364</v>
      </c>
      <c r="M385" s="10">
        <v>0.29139999999999999</v>
      </c>
      <c r="N385" s="10">
        <v>0.1242</v>
      </c>
      <c r="O385" s="10">
        <v>0.23749999999999999</v>
      </c>
      <c r="P385" s="10">
        <v>7.603E-2</v>
      </c>
      <c r="Q385" s="10">
        <v>0.52039999999999997</v>
      </c>
      <c r="R385" s="10">
        <v>1.3240000000000001</v>
      </c>
      <c r="S385" s="10">
        <v>3.4769999999999999</v>
      </c>
      <c r="T385" s="10">
        <v>51.22</v>
      </c>
      <c r="U385" s="10">
        <v>9.3290000000000005E-3</v>
      </c>
      <c r="V385" s="10">
        <v>6.5589999999999996E-2</v>
      </c>
      <c r="W385" s="10">
        <v>9.9529999999999993E-2</v>
      </c>
      <c r="X385" s="10">
        <v>2.283E-2</v>
      </c>
      <c r="Y385" s="10">
        <v>5.543E-2</v>
      </c>
      <c r="Z385" s="10">
        <v>7.3299999999999997E-3</v>
      </c>
      <c r="AA385" s="10">
        <v>17.36</v>
      </c>
      <c r="AB385" s="10">
        <v>24.17</v>
      </c>
      <c r="AC385" s="10">
        <v>119.4</v>
      </c>
      <c r="AD385" s="10">
        <v>915.3</v>
      </c>
      <c r="AE385" s="10">
        <v>0.155</v>
      </c>
      <c r="AF385" s="10">
        <v>0.50460000000000005</v>
      </c>
      <c r="AG385" s="10">
        <v>0.68720000000000003</v>
      </c>
      <c r="AH385" s="10">
        <v>0.2135</v>
      </c>
      <c r="AI385" s="10">
        <v>0.42449999999999999</v>
      </c>
      <c r="AJ385">
        <v>0.105</v>
      </c>
    </row>
    <row r="386" spans="3:36">
      <c r="C386" s="11" t="s">
        <v>492</v>
      </c>
      <c r="D386" s="10">
        <v>353</v>
      </c>
      <c r="E386" s="10">
        <v>899987</v>
      </c>
      <c r="F386" s="10" t="s">
        <v>0</v>
      </c>
      <c r="G386" s="10">
        <v>13.71</v>
      </c>
      <c r="H386" s="10">
        <v>17.46</v>
      </c>
      <c r="I386" s="10">
        <v>174.2</v>
      </c>
      <c r="J386" s="10">
        <v>2010</v>
      </c>
      <c r="K386" s="10">
        <v>0.1149</v>
      </c>
      <c r="L386" s="10">
        <v>0.23630000000000001</v>
      </c>
      <c r="M386" s="10">
        <v>0.33679999999999999</v>
      </c>
      <c r="N386" s="10">
        <v>0.1913</v>
      </c>
      <c r="O386" s="10">
        <v>0.1956</v>
      </c>
      <c r="P386" s="10">
        <v>6.1210000000000001E-2</v>
      </c>
      <c r="Q386" s="10">
        <v>0.99480000000000002</v>
      </c>
      <c r="R386" s="10">
        <v>0.85089999999999999</v>
      </c>
      <c r="S386" s="10">
        <v>7.2220000000000004</v>
      </c>
      <c r="T386" s="10">
        <v>153.1</v>
      </c>
      <c r="U386" s="10">
        <v>6.3689999999999997E-3</v>
      </c>
      <c r="V386" s="10">
        <v>4.2430000000000002E-2</v>
      </c>
      <c r="W386" s="10">
        <v>4.2659999999999997E-2</v>
      </c>
      <c r="X386" s="10">
        <v>1.508E-2</v>
      </c>
      <c r="Y386" s="10">
        <v>2.3349999999999999E-2</v>
      </c>
      <c r="Z386" s="10">
        <v>3.385E-3</v>
      </c>
      <c r="AA386" s="10">
        <v>33.130000000000003</v>
      </c>
      <c r="AB386" s="10">
        <v>23.58</v>
      </c>
      <c r="AC386" s="10">
        <v>229.3</v>
      </c>
      <c r="AD386" s="10">
        <v>3234</v>
      </c>
      <c r="AE386" s="10">
        <v>0.153</v>
      </c>
      <c r="AF386" s="10">
        <v>0.59370000000000001</v>
      </c>
      <c r="AG386" s="10">
        <v>0.64510000000000001</v>
      </c>
      <c r="AH386" s="10">
        <v>0.27560000000000001</v>
      </c>
      <c r="AI386" s="10">
        <v>0.36899999999999999</v>
      </c>
      <c r="AJ386">
        <v>8.8150000000000006E-2</v>
      </c>
    </row>
    <row r="387" spans="3:36">
      <c r="C387" s="11" t="s">
        <v>493</v>
      </c>
      <c r="D387" s="10">
        <v>354</v>
      </c>
      <c r="E387" s="10">
        <v>9010018</v>
      </c>
      <c r="F387" s="10" t="s">
        <v>0</v>
      </c>
      <c r="G387" s="10">
        <v>13.71</v>
      </c>
      <c r="H387" s="10">
        <v>25.74</v>
      </c>
      <c r="I387" s="10">
        <v>98</v>
      </c>
      <c r="J387" s="10">
        <v>716.6</v>
      </c>
      <c r="K387" s="10">
        <v>0.1024</v>
      </c>
      <c r="L387" s="10">
        <v>9.7689999999999999E-2</v>
      </c>
      <c r="M387" s="10">
        <v>0.1235</v>
      </c>
      <c r="N387" s="10">
        <v>6.5530000000000005E-2</v>
      </c>
      <c r="O387" s="10">
        <v>0.16470000000000001</v>
      </c>
      <c r="P387" s="10">
        <v>6.4640000000000003E-2</v>
      </c>
      <c r="Q387" s="10">
        <v>0.65339999999999998</v>
      </c>
      <c r="R387" s="10">
        <v>1.506</v>
      </c>
      <c r="S387" s="10">
        <v>4.1740000000000004</v>
      </c>
      <c r="T387" s="10">
        <v>63.37</v>
      </c>
      <c r="U387" s="10">
        <v>1.052E-2</v>
      </c>
      <c r="V387" s="10">
        <v>2.4309999999999998E-2</v>
      </c>
      <c r="W387" s="10">
        <v>4.9119999999999997E-2</v>
      </c>
      <c r="X387" s="10">
        <v>1.746E-2</v>
      </c>
      <c r="Y387" s="10">
        <v>2.12E-2</v>
      </c>
      <c r="Z387" s="10">
        <v>4.8669999999999998E-3</v>
      </c>
      <c r="AA387" s="10">
        <v>18.510000000000002</v>
      </c>
      <c r="AB387" s="10">
        <v>33.22</v>
      </c>
      <c r="AC387" s="10">
        <v>121.2</v>
      </c>
      <c r="AD387" s="10">
        <v>1050</v>
      </c>
      <c r="AE387" s="10">
        <v>0.16600000000000001</v>
      </c>
      <c r="AF387" s="10">
        <v>0.2356</v>
      </c>
      <c r="AG387" s="10">
        <v>0.40289999999999998</v>
      </c>
      <c r="AH387" s="10">
        <v>0.15260000000000001</v>
      </c>
      <c r="AI387" s="10">
        <v>0.26540000000000002</v>
      </c>
      <c r="AJ387">
        <v>9.4380000000000006E-2</v>
      </c>
    </row>
    <row r="388" spans="3:36">
      <c r="C388" s="11" t="s">
        <v>494</v>
      </c>
      <c r="D388" s="10">
        <v>355</v>
      </c>
      <c r="E388" s="10">
        <v>901011</v>
      </c>
      <c r="F388" s="10" t="s">
        <v>1</v>
      </c>
      <c r="G388" s="10">
        <v>13.71</v>
      </c>
      <c r="H388" s="10">
        <v>14.07</v>
      </c>
      <c r="I388" s="10">
        <v>71.239999999999995</v>
      </c>
      <c r="J388" s="10">
        <v>384.6</v>
      </c>
      <c r="K388" s="10">
        <v>7.2739999999999999E-2</v>
      </c>
      <c r="L388" s="10">
        <v>6.0639999999999999E-2</v>
      </c>
      <c r="M388" s="10">
        <v>4.505E-2</v>
      </c>
      <c r="N388" s="10">
        <v>1.4710000000000001E-2</v>
      </c>
      <c r="O388" s="10">
        <v>0.16900000000000001</v>
      </c>
      <c r="P388" s="10">
        <v>6.0830000000000002E-2</v>
      </c>
      <c r="Q388" s="10">
        <v>0.42220000000000002</v>
      </c>
      <c r="R388" s="10">
        <v>0.80920000000000003</v>
      </c>
      <c r="S388" s="10">
        <v>3.33</v>
      </c>
      <c r="T388" s="10">
        <v>28.84</v>
      </c>
      <c r="U388" s="10">
        <v>5.5409999999999999E-3</v>
      </c>
      <c r="V388" s="10">
        <v>3.3869999999999997E-2</v>
      </c>
      <c r="W388" s="10">
        <v>4.505E-2</v>
      </c>
      <c r="X388" s="10">
        <v>1.4710000000000001E-2</v>
      </c>
      <c r="Y388" s="10">
        <v>3.1019999999999999E-2</v>
      </c>
      <c r="Z388" s="10">
        <v>4.8310000000000002E-3</v>
      </c>
      <c r="AA388" s="10">
        <v>12.12</v>
      </c>
      <c r="AB388" s="10">
        <v>15.82</v>
      </c>
      <c r="AC388" s="10">
        <v>79.62</v>
      </c>
      <c r="AD388" s="10">
        <v>453.5</v>
      </c>
      <c r="AE388" s="10">
        <v>8.8639999999999997E-2</v>
      </c>
      <c r="AF388" s="10">
        <v>0.12559999999999999</v>
      </c>
      <c r="AG388" s="10">
        <v>0.1201</v>
      </c>
      <c r="AH388" s="10">
        <v>3.9219999999999998E-2</v>
      </c>
      <c r="AI388" s="10">
        <v>0.2576</v>
      </c>
      <c r="AJ388">
        <v>7.0180000000000006E-2</v>
      </c>
    </row>
    <row r="389" spans="3:36">
      <c r="C389" s="11" t="s">
        <v>495</v>
      </c>
      <c r="D389" s="10">
        <v>356</v>
      </c>
      <c r="E389" s="10">
        <v>9010258</v>
      </c>
      <c r="F389" s="10" t="s">
        <v>1</v>
      </c>
      <c r="G389" s="10">
        <v>13.71</v>
      </c>
      <c r="H389" s="10">
        <v>19.07</v>
      </c>
      <c r="I389" s="10">
        <v>81.92</v>
      </c>
      <c r="J389" s="10">
        <v>485.8</v>
      </c>
      <c r="K389" s="10">
        <v>8.7599999999999997E-2</v>
      </c>
      <c r="L389" s="10">
        <v>0.1038</v>
      </c>
      <c r="M389" s="10">
        <v>0.10299999999999999</v>
      </c>
      <c r="N389" s="10">
        <v>4.3909999999999998E-2</v>
      </c>
      <c r="O389" s="10">
        <v>0.15329999999999999</v>
      </c>
      <c r="P389" s="10">
        <v>6.1839999999999999E-2</v>
      </c>
      <c r="Q389" s="10">
        <v>0.36020000000000002</v>
      </c>
      <c r="R389" s="10">
        <v>1.478</v>
      </c>
      <c r="S389" s="10">
        <v>3.2120000000000002</v>
      </c>
      <c r="T389" s="10">
        <v>27.49</v>
      </c>
      <c r="U389" s="10">
        <v>9.8530000000000006E-3</v>
      </c>
      <c r="V389" s="10">
        <v>4.2349999999999999E-2</v>
      </c>
      <c r="W389" s="10">
        <v>6.2710000000000002E-2</v>
      </c>
      <c r="X389" s="10">
        <v>1.966E-2</v>
      </c>
      <c r="Y389" s="10">
        <v>2.639E-2</v>
      </c>
      <c r="Z389" s="10">
        <v>4.2050000000000004E-3</v>
      </c>
      <c r="AA389" s="10">
        <v>13.37</v>
      </c>
      <c r="AB389" s="10">
        <v>22.43</v>
      </c>
      <c r="AC389" s="10">
        <v>89.02</v>
      </c>
      <c r="AD389" s="10">
        <v>547.4</v>
      </c>
      <c r="AE389" s="10">
        <v>0.1096</v>
      </c>
      <c r="AF389" s="10">
        <v>0.20019999999999999</v>
      </c>
      <c r="AG389" s="10">
        <v>0.23880000000000001</v>
      </c>
      <c r="AH389" s="10">
        <v>9.2649999999999996E-2</v>
      </c>
      <c r="AI389" s="10">
        <v>0.21210000000000001</v>
      </c>
      <c r="AJ389">
        <v>7.1879999999999999E-2</v>
      </c>
    </row>
    <row r="390" spans="3:36">
      <c r="C390" s="11" t="s">
        <v>496</v>
      </c>
      <c r="D390" s="10">
        <v>357</v>
      </c>
      <c r="E390" s="10">
        <v>9010259</v>
      </c>
      <c r="F390" s="10" t="s">
        <v>1</v>
      </c>
      <c r="G390" s="10">
        <v>13.71</v>
      </c>
      <c r="H390" s="10">
        <v>18.59</v>
      </c>
      <c r="I390" s="10">
        <v>85.09</v>
      </c>
      <c r="J390" s="10">
        <v>512</v>
      </c>
      <c r="K390" s="10">
        <v>0.1082</v>
      </c>
      <c r="L390" s="10">
        <v>0.13039999999999999</v>
      </c>
      <c r="M390" s="10">
        <v>9.6030000000000004E-2</v>
      </c>
      <c r="N390" s="10">
        <v>5.6030000000000003E-2</v>
      </c>
      <c r="O390" s="10">
        <v>0.20349999999999999</v>
      </c>
      <c r="P390" s="10">
        <v>6.5009999999999998E-2</v>
      </c>
      <c r="Q390" s="10">
        <v>0.31059999999999999</v>
      </c>
      <c r="R390" s="10">
        <v>1.51</v>
      </c>
      <c r="S390" s="10">
        <v>2.59</v>
      </c>
      <c r="T390" s="10">
        <v>21.57</v>
      </c>
      <c r="U390" s="10">
        <v>7.8069999999999997E-3</v>
      </c>
      <c r="V390" s="10">
        <v>3.9320000000000001E-2</v>
      </c>
      <c r="W390" s="10">
        <v>5.1119999999999999E-2</v>
      </c>
      <c r="X390" s="10">
        <v>1.8759999999999999E-2</v>
      </c>
      <c r="Y390" s="10">
        <v>2.86E-2</v>
      </c>
      <c r="Z390" s="10">
        <v>5.7149999999999996E-3</v>
      </c>
      <c r="AA390" s="10">
        <v>14.19</v>
      </c>
      <c r="AB390" s="10">
        <v>24.85</v>
      </c>
      <c r="AC390" s="10">
        <v>94.22</v>
      </c>
      <c r="AD390" s="10">
        <v>591.20000000000005</v>
      </c>
      <c r="AE390" s="10">
        <v>0.1343</v>
      </c>
      <c r="AF390" s="10">
        <v>0.26579999999999998</v>
      </c>
      <c r="AG390" s="10">
        <v>0.25729999999999997</v>
      </c>
      <c r="AH390" s="10">
        <v>0.1258</v>
      </c>
      <c r="AI390" s="10">
        <v>0.31130000000000002</v>
      </c>
      <c r="AJ390">
        <v>8.3169999999999994E-2</v>
      </c>
    </row>
    <row r="391" spans="3:36">
      <c r="C391" s="11" t="s">
        <v>497</v>
      </c>
      <c r="D391" s="10">
        <v>358</v>
      </c>
      <c r="E391" s="10">
        <v>901028</v>
      </c>
      <c r="F391" s="10" t="s">
        <v>1</v>
      </c>
      <c r="G391" s="10">
        <v>13.71</v>
      </c>
      <c r="H391" s="10">
        <v>16.21</v>
      </c>
      <c r="I391" s="10">
        <v>88.52</v>
      </c>
      <c r="J391" s="10">
        <v>593.70000000000005</v>
      </c>
      <c r="K391" s="10">
        <v>8.7429999999999994E-2</v>
      </c>
      <c r="L391" s="10">
        <v>5.4919999999999997E-2</v>
      </c>
      <c r="M391" s="10">
        <v>1.502E-2</v>
      </c>
      <c r="N391" s="10">
        <v>2.0879999999999999E-2</v>
      </c>
      <c r="O391" s="10">
        <v>0.1424</v>
      </c>
      <c r="P391" s="10">
        <v>5.883E-2</v>
      </c>
      <c r="Q391" s="10">
        <v>0.25430000000000003</v>
      </c>
      <c r="R391" s="10">
        <v>1.363</v>
      </c>
      <c r="S391" s="10">
        <v>1.7370000000000001</v>
      </c>
      <c r="T391" s="10">
        <v>20.74</v>
      </c>
      <c r="U391" s="10">
        <v>5.6379999999999998E-3</v>
      </c>
      <c r="V391" s="10">
        <v>7.9389999999999999E-3</v>
      </c>
      <c r="W391" s="10">
        <v>5.254E-3</v>
      </c>
      <c r="X391" s="10">
        <v>6.0419999999999996E-3</v>
      </c>
      <c r="Y391" s="10">
        <v>1.5440000000000001E-2</v>
      </c>
      <c r="Z391" s="10">
        <v>2.0869999999999999E-3</v>
      </c>
      <c r="AA391" s="10">
        <v>15.11</v>
      </c>
      <c r="AB391" s="10">
        <v>25.58</v>
      </c>
      <c r="AC391" s="10">
        <v>96.74</v>
      </c>
      <c r="AD391" s="10">
        <v>694.4</v>
      </c>
      <c r="AE391" s="10">
        <v>0.1153</v>
      </c>
      <c r="AF391" s="10">
        <v>0.1008</v>
      </c>
      <c r="AG391" s="10">
        <v>5.2850000000000001E-2</v>
      </c>
      <c r="AH391" s="10">
        <v>5.5559999999999998E-2</v>
      </c>
      <c r="AI391" s="10">
        <v>0.23619999999999999</v>
      </c>
      <c r="AJ391">
        <v>7.1129999999999999E-2</v>
      </c>
    </row>
    <row r="392" spans="3:36">
      <c r="C392" s="11" t="s">
        <v>498</v>
      </c>
      <c r="D392" s="10">
        <v>359</v>
      </c>
      <c r="E392" s="10">
        <v>9010333</v>
      </c>
      <c r="F392" s="10" t="s">
        <v>1</v>
      </c>
      <c r="G392" s="10">
        <v>13.71</v>
      </c>
      <c r="H392" s="10">
        <v>15.49</v>
      </c>
      <c r="I392" s="10">
        <v>56.74</v>
      </c>
      <c r="J392" s="10">
        <v>241</v>
      </c>
      <c r="K392" s="10">
        <v>8.2930000000000004E-2</v>
      </c>
      <c r="L392" s="10">
        <v>7.6980000000000007E-2</v>
      </c>
      <c r="M392" s="10">
        <v>4.7210000000000002E-2</v>
      </c>
      <c r="N392" s="10">
        <v>2.3810000000000001E-2</v>
      </c>
      <c r="O392" s="10">
        <v>0.193</v>
      </c>
      <c r="P392" s="10">
        <v>6.6210000000000005E-2</v>
      </c>
      <c r="Q392" s="10">
        <v>0.53810000000000002</v>
      </c>
      <c r="R392" s="10">
        <v>1.2</v>
      </c>
      <c r="S392" s="10">
        <v>4.2770000000000001</v>
      </c>
      <c r="T392" s="10">
        <v>30.18</v>
      </c>
      <c r="U392" s="10">
        <v>1.093E-2</v>
      </c>
      <c r="V392" s="10">
        <v>2.8989999999999998E-2</v>
      </c>
      <c r="W392" s="10">
        <v>3.2140000000000002E-2</v>
      </c>
      <c r="X392" s="10">
        <v>1.506E-2</v>
      </c>
      <c r="Y392" s="10">
        <v>2.8369999999999999E-2</v>
      </c>
      <c r="Z392" s="10">
        <v>4.1739999999999998E-3</v>
      </c>
      <c r="AA392" s="10">
        <v>9.9809999999999999</v>
      </c>
      <c r="AB392" s="10">
        <v>17.7</v>
      </c>
      <c r="AC392" s="10">
        <v>65.27</v>
      </c>
      <c r="AD392" s="10">
        <v>302</v>
      </c>
      <c r="AE392" s="10">
        <v>0.10150000000000001</v>
      </c>
      <c r="AF392" s="10">
        <v>0.12479999999999999</v>
      </c>
      <c r="AG392" s="10">
        <v>9.4409999999999994E-2</v>
      </c>
      <c r="AH392" s="10">
        <v>4.7620000000000003E-2</v>
      </c>
      <c r="AI392" s="10">
        <v>0.24340000000000001</v>
      </c>
      <c r="AJ392">
        <v>7.4310000000000001E-2</v>
      </c>
    </row>
    <row r="393" spans="3:36">
      <c r="C393" s="11" t="s">
        <v>499</v>
      </c>
      <c r="D393" s="10">
        <v>360</v>
      </c>
      <c r="E393" s="10">
        <v>901034301</v>
      </c>
      <c r="F393" s="10" t="s">
        <v>1</v>
      </c>
      <c r="G393" s="10">
        <v>13.71</v>
      </c>
      <c r="H393" s="10">
        <v>18.32</v>
      </c>
      <c r="I393" s="10">
        <v>59.82</v>
      </c>
      <c r="J393" s="10">
        <v>278.60000000000002</v>
      </c>
      <c r="K393" s="10">
        <v>0.1009</v>
      </c>
      <c r="L393" s="10">
        <v>5.9560000000000002E-2</v>
      </c>
      <c r="M393" s="10">
        <v>2.7099999999999999E-2</v>
      </c>
      <c r="N393" s="10">
        <v>1.406E-2</v>
      </c>
      <c r="O393" s="10">
        <v>0.15060000000000001</v>
      </c>
      <c r="P393" s="10">
        <v>6.9589999999999999E-2</v>
      </c>
      <c r="Q393" s="10">
        <v>0.50790000000000002</v>
      </c>
      <c r="R393" s="10">
        <v>1.2470000000000001</v>
      </c>
      <c r="S393" s="10">
        <v>3.2669999999999999</v>
      </c>
      <c r="T393" s="10">
        <v>30.48</v>
      </c>
      <c r="U393" s="10">
        <v>6.8360000000000001E-3</v>
      </c>
      <c r="V393" s="10">
        <v>8.9820000000000004E-3</v>
      </c>
      <c r="W393" s="10">
        <v>2.3480000000000001E-2</v>
      </c>
      <c r="X393" s="10">
        <v>6.5649999999999997E-3</v>
      </c>
      <c r="Y393" s="10">
        <v>1.942E-2</v>
      </c>
      <c r="Z393" s="10">
        <v>2.7130000000000001E-3</v>
      </c>
      <c r="AA393" s="10">
        <v>12.02</v>
      </c>
      <c r="AB393" s="10">
        <v>25.02</v>
      </c>
      <c r="AC393" s="10">
        <v>75.790000000000006</v>
      </c>
      <c r="AD393" s="10">
        <v>439.6</v>
      </c>
      <c r="AE393" s="10">
        <v>0.1333</v>
      </c>
      <c r="AF393" s="10">
        <v>0.10489999999999999</v>
      </c>
      <c r="AG393" s="10">
        <v>0.1144</v>
      </c>
      <c r="AH393" s="10">
        <v>5.0520000000000002E-2</v>
      </c>
      <c r="AI393" s="10">
        <v>0.24540000000000001</v>
      </c>
      <c r="AJ393">
        <v>8.1360000000000002E-2</v>
      </c>
    </row>
    <row r="394" spans="3:36">
      <c r="C394" s="11" t="s">
        <v>500</v>
      </c>
      <c r="D394" s="10">
        <v>361</v>
      </c>
      <c r="E394" s="10">
        <v>901034302</v>
      </c>
      <c r="F394" s="10" t="s">
        <v>1</v>
      </c>
      <c r="G394" s="10">
        <v>13.71</v>
      </c>
      <c r="H394" s="10">
        <v>18.07</v>
      </c>
      <c r="I394" s="10">
        <v>79.42</v>
      </c>
      <c r="J394" s="10">
        <v>491.9</v>
      </c>
      <c r="K394" s="10">
        <v>7.4359999999999996E-2</v>
      </c>
      <c r="L394" s="10">
        <v>2.6499999999999999E-2</v>
      </c>
      <c r="M394" s="10">
        <v>1.194E-3</v>
      </c>
      <c r="N394" s="10">
        <v>5.4489999999999999E-3</v>
      </c>
      <c r="O394" s="10">
        <v>0.15279999999999999</v>
      </c>
      <c r="P394" s="10">
        <v>5.185E-2</v>
      </c>
      <c r="Q394" s="10">
        <v>0.35110000000000002</v>
      </c>
      <c r="R394" s="10">
        <v>0.95269999999999999</v>
      </c>
      <c r="S394" s="10">
        <v>2.3290000000000002</v>
      </c>
      <c r="T394" s="10">
        <v>28.3</v>
      </c>
      <c r="U394" s="10">
        <v>5.7829999999999999E-3</v>
      </c>
      <c r="V394" s="10">
        <v>4.6930000000000001E-3</v>
      </c>
      <c r="W394" s="10">
        <v>7.9290000000000003E-4</v>
      </c>
      <c r="X394" s="10">
        <v>3.617E-3</v>
      </c>
      <c r="Y394" s="10">
        <v>2.043E-2</v>
      </c>
      <c r="Z394" s="10">
        <v>1.0579999999999999E-3</v>
      </c>
      <c r="AA394" s="10">
        <v>13.72</v>
      </c>
      <c r="AB394" s="10">
        <v>20.98</v>
      </c>
      <c r="AC394" s="10">
        <v>86.82</v>
      </c>
      <c r="AD394" s="10">
        <v>585.70000000000005</v>
      </c>
      <c r="AE394" s="10">
        <v>9.2929999999999999E-2</v>
      </c>
      <c r="AF394" s="10">
        <v>4.3270000000000003E-2</v>
      </c>
      <c r="AG394" s="10">
        <v>3.581E-3</v>
      </c>
      <c r="AH394" s="10">
        <v>1.635E-2</v>
      </c>
      <c r="AI394" s="10">
        <v>0.2233</v>
      </c>
      <c r="AJ394">
        <v>5.5210000000000002E-2</v>
      </c>
    </row>
    <row r="395" spans="3:36">
      <c r="C395" s="11" t="s">
        <v>501</v>
      </c>
      <c r="D395" s="10">
        <v>362</v>
      </c>
      <c r="E395" s="10">
        <v>901041</v>
      </c>
      <c r="F395" s="10" t="s">
        <v>1</v>
      </c>
      <c r="G395" s="10">
        <v>13.71</v>
      </c>
      <c r="H395" s="10">
        <v>21.57</v>
      </c>
      <c r="I395" s="10">
        <v>85.24</v>
      </c>
      <c r="J395" s="10">
        <v>546.1</v>
      </c>
      <c r="K395" s="10">
        <v>8.5819999999999994E-2</v>
      </c>
      <c r="L395" s="10">
        <v>6.3729999999999995E-2</v>
      </c>
      <c r="M395" s="10">
        <v>3.3439999999999998E-2</v>
      </c>
      <c r="N395" s="10">
        <v>2.4240000000000001E-2</v>
      </c>
      <c r="O395" s="10">
        <v>0.18149999999999999</v>
      </c>
      <c r="P395" s="10">
        <v>5.6959999999999997E-2</v>
      </c>
      <c r="Q395" s="10">
        <v>0.2621</v>
      </c>
      <c r="R395" s="10">
        <v>1.5389999999999999</v>
      </c>
      <c r="S395" s="10">
        <v>2.028</v>
      </c>
      <c r="T395" s="10">
        <v>20.98</v>
      </c>
      <c r="U395" s="10">
        <v>5.4980000000000003E-3</v>
      </c>
      <c r="V395" s="10">
        <v>2.0449999999999999E-2</v>
      </c>
      <c r="W395" s="10">
        <v>1.7950000000000001E-2</v>
      </c>
      <c r="X395" s="10">
        <v>6.3990000000000002E-3</v>
      </c>
      <c r="Y395" s="10">
        <v>1.8290000000000001E-2</v>
      </c>
      <c r="Z395" s="10">
        <v>1.9559999999999998E-3</v>
      </c>
      <c r="AA395" s="10">
        <v>14.2</v>
      </c>
      <c r="AB395" s="10">
        <v>29.2</v>
      </c>
      <c r="AC395" s="10">
        <v>92.94</v>
      </c>
      <c r="AD395" s="10">
        <v>621.20000000000005</v>
      </c>
      <c r="AE395" s="10">
        <v>0.114</v>
      </c>
      <c r="AF395" s="10">
        <v>0.16669999999999999</v>
      </c>
      <c r="AG395" s="10">
        <v>0.1212</v>
      </c>
      <c r="AH395" s="10">
        <v>5.6140000000000002E-2</v>
      </c>
      <c r="AI395" s="10">
        <v>0.26369999999999999</v>
      </c>
      <c r="AJ395">
        <v>6.658E-2</v>
      </c>
    </row>
    <row r="396" spans="3:36">
      <c r="C396" s="11" t="s">
        <v>502</v>
      </c>
      <c r="D396" s="10">
        <v>363</v>
      </c>
      <c r="E396" s="10">
        <v>9010598</v>
      </c>
      <c r="F396" s="10" t="s">
        <v>1</v>
      </c>
      <c r="G396" s="10">
        <v>13.71</v>
      </c>
      <c r="H396" s="10">
        <v>18.84</v>
      </c>
      <c r="I396" s="10">
        <v>81.87</v>
      </c>
      <c r="J396" s="10">
        <v>496.6</v>
      </c>
      <c r="K396" s="10">
        <v>9.6759999999999999E-2</v>
      </c>
      <c r="L396" s="10">
        <v>7.9519999999999993E-2</v>
      </c>
      <c r="M396" s="10">
        <v>2.6880000000000001E-2</v>
      </c>
      <c r="N396" s="10">
        <v>1.7809999999999999E-2</v>
      </c>
      <c r="O396" s="10">
        <v>0.1759</v>
      </c>
      <c r="P396" s="10">
        <v>6.1830000000000003E-2</v>
      </c>
      <c r="Q396" s="10">
        <v>0.2213</v>
      </c>
      <c r="R396" s="10">
        <v>1.2849999999999999</v>
      </c>
      <c r="S396" s="10">
        <v>1.5349999999999999</v>
      </c>
      <c r="T396" s="10">
        <v>17.260000000000002</v>
      </c>
      <c r="U396" s="10">
        <v>5.6080000000000001E-3</v>
      </c>
      <c r="V396" s="10">
        <v>1.6459999999999999E-2</v>
      </c>
      <c r="W396" s="10">
        <v>1.529E-2</v>
      </c>
      <c r="X396" s="10">
        <v>9.9970000000000007E-3</v>
      </c>
      <c r="Y396" s="10">
        <v>1.9089999999999999E-2</v>
      </c>
      <c r="Z396" s="10">
        <v>2.1329999999999999E-3</v>
      </c>
      <c r="AA396" s="10">
        <v>13.75</v>
      </c>
      <c r="AB396" s="10">
        <v>25.99</v>
      </c>
      <c r="AC396" s="10">
        <v>87.82</v>
      </c>
      <c r="AD396" s="10">
        <v>579.70000000000005</v>
      </c>
      <c r="AE396" s="10">
        <v>0.1298</v>
      </c>
      <c r="AF396" s="10">
        <v>0.18390000000000001</v>
      </c>
      <c r="AG396" s="10">
        <v>0.1255</v>
      </c>
      <c r="AH396" s="10">
        <v>8.3119999999999999E-2</v>
      </c>
      <c r="AI396" s="10">
        <v>0.27439999999999998</v>
      </c>
      <c r="AJ396">
        <v>7.238E-2</v>
      </c>
    </row>
    <row r="397" spans="3:36">
      <c r="C397" s="11" t="s">
        <v>503</v>
      </c>
      <c r="D397" s="10">
        <v>364</v>
      </c>
      <c r="E397" s="10">
        <v>9010872</v>
      </c>
      <c r="F397" s="10" t="s">
        <v>1</v>
      </c>
      <c r="G397" s="10">
        <v>13.71</v>
      </c>
      <c r="H397" s="10">
        <v>18.29</v>
      </c>
      <c r="I397" s="10">
        <v>106.6</v>
      </c>
      <c r="J397" s="10">
        <v>838.1</v>
      </c>
      <c r="K397" s="10">
        <v>9.6860000000000002E-2</v>
      </c>
      <c r="L397" s="10">
        <v>8.4680000000000005E-2</v>
      </c>
      <c r="M397" s="10">
        <v>5.8619999999999998E-2</v>
      </c>
      <c r="N397" s="10">
        <v>4.8349999999999997E-2</v>
      </c>
      <c r="O397" s="10">
        <v>0.14949999999999999</v>
      </c>
      <c r="P397" s="10">
        <v>5.5930000000000001E-2</v>
      </c>
      <c r="Q397" s="10">
        <v>0.33889999999999998</v>
      </c>
      <c r="R397" s="10">
        <v>1.4390000000000001</v>
      </c>
      <c r="S397" s="10">
        <v>2.3439999999999999</v>
      </c>
      <c r="T397" s="10">
        <v>33.58</v>
      </c>
      <c r="U397" s="10">
        <v>7.2570000000000004E-3</v>
      </c>
      <c r="V397" s="10">
        <v>1.805E-2</v>
      </c>
      <c r="W397" s="10">
        <v>1.8319999999999999E-2</v>
      </c>
      <c r="X397" s="10">
        <v>1.0330000000000001E-2</v>
      </c>
      <c r="Y397" s="10">
        <v>1.694E-2</v>
      </c>
      <c r="Z397" s="10">
        <v>2.0010000000000002E-3</v>
      </c>
      <c r="AA397" s="10">
        <v>18.13</v>
      </c>
      <c r="AB397" s="10">
        <v>25.45</v>
      </c>
      <c r="AC397" s="10">
        <v>117.2</v>
      </c>
      <c r="AD397" s="10">
        <v>1009</v>
      </c>
      <c r="AE397" s="10">
        <v>0.1338</v>
      </c>
      <c r="AF397" s="10">
        <v>0.16789999999999999</v>
      </c>
      <c r="AG397" s="10">
        <v>0.1663</v>
      </c>
      <c r="AH397" s="10">
        <v>9.1230000000000006E-2</v>
      </c>
      <c r="AI397" s="10">
        <v>0.2394</v>
      </c>
      <c r="AJ397">
        <v>6.4689999999999998E-2</v>
      </c>
    </row>
    <row r="398" spans="3:36">
      <c r="C398" s="11" t="s">
        <v>504</v>
      </c>
      <c r="D398" s="10">
        <v>365</v>
      </c>
      <c r="E398" s="10">
        <v>9010877</v>
      </c>
      <c r="F398" s="10" t="s">
        <v>1</v>
      </c>
      <c r="G398" s="10">
        <v>13.71</v>
      </c>
      <c r="H398" s="10">
        <v>16.95</v>
      </c>
      <c r="I398" s="10">
        <v>85.48</v>
      </c>
      <c r="J398" s="10">
        <v>552.4</v>
      </c>
      <c r="K398" s="10">
        <v>7.9369999999999996E-2</v>
      </c>
      <c r="L398" s="10">
        <v>5.6959999999999997E-2</v>
      </c>
      <c r="M398" s="10">
        <v>2.181E-2</v>
      </c>
      <c r="N398" s="10">
        <v>1.473E-2</v>
      </c>
      <c r="O398" s="10">
        <v>0.16500000000000001</v>
      </c>
      <c r="P398" s="10">
        <v>5.7009999999999998E-2</v>
      </c>
      <c r="Q398" s="10">
        <v>0.15840000000000001</v>
      </c>
      <c r="R398" s="10">
        <v>0.61240000000000006</v>
      </c>
      <c r="S398" s="10">
        <v>1.036</v>
      </c>
      <c r="T398" s="10">
        <v>13.22</v>
      </c>
      <c r="U398" s="10">
        <v>4.3940000000000003E-3</v>
      </c>
      <c r="V398" s="10">
        <v>1.2500000000000001E-2</v>
      </c>
      <c r="W398" s="10">
        <v>1.451E-2</v>
      </c>
      <c r="X398" s="10">
        <v>5.4840000000000002E-3</v>
      </c>
      <c r="Y398" s="10">
        <v>1.291E-2</v>
      </c>
      <c r="Z398" s="10">
        <v>2.0739999999999999E-3</v>
      </c>
      <c r="AA398" s="10">
        <v>14.73</v>
      </c>
      <c r="AB398" s="10">
        <v>21.7</v>
      </c>
      <c r="AC398" s="10">
        <v>93.76</v>
      </c>
      <c r="AD398" s="10">
        <v>663.5</v>
      </c>
      <c r="AE398" s="10">
        <v>0.12130000000000001</v>
      </c>
      <c r="AF398" s="10">
        <v>0.1676</v>
      </c>
      <c r="AG398" s="10">
        <v>0.13639999999999999</v>
      </c>
      <c r="AH398" s="10">
        <v>6.9870000000000002E-2</v>
      </c>
      <c r="AI398" s="10">
        <v>0.27410000000000001</v>
      </c>
      <c r="AJ398">
        <v>7.5819999999999999E-2</v>
      </c>
    </row>
    <row r="399" spans="3:36">
      <c r="C399" s="11" t="s">
        <v>505</v>
      </c>
      <c r="D399" s="10">
        <v>366</v>
      </c>
      <c r="E399" s="10">
        <v>901088</v>
      </c>
      <c r="F399" s="10" t="s">
        <v>0</v>
      </c>
      <c r="G399" s="10">
        <v>13.71</v>
      </c>
      <c r="H399" s="10">
        <v>21.78</v>
      </c>
      <c r="I399" s="10">
        <v>133.80000000000001</v>
      </c>
      <c r="J399" s="10">
        <v>1293</v>
      </c>
      <c r="K399" s="10">
        <v>9.1499999999999998E-2</v>
      </c>
      <c r="L399" s="10">
        <v>0.11310000000000001</v>
      </c>
      <c r="M399" s="10">
        <v>9.7989999999999994E-2</v>
      </c>
      <c r="N399" s="10">
        <v>7.7850000000000003E-2</v>
      </c>
      <c r="O399" s="10">
        <v>0.1618</v>
      </c>
      <c r="P399" s="10">
        <v>5.5570000000000001E-2</v>
      </c>
      <c r="Q399" s="10">
        <v>0.57809999999999995</v>
      </c>
      <c r="R399" s="10">
        <v>0.91679999999999995</v>
      </c>
      <c r="S399" s="10">
        <v>4.218</v>
      </c>
      <c r="T399" s="10">
        <v>72.44</v>
      </c>
      <c r="U399" s="10">
        <v>6.208E-3</v>
      </c>
      <c r="V399" s="10">
        <v>1.9060000000000001E-2</v>
      </c>
      <c r="W399" s="10">
        <v>2.375E-2</v>
      </c>
      <c r="X399" s="10">
        <v>1.461E-2</v>
      </c>
      <c r="Y399" s="10">
        <v>1.4449999999999999E-2</v>
      </c>
      <c r="Z399" s="10">
        <v>1.9059999999999999E-3</v>
      </c>
      <c r="AA399" s="10">
        <v>24.31</v>
      </c>
      <c r="AB399" s="10">
        <v>26.37</v>
      </c>
      <c r="AC399" s="10">
        <v>161.19999999999999</v>
      </c>
      <c r="AD399" s="10">
        <v>1780</v>
      </c>
      <c r="AE399" s="10">
        <v>0.13270000000000001</v>
      </c>
      <c r="AF399" s="10">
        <v>0.23760000000000001</v>
      </c>
      <c r="AG399" s="10">
        <v>0.2702</v>
      </c>
      <c r="AH399" s="10">
        <v>0.17649999999999999</v>
      </c>
      <c r="AI399" s="10">
        <v>0.26090000000000002</v>
      </c>
      <c r="AJ399">
        <v>6.7349999999999993E-2</v>
      </c>
    </row>
    <row r="400" spans="3:36">
      <c r="C400" s="11" t="s">
        <v>506</v>
      </c>
      <c r="D400" s="10">
        <v>367</v>
      </c>
      <c r="E400" s="10">
        <v>9011494</v>
      </c>
      <c r="F400" s="10" t="s">
        <v>0</v>
      </c>
      <c r="G400" s="10">
        <v>13.71</v>
      </c>
      <c r="H400" s="10">
        <v>26.83</v>
      </c>
      <c r="I400" s="10">
        <v>133.69999999999999</v>
      </c>
      <c r="J400" s="10">
        <v>1234</v>
      </c>
      <c r="K400" s="10">
        <v>9.9049999999999999E-2</v>
      </c>
      <c r="L400" s="10">
        <v>0.16689999999999999</v>
      </c>
      <c r="M400" s="10">
        <v>0.1641</v>
      </c>
      <c r="N400" s="10">
        <v>0.1265</v>
      </c>
      <c r="O400" s="10">
        <v>0.1875</v>
      </c>
      <c r="P400" s="10">
        <v>6.0199999999999997E-2</v>
      </c>
      <c r="Q400" s="10">
        <v>0.97609999999999997</v>
      </c>
      <c r="R400" s="10">
        <v>1.8919999999999999</v>
      </c>
      <c r="S400" s="10">
        <v>7.1280000000000001</v>
      </c>
      <c r="T400" s="10">
        <v>103.6</v>
      </c>
      <c r="U400" s="10">
        <v>8.4390000000000003E-3</v>
      </c>
      <c r="V400" s="10">
        <v>4.6739999999999997E-2</v>
      </c>
      <c r="W400" s="10">
        <v>5.9040000000000002E-2</v>
      </c>
      <c r="X400" s="10">
        <v>2.5360000000000001E-2</v>
      </c>
      <c r="Y400" s="10">
        <v>3.7100000000000001E-2</v>
      </c>
      <c r="Z400" s="10">
        <v>4.2859999999999999E-3</v>
      </c>
      <c r="AA400" s="10">
        <v>24.19</v>
      </c>
      <c r="AB400" s="10">
        <v>33.81</v>
      </c>
      <c r="AC400" s="10">
        <v>160</v>
      </c>
      <c r="AD400" s="10">
        <v>1671</v>
      </c>
      <c r="AE400" s="10">
        <v>0.1278</v>
      </c>
      <c r="AF400" s="10">
        <v>0.34160000000000001</v>
      </c>
      <c r="AG400" s="10">
        <v>0.37030000000000002</v>
      </c>
      <c r="AH400" s="10">
        <v>0.2152</v>
      </c>
      <c r="AI400" s="10">
        <v>0.3271</v>
      </c>
      <c r="AJ400">
        <v>7.6319999999999999E-2</v>
      </c>
    </row>
    <row r="401" spans="3:36">
      <c r="C401" s="11" t="s">
        <v>507</v>
      </c>
      <c r="D401" s="10">
        <v>368</v>
      </c>
      <c r="E401" s="10">
        <v>9011495</v>
      </c>
      <c r="F401" s="10" t="s">
        <v>1</v>
      </c>
      <c r="G401" s="10">
        <v>13.71</v>
      </c>
      <c r="H401" s="10">
        <v>18.02</v>
      </c>
      <c r="I401" s="10">
        <v>78.31</v>
      </c>
      <c r="J401" s="10">
        <v>458.4</v>
      </c>
      <c r="K401" s="10">
        <v>9.2310000000000003E-2</v>
      </c>
      <c r="L401" s="10">
        <v>7.1749999999999994E-2</v>
      </c>
      <c r="M401" s="10">
        <v>4.3920000000000001E-2</v>
      </c>
      <c r="N401" s="10">
        <v>2.027E-2</v>
      </c>
      <c r="O401" s="10">
        <v>0.16950000000000001</v>
      </c>
      <c r="P401" s="10">
        <v>5.9159999999999997E-2</v>
      </c>
      <c r="Q401" s="10">
        <v>0.25269999999999998</v>
      </c>
      <c r="R401" s="10">
        <v>0.77859999999999996</v>
      </c>
      <c r="S401" s="10">
        <v>1.8740000000000001</v>
      </c>
      <c r="T401" s="10">
        <v>18.57</v>
      </c>
      <c r="U401" s="10">
        <v>5.8329999999999996E-3</v>
      </c>
      <c r="V401" s="10">
        <v>1.388E-2</v>
      </c>
      <c r="W401" s="10">
        <v>0.02</v>
      </c>
      <c r="X401" s="10">
        <v>7.0870000000000004E-3</v>
      </c>
      <c r="Y401" s="10">
        <v>1.9380000000000001E-2</v>
      </c>
      <c r="Z401" s="10">
        <v>1.9599999999999999E-3</v>
      </c>
      <c r="AA401" s="10">
        <v>14.29</v>
      </c>
      <c r="AB401" s="10">
        <v>24.04</v>
      </c>
      <c r="AC401" s="10">
        <v>93.85</v>
      </c>
      <c r="AD401" s="10">
        <v>624.6</v>
      </c>
      <c r="AE401" s="10">
        <v>0.1368</v>
      </c>
      <c r="AF401" s="10">
        <v>0.217</v>
      </c>
      <c r="AG401" s="10">
        <v>0.24129999999999999</v>
      </c>
      <c r="AH401" s="10">
        <v>8.8289999999999993E-2</v>
      </c>
      <c r="AI401" s="10">
        <v>0.32179999999999997</v>
      </c>
      <c r="AJ401">
        <v>7.4700000000000003E-2</v>
      </c>
    </row>
    <row r="402" spans="3:36">
      <c r="C402" s="11" t="s">
        <v>508</v>
      </c>
      <c r="D402" s="10">
        <v>369</v>
      </c>
      <c r="E402" s="10">
        <v>9011971</v>
      </c>
      <c r="F402" s="10" t="s">
        <v>0</v>
      </c>
      <c r="G402" s="10">
        <v>13.71</v>
      </c>
      <c r="H402" s="10">
        <v>17.25</v>
      </c>
      <c r="I402" s="10">
        <v>140.9</v>
      </c>
      <c r="J402" s="10">
        <v>1546</v>
      </c>
      <c r="K402" s="10">
        <v>9.3840000000000007E-2</v>
      </c>
      <c r="L402" s="10">
        <v>8.5620000000000002E-2</v>
      </c>
      <c r="M402" s="10">
        <v>0.1168</v>
      </c>
      <c r="N402" s="10">
        <v>8.4650000000000003E-2</v>
      </c>
      <c r="O402" s="10">
        <v>0.17169999999999999</v>
      </c>
      <c r="P402" s="10">
        <v>5.0540000000000002E-2</v>
      </c>
      <c r="Q402" s="10">
        <v>1.2070000000000001</v>
      </c>
      <c r="R402" s="10">
        <v>1.0509999999999999</v>
      </c>
      <c r="S402" s="10">
        <v>7.7329999999999997</v>
      </c>
      <c r="T402" s="10">
        <v>224.1</v>
      </c>
      <c r="U402" s="10">
        <v>5.568E-3</v>
      </c>
      <c r="V402" s="10">
        <v>1.112E-2</v>
      </c>
      <c r="W402" s="10">
        <v>2.0959999999999999E-2</v>
      </c>
      <c r="X402" s="10">
        <v>1.197E-2</v>
      </c>
      <c r="Y402" s="10">
        <v>1.2630000000000001E-2</v>
      </c>
      <c r="Z402" s="10">
        <v>1.8029999999999999E-3</v>
      </c>
      <c r="AA402" s="10">
        <v>30.75</v>
      </c>
      <c r="AB402" s="10">
        <v>26.44</v>
      </c>
      <c r="AC402" s="10">
        <v>199.5</v>
      </c>
      <c r="AD402" s="10">
        <v>3143</v>
      </c>
      <c r="AE402" s="10">
        <v>0.1363</v>
      </c>
      <c r="AF402" s="10">
        <v>0.1628</v>
      </c>
      <c r="AG402" s="10">
        <v>0.28610000000000002</v>
      </c>
      <c r="AH402" s="10">
        <v>0.182</v>
      </c>
      <c r="AI402" s="10">
        <v>0.251</v>
      </c>
      <c r="AJ402">
        <v>6.4939999999999998E-2</v>
      </c>
    </row>
    <row r="403" spans="3:36">
      <c r="C403" s="11" t="s">
        <v>509</v>
      </c>
      <c r="D403" s="10">
        <v>370</v>
      </c>
      <c r="E403" s="10">
        <v>9012000</v>
      </c>
      <c r="F403" s="10" t="s">
        <v>0</v>
      </c>
      <c r="G403" s="10">
        <v>13.71</v>
      </c>
      <c r="H403" s="10">
        <v>21.9</v>
      </c>
      <c r="I403" s="10">
        <v>147.19999999999999</v>
      </c>
      <c r="J403" s="10">
        <v>1482</v>
      </c>
      <c r="K403" s="10">
        <v>0.10630000000000001</v>
      </c>
      <c r="L403" s="10">
        <v>0.19539999999999999</v>
      </c>
      <c r="M403" s="10">
        <v>0.24479999999999999</v>
      </c>
      <c r="N403" s="10">
        <v>0.15010000000000001</v>
      </c>
      <c r="O403" s="10">
        <v>0.18240000000000001</v>
      </c>
      <c r="P403" s="10">
        <v>6.1400000000000003E-2</v>
      </c>
      <c r="Q403" s="10">
        <v>1.008</v>
      </c>
      <c r="R403" s="10">
        <v>0.69989999999999997</v>
      </c>
      <c r="S403" s="10">
        <v>7.5609999999999999</v>
      </c>
      <c r="T403" s="10">
        <v>130.19999999999999</v>
      </c>
      <c r="U403" s="10">
        <v>3.9779999999999998E-3</v>
      </c>
      <c r="V403" s="10">
        <v>2.8209999999999999E-2</v>
      </c>
      <c r="W403" s="10">
        <v>3.576E-2</v>
      </c>
      <c r="X403" s="10">
        <v>1.4710000000000001E-2</v>
      </c>
      <c r="Y403" s="10">
        <v>1.5180000000000001E-2</v>
      </c>
      <c r="Z403" s="10">
        <v>3.7959999999999999E-3</v>
      </c>
      <c r="AA403" s="10">
        <v>27.66</v>
      </c>
      <c r="AB403" s="10">
        <v>25.8</v>
      </c>
      <c r="AC403" s="10">
        <v>195</v>
      </c>
      <c r="AD403" s="10">
        <v>2227</v>
      </c>
      <c r="AE403" s="10">
        <v>0.12939999999999999</v>
      </c>
      <c r="AF403" s="10">
        <v>0.38850000000000001</v>
      </c>
      <c r="AG403" s="10">
        <v>0.47560000000000002</v>
      </c>
      <c r="AH403" s="10">
        <v>0.2432</v>
      </c>
      <c r="AI403" s="10">
        <v>0.27410000000000001</v>
      </c>
      <c r="AJ403">
        <v>8.5739999999999997E-2</v>
      </c>
    </row>
    <row r="404" spans="3:36">
      <c r="C404" s="11" t="s">
        <v>510</v>
      </c>
      <c r="D404" s="10">
        <v>371</v>
      </c>
      <c r="E404" s="10">
        <v>9012315</v>
      </c>
      <c r="F404" s="10" t="s">
        <v>0</v>
      </c>
      <c r="G404" s="10">
        <v>13.71</v>
      </c>
      <c r="H404" s="10">
        <v>23.29</v>
      </c>
      <c r="I404" s="10">
        <v>109</v>
      </c>
      <c r="J404" s="10">
        <v>840.4</v>
      </c>
      <c r="K404" s="10">
        <v>9.7420000000000007E-2</v>
      </c>
      <c r="L404" s="10">
        <v>0.1497</v>
      </c>
      <c r="M404" s="10">
        <v>0.18110000000000001</v>
      </c>
      <c r="N404" s="10">
        <v>8.7730000000000002E-2</v>
      </c>
      <c r="O404" s="10">
        <v>0.2175</v>
      </c>
      <c r="P404" s="10">
        <v>6.2179999999999999E-2</v>
      </c>
      <c r="Q404" s="10">
        <v>0.43120000000000003</v>
      </c>
      <c r="R404" s="10">
        <v>1.022</v>
      </c>
      <c r="S404" s="10">
        <v>2.972</v>
      </c>
      <c r="T404" s="10">
        <v>45.5</v>
      </c>
      <c r="U404" s="10">
        <v>5.6350000000000003E-3</v>
      </c>
      <c r="V404" s="10">
        <v>3.9170000000000003E-2</v>
      </c>
      <c r="W404" s="10">
        <v>6.0720000000000003E-2</v>
      </c>
      <c r="X404" s="10">
        <v>1.6559999999999998E-2</v>
      </c>
      <c r="Y404" s="10">
        <v>3.1969999999999998E-2</v>
      </c>
      <c r="Z404" s="10">
        <v>4.0850000000000001E-3</v>
      </c>
      <c r="AA404" s="10">
        <v>19.38</v>
      </c>
      <c r="AB404" s="10">
        <v>31.03</v>
      </c>
      <c r="AC404" s="10">
        <v>129.30000000000001</v>
      </c>
      <c r="AD404" s="10">
        <v>1165</v>
      </c>
      <c r="AE404" s="10">
        <v>0.14149999999999999</v>
      </c>
      <c r="AF404" s="10">
        <v>0.46650000000000003</v>
      </c>
      <c r="AG404" s="10">
        <v>0.7087</v>
      </c>
      <c r="AH404" s="10">
        <v>0.2248</v>
      </c>
      <c r="AI404" s="10">
        <v>0.4824</v>
      </c>
      <c r="AJ404">
        <v>9.6140000000000003E-2</v>
      </c>
    </row>
    <row r="405" spans="3:36">
      <c r="C405" s="11" t="s">
        <v>511</v>
      </c>
      <c r="D405" s="10">
        <v>372</v>
      </c>
      <c r="E405" s="10">
        <v>9012568</v>
      </c>
      <c r="F405" s="10" t="s">
        <v>1</v>
      </c>
      <c r="G405" s="10">
        <v>13.71</v>
      </c>
      <c r="H405" s="10">
        <v>13.21</v>
      </c>
      <c r="I405" s="10">
        <v>97.65</v>
      </c>
      <c r="J405" s="10">
        <v>711.8</v>
      </c>
      <c r="K405" s="10">
        <v>7.9630000000000006E-2</v>
      </c>
      <c r="L405" s="10">
        <v>6.9339999999999999E-2</v>
      </c>
      <c r="M405" s="10">
        <v>3.3930000000000002E-2</v>
      </c>
      <c r="N405" s="10">
        <v>2.657E-2</v>
      </c>
      <c r="O405" s="10">
        <v>0.1721</v>
      </c>
      <c r="P405" s="10">
        <v>5.5440000000000003E-2</v>
      </c>
      <c r="Q405" s="10">
        <v>0.17829999999999999</v>
      </c>
      <c r="R405" s="10">
        <v>0.41249999999999998</v>
      </c>
      <c r="S405" s="10">
        <v>1.3380000000000001</v>
      </c>
      <c r="T405" s="10">
        <v>17.72</v>
      </c>
      <c r="U405" s="10">
        <v>5.012E-3</v>
      </c>
      <c r="V405" s="10">
        <v>1.485E-2</v>
      </c>
      <c r="W405" s="10">
        <v>1.5509999999999999E-2</v>
      </c>
      <c r="X405" s="10">
        <v>9.1549999999999999E-3</v>
      </c>
      <c r="Y405" s="10">
        <v>1.6469999999999999E-2</v>
      </c>
      <c r="Z405" s="10">
        <v>1.7669999999999999E-3</v>
      </c>
      <c r="AA405" s="10">
        <v>16.2</v>
      </c>
      <c r="AB405" s="10">
        <v>15.73</v>
      </c>
      <c r="AC405" s="10">
        <v>104.5</v>
      </c>
      <c r="AD405" s="10">
        <v>819.1</v>
      </c>
      <c r="AE405" s="10">
        <v>0.11260000000000001</v>
      </c>
      <c r="AF405" s="10">
        <v>0.17369999999999999</v>
      </c>
      <c r="AG405" s="10">
        <v>0.13619999999999999</v>
      </c>
      <c r="AH405" s="10">
        <v>8.1780000000000005E-2</v>
      </c>
      <c r="AI405" s="10">
        <v>0.2487</v>
      </c>
      <c r="AJ405">
        <v>6.7659999999999998E-2</v>
      </c>
    </row>
    <row r="406" spans="3:36">
      <c r="C406" s="11" t="s">
        <v>512</v>
      </c>
      <c r="D406" s="10">
        <v>373</v>
      </c>
      <c r="E406" s="10">
        <v>9012795</v>
      </c>
      <c r="F406" s="10" t="s">
        <v>0</v>
      </c>
      <c r="G406" s="10">
        <v>13.71</v>
      </c>
      <c r="H406" s="10">
        <v>15.1</v>
      </c>
      <c r="I406" s="10">
        <v>141.30000000000001</v>
      </c>
      <c r="J406" s="10">
        <v>1386</v>
      </c>
      <c r="K406" s="10">
        <v>0.10009999999999999</v>
      </c>
      <c r="L406" s="10">
        <v>0.1515</v>
      </c>
      <c r="M406" s="10">
        <v>0.19320000000000001</v>
      </c>
      <c r="N406" s="10">
        <v>0.1255</v>
      </c>
      <c r="O406" s="10">
        <v>0.1973</v>
      </c>
      <c r="P406" s="10">
        <v>6.1830000000000003E-2</v>
      </c>
      <c r="Q406" s="10">
        <v>0.34139999999999998</v>
      </c>
      <c r="R406" s="10">
        <v>1.3089999999999999</v>
      </c>
      <c r="S406" s="10">
        <v>2.407</v>
      </c>
      <c r="T406" s="10">
        <v>39.06</v>
      </c>
      <c r="U406" s="10">
        <v>4.4260000000000002E-3</v>
      </c>
      <c r="V406" s="10">
        <v>2.6749999999999999E-2</v>
      </c>
      <c r="W406" s="10">
        <v>3.4369999999999998E-2</v>
      </c>
      <c r="X406" s="10">
        <v>1.3429999999999999E-2</v>
      </c>
      <c r="Y406" s="10">
        <v>1.6750000000000001E-2</v>
      </c>
      <c r="Z406" s="10">
        <v>4.3670000000000002E-3</v>
      </c>
      <c r="AA406" s="10">
        <v>22.69</v>
      </c>
      <c r="AB406" s="10">
        <v>21.84</v>
      </c>
      <c r="AC406" s="10">
        <v>152.1</v>
      </c>
      <c r="AD406" s="10">
        <v>1535</v>
      </c>
      <c r="AE406" s="10">
        <v>0.1192</v>
      </c>
      <c r="AF406" s="10">
        <v>0.28399999999999997</v>
      </c>
      <c r="AG406" s="10">
        <v>0.40239999999999998</v>
      </c>
      <c r="AH406" s="10">
        <v>0.1966</v>
      </c>
      <c r="AI406" s="10">
        <v>0.27300000000000002</v>
      </c>
      <c r="AJ406">
        <v>8.6660000000000001E-2</v>
      </c>
    </row>
    <row r="407" spans="3:36">
      <c r="C407" s="11" t="s">
        <v>513</v>
      </c>
      <c r="D407" s="10">
        <v>374</v>
      </c>
      <c r="E407" s="10">
        <v>901288</v>
      </c>
      <c r="F407" s="10" t="s">
        <v>0</v>
      </c>
      <c r="G407" s="10">
        <v>13.71</v>
      </c>
      <c r="H407" s="10">
        <v>17.350000000000001</v>
      </c>
      <c r="I407" s="10">
        <v>134.80000000000001</v>
      </c>
      <c r="J407" s="10">
        <v>1335</v>
      </c>
      <c r="K407" s="10">
        <v>9.4460000000000002E-2</v>
      </c>
      <c r="L407" s="10">
        <v>0.1076</v>
      </c>
      <c r="M407" s="10">
        <v>0.1527</v>
      </c>
      <c r="N407" s="10">
        <v>8.9410000000000003E-2</v>
      </c>
      <c r="O407" s="10">
        <v>0.15709999999999999</v>
      </c>
      <c r="P407" s="10">
        <v>5.4780000000000002E-2</v>
      </c>
      <c r="Q407" s="10">
        <v>0.61370000000000002</v>
      </c>
      <c r="R407" s="10">
        <v>0.65749999999999997</v>
      </c>
      <c r="S407" s="10">
        <v>4.1189999999999998</v>
      </c>
      <c r="T407" s="10">
        <v>77.02</v>
      </c>
      <c r="U407" s="10">
        <v>6.2110000000000004E-3</v>
      </c>
      <c r="V407" s="10">
        <v>1.8950000000000002E-2</v>
      </c>
      <c r="W407" s="10">
        <v>2.681E-2</v>
      </c>
      <c r="X407" s="10">
        <v>1.2319999999999999E-2</v>
      </c>
      <c r="Y407" s="10">
        <v>1.2760000000000001E-2</v>
      </c>
      <c r="Z407" s="10">
        <v>1.7110000000000001E-3</v>
      </c>
      <c r="AA407" s="10">
        <v>25.37</v>
      </c>
      <c r="AB407" s="10">
        <v>23.17</v>
      </c>
      <c r="AC407" s="10">
        <v>166.8</v>
      </c>
      <c r="AD407" s="10">
        <v>1946</v>
      </c>
      <c r="AE407" s="10">
        <v>0.15620000000000001</v>
      </c>
      <c r="AF407" s="10">
        <v>0.30549999999999999</v>
      </c>
      <c r="AG407" s="10">
        <v>0.41589999999999999</v>
      </c>
      <c r="AH407" s="10">
        <v>0.2112</v>
      </c>
      <c r="AI407" s="10">
        <v>0.26889999999999997</v>
      </c>
      <c r="AJ407">
        <v>7.0550000000000002E-2</v>
      </c>
    </row>
    <row r="408" spans="3:36">
      <c r="C408" s="11" t="s">
        <v>514</v>
      </c>
      <c r="D408" s="10">
        <v>375</v>
      </c>
      <c r="E408" s="10">
        <v>9013005</v>
      </c>
      <c r="F408" s="10" t="s">
        <v>1</v>
      </c>
      <c r="G408" s="10">
        <v>13.71</v>
      </c>
      <c r="H408" s="10">
        <v>16.07</v>
      </c>
      <c r="I408" s="10">
        <v>87.84</v>
      </c>
      <c r="J408" s="10">
        <v>579.1</v>
      </c>
      <c r="K408" s="10">
        <v>8.3019999999999997E-2</v>
      </c>
      <c r="L408" s="10">
        <v>6.3740000000000005E-2</v>
      </c>
      <c r="M408" s="10">
        <v>2.5559999999999999E-2</v>
      </c>
      <c r="N408" s="10">
        <v>2.0310000000000002E-2</v>
      </c>
      <c r="O408" s="10">
        <v>0.18720000000000001</v>
      </c>
      <c r="P408" s="10">
        <v>5.6689999999999997E-2</v>
      </c>
      <c r="Q408" s="10">
        <v>0.17050000000000001</v>
      </c>
      <c r="R408" s="10">
        <v>0.50660000000000005</v>
      </c>
      <c r="S408" s="10">
        <v>1.3720000000000001</v>
      </c>
      <c r="T408" s="10">
        <v>14</v>
      </c>
      <c r="U408" s="10">
        <v>4.2300000000000003E-3</v>
      </c>
      <c r="V408" s="10">
        <v>1.5869999999999999E-2</v>
      </c>
      <c r="W408" s="10">
        <v>1.1690000000000001E-2</v>
      </c>
      <c r="X408" s="10">
        <v>6.3350000000000004E-3</v>
      </c>
      <c r="Y408" s="10">
        <v>1.9429999999999999E-2</v>
      </c>
      <c r="Z408" s="10">
        <v>2.1770000000000001E-3</v>
      </c>
      <c r="AA408" s="10">
        <v>14.84</v>
      </c>
      <c r="AB408" s="10">
        <v>20.21</v>
      </c>
      <c r="AC408" s="10">
        <v>99.16</v>
      </c>
      <c r="AD408" s="10">
        <v>670.6</v>
      </c>
      <c r="AE408" s="10">
        <v>0.1105</v>
      </c>
      <c r="AF408" s="10">
        <v>0.20960000000000001</v>
      </c>
      <c r="AG408" s="10">
        <v>0.1346</v>
      </c>
      <c r="AH408" s="10">
        <v>6.9870000000000002E-2</v>
      </c>
      <c r="AI408" s="10">
        <v>0.33229999999999998</v>
      </c>
      <c r="AJ408">
        <v>7.7009999999999995E-2</v>
      </c>
    </row>
    <row r="409" spans="3:36">
      <c r="C409" s="11" t="s">
        <v>515</v>
      </c>
      <c r="D409" s="10">
        <v>376</v>
      </c>
      <c r="E409" s="10">
        <v>901303</v>
      </c>
      <c r="F409" s="10" t="s">
        <v>1</v>
      </c>
      <c r="G409" s="10">
        <v>13.71</v>
      </c>
      <c r="H409" s="10">
        <v>16.07</v>
      </c>
      <c r="I409" s="10">
        <v>106.3</v>
      </c>
      <c r="J409" s="10">
        <v>788.5</v>
      </c>
      <c r="K409" s="10">
        <v>9.8799999999999999E-2</v>
      </c>
      <c r="L409" s="10">
        <v>0.14380000000000001</v>
      </c>
      <c r="M409" s="10">
        <v>6.651E-2</v>
      </c>
      <c r="N409" s="10">
        <v>5.3969999999999997E-2</v>
      </c>
      <c r="O409" s="10">
        <v>0.19900000000000001</v>
      </c>
      <c r="P409" s="10">
        <v>6.5720000000000001E-2</v>
      </c>
      <c r="Q409" s="10">
        <v>0.17449999999999999</v>
      </c>
      <c r="R409" s="10">
        <v>0.48899999999999999</v>
      </c>
      <c r="S409" s="10">
        <v>1.349</v>
      </c>
      <c r="T409" s="10">
        <v>14.91</v>
      </c>
      <c r="U409" s="10">
        <v>4.5100000000000001E-3</v>
      </c>
      <c r="V409" s="10">
        <v>1.8120000000000001E-2</v>
      </c>
      <c r="W409" s="10">
        <v>1.951E-2</v>
      </c>
      <c r="X409" s="10">
        <v>1.196E-2</v>
      </c>
      <c r="Y409" s="10">
        <v>1.934E-2</v>
      </c>
      <c r="Z409" s="10">
        <v>3.6960000000000001E-3</v>
      </c>
      <c r="AA409" s="10">
        <v>16.97</v>
      </c>
      <c r="AB409" s="10">
        <v>19.14</v>
      </c>
      <c r="AC409" s="10">
        <v>113.1</v>
      </c>
      <c r="AD409" s="10">
        <v>861.5</v>
      </c>
      <c r="AE409" s="10">
        <v>0.1235</v>
      </c>
      <c r="AF409" s="10">
        <v>0.255</v>
      </c>
      <c r="AG409" s="10">
        <v>0.2114</v>
      </c>
      <c r="AH409" s="10">
        <v>0.12509999999999999</v>
      </c>
      <c r="AI409" s="10">
        <v>0.31530000000000002</v>
      </c>
      <c r="AJ409">
        <v>8.9599999999999999E-2</v>
      </c>
    </row>
    <row r="410" spans="3:36">
      <c r="C410" s="11" t="s">
        <v>516</v>
      </c>
      <c r="D410" s="10">
        <v>377</v>
      </c>
      <c r="E410" s="10">
        <v>901315</v>
      </c>
      <c r="F410" s="10" t="s">
        <v>1</v>
      </c>
      <c r="G410" s="10">
        <v>13.71</v>
      </c>
      <c r="H410" s="10">
        <v>20.22</v>
      </c>
      <c r="I410" s="10">
        <v>70.150000000000006</v>
      </c>
      <c r="J410" s="10">
        <v>338.3</v>
      </c>
      <c r="K410" s="10">
        <v>9.0730000000000005E-2</v>
      </c>
      <c r="L410" s="10">
        <v>0.16600000000000001</v>
      </c>
      <c r="M410" s="10">
        <v>0.22800000000000001</v>
      </c>
      <c r="N410" s="10">
        <v>5.9409999999999998E-2</v>
      </c>
      <c r="O410" s="10">
        <v>0.21879999999999999</v>
      </c>
      <c r="P410" s="10">
        <v>8.4500000000000006E-2</v>
      </c>
      <c r="Q410" s="10">
        <v>0.1115</v>
      </c>
      <c r="R410" s="10">
        <v>1.2310000000000001</v>
      </c>
      <c r="S410" s="10">
        <v>2.363</v>
      </c>
      <c r="T410" s="10">
        <v>7.2279999999999998</v>
      </c>
      <c r="U410" s="10">
        <v>8.4989999999999996E-3</v>
      </c>
      <c r="V410" s="10">
        <v>7.6429999999999998E-2</v>
      </c>
      <c r="W410" s="10">
        <v>0.1535</v>
      </c>
      <c r="X410" s="10">
        <v>2.9190000000000001E-2</v>
      </c>
      <c r="Y410" s="10">
        <v>1.617E-2</v>
      </c>
      <c r="Z410" s="10">
        <v>1.2200000000000001E-2</v>
      </c>
      <c r="AA410" s="10">
        <v>10.85</v>
      </c>
      <c r="AB410" s="10">
        <v>22.82</v>
      </c>
      <c r="AC410" s="10">
        <v>76.510000000000005</v>
      </c>
      <c r="AD410" s="10">
        <v>351.9</v>
      </c>
      <c r="AE410" s="10">
        <v>0.1143</v>
      </c>
      <c r="AF410" s="10">
        <v>0.3619</v>
      </c>
      <c r="AG410" s="10">
        <v>0.60299999999999998</v>
      </c>
      <c r="AH410" s="10">
        <v>0.14649999999999999</v>
      </c>
      <c r="AI410" s="10">
        <v>0.25969999999999999</v>
      </c>
      <c r="AJ410">
        <v>0.12</v>
      </c>
    </row>
    <row r="411" spans="3:36">
      <c r="C411" s="11" t="s">
        <v>517</v>
      </c>
      <c r="D411" s="10">
        <v>378</v>
      </c>
      <c r="E411" s="10">
        <v>9013579</v>
      </c>
      <c r="F411" s="10" t="s">
        <v>1</v>
      </c>
      <c r="G411" s="10">
        <v>13.71</v>
      </c>
      <c r="H411" s="10">
        <v>28.21</v>
      </c>
      <c r="I411" s="10">
        <v>85.89</v>
      </c>
      <c r="J411" s="10">
        <v>562.1</v>
      </c>
      <c r="K411" s="10">
        <v>7.5170000000000001E-2</v>
      </c>
      <c r="L411" s="10">
        <v>4.7260000000000003E-2</v>
      </c>
      <c r="M411" s="10">
        <v>1.2710000000000001E-2</v>
      </c>
      <c r="N411" s="10">
        <v>1.1169999999999999E-2</v>
      </c>
      <c r="O411" s="10">
        <v>0.1421</v>
      </c>
      <c r="P411" s="10">
        <v>5.7630000000000001E-2</v>
      </c>
      <c r="Q411" s="10">
        <v>0.16889999999999999</v>
      </c>
      <c r="R411" s="10">
        <v>1.1499999999999999</v>
      </c>
      <c r="S411" s="10">
        <v>1.4</v>
      </c>
      <c r="T411" s="10">
        <v>14.91</v>
      </c>
      <c r="U411" s="10">
        <v>4.9420000000000002E-3</v>
      </c>
      <c r="V411" s="10">
        <v>1.2030000000000001E-2</v>
      </c>
      <c r="W411" s="10">
        <v>7.5079999999999999E-3</v>
      </c>
      <c r="X411" s="10">
        <v>5.1789999999999996E-3</v>
      </c>
      <c r="Y411" s="10">
        <v>1.4420000000000001E-2</v>
      </c>
      <c r="Z411" s="10">
        <v>1.684E-3</v>
      </c>
      <c r="AA411" s="10">
        <v>14.69</v>
      </c>
      <c r="AB411" s="10">
        <v>35.630000000000003</v>
      </c>
      <c r="AC411" s="10">
        <v>97.11</v>
      </c>
      <c r="AD411" s="10">
        <v>680.6</v>
      </c>
      <c r="AE411" s="10">
        <v>0.1108</v>
      </c>
      <c r="AF411" s="10">
        <v>0.1457</v>
      </c>
      <c r="AG411" s="10">
        <v>7.9339999999999994E-2</v>
      </c>
      <c r="AH411" s="10">
        <v>5.781E-2</v>
      </c>
      <c r="AI411" s="10">
        <v>0.26939999999999997</v>
      </c>
      <c r="AJ411">
        <v>7.0610000000000006E-2</v>
      </c>
    </row>
    <row r="412" spans="3:36">
      <c r="C412" s="11" t="s">
        <v>518</v>
      </c>
      <c r="D412" s="10">
        <v>379</v>
      </c>
      <c r="E412" s="10">
        <v>9013594</v>
      </c>
      <c r="F412" s="10" t="s">
        <v>1</v>
      </c>
      <c r="G412" s="10">
        <v>13.71</v>
      </c>
      <c r="H412" s="10">
        <v>15.15</v>
      </c>
      <c r="I412" s="10">
        <v>88.27</v>
      </c>
      <c r="J412" s="10">
        <v>580.6</v>
      </c>
      <c r="K412" s="10">
        <v>8.2680000000000003E-2</v>
      </c>
      <c r="L412" s="10">
        <v>7.5480000000000005E-2</v>
      </c>
      <c r="M412" s="10">
        <v>4.249E-2</v>
      </c>
      <c r="N412" s="10">
        <v>2.4709999999999999E-2</v>
      </c>
      <c r="O412" s="10">
        <v>0.1792</v>
      </c>
      <c r="P412" s="10">
        <v>5.8970000000000002E-2</v>
      </c>
      <c r="Q412" s="10">
        <v>0.14019999999999999</v>
      </c>
      <c r="R412" s="10">
        <v>0.54169999999999996</v>
      </c>
      <c r="S412" s="10">
        <v>1.101</v>
      </c>
      <c r="T412" s="10">
        <v>11.35</v>
      </c>
      <c r="U412" s="10">
        <v>5.2119999999999996E-3</v>
      </c>
      <c r="V412" s="10">
        <v>2.9839999999999998E-2</v>
      </c>
      <c r="W412" s="10">
        <v>2.443E-2</v>
      </c>
      <c r="X412" s="10">
        <v>8.3560000000000006E-3</v>
      </c>
      <c r="Y412" s="10">
        <v>1.8180000000000002E-2</v>
      </c>
      <c r="Z412" s="10">
        <v>4.8679999999999999E-3</v>
      </c>
      <c r="AA412" s="10">
        <v>14.54</v>
      </c>
      <c r="AB412" s="10">
        <v>19.64</v>
      </c>
      <c r="AC412" s="10">
        <v>97.96</v>
      </c>
      <c r="AD412" s="10">
        <v>657</v>
      </c>
      <c r="AE412" s="10">
        <v>0.1275</v>
      </c>
      <c r="AF412" s="10">
        <v>0.31040000000000001</v>
      </c>
      <c r="AG412" s="10">
        <v>0.25690000000000002</v>
      </c>
      <c r="AH412" s="10">
        <v>0.10539999999999999</v>
      </c>
      <c r="AI412" s="10">
        <v>0.3387</v>
      </c>
      <c r="AJ412">
        <v>9.6379999999999993E-2</v>
      </c>
    </row>
    <row r="413" spans="3:36">
      <c r="C413" s="11" t="s">
        <v>519</v>
      </c>
      <c r="D413" s="10">
        <v>380</v>
      </c>
      <c r="E413" s="10">
        <v>9013838</v>
      </c>
      <c r="F413" s="10" t="s">
        <v>0</v>
      </c>
      <c r="G413" s="10">
        <v>13.71</v>
      </c>
      <c r="H413" s="10">
        <v>18.829999999999998</v>
      </c>
      <c r="I413" s="10">
        <v>73.3</v>
      </c>
      <c r="J413" s="10">
        <v>361.6</v>
      </c>
      <c r="K413" s="10">
        <v>0.1216</v>
      </c>
      <c r="L413" s="10">
        <v>0.21540000000000001</v>
      </c>
      <c r="M413" s="10">
        <v>0.16889999999999999</v>
      </c>
      <c r="N413" s="10">
        <v>6.3670000000000004E-2</v>
      </c>
      <c r="O413" s="10">
        <v>0.21959999999999999</v>
      </c>
      <c r="P413" s="10">
        <v>7.9500000000000001E-2</v>
      </c>
      <c r="Q413" s="10">
        <v>0.2114</v>
      </c>
      <c r="R413" s="10">
        <v>1.0269999999999999</v>
      </c>
      <c r="S413" s="10">
        <v>1.7190000000000001</v>
      </c>
      <c r="T413" s="10">
        <v>13.99</v>
      </c>
      <c r="U413" s="10">
        <v>7.4050000000000001E-3</v>
      </c>
      <c r="V413" s="10">
        <v>4.5490000000000003E-2</v>
      </c>
      <c r="W413" s="10">
        <v>4.5879999999999997E-2</v>
      </c>
      <c r="X413" s="10">
        <v>1.3390000000000001E-2</v>
      </c>
      <c r="Y413" s="10">
        <v>1.738E-2</v>
      </c>
      <c r="Z413" s="10">
        <v>4.4349999999999997E-3</v>
      </c>
      <c r="AA413" s="10">
        <v>13.24</v>
      </c>
      <c r="AB413" s="10">
        <v>32.82</v>
      </c>
      <c r="AC413" s="10">
        <v>91.76</v>
      </c>
      <c r="AD413" s="10">
        <v>508.1</v>
      </c>
      <c r="AE413" s="10">
        <v>0.21840000000000001</v>
      </c>
      <c r="AF413" s="10">
        <v>0.93789999999999996</v>
      </c>
      <c r="AG413" s="10">
        <v>0.84019999999999995</v>
      </c>
      <c r="AH413" s="10">
        <v>0.25240000000000001</v>
      </c>
      <c r="AI413" s="10">
        <v>0.41539999999999999</v>
      </c>
      <c r="AJ413">
        <v>0.14030000000000001</v>
      </c>
    </row>
    <row r="414" spans="3:36">
      <c r="C414" s="11" t="s">
        <v>520</v>
      </c>
      <c r="D414" s="10">
        <v>381</v>
      </c>
      <c r="E414" s="10">
        <v>901549</v>
      </c>
      <c r="F414" s="10" t="s">
        <v>1</v>
      </c>
      <c r="G414" s="10">
        <v>13.71</v>
      </c>
      <c r="H414" s="10">
        <v>12.96</v>
      </c>
      <c r="I414" s="10">
        <v>73.16</v>
      </c>
      <c r="J414" s="10">
        <v>386.3</v>
      </c>
      <c r="K414" s="10">
        <v>0.1237</v>
      </c>
      <c r="L414" s="10">
        <v>0.1111</v>
      </c>
      <c r="M414" s="10">
        <v>7.9000000000000001E-2</v>
      </c>
      <c r="N414" s="10">
        <v>5.5500000000000001E-2</v>
      </c>
      <c r="O414" s="10">
        <v>0.20180000000000001</v>
      </c>
      <c r="P414" s="10">
        <v>6.9139999999999993E-2</v>
      </c>
      <c r="Q414" s="10">
        <v>0.25619999999999998</v>
      </c>
      <c r="R414" s="10">
        <v>0.98580000000000001</v>
      </c>
      <c r="S414" s="10">
        <v>1.8089999999999999</v>
      </c>
      <c r="T414" s="10">
        <v>16.04</v>
      </c>
      <c r="U414" s="10">
        <v>6.6350000000000003E-3</v>
      </c>
      <c r="V414" s="10">
        <v>1.7770000000000001E-2</v>
      </c>
      <c r="W414" s="10">
        <v>2.1010000000000001E-2</v>
      </c>
      <c r="X414" s="10">
        <v>1.1639999999999999E-2</v>
      </c>
      <c r="Y414" s="10">
        <v>2.1080000000000002E-2</v>
      </c>
      <c r="Z414" s="10">
        <v>3.7209999999999999E-3</v>
      </c>
      <c r="AA414" s="10">
        <v>12.84</v>
      </c>
      <c r="AB414" s="10">
        <v>20.53</v>
      </c>
      <c r="AC414" s="10">
        <v>84.93</v>
      </c>
      <c r="AD414" s="10">
        <v>476.1</v>
      </c>
      <c r="AE414" s="10">
        <v>0.161</v>
      </c>
      <c r="AF414" s="10">
        <v>0.2429</v>
      </c>
      <c r="AG414" s="10">
        <v>0.22470000000000001</v>
      </c>
      <c r="AH414" s="10">
        <v>0.1318</v>
      </c>
      <c r="AI414" s="10">
        <v>0.33429999999999999</v>
      </c>
      <c r="AJ414">
        <v>9.2149999999999996E-2</v>
      </c>
    </row>
    <row r="415" spans="3:36">
      <c r="C415" s="11" t="s">
        <v>521</v>
      </c>
      <c r="D415" s="10">
        <v>382</v>
      </c>
      <c r="E415" s="10">
        <v>901836</v>
      </c>
      <c r="F415" s="10" t="s">
        <v>1</v>
      </c>
      <c r="G415" s="10">
        <v>13.71</v>
      </c>
      <c r="H415" s="10">
        <v>14.93</v>
      </c>
      <c r="I415" s="10">
        <v>70.67</v>
      </c>
      <c r="J415" s="10">
        <v>372.7</v>
      </c>
      <c r="K415" s="10">
        <v>7.9869999999999997E-2</v>
      </c>
      <c r="L415" s="10">
        <v>7.0790000000000006E-2</v>
      </c>
      <c r="M415" s="10">
        <v>3.5459999999999998E-2</v>
      </c>
      <c r="N415" s="10">
        <v>2.0740000000000001E-2</v>
      </c>
      <c r="O415" s="10">
        <v>0.20030000000000001</v>
      </c>
      <c r="P415" s="10">
        <v>6.2460000000000002E-2</v>
      </c>
      <c r="Q415" s="10">
        <v>0.16420000000000001</v>
      </c>
      <c r="R415" s="10">
        <v>1.0309999999999999</v>
      </c>
      <c r="S415" s="10">
        <v>1.2809999999999999</v>
      </c>
      <c r="T415" s="10">
        <v>11.68</v>
      </c>
      <c r="U415" s="10">
        <v>5.2960000000000004E-3</v>
      </c>
      <c r="V415" s="10">
        <v>1.9029999999999998E-2</v>
      </c>
      <c r="W415" s="10">
        <v>1.7229999999999999E-2</v>
      </c>
      <c r="X415" s="10">
        <v>6.96E-3</v>
      </c>
      <c r="Y415" s="10">
        <v>1.8800000000000001E-2</v>
      </c>
      <c r="Z415" s="10">
        <v>1.941E-3</v>
      </c>
      <c r="AA415" s="10">
        <v>12.09</v>
      </c>
      <c r="AB415" s="10">
        <v>20.83</v>
      </c>
      <c r="AC415" s="10">
        <v>79.73</v>
      </c>
      <c r="AD415" s="10">
        <v>447.1</v>
      </c>
      <c r="AE415" s="10">
        <v>0.1095</v>
      </c>
      <c r="AF415" s="10">
        <v>0.19819999999999999</v>
      </c>
      <c r="AG415" s="10">
        <v>0.15529999999999999</v>
      </c>
      <c r="AH415" s="10">
        <v>6.7540000000000003E-2</v>
      </c>
      <c r="AI415" s="10">
        <v>0.32019999999999998</v>
      </c>
      <c r="AJ415">
        <v>7.2870000000000004E-2</v>
      </c>
    </row>
    <row r="416" spans="3:36">
      <c r="C416" s="11" t="s">
        <v>522</v>
      </c>
      <c r="D416" s="10">
        <v>383</v>
      </c>
      <c r="E416" s="10">
        <v>90250</v>
      </c>
      <c r="F416" s="10" t="s">
        <v>1</v>
      </c>
      <c r="G416" s="10">
        <v>13.71</v>
      </c>
      <c r="H416" s="10">
        <v>22.72</v>
      </c>
      <c r="I416" s="10">
        <v>78.75</v>
      </c>
      <c r="J416" s="10">
        <v>447.8</v>
      </c>
      <c r="K416" s="10">
        <v>6.9349999999999995E-2</v>
      </c>
      <c r="L416" s="10">
        <v>0.10730000000000001</v>
      </c>
      <c r="M416" s="10">
        <v>7.9430000000000001E-2</v>
      </c>
      <c r="N416" s="10">
        <v>2.9780000000000001E-2</v>
      </c>
      <c r="O416" s="10">
        <v>0.1203</v>
      </c>
      <c r="P416" s="10">
        <v>6.6589999999999996E-2</v>
      </c>
      <c r="Q416" s="10">
        <v>0.11940000000000001</v>
      </c>
      <c r="R416" s="10">
        <v>1.4339999999999999</v>
      </c>
      <c r="S416" s="10">
        <v>1.778</v>
      </c>
      <c r="T416" s="10">
        <v>9.5489999999999995</v>
      </c>
      <c r="U416" s="10">
        <v>5.0419999999999996E-3</v>
      </c>
      <c r="V416" s="10">
        <v>4.5600000000000002E-2</v>
      </c>
      <c r="W416" s="10">
        <v>4.3049999999999998E-2</v>
      </c>
      <c r="X416" s="10">
        <v>1.6670000000000001E-2</v>
      </c>
      <c r="Y416" s="10">
        <v>2.47E-2</v>
      </c>
      <c r="Z416" s="10">
        <v>7.358E-3</v>
      </c>
      <c r="AA416" s="10">
        <v>12.57</v>
      </c>
      <c r="AB416" s="10">
        <v>28.71</v>
      </c>
      <c r="AC416" s="10">
        <v>87.36</v>
      </c>
      <c r="AD416" s="10">
        <v>488.4</v>
      </c>
      <c r="AE416" s="10">
        <v>8.7989999999999999E-2</v>
      </c>
      <c r="AF416" s="10">
        <v>0.32140000000000002</v>
      </c>
      <c r="AG416" s="10">
        <v>0.29120000000000001</v>
      </c>
      <c r="AH416" s="10">
        <v>0.10920000000000001</v>
      </c>
      <c r="AI416" s="10">
        <v>0.21909999999999999</v>
      </c>
      <c r="AJ416">
        <v>9.3490000000000004E-2</v>
      </c>
    </row>
    <row r="417" spans="3:36">
      <c r="C417" s="11" t="s">
        <v>523</v>
      </c>
      <c r="D417" s="10">
        <v>384</v>
      </c>
      <c r="E417" s="10">
        <v>90251</v>
      </c>
      <c r="F417" s="10" t="s">
        <v>1</v>
      </c>
      <c r="G417" s="10">
        <v>13.71</v>
      </c>
      <c r="H417" s="10">
        <v>17.48</v>
      </c>
      <c r="I417" s="10">
        <v>80.64</v>
      </c>
      <c r="J417" s="10">
        <v>462.9</v>
      </c>
      <c r="K417" s="10">
        <v>0.1042</v>
      </c>
      <c r="L417" s="10">
        <v>0.12970000000000001</v>
      </c>
      <c r="M417" s="10">
        <v>5.892E-2</v>
      </c>
      <c r="N417" s="10">
        <v>2.8799999999999999E-2</v>
      </c>
      <c r="O417" s="10">
        <v>0.1779</v>
      </c>
      <c r="P417" s="10">
        <v>6.5879999999999994E-2</v>
      </c>
      <c r="Q417" s="10">
        <v>0.26079999999999998</v>
      </c>
      <c r="R417" s="10">
        <v>0.873</v>
      </c>
      <c r="S417" s="10">
        <v>2.117</v>
      </c>
      <c r="T417" s="10">
        <v>19.2</v>
      </c>
      <c r="U417" s="10">
        <v>6.7149999999999996E-3</v>
      </c>
      <c r="V417" s="10">
        <v>3.705E-2</v>
      </c>
      <c r="W417" s="10">
        <v>4.7570000000000001E-2</v>
      </c>
      <c r="X417" s="10">
        <v>1.051E-2</v>
      </c>
      <c r="Y417" s="10">
        <v>1.8380000000000001E-2</v>
      </c>
      <c r="Z417" s="10">
        <v>6.8840000000000004E-3</v>
      </c>
      <c r="AA417" s="10">
        <v>14.18</v>
      </c>
      <c r="AB417" s="10">
        <v>23.13</v>
      </c>
      <c r="AC417" s="10">
        <v>95.23</v>
      </c>
      <c r="AD417" s="10">
        <v>600.5</v>
      </c>
      <c r="AE417" s="10">
        <v>0.14269999999999999</v>
      </c>
      <c r="AF417" s="10">
        <v>0.35930000000000001</v>
      </c>
      <c r="AG417" s="10">
        <v>0.3206</v>
      </c>
      <c r="AH417" s="10">
        <v>9.8040000000000002E-2</v>
      </c>
      <c r="AI417" s="10">
        <v>0.28189999999999998</v>
      </c>
      <c r="AJ417">
        <v>0.1118</v>
      </c>
    </row>
    <row r="418" spans="3:36">
      <c r="C418" s="11" t="s">
        <v>524</v>
      </c>
      <c r="D418" s="10">
        <v>385</v>
      </c>
      <c r="E418" s="10">
        <v>902727</v>
      </c>
      <c r="F418" s="10" t="s">
        <v>1</v>
      </c>
      <c r="G418" s="10">
        <v>13.71</v>
      </c>
      <c r="H418" s="10">
        <v>13.72</v>
      </c>
      <c r="I418" s="10">
        <v>85.79</v>
      </c>
      <c r="J418" s="10">
        <v>541.79999999999995</v>
      </c>
      <c r="K418" s="10">
        <v>8.3629999999999996E-2</v>
      </c>
      <c r="L418" s="10">
        <v>8.5750000000000007E-2</v>
      </c>
      <c r="M418" s="10">
        <v>5.0770000000000003E-2</v>
      </c>
      <c r="N418" s="10">
        <v>2.8639999999999999E-2</v>
      </c>
      <c r="O418" s="10">
        <v>0.16170000000000001</v>
      </c>
      <c r="P418" s="10">
        <v>5.5939999999999997E-2</v>
      </c>
      <c r="Q418" s="10">
        <v>0.18329999999999999</v>
      </c>
      <c r="R418" s="10">
        <v>0.53080000000000005</v>
      </c>
      <c r="S418" s="10">
        <v>1.5920000000000001</v>
      </c>
      <c r="T418" s="10">
        <v>15.26</v>
      </c>
      <c r="U418" s="10">
        <v>4.2709999999999996E-3</v>
      </c>
      <c r="V418" s="10">
        <v>2.0729999999999998E-2</v>
      </c>
      <c r="W418" s="10">
        <v>2.828E-2</v>
      </c>
      <c r="X418" s="10">
        <v>8.4679999999999998E-3</v>
      </c>
      <c r="Y418" s="10">
        <v>1.461E-2</v>
      </c>
      <c r="Z418" s="10">
        <v>2.6129999999999999E-3</v>
      </c>
      <c r="AA418" s="10">
        <v>14.24</v>
      </c>
      <c r="AB418" s="10">
        <v>17.37</v>
      </c>
      <c r="AC418" s="10">
        <v>96.59</v>
      </c>
      <c r="AD418" s="10">
        <v>623.70000000000005</v>
      </c>
      <c r="AE418" s="10">
        <v>0.1166</v>
      </c>
      <c r="AF418" s="10">
        <v>0.26850000000000002</v>
      </c>
      <c r="AG418" s="10">
        <v>0.28660000000000002</v>
      </c>
      <c r="AH418" s="10">
        <v>9.1730000000000006E-2</v>
      </c>
      <c r="AI418" s="10">
        <v>0.27360000000000001</v>
      </c>
      <c r="AJ418">
        <v>7.3200000000000001E-2</v>
      </c>
    </row>
    <row r="419" spans="3:36">
      <c r="C419" s="11" t="s">
        <v>525</v>
      </c>
      <c r="D419" s="10">
        <v>386</v>
      </c>
      <c r="E419" s="10">
        <v>90291</v>
      </c>
      <c r="F419" s="10" t="s">
        <v>0</v>
      </c>
      <c r="G419" s="10">
        <v>13.71</v>
      </c>
      <c r="H419" s="10">
        <v>23.29</v>
      </c>
      <c r="I419" s="10">
        <v>93.97</v>
      </c>
      <c r="J419" s="10">
        <v>664.7</v>
      </c>
      <c r="K419" s="10">
        <v>8.6819999999999994E-2</v>
      </c>
      <c r="L419" s="10">
        <v>6.6360000000000002E-2</v>
      </c>
      <c r="M419" s="10">
        <v>8.3900000000000002E-2</v>
      </c>
      <c r="N419" s="10">
        <v>5.271E-2</v>
      </c>
      <c r="O419" s="10">
        <v>0.16270000000000001</v>
      </c>
      <c r="P419" s="10">
        <v>5.416E-2</v>
      </c>
      <c r="Q419" s="10">
        <v>0.41570000000000001</v>
      </c>
      <c r="R419" s="10">
        <v>1.627</v>
      </c>
      <c r="S419" s="10">
        <v>2.9140000000000001</v>
      </c>
      <c r="T419" s="10">
        <v>33.01</v>
      </c>
      <c r="U419" s="10">
        <v>8.3119999999999999E-3</v>
      </c>
      <c r="V419" s="10">
        <v>1.7420000000000001E-2</v>
      </c>
      <c r="W419" s="10">
        <v>3.3890000000000003E-2</v>
      </c>
      <c r="X419" s="10">
        <v>1.576E-2</v>
      </c>
      <c r="Y419" s="10">
        <v>1.7399999999999999E-2</v>
      </c>
      <c r="Z419" s="10">
        <v>2.8709999999999999E-3</v>
      </c>
      <c r="AA419" s="10">
        <v>15.79</v>
      </c>
      <c r="AB419" s="10">
        <v>31.71</v>
      </c>
      <c r="AC419" s="10">
        <v>102.2</v>
      </c>
      <c r="AD419" s="10">
        <v>758.2</v>
      </c>
      <c r="AE419" s="10">
        <v>0.13120000000000001</v>
      </c>
      <c r="AF419" s="10">
        <v>0.15809999999999999</v>
      </c>
      <c r="AG419" s="10">
        <v>0.26750000000000002</v>
      </c>
      <c r="AH419" s="10">
        <v>0.13589999999999999</v>
      </c>
      <c r="AI419" s="10">
        <v>0.2477</v>
      </c>
      <c r="AJ419">
        <v>6.8360000000000004E-2</v>
      </c>
    </row>
    <row r="420" spans="3:36">
      <c r="C420" s="11" t="s">
        <v>526</v>
      </c>
      <c r="D420" s="10">
        <v>387</v>
      </c>
      <c r="E420" s="10">
        <v>902975</v>
      </c>
      <c r="F420" s="10" t="s">
        <v>1</v>
      </c>
      <c r="G420" s="10">
        <v>13.71</v>
      </c>
      <c r="H420" s="10">
        <v>14.09</v>
      </c>
      <c r="I420" s="10">
        <v>78.78</v>
      </c>
      <c r="J420" s="10">
        <v>462</v>
      </c>
      <c r="K420" s="10">
        <v>8.1079999999999999E-2</v>
      </c>
      <c r="L420" s="10">
        <v>7.8229999999999994E-2</v>
      </c>
      <c r="M420" s="10">
        <v>6.8390000000000006E-2</v>
      </c>
      <c r="N420" s="10">
        <v>2.5340000000000001E-2</v>
      </c>
      <c r="O420" s="10">
        <v>0.1646</v>
      </c>
      <c r="P420" s="10">
        <v>6.1539999999999997E-2</v>
      </c>
      <c r="Q420" s="10">
        <v>0.2666</v>
      </c>
      <c r="R420" s="10">
        <v>0.83089999999999997</v>
      </c>
      <c r="S420" s="10">
        <v>2.097</v>
      </c>
      <c r="T420" s="10">
        <v>19.96</v>
      </c>
      <c r="U420" s="10">
        <v>4.4050000000000001E-3</v>
      </c>
      <c r="V420" s="10">
        <v>3.0259999999999999E-2</v>
      </c>
      <c r="W420" s="10">
        <v>4.3439999999999999E-2</v>
      </c>
      <c r="X420" s="10">
        <v>1.0869999999999999E-2</v>
      </c>
      <c r="Y420" s="10">
        <v>1.9210000000000001E-2</v>
      </c>
      <c r="Z420" s="10">
        <v>4.6220000000000002E-3</v>
      </c>
      <c r="AA420" s="10">
        <v>13.13</v>
      </c>
      <c r="AB420" s="10">
        <v>19.29</v>
      </c>
      <c r="AC420" s="10">
        <v>87.65</v>
      </c>
      <c r="AD420" s="10">
        <v>529.9</v>
      </c>
      <c r="AE420" s="10">
        <v>0.1026</v>
      </c>
      <c r="AF420" s="10">
        <v>0.24310000000000001</v>
      </c>
      <c r="AG420" s="10">
        <v>0.30759999999999998</v>
      </c>
      <c r="AH420" s="10">
        <v>9.1399999999999995E-2</v>
      </c>
      <c r="AI420" s="10">
        <v>0.26769999999999999</v>
      </c>
      <c r="AJ420">
        <v>8.8239999999999999E-2</v>
      </c>
    </row>
    <row r="421" spans="3:36">
      <c r="C421" s="11" t="s">
        <v>527</v>
      </c>
      <c r="D421" s="10">
        <v>388</v>
      </c>
      <c r="E421" s="10">
        <v>902976</v>
      </c>
      <c r="F421" s="10" t="s">
        <v>1</v>
      </c>
      <c r="G421" s="10">
        <v>13.71</v>
      </c>
      <c r="H421" s="10">
        <v>16.16</v>
      </c>
      <c r="I421" s="10">
        <v>88.37</v>
      </c>
      <c r="J421" s="10">
        <v>596.6</v>
      </c>
      <c r="K421" s="10">
        <v>7.0260000000000003E-2</v>
      </c>
      <c r="L421" s="10">
        <v>4.8309999999999999E-2</v>
      </c>
      <c r="M421" s="10">
        <v>2.0449999999999999E-2</v>
      </c>
      <c r="N421" s="10">
        <v>8.5070000000000007E-3</v>
      </c>
      <c r="O421" s="10">
        <v>0.16070000000000001</v>
      </c>
      <c r="P421" s="10">
        <v>5.4739999999999997E-2</v>
      </c>
      <c r="Q421" s="10">
        <v>0.25409999999999999</v>
      </c>
      <c r="R421" s="10">
        <v>0.62180000000000002</v>
      </c>
      <c r="S421" s="10">
        <v>1.7090000000000001</v>
      </c>
      <c r="T421" s="10">
        <v>23.12</v>
      </c>
      <c r="U421" s="10">
        <v>3.728E-3</v>
      </c>
      <c r="V421" s="10">
        <v>1.4149999999999999E-2</v>
      </c>
      <c r="W421" s="10">
        <v>1.9879999999999998E-2</v>
      </c>
      <c r="X421" s="10">
        <v>7.0159999999999997E-3</v>
      </c>
      <c r="Y421" s="10">
        <v>1.6469999999999999E-2</v>
      </c>
      <c r="Z421" s="10">
        <v>1.97E-3</v>
      </c>
      <c r="AA421" s="10">
        <v>15.51</v>
      </c>
      <c r="AB421" s="10">
        <v>19.97</v>
      </c>
      <c r="AC421" s="10">
        <v>99.66</v>
      </c>
      <c r="AD421" s="10">
        <v>745.3</v>
      </c>
      <c r="AE421" s="10">
        <v>8.4839999999999999E-2</v>
      </c>
      <c r="AF421" s="10">
        <v>0.12330000000000001</v>
      </c>
      <c r="AG421" s="10">
        <v>0.1091</v>
      </c>
      <c r="AH421" s="10">
        <v>4.5370000000000001E-2</v>
      </c>
      <c r="AI421" s="10">
        <v>0.25419999999999998</v>
      </c>
      <c r="AJ421">
        <v>6.6229999999999997E-2</v>
      </c>
    </row>
    <row r="422" spans="3:36">
      <c r="C422" s="11" t="s">
        <v>528</v>
      </c>
      <c r="D422" s="10">
        <v>389</v>
      </c>
      <c r="E422" s="10">
        <v>903011</v>
      </c>
      <c r="F422" s="10" t="s">
        <v>1</v>
      </c>
      <c r="G422" s="10">
        <v>13.71</v>
      </c>
      <c r="H422" s="10">
        <v>15.5</v>
      </c>
      <c r="I422" s="10">
        <v>73.38</v>
      </c>
      <c r="J422" s="10">
        <v>392</v>
      </c>
      <c r="K422" s="10">
        <v>8.3650000000000002E-2</v>
      </c>
      <c r="L422" s="10">
        <v>0.1114</v>
      </c>
      <c r="M422" s="10">
        <v>0.1007</v>
      </c>
      <c r="N422" s="10">
        <v>2.7570000000000001E-2</v>
      </c>
      <c r="O422" s="10">
        <v>0.18099999999999999</v>
      </c>
      <c r="P422" s="10">
        <v>7.2520000000000001E-2</v>
      </c>
      <c r="Q422" s="10">
        <v>0.33050000000000002</v>
      </c>
      <c r="R422" s="10">
        <v>1.0669999999999999</v>
      </c>
      <c r="S422" s="10">
        <v>2.569</v>
      </c>
      <c r="T422" s="10">
        <v>22.97</v>
      </c>
      <c r="U422" s="10">
        <v>1.038E-2</v>
      </c>
      <c r="V422" s="10">
        <v>6.6689999999999999E-2</v>
      </c>
      <c r="W422" s="10">
        <v>9.4719999999999999E-2</v>
      </c>
      <c r="X422" s="10">
        <v>2.0469999999999999E-2</v>
      </c>
      <c r="Y422" s="10">
        <v>1.2189999999999999E-2</v>
      </c>
      <c r="Z422" s="10">
        <v>1.2330000000000001E-2</v>
      </c>
      <c r="AA422" s="10">
        <v>12.04</v>
      </c>
      <c r="AB422" s="10">
        <v>18.93</v>
      </c>
      <c r="AC422" s="10">
        <v>79.73</v>
      </c>
      <c r="AD422" s="10">
        <v>450</v>
      </c>
      <c r="AE422" s="10">
        <v>0.11020000000000001</v>
      </c>
      <c r="AF422" s="10">
        <v>0.28089999999999998</v>
      </c>
      <c r="AG422" s="10">
        <v>0.30209999999999998</v>
      </c>
      <c r="AH422" s="10">
        <v>8.2720000000000002E-2</v>
      </c>
      <c r="AI422" s="10">
        <v>0.2157</v>
      </c>
      <c r="AJ422">
        <v>0.1043</v>
      </c>
    </row>
    <row r="423" spans="3:36">
      <c r="C423" s="11" t="s">
        <v>529</v>
      </c>
      <c r="D423" s="10">
        <v>390</v>
      </c>
      <c r="E423" s="10">
        <v>90312</v>
      </c>
      <c r="F423" s="10" t="s">
        <v>0</v>
      </c>
      <c r="G423" s="10">
        <v>13.71</v>
      </c>
      <c r="H423" s="10">
        <v>23.21</v>
      </c>
      <c r="I423" s="10">
        <v>128.9</v>
      </c>
      <c r="J423" s="10">
        <v>1174</v>
      </c>
      <c r="K423" s="10">
        <v>0.10100000000000001</v>
      </c>
      <c r="L423" s="10">
        <v>0.1318</v>
      </c>
      <c r="M423" s="10">
        <v>0.18559999999999999</v>
      </c>
      <c r="N423" s="10">
        <v>0.1021</v>
      </c>
      <c r="O423" s="10">
        <v>0.19889999999999999</v>
      </c>
      <c r="P423" s="10">
        <v>5.8840000000000003E-2</v>
      </c>
      <c r="Q423" s="10">
        <v>0.61070000000000002</v>
      </c>
      <c r="R423" s="10">
        <v>2.8359999999999999</v>
      </c>
      <c r="S423" s="10">
        <v>5.383</v>
      </c>
      <c r="T423" s="10">
        <v>70.099999999999994</v>
      </c>
      <c r="U423" s="10">
        <v>1.124E-2</v>
      </c>
      <c r="V423" s="10">
        <v>4.0969999999999999E-2</v>
      </c>
      <c r="W423" s="10">
        <v>7.4690000000000006E-2</v>
      </c>
      <c r="X423" s="10">
        <v>3.4410000000000003E-2</v>
      </c>
      <c r="Y423" s="10">
        <v>2.768E-2</v>
      </c>
      <c r="Z423" s="10">
        <v>6.2399999999999999E-3</v>
      </c>
      <c r="AA423" s="10">
        <v>20.82</v>
      </c>
      <c r="AB423" s="10">
        <v>30.44</v>
      </c>
      <c r="AC423" s="10">
        <v>142</v>
      </c>
      <c r="AD423" s="10">
        <v>1313</v>
      </c>
      <c r="AE423" s="10">
        <v>0.12509999999999999</v>
      </c>
      <c r="AF423" s="10">
        <v>0.2414</v>
      </c>
      <c r="AG423" s="10">
        <v>0.38290000000000002</v>
      </c>
      <c r="AH423" s="10">
        <v>0.1825</v>
      </c>
      <c r="AI423" s="10">
        <v>0.2576</v>
      </c>
      <c r="AJ423">
        <v>7.6020000000000004E-2</v>
      </c>
    </row>
    <row r="424" spans="3:36">
      <c r="C424" s="11" t="s">
        <v>530</v>
      </c>
      <c r="D424" s="10">
        <v>391</v>
      </c>
      <c r="E424" s="10">
        <v>90317302</v>
      </c>
      <c r="F424" s="10" t="s">
        <v>1</v>
      </c>
      <c r="G424" s="10">
        <v>13.71</v>
      </c>
      <c r="H424" s="10">
        <v>12.22</v>
      </c>
      <c r="I424" s="10">
        <v>65.75</v>
      </c>
      <c r="J424" s="10">
        <v>321.60000000000002</v>
      </c>
      <c r="K424" s="10">
        <v>9.9959999999999993E-2</v>
      </c>
      <c r="L424" s="10">
        <v>7.5420000000000001E-2</v>
      </c>
      <c r="M424" s="10">
        <v>1.9230000000000001E-2</v>
      </c>
      <c r="N424" s="10">
        <v>1.968E-2</v>
      </c>
      <c r="O424" s="10">
        <v>0.18</v>
      </c>
      <c r="P424" s="10">
        <v>6.5689999999999998E-2</v>
      </c>
      <c r="Q424" s="10">
        <v>0.19109999999999999</v>
      </c>
      <c r="R424" s="10">
        <v>0.54769999999999996</v>
      </c>
      <c r="S424" s="10">
        <v>1.3480000000000001</v>
      </c>
      <c r="T424" s="10">
        <v>11.88</v>
      </c>
      <c r="U424" s="10">
        <v>5.6820000000000004E-3</v>
      </c>
      <c r="V424" s="10">
        <v>1.3650000000000001E-2</v>
      </c>
      <c r="W424" s="10">
        <v>8.4960000000000001E-3</v>
      </c>
      <c r="X424" s="10">
        <v>6.9290000000000003E-3</v>
      </c>
      <c r="Y424" s="10">
        <v>1.9380000000000001E-2</v>
      </c>
      <c r="Z424" s="10">
        <v>2.3709999999999998E-3</v>
      </c>
      <c r="AA424" s="10">
        <v>11.38</v>
      </c>
      <c r="AB424" s="10">
        <v>15.65</v>
      </c>
      <c r="AC424" s="10">
        <v>73.23</v>
      </c>
      <c r="AD424" s="10">
        <v>394.5</v>
      </c>
      <c r="AE424" s="10">
        <v>0.1343</v>
      </c>
      <c r="AF424" s="10">
        <v>0.16500000000000001</v>
      </c>
      <c r="AG424" s="10">
        <v>8.6150000000000004E-2</v>
      </c>
      <c r="AH424" s="10">
        <v>6.6960000000000006E-2</v>
      </c>
      <c r="AI424" s="10">
        <v>0.29370000000000002</v>
      </c>
      <c r="AJ424">
        <v>7.7219999999999997E-2</v>
      </c>
    </row>
    <row r="425" spans="3:36">
      <c r="C425" s="11" t="s">
        <v>531</v>
      </c>
      <c r="D425" s="10">
        <v>392</v>
      </c>
      <c r="E425" s="10">
        <v>903483</v>
      </c>
      <c r="F425" s="10" t="s">
        <v>1</v>
      </c>
      <c r="G425" s="10">
        <v>13.71</v>
      </c>
      <c r="H425" s="10">
        <v>16.84</v>
      </c>
      <c r="I425" s="10">
        <v>55.27</v>
      </c>
      <c r="J425" s="10">
        <v>234.3</v>
      </c>
      <c r="K425" s="10">
        <v>0.10390000000000001</v>
      </c>
      <c r="L425" s="10">
        <v>7.4279999999999999E-2</v>
      </c>
      <c r="M425" s="10">
        <v>0</v>
      </c>
      <c r="N425" s="10">
        <v>0</v>
      </c>
      <c r="O425" s="10">
        <v>0.19850000000000001</v>
      </c>
      <c r="P425" s="10">
        <v>7.0980000000000001E-2</v>
      </c>
      <c r="Q425" s="10">
        <v>0.51690000000000003</v>
      </c>
      <c r="R425" s="10">
        <v>2.0790000000000002</v>
      </c>
      <c r="S425" s="10">
        <v>3.1669999999999998</v>
      </c>
      <c r="T425" s="10">
        <v>28.85</v>
      </c>
      <c r="U425" s="10">
        <v>1.5820000000000001E-2</v>
      </c>
      <c r="V425" s="10">
        <v>1.966E-2</v>
      </c>
      <c r="W425" s="10">
        <v>0</v>
      </c>
      <c r="X425" s="10">
        <v>0</v>
      </c>
      <c r="Y425" s="10">
        <v>1.865E-2</v>
      </c>
      <c r="Z425" s="10">
        <v>6.7359999999999998E-3</v>
      </c>
      <c r="AA425" s="10">
        <v>10.17</v>
      </c>
      <c r="AB425" s="10">
        <v>22.8</v>
      </c>
      <c r="AC425" s="10">
        <v>64.010000000000005</v>
      </c>
      <c r="AD425" s="10">
        <v>317</v>
      </c>
      <c r="AE425" s="10">
        <v>0.14599999999999999</v>
      </c>
      <c r="AF425" s="10">
        <v>0.13100000000000001</v>
      </c>
      <c r="AG425" s="10">
        <v>0</v>
      </c>
      <c r="AH425" s="10">
        <v>0</v>
      </c>
      <c r="AI425" s="10">
        <v>0.2445</v>
      </c>
      <c r="AJ425">
        <v>8.8650000000000007E-2</v>
      </c>
    </row>
    <row r="426" spans="3:36">
      <c r="C426" s="11" t="s">
        <v>532</v>
      </c>
      <c r="D426" s="10">
        <v>393</v>
      </c>
      <c r="E426" s="10">
        <v>903507</v>
      </c>
      <c r="F426" s="10" t="s">
        <v>0</v>
      </c>
      <c r="G426" s="10">
        <v>13.71</v>
      </c>
      <c r="H426" s="10">
        <v>19.97</v>
      </c>
      <c r="I426" s="10">
        <v>102.4</v>
      </c>
      <c r="J426" s="10">
        <v>744.7</v>
      </c>
      <c r="K426" s="10">
        <v>0.11600000000000001</v>
      </c>
      <c r="L426" s="10">
        <v>0.15620000000000001</v>
      </c>
      <c r="M426" s="10">
        <v>0.18909999999999999</v>
      </c>
      <c r="N426" s="10">
        <v>9.1130000000000003E-2</v>
      </c>
      <c r="O426" s="10">
        <v>0.19289999999999999</v>
      </c>
      <c r="P426" s="10">
        <v>6.744E-2</v>
      </c>
      <c r="Q426" s="10">
        <v>0.64700000000000002</v>
      </c>
      <c r="R426" s="10">
        <v>1.331</v>
      </c>
      <c r="S426" s="10">
        <v>4.6749999999999998</v>
      </c>
      <c r="T426" s="10">
        <v>66.91</v>
      </c>
      <c r="U426" s="10">
        <v>7.2690000000000003E-3</v>
      </c>
      <c r="V426" s="10">
        <v>2.928E-2</v>
      </c>
      <c r="W426" s="10">
        <v>4.972E-2</v>
      </c>
      <c r="X426" s="10">
        <v>1.6389999999999998E-2</v>
      </c>
      <c r="Y426" s="10">
        <v>1.8519999999999998E-2</v>
      </c>
      <c r="Z426" s="10">
        <v>4.2319999999999997E-3</v>
      </c>
      <c r="AA426" s="10">
        <v>21.2</v>
      </c>
      <c r="AB426" s="10">
        <v>29.41</v>
      </c>
      <c r="AC426" s="10">
        <v>142.1</v>
      </c>
      <c r="AD426" s="10">
        <v>1359</v>
      </c>
      <c r="AE426" s="10">
        <v>0.1681</v>
      </c>
      <c r="AF426" s="10">
        <v>0.39129999999999998</v>
      </c>
      <c r="AG426" s="10">
        <v>0.55530000000000002</v>
      </c>
      <c r="AH426" s="10">
        <v>0.21210000000000001</v>
      </c>
      <c r="AI426" s="10">
        <v>0.31869999999999998</v>
      </c>
      <c r="AJ426">
        <v>0.1019</v>
      </c>
    </row>
    <row r="427" spans="3:36">
      <c r="C427" s="11" t="s">
        <v>533</v>
      </c>
      <c r="D427" s="10">
        <v>394</v>
      </c>
      <c r="E427" s="10">
        <v>903516</v>
      </c>
      <c r="F427" s="10" t="s">
        <v>0</v>
      </c>
      <c r="G427" s="10">
        <v>13.71</v>
      </c>
      <c r="H427" s="10">
        <v>22.28</v>
      </c>
      <c r="I427" s="10">
        <v>144.4</v>
      </c>
      <c r="J427" s="10">
        <v>1407</v>
      </c>
      <c r="K427" s="10">
        <v>0.1167</v>
      </c>
      <c r="L427" s="10">
        <v>0.2087</v>
      </c>
      <c r="M427" s="10">
        <v>0.28100000000000003</v>
      </c>
      <c r="N427" s="10">
        <v>0.15620000000000001</v>
      </c>
      <c r="O427" s="10">
        <v>0.2162</v>
      </c>
      <c r="P427" s="10">
        <v>6.6059999999999994E-2</v>
      </c>
      <c r="Q427" s="10">
        <v>0.62419999999999998</v>
      </c>
      <c r="R427" s="10">
        <v>0.92090000000000005</v>
      </c>
      <c r="S427" s="10">
        <v>4.1580000000000004</v>
      </c>
      <c r="T427" s="10">
        <v>80.989999999999995</v>
      </c>
      <c r="U427" s="10">
        <v>5.215E-3</v>
      </c>
      <c r="V427" s="10">
        <v>3.7260000000000001E-2</v>
      </c>
      <c r="W427" s="10">
        <v>4.718E-2</v>
      </c>
      <c r="X427" s="10">
        <v>1.2880000000000001E-2</v>
      </c>
      <c r="Y427" s="10">
        <v>2.0449999999999999E-2</v>
      </c>
      <c r="Z427" s="10">
        <v>4.0280000000000003E-3</v>
      </c>
      <c r="AA427" s="10">
        <v>26.23</v>
      </c>
      <c r="AB427" s="10">
        <v>28.74</v>
      </c>
      <c r="AC427" s="10">
        <v>172</v>
      </c>
      <c r="AD427" s="10">
        <v>2081</v>
      </c>
      <c r="AE427" s="10">
        <v>0.1502</v>
      </c>
      <c r="AF427" s="10">
        <v>0.57169999999999999</v>
      </c>
      <c r="AG427" s="10">
        <v>0.70530000000000004</v>
      </c>
      <c r="AH427" s="10">
        <v>0.2422</v>
      </c>
      <c r="AI427" s="10">
        <v>0.38279999999999997</v>
      </c>
      <c r="AJ427">
        <v>0.1007</v>
      </c>
    </row>
    <row r="428" spans="3:36">
      <c r="C428" s="11" t="s">
        <v>534</v>
      </c>
      <c r="D428" s="10">
        <v>395</v>
      </c>
      <c r="E428" s="10">
        <v>903554</v>
      </c>
      <c r="F428" s="10" t="s">
        <v>1</v>
      </c>
      <c r="G428" s="10">
        <v>13.71</v>
      </c>
      <c r="H428" s="10">
        <v>17.72</v>
      </c>
      <c r="I428" s="10">
        <v>78.069999999999993</v>
      </c>
      <c r="J428" s="10">
        <v>446.2</v>
      </c>
      <c r="K428" s="10">
        <v>0.10290000000000001</v>
      </c>
      <c r="L428" s="10">
        <v>9.758E-2</v>
      </c>
      <c r="M428" s="10">
        <v>4.7829999999999998E-2</v>
      </c>
      <c r="N428" s="10">
        <v>3.3259999999999998E-2</v>
      </c>
      <c r="O428" s="10">
        <v>0.19370000000000001</v>
      </c>
      <c r="P428" s="10">
        <v>6.1609999999999998E-2</v>
      </c>
      <c r="Q428" s="10">
        <v>0.28410000000000002</v>
      </c>
      <c r="R428" s="10">
        <v>1.6519999999999999</v>
      </c>
      <c r="S428" s="10">
        <v>1.869</v>
      </c>
      <c r="T428" s="10">
        <v>22.22</v>
      </c>
      <c r="U428" s="10">
        <v>8.1460000000000005E-3</v>
      </c>
      <c r="V428" s="10">
        <v>1.6310000000000002E-2</v>
      </c>
      <c r="W428" s="10">
        <v>1.8429999999999998E-2</v>
      </c>
      <c r="X428" s="10">
        <v>7.5129999999999997E-3</v>
      </c>
      <c r="Y428" s="10">
        <v>2.0150000000000001E-2</v>
      </c>
      <c r="Z428" s="10">
        <v>1.7979999999999999E-3</v>
      </c>
      <c r="AA428" s="10">
        <v>13.56</v>
      </c>
      <c r="AB428" s="10">
        <v>25.8</v>
      </c>
      <c r="AC428" s="10">
        <v>88.33</v>
      </c>
      <c r="AD428" s="10">
        <v>559.5</v>
      </c>
      <c r="AE428" s="10">
        <v>0.14319999999999999</v>
      </c>
      <c r="AF428" s="10">
        <v>0.17730000000000001</v>
      </c>
      <c r="AG428" s="10">
        <v>0.1603</v>
      </c>
      <c r="AH428" s="10">
        <v>6.2659999999999993E-2</v>
      </c>
      <c r="AI428" s="10">
        <v>0.3049</v>
      </c>
      <c r="AJ428">
        <v>7.0809999999999998E-2</v>
      </c>
    </row>
    <row r="429" spans="3:36">
      <c r="C429" s="11" t="s">
        <v>535</v>
      </c>
      <c r="D429" s="10">
        <v>396</v>
      </c>
      <c r="E429" s="10">
        <v>903811</v>
      </c>
      <c r="F429" s="10" t="s">
        <v>1</v>
      </c>
      <c r="G429" s="10">
        <v>13.71</v>
      </c>
      <c r="H429" s="10">
        <v>17.18</v>
      </c>
      <c r="I429" s="10">
        <v>89.75</v>
      </c>
      <c r="J429" s="10">
        <v>609.1</v>
      </c>
      <c r="K429" s="10">
        <v>8.0449999999999994E-2</v>
      </c>
      <c r="L429" s="10">
        <v>5.3609999999999998E-2</v>
      </c>
      <c r="M429" s="10">
        <v>2.681E-2</v>
      </c>
      <c r="N429" s="10">
        <v>3.2509999999999997E-2</v>
      </c>
      <c r="O429" s="10">
        <v>0.1641</v>
      </c>
      <c r="P429" s="10">
        <v>5.7639999999999997E-2</v>
      </c>
      <c r="Q429" s="10">
        <v>0.15040000000000001</v>
      </c>
      <c r="R429" s="10">
        <v>1.6850000000000001</v>
      </c>
      <c r="S429" s="10">
        <v>1.2370000000000001</v>
      </c>
      <c r="T429" s="10">
        <v>12.67</v>
      </c>
      <c r="U429" s="10">
        <v>5.3709999999999999E-3</v>
      </c>
      <c r="V429" s="10">
        <v>1.273E-2</v>
      </c>
      <c r="W429" s="10">
        <v>1.132E-2</v>
      </c>
      <c r="X429" s="10">
        <v>9.1549999999999999E-3</v>
      </c>
      <c r="Y429" s="10">
        <v>1.719E-2</v>
      </c>
      <c r="Z429" s="10">
        <v>1.444E-3</v>
      </c>
      <c r="AA429" s="10">
        <v>14.92</v>
      </c>
      <c r="AB429" s="10">
        <v>25.34</v>
      </c>
      <c r="AC429" s="10">
        <v>96.42</v>
      </c>
      <c r="AD429" s="10">
        <v>684.5</v>
      </c>
      <c r="AE429" s="10">
        <v>0.1066</v>
      </c>
      <c r="AF429" s="10">
        <v>0.1231</v>
      </c>
      <c r="AG429" s="10">
        <v>8.4599999999999995E-2</v>
      </c>
      <c r="AH429" s="10">
        <v>7.911E-2</v>
      </c>
      <c r="AI429" s="10">
        <v>0.25230000000000002</v>
      </c>
      <c r="AJ429">
        <v>6.6089999999999996E-2</v>
      </c>
    </row>
    <row r="430" spans="3:36">
      <c r="C430" s="11" t="s">
        <v>536</v>
      </c>
      <c r="D430" s="10">
        <v>397</v>
      </c>
      <c r="E430" s="10">
        <v>90401601</v>
      </c>
      <c r="F430" s="10" t="s">
        <v>1</v>
      </c>
      <c r="G430" s="10">
        <v>13.71</v>
      </c>
      <c r="H430" s="10">
        <v>18.89</v>
      </c>
      <c r="I430" s="10">
        <v>88.1</v>
      </c>
      <c r="J430" s="10">
        <v>558.1</v>
      </c>
      <c r="K430" s="10">
        <v>0.10589999999999999</v>
      </c>
      <c r="L430" s="10">
        <v>0.1147</v>
      </c>
      <c r="M430" s="10">
        <v>8.5800000000000001E-2</v>
      </c>
      <c r="N430" s="10">
        <v>5.3809999999999997E-2</v>
      </c>
      <c r="O430" s="10">
        <v>0.18060000000000001</v>
      </c>
      <c r="P430" s="10">
        <v>6.0789999999999997E-2</v>
      </c>
      <c r="Q430" s="10">
        <v>0.21360000000000001</v>
      </c>
      <c r="R430" s="10">
        <v>1.3320000000000001</v>
      </c>
      <c r="S430" s="10">
        <v>1.5129999999999999</v>
      </c>
      <c r="T430" s="10">
        <v>19.29</v>
      </c>
      <c r="U430" s="10">
        <v>5.4419999999999998E-3</v>
      </c>
      <c r="V430" s="10">
        <v>1.9570000000000001E-2</v>
      </c>
      <c r="W430" s="10">
        <v>3.304E-2</v>
      </c>
      <c r="X430" s="10">
        <v>1.367E-2</v>
      </c>
      <c r="Y430" s="10">
        <v>1.315E-2</v>
      </c>
      <c r="Z430" s="10">
        <v>2.464E-3</v>
      </c>
      <c r="AA430" s="10">
        <v>14.8</v>
      </c>
      <c r="AB430" s="10">
        <v>27.2</v>
      </c>
      <c r="AC430" s="10">
        <v>97.33</v>
      </c>
      <c r="AD430" s="10">
        <v>675.2</v>
      </c>
      <c r="AE430" s="10">
        <v>0.14280000000000001</v>
      </c>
      <c r="AF430" s="10">
        <v>0.25700000000000001</v>
      </c>
      <c r="AG430" s="10">
        <v>0.34379999999999999</v>
      </c>
      <c r="AH430" s="10">
        <v>0.14530000000000001</v>
      </c>
      <c r="AI430" s="10">
        <v>0.2666</v>
      </c>
      <c r="AJ430">
        <v>7.6859999999999998E-2</v>
      </c>
    </row>
    <row r="431" spans="3:36">
      <c r="C431" s="11" t="s">
        <v>537</v>
      </c>
      <c r="D431" s="10">
        <v>398</v>
      </c>
      <c r="E431" s="10">
        <v>90401602</v>
      </c>
      <c r="F431" s="10" t="s">
        <v>1</v>
      </c>
      <c r="G431" s="10">
        <v>13.71</v>
      </c>
      <c r="H431" s="10">
        <v>17.46</v>
      </c>
      <c r="I431" s="10">
        <v>83.05</v>
      </c>
      <c r="J431" s="10">
        <v>508.3</v>
      </c>
      <c r="K431" s="10">
        <v>8.0439999999999998E-2</v>
      </c>
      <c r="L431" s="10">
        <v>8.8950000000000001E-2</v>
      </c>
      <c r="M431" s="10">
        <v>7.3899999999999993E-2</v>
      </c>
      <c r="N431" s="10">
        <v>4.0829999999999998E-2</v>
      </c>
      <c r="O431" s="10">
        <v>0.15740000000000001</v>
      </c>
      <c r="P431" s="10">
        <v>5.7500000000000002E-2</v>
      </c>
      <c r="Q431" s="10">
        <v>0.3639</v>
      </c>
      <c r="R431" s="10">
        <v>1.2649999999999999</v>
      </c>
      <c r="S431" s="10">
        <v>2.6680000000000001</v>
      </c>
      <c r="T431" s="10">
        <v>30.57</v>
      </c>
      <c r="U431" s="10">
        <v>5.4209999999999996E-3</v>
      </c>
      <c r="V431" s="10">
        <v>3.4770000000000002E-2</v>
      </c>
      <c r="W431" s="10">
        <v>4.5449999999999997E-2</v>
      </c>
      <c r="X431" s="10">
        <v>1.384E-2</v>
      </c>
      <c r="Y431" s="10">
        <v>1.8689999999999998E-2</v>
      </c>
      <c r="Z431" s="10">
        <v>4.0670000000000003E-3</v>
      </c>
      <c r="AA431" s="10">
        <v>13.74</v>
      </c>
      <c r="AB431" s="10">
        <v>21.06</v>
      </c>
      <c r="AC431" s="10">
        <v>90.72</v>
      </c>
      <c r="AD431" s="10">
        <v>591</v>
      </c>
      <c r="AE431" s="10">
        <v>9.5339999999999994E-2</v>
      </c>
      <c r="AF431" s="10">
        <v>0.1812</v>
      </c>
      <c r="AG431" s="10">
        <v>0.19009999999999999</v>
      </c>
      <c r="AH431" s="10">
        <v>8.2960000000000006E-2</v>
      </c>
      <c r="AI431" s="10">
        <v>0.1988</v>
      </c>
      <c r="AJ431">
        <v>7.0529999999999995E-2</v>
      </c>
    </row>
    <row r="432" spans="3:36">
      <c r="C432" s="11" t="s">
        <v>538</v>
      </c>
      <c r="D432" s="10">
        <v>399</v>
      </c>
      <c r="E432" s="10">
        <v>904302</v>
      </c>
      <c r="F432" s="10" t="s">
        <v>1</v>
      </c>
      <c r="G432" s="10">
        <v>13.71</v>
      </c>
      <c r="H432" s="10">
        <v>14.83</v>
      </c>
      <c r="I432" s="10">
        <v>70.31</v>
      </c>
      <c r="J432" s="10">
        <v>378.2</v>
      </c>
      <c r="K432" s="10">
        <v>7.7410000000000007E-2</v>
      </c>
      <c r="L432" s="10">
        <v>4.768E-2</v>
      </c>
      <c r="M432" s="10">
        <v>2.7119999999999998E-2</v>
      </c>
      <c r="N432" s="10">
        <v>7.2459999999999998E-3</v>
      </c>
      <c r="O432" s="10">
        <v>0.1535</v>
      </c>
      <c r="P432" s="10">
        <v>6.2140000000000001E-2</v>
      </c>
      <c r="Q432" s="10">
        <v>0.1855</v>
      </c>
      <c r="R432" s="10">
        <v>0.68810000000000004</v>
      </c>
      <c r="S432" s="10">
        <v>1.2629999999999999</v>
      </c>
      <c r="T432" s="10">
        <v>12.98</v>
      </c>
      <c r="U432" s="10">
        <v>4.2589999999999998E-3</v>
      </c>
      <c r="V432" s="10">
        <v>1.469E-2</v>
      </c>
      <c r="W432" s="10">
        <v>1.9400000000000001E-2</v>
      </c>
      <c r="X432" s="10">
        <v>4.1679999999999998E-3</v>
      </c>
      <c r="Y432" s="10">
        <v>1.191E-2</v>
      </c>
      <c r="Z432" s="10">
        <v>3.5370000000000002E-3</v>
      </c>
      <c r="AA432" s="10">
        <v>12.68</v>
      </c>
      <c r="AB432" s="10">
        <v>20.350000000000001</v>
      </c>
      <c r="AC432" s="10">
        <v>80.790000000000006</v>
      </c>
      <c r="AD432" s="10">
        <v>496.7</v>
      </c>
      <c r="AE432" s="10">
        <v>0.112</v>
      </c>
      <c r="AF432" s="10">
        <v>0.18790000000000001</v>
      </c>
      <c r="AG432" s="10">
        <v>0.2079</v>
      </c>
      <c r="AH432" s="10">
        <v>5.5559999999999998E-2</v>
      </c>
      <c r="AI432" s="10">
        <v>0.25900000000000001</v>
      </c>
      <c r="AJ432">
        <v>9.1579999999999995E-2</v>
      </c>
    </row>
    <row r="433" spans="3:36">
      <c r="C433" s="11" t="s">
        <v>539</v>
      </c>
      <c r="D433" s="10">
        <v>400</v>
      </c>
      <c r="E433" s="10">
        <v>904357</v>
      </c>
      <c r="F433" s="10" t="s">
        <v>1</v>
      </c>
      <c r="G433" s="10">
        <v>13.71</v>
      </c>
      <c r="H433" s="10">
        <v>17.260000000000002</v>
      </c>
      <c r="I433" s="10">
        <v>75.260000000000005</v>
      </c>
      <c r="J433" s="10">
        <v>431.9</v>
      </c>
      <c r="K433" s="10">
        <v>9.0870000000000006E-2</v>
      </c>
      <c r="L433" s="10">
        <v>6.232E-2</v>
      </c>
      <c r="M433" s="10">
        <v>2.853E-2</v>
      </c>
      <c r="N433" s="10">
        <v>1.6379999999999999E-2</v>
      </c>
      <c r="O433" s="10">
        <v>0.1847</v>
      </c>
      <c r="P433" s="10">
        <v>6.019E-2</v>
      </c>
      <c r="Q433" s="10">
        <v>0.34379999999999999</v>
      </c>
      <c r="R433" s="10">
        <v>1.1399999999999999</v>
      </c>
      <c r="S433" s="10">
        <v>2.2250000000000001</v>
      </c>
      <c r="T433" s="10">
        <v>25.06</v>
      </c>
      <c r="U433" s="10">
        <v>5.463E-3</v>
      </c>
      <c r="V433" s="10">
        <v>1.9640000000000001E-2</v>
      </c>
      <c r="W433" s="10">
        <v>2.0789999999999999E-2</v>
      </c>
      <c r="X433" s="10">
        <v>5.398E-3</v>
      </c>
      <c r="Y433" s="10">
        <v>1.477E-2</v>
      </c>
      <c r="Z433" s="10">
        <v>3.0709999999999999E-3</v>
      </c>
      <c r="AA433" s="10">
        <v>13.45</v>
      </c>
      <c r="AB433" s="10">
        <v>24.49</v>
      </c>
      <c r="AC433" s="10">
        <v>86</v>
      </c>
      <c r="AD433" s="10">
        <v>562</v>
      </c>
      <c r="AE433" s="10">
        <v>0.1244</v>
      </c>
      <c r="AF433" s="10">
        <v>0.1726</v>
      </c>
      <c r="AG433" s="10">
        <v>0.1449</v>
      </c>
      <c r="AH433" s="10">
        <v>5.3560000000000003E-2</v>
      </c>
      <c r="AI433" s="10">
        <v>0.27789999999999998</v>
      </c>
      <c r="AJ433">
        <v>8.1210000000000004E-2</v>
      </c>
    </row>
    <row r="434" spans="3:36">
      <c r="C434" s="11" t="s">
        <v>540</v>
      </c>
      <c r="D434" s="10">
        <v>401</v>
      </c>
      <c r="E434" s="10">
        <v>90439701</v>
      </c>
      <c r="F434" s="10" t="s">
        <v>0</v>
      </c>
      <c r="G434" s="10">
        <v>13.71</v>
      </c>
      <c r="H434" s="10">
        <v>21.02</v>
      </c>
      <c r="I434" s="10">
        <v>124.4</v>
      </c>
      <c r="J434" s="10">
        <v>994</v>
      </c>
      <c r="K434" s="10">
        <v>0.123</v>
      </c>
      <c r="L434" s="10">
        <v>0.2576</v>
      </c>
      <c r="M434" s="10">
        <v>0.31890000000000002</v>
      </c>
      <c r="N434" s="10">
        <v>0.1198</v>
      </c>
      <c r="O434" s="10">
        <v>0.21129999999999999</v>
      </c>
      <c r="P434" s="10">
        <v>7.1150000000000005E-2</v>
      </c>
      <c r="Q434" s="10">
        <v>0.40300000000000002</v>
      </c>
      <c r="R434" s="10">
        <v>0.77470000000000006</v>
      </c>
      <c r="S434" s="10">
        <v>3.1230000000000002</v>
      </c>
      <c r="T434" s="10">
        <v>41.51</v>
      </c>
      <c r="U434" s="10">
        <v>7.1590000000000004E-3</v>
      </c>
      <c r="V434" s="10">
        <v>3.7179999999999998E-2</v>
      </c>
      <c r="W434" s="10">
        <v>6.1650000000000003E-2</v>
      </c>
      <c r="X434" s="10">
        <v>1.051E-2</v>
      </c>
      <c r="Y434" s="10">
        <v>1.5910000000000001E-2</v>
      </c>
      <c r="Z434" s="10">
        <v>5.0990000000000002E-3</v>
      </c>
      <c r="AA434" s="10">
        <v>20.8</v>
      </c>
      <c r="AB434" s="10">
        <v>27.78</v>
      </c>
      <c r="AC434" s="10">
        <v>149.6</v>
      </c>
      <c r="AD434" s="10">
        <v>1304</v>
      </c>
      <c r="AE434" s="10">
        <v>0.18729999999999999</v>
      </c>
      <c r="AF434" s="10">
        <v>0.5917</v>
      </c>
      <c r="AG434" s="10">
        <v>0.90339999999999998</v>
      </c>
      <c r="AH434" s="10">
        <v>0.19639999999999999</v>
      </c>
      <c r="AI434" s="10">
        <v>0.32450000000000001</v>
      </c>
      <c r="AJ434">
        <v>0.1198</v>
      </c>
    </row>
    <row r="435" spans="3:36">
      <c r="C435" s="11" t="s">
        <v>541</v>
      </c>
      <c r="D435" s="10">
        <v>402</v>
      </c>
      <c r="E435" s="10">
        <v>904647</v>
      </c>
      <c r="F435" s="10" t="s">
        <v>1</v>
      </c>
      <c r="G435" s="10">
        <v>13.71</v>
      </c>
      <c r="H435" s="10">
        <v>10.91</v>
      </c>
      <c r="I435" s="10">
        <v>76.14</v>
      </c>
      <c r="J435" s="10">
        <v>442.7</v>
      </c>
      <c r="K435" s="10">
        <v>8.8719999999999993E-2</v>
      </c>
      <c r="L435" s="10">
        <v>5.2420000000000001E-2</v>
      </c>
      <c r="M435" s="10">
        <v>2.606E-2</v>
      </c>
      <c r="N435" s="10">
        <v>1.796E-2</v>
      </c>
      <c r="O435" s="10">
        <v>0.16009999999999999</v>
      </c>
      <c r="P435" s="10">
        <v>5.5410000000000001E-2</v>
      </c>
      <c r="Q435" s="10">
        <v>0.25219999999999998</v>
      </c>
      <c r="R435" s="10">
        <v>1.0449999999999999</v>
      </c>
      <c r="S435" s="10">
        <v>1.649</v>
      </c>
      <c r="T435" s="10">
        <v>18.95</v>
      </c>
      <c r="U435" s="10">
        <v>6.1749999999999999E-3</v>
      </c>
      <c r="V435" s="10">
        <v>1.204E-2</v>
      </c>
      <c r="W435" s="10">
        <v>1.376E-2</v>
      </c>
      <c r="X435" s="10">
        <v>5.8320000000000004E-3</v>
      </c>
      <c r="Y435" s="10">
        <v>1.0959999999999999E-2</v>
      </c>
      <c r="Z435" s="10">
        <v>1.8569999999999999E-3</v>
      </c>
      <c r="AA435" s="10">
        <v>13.8</v>
      </c>
      <c r="AB435" s="10">
        <v>20.14</v>
      </c>
      <c r="AC435" s="10">
        <v>87.64</v>
      </c>
      <c r="AD435" s="10">
        <v>589.5</v>
      </c>
      <c r="AE435" s="10">
        <v>0.13739999999999999</v>
      </c>
      <c r="AF435" s="10">
        <v>0.1575</v>
      </c>
      <c r="AG435" s="10">
        <v>0.15140000000000001</v>
      </c>
      <c r="AH435" s="10">
        <v>6.8760000000000002E-2</v>
      </c>
      <c r="AI435" s="10">
        <v>0.246</v>
      </c>
      <c r="AJ435">
        <v>7.2620000000000004E-2</v>
      </c>
    </row>
    <row r="436" spans="3:36">
      <c r="C436" s="11" t="s">
        <v>542</v>
      </c>
      <c r="D436" s="10">
        <v>403</v>
      </c>
      <c r="E436" s="10">
        <v>904689</v>
      </c>
      <c r="F436" s="10" t="s">
        <v>1</v>
      </c>
      <c r="G436" s="10">
        <v>13.71</v>
      </c>
      <c r="H436" s="10">
        <v>18.29</v>
      </c>
      <c r="I436" s="10">
        <v>84.18</v>
      </c>
      <c r="J436" s="10">
        <v>525.20000000000005</v>
      </c>
      <c r="K436" s="10">
        <v>7.3510000000000006E-2</v>
      </c>
      <c r="L436" s="10">
        <v>7.8990000000000005E-2</v>
      </c>
      <c r="M436" s="10">
        <v>4.0570000000000002E-2</v>
      </c>
      <c r="N436" s="10">
        <v>1.883E-2</v>
      </c>
      <c r="O436" s="10">
        <v>0.18740000000000001</v>
      </c>
      <c r="P436" s="10">
        <v>5.8990000000000001E-2</v>
      </c>
      <c r="Q436" s="10">
        <v>0.23569999999999999</v>
      </c>
      <c r="R436" s="10">
        <v>1.2989999999999999</v>
      </c>
      <c r="S436" s="10">
        <v>2.3969999999999998</v>
      </c>
      <c r="T436" s="10">
        <v>20.21</v>
      </c>
      <c r="U436" s="10">
        <v>3.6289999999999998E-3</v>
      </c>
      <c r="V436" s="10">
        <v>3.7130000000000003E-2</v>
      </c>
      <c r="W436" s="10">
        <v>3.4520000000000002E-2</v>
      </c>
      <c r="X436" s="10">
        <v>1.065E-2</v>
      </c>
      <c r="Y436" s="10">
        <v>2.632E-2</v>
      </c>
      <c r="Z436" s="10">
        <v>3.705E-3</v>
      </c>
      <c r="AA436" s="10">
        <v>14.13</v>
      </c>
      <c r="AB436" s="10">
        <v>24.61</v>
      </c>
      <c r="AC436" s="10">
        <v>96.31</v>
      </c>
      <c r="AD436" s="10">
        <v>621.9</v>
      </c>
      <c r="AE436" s="10">
        <v>9.3289999999999998E-2</v>
      </c>
      <c r="AF436" s="10">
        <v>0.23180000000000001</v>
      </c>
      <c r="AG436" s="10">
        <v>0.16039999999999999</v>
      </c>
      <c r="AH436" s="10">
        <v>6.608E-2</v>
      </c>
      <c r="AI436" s="10">
        <v>0.32069999999999999</v>
      </c>
      <c r="AJ436">
        <v>7.2470000000000007E-2</v>
      </c>
    </row>
    <row r="437" spans="3:36">
      <c r="C437" s="11" t="s">
        <v>543</v>
      </c>
      <c r="D437" s="10">
        <v>404</v>
      </c>
      <c r="E437" s="10">
        <v>9047</v>
      </c>
      <c r="F437" s="10" t="s">
        <v>1</v>
      </c>
      <c r="G437" s="10">
        <v>13.71</v>
      </c>
      <c r="H437" s="10">
        <v>16.170000000000002</v>
      </c>
      <c r="I437" s="10">
        <v>83.18</v>
      </c>
      <c r="J437" s="10">
        <v>507.6</v>
      </c>
      <c r="K437" s="10">
        <v>9.8790000000000003E-2</v>
      </c>
      <c r="L437" s="10">
        <v>8.8359999999999994E-2</v>
      </c>
      <c r="M437" s="10">
        <v>3.2960000000000003E-2</v>
      </c>
      <c r="N437" s="10">
        <v>2.3900000000000001E-2</v>
      </c>
      <c r="O437" s="10">
        <v>0.17349999999999999</v>
      </c>
      <c r="P437" s="10">
        <v>6.2E-2</v>
      </c>
      <c r="Q437" s="10">
        <v>0.14580000000000001</v>
      </c>
      <c r="R437" s="10">
        <v>0.90500000000000003</v>
      </c>
      <c r="S437" s="10">
        <v>0.99750000000000005</v>
      </c>
      <c r="T437" s="10">
        <v>11.36</v>
      </c>
      <c r="U437" s="10">
        <v>2.8869999999999998E-3</v>
      </c>
      <c r="V437" s="10">
        <v>1.285E-2</v>
      </c>
      <c r="W437" s="10">
        <v>1.6129999999999999E-2</v>
      </c>
      <c r="X437" s="10">
        <v>7.3080000000000003E-3</v>
      </c>
      <c r="Y437" s="10">
        <v>1.8700000000000001E-2</v>
      </c>
      <c r="Z437" s="10">
        <v>1.9719999999999998E-3</v>
      </c>
      <c r="AA437" s="10">
        <v>13.86</v>
      </c>
      <c r="AB437" s="10">
        <v>23.02</v>
      </c>
      <c r="AC437" s="10">
        <v>89.69</v>
      </c>
      <c r="AD437" s="10">
        <v>580.9</v>
      </c>
      <c r="AE437" s="10">
        <v>0.1172</v>
      </c>
      <c r="AF437" s="10">
        <v>0.1958</v>
      </c>
      <c r="AG437" s="10">
        <v>0.18099999999999999</v>
      </c>
      <c r="AH437" s="10">
        <v>8.3879999999999996E-2</v>
      </c>
      <c r="AI437" s="10">
        <v>0.32969999999999999</v>
      </c>
      <c r="AJ437">
        <v>7.8340000000000007E-2</v>
      </c>
    </row>
    <row r="438" spans="3:36">
      <c r="C438" s="11" t="s">
        <v>544</v>
      </c>
      <c r="D438" s="10">
        <v>405</v>
      </c>
      <c r="E438" s="10">
        <v>904969</v>
      </c>
      <c r="F438" s="10" t="s">
        <v>1</v>
      </c>
      <c r="G438" s="10">
        <v>13.71</v>
      </c>
      <c r="H438" s="10">
        <v>14.95</v>
      </c>
      <c r="I438" s="10">
        <v>78.290000000000006</v>
      </c>
      <c r="J438" s="10">
        <v>469.1</v>
      </c>
      <c r="K438" s="10">
        <v>8.6819999999999994E-2</v>
      </c>
      <c r="L438" s="10">
        <v>4.5710000000000001E-2</v>
      </c>
      <c r="M438" s="10">
        <v>2.1090000000000001E-2</v>
      </c>
      <c r="N438" s="10">
        <v>2.0539999999999999E-2</v>
      </c>
      <c r="O438" s="10">
        <v>0.15709999999999999</v>
      </c>
      <c r="P438" s="10">
        <v>5.7079999999999999E-2</v>
      </c>
      <c r="Q438" s="10">
        <v>0.38329999999999997</v>
      </c>
      <c r="R438" s="10">
        <v>0.90780000000000005</v>
      </c>
      <c r="S438" s="10">
        <v>2.6019999999999999</v>
      </c>
      <c r="T438" s="10">
        <v>30.15</v>
      </c>
      <c r="U438" s="10">
        <v>7.7019999999999996E-3</v>
      </c>
      <c r="V438" s="10">
        <v>8.4910000000000003E-3</v>
      </c>
      <c r="W438" s="10">
        <v>1.307E-2</v>
      </c>
      <c r="X438" s="10">
        <v>1.03E-2</v>
      </c>
      <c r="Y438" s="10">
        <v>2.9700000000000001E-2</v>
      </c>
      <c r="Z438" s="10">
        <v>1.4319999999999999E-3</v>
      </c>
      <c r="AA438" s="10">
        <v>13.18</v>
      </c>
      <c r="AB438" s="10">
        <v>16.850000000000001</v>
      </c>
      <c r="AC438" s="10">
        <v>84.11</v>
      </c>
      <c r="AD438" s="10">
        <v>533.1</v>
      </c>
      <c r="AE438" s="10">
        <v>0.1048</v>
      </c>
      <c r="AF438" s="10">
        <v>6.744E-2</v>
      </c>
      <c r="AG438" s="10">
        <v>4.9209999999999997E-2</v>
      </c>
      <c r="AH438" s="10">
        <v>4.793E-2</v>
      </c>
      <c r="AI438" s="10">
        <v>0.2298</v>
      </c>
      <c r="AJ438">
        <v>5.9740000000000001E-2</v>
      </c>
    </row>
    <row r="439" spans="3:36">
      <c r="C439" s="11" t="s">
        <v>545</v>
      </c>
      <c r="D439" s="10">
        <v>406</v>
      </c>
      <c r="E439" s="10">
        <v>904971</v>
      </c>
      <c r="F439" s="10" t="s">
        <v>1</v>
      </c>
      <c r="G439" s="10">
        <v>13.71</v>
      </c>
      <c r="H439" s="10">
        <v>18.59</v>
      </c>
      <c r="I439" s="10">
        <v>70.39</v>
      </c>
      <c r="J439" s="10">
        <v>370</v>
      </c>
      <c r="K439" s="10">
        <v>0.1004</v>
      </c>
      <c r="L439" s="10">
        <v>7.46E-2</v>
      </c>
      <c r="M439" s="10">
        <v>4.9439999999999998E-2</v>
      </c>
      <c r="N439" s="10">
        <v>2.9319999999999999E-2</v>
      </c>
      <c r="O439" s="10">
        <v>0.14860000000000001</v>
      </c>
      <c r="P439" s="10">
        <v>6.615E-2</v>
      </c>
      <c r="Q439" s="10">
        <v>0.37959999999999999</v>
      </c>
      <c r="R439" s="10">
        <v>1.7430000000000001</v>
      </c>
      <c r="S439" s="10">
        <v>3.0179999999999998</v>
      </c>
      <c r="T439" s="10">
        <v>25.78</v>
      </c>
      <c r="U439" s="10">
        <v>9.5189999999999997E-3</v>
      </c>
      <c r="V439" s="10">
        <v>2.1340000000000001E-2</v>
      </c>
      <c r="W439" s="10">
        <v>1.9900000000000001E-2</v>
      </c>
      <c r="X439" s="10">
        <v>1.155E-2</v>
      </c>
      <c r="Y439" s="10">
        <v>2.0789999999999999E-2</v>
      </c>
      <c r="Z439" s="10">
        <v>2.7009999999999998E-3</v>
      </c>
      <c r="AA439" s="10">
        <v>12.4</v>
      </c>
      <c r="AB439" s="10">
        <v>25.58</v>
      </c>
      <c r="AC439" s="10">
        <v>82.76</v>
      </c>
      <c r="AD439" s="10">
        <v>472.4</v>
      </c>
      <c r="AE439" s="10">
        <v>0.1363</v>
      </c>
      <c r="AF439" s="10">
        <v>0.16439999999999999</v>
      </c>
      <c r="AG439" s="10">
        <v>0.14119999999999999</v>
      </c>
      <c r="AH439" s="10">
        <v>7.8869999999999996E-2</v>
      </c>
      <c r="AI439" s="10">
        <v>0.22509999999999999</v>
      </c>
      <c r="AJ439">
        <v>7.732E-2</v>
      </c>
    </row>
    <row r="440" spans="3:36">
      <c r="C440" s="11" t="s">
        <v>546</v>
      </c>
      <c r="D440" s="10">
        <v>407</v>
      </c>
      <c r="E440" s="10">
        <v>905189</v>
      </c>
      <c r="F440" s="10" t="s">
        <v>1</v>
      </c>
      <c r="G440" s="10">
        <v>13.71</v>
      </c>
      <c r="H440" s="10">
        <v>14.86</v>
      </c>
      <c r="I440" s="10">
        <v>104.3</v>
      </c>
      <c r="J440" s="10">
        <v>800</v>
      </c>
      <c r="K440" s="10">
        <v>9.4950000000000007E-2</v>
      </c>
      <c r="L440" s="10">
        <v>8.5010000000000002E-2</v>
      </c>
      <c r="M440" s="10">
        <v>5.5E-2</v>
      </c>
      <c r="N440" s="10">
        <v>4.5280000000000001E-2</v>
      </c>
      <c r="O440" s="10">
        <v>0.17349999999999999</v>
      </c>
      <c r="P440" s="10">
        <v>5.8749999999999997E-2</v>
      </c>
      <c r="Q440" s="10">
        <v>0.2387</v>
      </c>
      <c r="R440" s="10">
        <v>0.63719999999999999</v>
      </c>
      <c r="S440" s="10">
        <v>1.7290000000000001</v>
      </c>
      <c r="T440" s="10">
        <v>21.83</v>
      </c>
      <c r="U440" s="10">
        <v>3.9579999999999997E-3</v>
      </c>
      <c r="V440" s="10">
        <v>1.2460000000000001E-2</v>
      </c>
      <c r="W440" s="10">
        <v>1.831E-2</v>
      </c>
      <c r="X440" s="10">
        <v>8.7469999999999996E-3</v>
      </c>
      <c r="Y440" s="10">
        <v>1.4999999999999999E-2</v>
      </c>
      <c r="Z440" s="10">
        <v>1.621E-3</v>
      </c>
      <c r="AA440" s="10">
        <v>17.71</v>
      </c>
      <c r="AB440" s="10">
        <v>19.579999999999998</v>
      </c>
      <c r="AC440" s="10">
        <v>115.9</v>
      </c>
      <c r="AD440" s="10">
        <v>947.9</v>
      </c>
      <c r="AE440" s="10">
        <v>0.1206</v>
      </c>
      <c r="AF440" s="10">
        <v>0.17219999999999999</v>
      </c>
      <c r="AG440" s="10">
        <v>0.23100000000000001</v>
      </c>
      <c r="AH440" s="10">
        <v>0.1129</v>
      </c>
      <c r="AI440" s="10">
        <v>0.27779999999999999</v>
      </c>
      <c r="AJ440">
        <v>7.0120000000000002E-2</v>
      </c>
    </row>
    <row r="441" spans="3:36">
      <c r="C441" s="11" t="s">
        <v>547</v>
      </c>
      <c r="D441" s="10">
        <v>408</v>
      </c>
      <c r="E441" s="10">
        <v>905190</v>
      </c>
      <c r="F441" s="10" t="s">
        <v>1</v>
      </c>
      <c r="G441" s="10">
        <v>13.71</v>
      </c>
      <c r="H441" s="10">
        <v>21.37</v>
      </c>
      <c r="I441" s="10">
        <v>82.63</v>
      </c>
      <c r="J441" s="10">
        <v>514.5</v>
      </c>
      <c r="K441" s="10">
        <v>7.5509999999999994E-2</v>
      </c>
      <c r="L441" s="10">
        <v>8.3159999999999998E-2</v>
      </c>
      <c r="M441" s="10">
        <v>6.1260000000000002E-2</v>
      </c>
      <c r="N441" s="10">
        <v>1.8669999999999999E-2</v>
      </c>
      <c r="O441" s="10">
        <v>0.158</v>
      </c>
      <c r="P441" s="10">
        <v>6.114E-2</v>
      </c>
      <c r="Q441" s="10">
        <v>0.49930000000000002</v>
      </c>
      <c r="R441" s="10">
        <v>1.798</v>
      </c>
      <c r="S441" s="10">
        <v>2.552</v>
      </c>
      <c r="T441" s="10">
        <v>41.24</v>
      </c>
      <c r="U441" s="10">
        <v>6.0109999999999999E-3</v>
      </c>
      <c r="V441" s="10">
        <v>4.48E-2</v>
      </c>
      <c r="W441" s="10">
        <v>5.1749999999999997E-2</v>
      </c>
      <c r="X441" s="10">
        <v>1.341E-2</v>
      </c>
      <c r="Y441" s="10">
        <v>2.6689999999999998E-2</v>
      </c>
      <c r="Z441" s="10">
        <v>7.731E-3</v>
      </c>
      <c r="AA441" s="10">
        <v>14.4</v>
      </c>
      <c r="AB441" s="10">
        <v>27.01</v>
      </c>
      <c r="AC441" s="10">
        <v>91.63</v>
      </c>
      <c r="AD441" s="10">
        <v>645.79999999999995</v>
      </c>
      <c r="AE441" s="10">
        <v>9.4020000000000006E-2</v>
      </c>
      <c r="AF441" s="10">
        <v>0.19359999999999999</v>
      </c>
      <c r="AG441" s="10">
        <v>0.18379999999999999</v>
      </c>
      <c r="AH441" s="10">
        <v>5.6009999999999997E-2</v>
      </c>
      <c r="AI441" s="10">
        <v>0.24879999999999999</v>
      </c>
      <c r="AJ441">
        <v>8.1509999999999999E-2</v>
      </c>
    </row>
    <row r="442" spans="3:36">
      <c r="C442" s="11" t="s">
        <v>548</v>
      </c>
      <c r="D442" s="10">
        <v>409</v>
      </c>
      <c r="E442" s="10">
        <v>90524101</v>
      </c>
      <c r="F442" s="10" t="s">
        <v>0</v>
      </c>
      <c r="G442" s="10">
        <v>13.71</v>
      </c>
      <c r="H442" s="10">
        <v>20.66</v>
      </c>
      <c r="I442" s="10">
        <v>117.8</v>
      </c>
      <c r="J442" s="10">
        <v>991.7</v>
      </c>
      <c r="K442" s="10">
        <v>0.1036</v>
      </c>
      <c r="L442" s="10">
        <v>0.13039999999999999</v>
      </c>
      <c r="M442" s="10">
        <v>0.1201</v>
      </c>
      <c r="N442" s="10">
        <v>8.8239999999999999E-2</v>
      </c>
      <c r="O442" s="10">
        <v>0.19919999999999999</v>
      </c>
      <c r="P442" s="10">
        <v>6.0690000000000001E-2</v>
      </c>
      <c r="Q442" s="10">
        <v>0.45369999999999999</v>
      </c>
      <c r="R442" s="10">
        <v>0.87329999999999997</v>
      </c>
      <c r="S442" s="10">
        <v>3.0609999999999999</v>
      </c>
      <c r="T442" s="10">
        <v>49.81</v>
      </c>
      <c r="U442" s="10">
        <v>7.2309999999999996E-3</v>
      </c>
      <c r="V442" s="10">
        <v>2.7720000000000002E-2</v>
      </c>
      <c r="W442" s="10">
        <v>2.5090000000000001E-2</v>
      </c>
      <c r="X442" s="10">
        <v>1.4800000000000001E-2</v>
      </c>
      <c r="Y442" s="10">
        <v>1.414E-2</v>
      </c>
      <c r="Z442" s="10">
        <v>3.336E-3</v>
      </c>
      <c r="AA442" s="10">
        <v>21.08</v>
      </c>
      <c r="AB442" s="10">
        <v>25.41</v>
      </c>
      <c r="AC442" s="10">
        <v>138.1</v>
      </c>
      <c r="AD442" s="10">
        <v>1349</v>
      </c>
      <c r="AE442" s="10">
        <v>0.1482</v>
      </c>
      <c r="AF442" s="10">
        <v>0.3735</v>
      </c>
      <c r="AG442" s="10">
        <v>0.3301</v>
      </c>
      <c r="AH442" s="10">
        <v>0.19739999999999999</v>
      </c>
      <c r="AI442" s="10">
        <v>0.30599999999999999</v>
      </c>
      <c r="AJ442">
        <v>8.5029999999999994E-2</v>
      </c>
    </row>
    <row r="443" spans="3:36">
      <c r="C443" s="11" t="s">
        <v>549</v>
      </c>
      <c r="D443" s="10">
        <v>410</v>
      </c>
      <c r="E443" s="10">
        <v>905501</v>
      </c>
      <c r="F443" s="10" t="s">
        <v>1</v>
      </c>
      <c r="G443" s="10">
        <v>13.71</v>
      </c>
      <c r="H443" s="10">
        <v>17.920000000000002</v>
      </c>
      <c r="I443" s="10">
        <v>78.41</v>
      </c>
      <c r="J443" s="10">
        <v>466.1</v>
      </c>
      <c r="K443" s="10">
        <v>8.6849999999999997E-2</v>
      </c>
      <c r="L443" s="10">
        <v>6.5259999999999999E-2</v>
      </c>
      <c r="M443" s="10">
        <v>3.211E-2</v>
      </c>
      <c r="N443" s="10">
        <v>2.6530000000000001E-2</v>
      </c>
      <c r="O443" s="10">
        <v>0.1966</v>
      </c>
      <c r="P443" s="10">
        <v>5.5969999999999999E-2</v>
      </c>
      <c r="Q443" s="10">
        <v>0.3342</v>
      </c>
      <c r="R443" s="10">
        <v>1.7809999999999999</v>
      </c>
      <c r="S443" s="10">
        <v>2.0790000000000002</v>
      </c>
      <c r="T443" s="10">
        <v>25.79</v>
      </c>
      <c r="U443" s="10">
        <v>5.888E-3</v>
      </c>
      <c r="V443" s="10">
        <v>2.3099999999999999E-2</v>
      </c>
      <c r="W443" s="10">
        <v>2.0590000000000001E-2</v>
      </c>
      <c r="X443" s="10">
        <v>1.0749999999999999E-2</v>
      </c>
      <c r="Y443" s="10">
        <v>2.5780000000000001E-2</v>
      </c>
      <c r="Z443" s="10">
        <v>2.2669999999999999E-3</v>
      </c>
      <c r="AA443" s="10">
        <v>14.1</v>
      </c>
      <c r="AB443" s="10">
        <v>28.88</v>
      </c>
      <c r="AC443" s="10">
        <v>89</v>
      </c>
      <c r="AD443" s="10">
        <v>610.20000000000005</v>
      </c>
      <c r="AE443" s="10">
        <v>0.124</v>
      </c>
      <c r="AF443" s="10">
        <v>0.17949999999999999</v>
      </c>
      <c r="AG443" s="10">
        <v>0.13769999999999999</v>
      </c>
      <c r="AH443" s="10">
        <v>9.5320000000000002E-2</v>
      </c>
      <c r="AI443" s="10">
        <v>0.34549999999999997</v>
      </c>
      <c r="AJ443">
        <v>6.8959999999999994E-2</v>
      </c>
    </row>
    <row r="444" spans="3:36">
      <c r="C444" s="11" t="s">
        <v>550</v>
      </c>
      <c r="D444" s="10">
        <v>411</v>
      </c>
      <c r="E444" s="10">
        <v>905502</v>
      </c>
      <c r="F444" s="10" t="s">
        <v>1</v>
      </c>
      <c r="G444" s="10">
        <v>13.71</v>
      </c>
      <c r="H444" s="10">
        <v>17.57</v>
      </c>
      <c r="I444" s="10">
        <v>72.489999999999995</v>
      </c>
      <c r="J444" s="10">
        <v>399.8</v>
      </c>
      <c r="K444" s="10">
        <v>8.8580000000000006E-2</v>
      </c>
      <c r="L444" s="10">
        <v>5.3129999999999997E-2</v>
      </c>
      <c r="M444" s="10">
        <v>2.7830000000000001E-2</v>
      </c>
      <c r="N444" s="10">
        <v>2.1000000000000001E-2</v>
      </c>
      <c r="O444" s="10">
        <v>0.16009999999999999</v>
      </c>
      <c r="P444" s="10">
        <v>5.9130000000000002E-2</v>
      </c>
      <c r="Q444" s="10">
        <v>0.19159999999999999</v>
      </c>
      <c r="R444" s="10">
        <v>1.5549999999999999</v>
      </c>
      <c r="S444" s="10">
        <v>1.359</v>
      </c>
      <c r="T444" s="10">
        <v>13.66</v>
      </c>
      <c r="U444" s="10">
        <v>5.391E-3</v>
      </c>
      <c r="V444" s="10">
        <v>9.9469999999999992E-3</v>
      </c>
      <c r="W444" s="10">
        <v>1.163E-2</v>
      </c>
      <c r="X444" s="10">
        <v>5.8719999999999996E-3</v>
      </c>
      <c r="Y444" s="10">
        <v>1.341E-2</v>
      </c>
      <c r="Z444" s="10">
        <v>1.6590000000000001E-3</v>
      </c>
      <c r="AA444" s="10">
        <v>13.05</v>
      </c>
      <c r="AB444" s="10">
        <v>36.32</v>
      </c>
      <c r="AC444" s="10">
        <v>85.07</v>
      </c>
      <c r="AD444" s="10">
        <v>521.29999999999995</v>
      </c>
      <c r="AE444" s="10">
        <v>0.14530000000000001</v>
      </c>
      <c r="AF444" s="10">
        <v>0.16220000000000001</v>
      </c>
      <c r="AG444" s="10">
        <v>0.18110000000000001</v>
      </c>
      <c r="AH444" s="10">
        <v>8.6980000000000002E-2</v>
      </c>
      <c r="AI444" s="10">
        <v>0.29730000000000001</v>
      </c>
      <c r="AJ444">
        <v>7.7450000000000005E-2</v>
      </c>
    </row>
    <row r="445" spans="3:36">
      <c r="C445" s="11" t="s">
        <v>551</v>
      </c>
      <c r="D445" s="10">
        <v>412</v>
      </c>
      <c r="E445" s="10">
        <v>905520</v>
      </c>
      <c r="F445" s="10" t="s">
        <v>1</v>
      </c>
      <c r="G445" s="10">
        <v>13.71</v>
      </c>
      <c r="H445" s="10">
        <v>16.829999999999998</v>
      </c>
      <c r="I445" s="10">
        <v>70.92</v>
      </c>
      <c r="J445" s="10">
        <v>373.2</v>
      </c>
      <c r="K445" s="10">
        <v>0.1077</v>
      </c>
      <c r="L445" s="10">
        <v>7.8039999999999998E-2</v>
      </c>
      <c r="M445" s="10">
        <v>3.0460000000000001E-2</v>
      </c>
      <c r="N445" s="10">
        <v>2.4799999999999999E-2</v>
      </c>
      <c r="O445" s="10">
        <v>0.1714</v>
      </c>
      <c r="P445" s="10">
        <v>6.3399999999999998E-2</v>
      </c>
      <c r="Q445" s="10">
        <v>0.19670000000000001</v>
      </c>
      <c r="R445" s="10">
        <v>1.387</v>
      </c>
      <c r="S445" s="10">
        <v>1.3420000000000001</v>
      </c>
      <c r="T445" s="10">
        <v>13.54</v>
      </c>
      <c r="U445" s="10">
        <v>5.1580000000000003E-3</v>
      </c>
      <c r="V445" s="10">
        <v>9.3550000000000005E-3</v>
      </c>
      <c r="W445" s="10">
        <v>1.056E-2</v>
      </c>
      <c r="X445" s="10">
        <v>7.4830000000000001E-3</v>
      </c>
      <c r="Y445" s="10">
        <v>1.7180000000000001E-2</v>
      </c>
      <c r="Z445" s="10">
        <v>2.1979999999999999E-3</v>
      </c>
      <c r="AA445" s="10">
        <v>12.41</v>
      </c>
      <c r="AB445" s="10">
        <v>26.44</v>
      </c>
      <c r="AC445" s="10">
        <v>79.930000000000007</v>
      </c>
      <c r="AD445" s="10">
        <v>471.4</v>
      </c>
      <c r="AE445" s="10">
        <v>0.13689999999999999</v>
      </c>
      <c r="AF445" s="10">
        <v>0.1482</v>
      </c>
      <c r="AG445" s="10">
        <v>0.1067</v>
      </c>
      <c r="AH445" s="10">
        <v>7.4310000000000001E-2</v>
      </c>
      <c r="AI445" s="10">
        <v>0.29980000000000001</v>
      </c>
      <c r="AJ445">
        <v>7.8810000000000005E-2</v>
      </c>
    </row>
    <row r="446" spans="3:36">
      <c r="C446" s="11" t="s">
        <v>552</v>
      </c>
      <c r="D446" s="10">
        <v>413</v>
      </c>
      <c r="E446" s="10">
        <v>905539</v>
      </c>
      <c r="F446" s="10" t="s">
        <v>1</v>
      </c>
      <c r="G446" s="10">
        <v>13.71</v>
      </c>
      <c r="H446" s="10">
        <v>21.68</v>
      </c>
      <c r="I446" s="10">
        <v>59.75</v>
      </c>
      <c r="J446" s="10">
        <v>268.8</v>
      </c>
      <c r="K446" s="10">
        <v>7.9689999999999997E-2</v>
      </c>
      <c r="L446" s="10">
        <v>6.053E-2</v>
      </c>
      <c r="M446" s="10">
        <v>3.7350000000000001E-2</v>
      </c>
      <c r="N446" s="10">
        <v>5.1279999999999997E-3</v>
      </c>
      <c r="O446" s="10">
        <v>0.12740000000000001</v>
      </c>
      <c r="P446" s="10">
        <v>6.7239999999999994E-2</v>
      </c>
      <c r="Q446" s="10">
        <v>0.1186</v>
      </c>
      <c r="R446" s="10">
        <v>1.1819999999999999</v>
      </c>
      <c r="S446" s="10">
        <v>1.1739999999999999</v>
      </c>
      <c r="T446" s="10">
        <v>6.8019999999999996</v>
      </c>
      <c r="U446" s="10">
        <v>5.5149999999999999E-3</v>
      </c>
      <c r="V446" s="10">
        <v>2.674E-2</v>
      </c>
      <c r="W446" s="10">
        <v>3.7350000000000001E-2</v>
      </c>
      <c r="X446" s="10">
        <v>5.1279999999999997E-3</v>
      </c>
      <c r="Y446" s="10">
        <v>1.951E-2</v>
      </c>
      <c r="Z446" s="10">
        <v>4.5830000000000003E-3</v>
      </c>
      <c r="AA446" s="10">
        <v>9.9649999999999999</v>
      </c>
      <c r="AB446" s="10">
        <v>27.99</v>
      </c>
      <c r="AC446" s="10">
        <v>66.61</v>
      </c>
      <c r="AD446" s="10">
        <v>301</v>
      </c>
      <c r="AE446" s="10">
        <v>0.1086</v>
      </c>
      <c r="AF446" s="10">
        <v>0.18870000000000001</v>
      </c>
      <c r="AG446" s="10">
        <v>0.18679999999999999</v>
      </c>
      <c r="AH446" s="10">
        <v>2.564E-2</v>
      </c>
      <c r="AI446" s="10">
        <v>0.23760000000000001</v>
      </c>
      <c r="AJ446">
        <v>9.2060000000000003E-2</v>
      </c>
    </row>
    <row r="447" spans="3:36">
      <c r="C447" s="11" t="s">
        <v>553</v>
      </c>
      <c r="D447" s="10">
        <v>414</v>
      </c>
      <c r="E447" s="10">
        <v>905557</v>
      </c>
      <c r="F447" s="10" t="s">
        <v>1</v>
      </c>
      <c r="G447" s="10">
        <v>13.71</v>
      </c>
      <c r="H447" s="10">
        <v>22.11</v>
      </c>
      <c r="I447" s="10">
        <v>97.53</v>
      </c>
      <c r="J447" s="10">
        <v>693.7</v>
      </c>
      <c r="K447" s="10">
        <v>8.5150000000000003E-2</v>
      </c>
      <c r="L447" s="10">
        <v>0.10249999999999999</v>
      </c>
      <c r="M447" s="10">
        <v>6.8589999999999998E-2</v>
      </c>
      <c r="N447" s="10">
        <v>3.8760000000000003E-2</v>
      </c>
      <c r="O447" s="10">
        <v>0.19439999999999999</v>
      </c>
      <c r="P447" s="10">
        <v>5.9130000000000002E-2</v>
      </c>
      <c r="Q447" s="10">
        <v>0.31859999999999999</v>
      </c>
      <c r="R447" s="10">
        <v>1.3360000000000001</v>
      </c>
      <c r="S447" s="10">
        <v>2.31</v>
      </c>
      <c r="T447" s="10">
        <v>28.51</v>
      </c>
      <c r="U447" s="10">
        <v>4.4489999999999998E-3</v>
      </c>
      <c r="V447" s="10">
        <v>2.8080000000000001E-2</v>
      </c>
      <c r="W447" s="10">
        <v>3.3119999999999997E-2</v>
      </c>
      <c r="X447" s="10">
        <v>1.196E-2</v>
      </c>
      <c r="Y447" s="10">
        <v>1.9060000000000001E-2</v>
      </c>
      <c r="Z447" s="10">
        <v>4.0150000000000003E-3</v>
      </c>
      <c r="AA447" s="10">
        <v>16.760000000000002</v>
      </c>
      <c r="AB447" s="10">
        <v>31.55</v>
      </c>
      <c r="AC447" s="10">
        <v>110.2</v>
      </c>
      <c r="AD447" s="10">
        <v>867.1</v>
      </c>
      <c r="AE447" s="10">
        <v>0.1077</v>
      </c>
      <c r="AF447" s="10">
        <v>0.33450000000000002</v>
      </c>
      <c r="AG447" s="10">
        <v>0.31140000000000001</v>
      </c>
      <c r="AH447" s="10">
        <v>0.1308</v>
      </c>
      <c r="AI447" s="10">
        <v>0.31630000000000003</v>
      </c>
      <c r="AJ447">
        <v>9.2509999999999995E-2</v>
      </c>
    </row>
    <row r="448" spans="3:36">
      <c r="C448" s="11" t="s">
        <v>554</v>
      </c>
      <c r="D448" s="10">
        <v>415</v>
      </c>
      <c r="E448" s="10">
        <v>905680</v>
      </c>
      <c r="F448" s="10" t="s">
        <v>0</v>
      </c>
      <c r="G448" s="10">
        <v>13.71</v>
      </c>
      <c r="H448" s="10">
        <v>29.81</v>
      </c>
      <c r="I448" s="10">
        <v>96.71</v>
      </c>
      <c r="J448" s="10">
        <v>719.5</v>
      </c>
      <c r="K448" s="10">
        <v>8.3199999999999996E-2</v>
      </c>
      <c r="L448" s="10">
        <v>4.6050000000000001E-2</v>
      </c>
      <c r="M448" s="10">
        <v>4.6859999999999999E-2</v>
      </c>
      <c r="N448" s="10">
        <v>2.7390000000000001E-2</v>
      </c>
      <c r="O448" s="10">
        <v>0.1852</v>
      </c>
      <c r="P448" s="10">
        <v>5.2940000000000001E-2</v>
      </c>
      <c r="Q448" s="10">
        <v>0.46810000000000002</v>
      </c>
      <c r="R448" s="10">
        <v>1.627</v>
      </c>
      <c r="S448" s="10">
        <v>3.0430000000000001</v>
      </c>
      <c r="T448" s="10">
        <v>45.38</v>
      </c>
      <c r="U448" s="10">
        <v>6.8310000000000003E-3</v>
      </c>
      <c r="V448" s="10">
        <v>1.427E-2</v>
      </c>
      <c r="W448" s="10">
        <v>2.4889999999999999E-2</v>
      </c>
      <c r="X448" s="10">
        <v>9.0869999999999996E-3</v>
      </c>
      <c r="Y448" s="10">
        <v>3.1510000000000003E-2</v>
      </c>
      <c r="Z448" s="10">
        <v>1.75E-3</v>
      </c>
      <c r="AA448" s="10">
        <v>17.260000000000002</v>
      </c>
      <c r="AB448" s="10">
        <v>36.909999999999997</v>
      </c>
      <c r="AC448" s="10">
        <v>110.1</v>
      </c>
      <c r="AD448" s="10">
        <v>931.4</v>
      </c>
      <c r="AE448" s="10">
        <v>0.1148</v>
      </c>
      <c r="AF448" s="10">
        <v>9.8659999999999998E-2</v>
      </c>
      <c r="AG448" s="10">
        <v>0.1547</v>
      </c>
      <c r="AH448" s="10">
        <v>6.5750000000000003E-2</v>
      </c>
      <c r="AI448" s="10">
        <v>0.32329999999999998</v>
      </c>
      <c r="AJ448">
        <v>6.1650000000000003E-2</v>
      </c>
    </row>
    <row r="449" spans="3:36">
      <c r="C449" s="11" t="s">
        <v>555</v>
      </c>
      <c r="D449" s="10">
        <v>416</v>
      </c>
      <c r="E449" s="10">
        <v>905686</v>
      </c>
      <c r="F449" s="10" t="s">
        <v>1</v>
      </c>
      <c r="G449" s="10">
        <v>13.71</v>
      </c>
      <c r="H449" s="10">
        <v>21.17</v>
      </c>
      <c r="I449" s="10">
        <v>76.39</v>
      </c>
      <c r="J449" s="10">
        <v>433.8</v>
      </c>
      <c r="K449" s="10">
        <v>9.7729999999999997E-2</v>
      </c>
      <c r="L449" s="10">
        <v>8.1199999999999994E-2</v>
      </c>
      <c r="M449" s="10">
        <v>2.555E-2</v>
      </c>
      <c r="N449" s="10">
        <v>2.179E-2</v>
      </c>
      <c r="O449" s="10">
        <v>0.2019</v>
      </c>
      <c r="P449" s="10">
        <v>6.2899999999999998E-2</v>
      </c>
      <c r="Q449" s="10">
        <v>0.2747</v>
      </c>
      <c r="R449" s="10">
        <v>1.2030000000000001</v>
      </c>
      <c r="S449" s="10">
        <v>1.93</v>
      </c>
      <c r="T449" s="10">
        <v>19.53</v>
      </c>
      <c r="U449" s="10">
        <v>9.8949999999999993E-3</v>
      </c>
      <c r="V449" s="10">
        <v>3.0530000000000002E-2</v>
      </c>
      <c r="W449" s="10">
        <v>1.6299999999999999E-2</v>
      </c>
      <c r="X449" s="10">
        <v>9.2759999999999995E-3</v>
      </c>
      <c r="Y449" s="10">
        <v>2.2579999999999999E-2</v>
      </c>
      <c r="Z449" s="10">
        <v>2.2720000000000001E-3</v>
      </c>
      <c r="AA449" s="10">
        <v>13.05</v>
      </c>
      <c r="AB449" s="10">
        <v>27.21</v>
      </c>
      <c r="AC449" s="10">
        <v>85.09</v>
      </c>
      <c r="AD449" s="10">
        <v>522.9</v>
      </c>
      <c r="AE449" s="10">
        <v>0.1426</v>
      </c>
      <c r="AF449" s="10">
        <v>0.21870000000000001</v>
      </c>
      <c r="AG449" s="10">
        <v>0.1164</v>
      </c>
      <c r="AH449" s="10">
        <v>8.2629999999999995E-2</v>
      </c>
      <c r="AI449" s="10">
        <v>0.3075</v>
      </c>
      <c r="AJ449">
        <v>7.3510000000000006E-2</v>
      </c>
    </row>
    <row r="450" spans="3:36">
      <c r="C450" s="11" t="s">
        <v>556</v>
      </c>
      <c r="D450" s="10">
        <v>417</v>
      </c>
      <c r="E450" s="10">
        <v>905978</v>
      </c>
      <c r="F450" s="10" t="s">
        <v>1</v>
      </c>
      <c r="G450" s="10">
        <v>13.71</v>
      </c>
      <c r="H450" s="10">
        <v>21.7</v>
      </c>
      <c r="I450" s="10">
        <v>59.6</v>
      </c>
      <c r="J450" s="10">
        <v>271.2</v>
      </c>
      <c r="K450" s="10">
        <v>0.10440000000000001</v>
      </c>
      <c r="L450" s="10">
        <v>6.1589999999999999E-2</v>
      </c>
      <c r="M450" s="10">
        <v>2.0469999999999999E-2</v>
      </c>
      <c r="N450" s="10">
        <v>1.257E-2</v>
      </c>
      <c r="O450" s="10">
        <v>0.20250000000000001</v>
      </c>
      <c r="P450" s="10">
        <v>6.6009999999999999E-2</v>
      </c>
      <c r="Q450" s="10">
        <v>0.43020000000000003</v>
      </c>
      <c r="R450" s="10">
        <v>2.8780000000000001</v>
      </c>
      <c r="S450" s="10">
        <v>2.7589999999999999</v>
      </c>
      <c r="T450" s="10">
        <v>25.17</v>
      </c>
      <c r="U450" s="10">
        <v>1.474E-2</v>
      </c>
      <c r="V450" s="10">
        <v>1.6740000000000001E-2</v>
      </c>
      <c r="W450" s="10">
        <v>1.367E-2</v>
      </c>
      <c r="X450" s="10">
        <v>8.6739999999999994E-3</v>
      </c>
      <c r="Y450" s="10">
        <v>3.0439999999999998E-2</v>
      </c>
      <c r="Z450" s="10">
        <v>4.5900000000000003E-3</v>
      </c>
      <c r="AA450" s="10">
        <v>10.85</v>
      </c>
      <c r="AB450" s="10">
        <v>31.24</v>
      </c>
      <c r="AC450" s="10">
        <v>68.73</v>
      </c>
      <c r="AD450" s="10">
        <v>359.4</v>
      </c>
      <c r="AE450" s="10">
        <v>0.15260000000000001</v>
      </c>
      <c r="AF450" s="10">
        <v>0.1193</v>
      </c>
      <c r="AG450" s="10">
        <v>6.1409999999999999E-2</v>
      </c>
      <c r="AH450" s="10">
        <v>3.7699999999999997E-2</v>
      </c>
      <c r="AI450" s="10">
        <v>0.28720000000000001</v>
      </c>
      <c r="AJ450">
        <v>8.3040000000000003E-2</v>
      </c>
    </row>
    <row r="451" spans="3:36">
      <c r="C451" s="11" t="s">
        <v>557</v>
      </c>
      <c r="D451" s="10">
        <v>418</v>
      </c>
      <c r="E451" s="10">
        <v>90602302</v>
      </c>
      <c r="F451" s="10" t="s">
        <v>0</v>
      </c>
      <c r="G451" s="10">
        <v>13.71</v>
      </c>
      <c r="H451" s="10">
        <v>21.08</v>
      </c>
      <c r="I451" s="10">
        <v>102.9</v>
      </c>
      <c r="J451" s="10">
        <v>803.1</v>
      </c>
      <c r="K451" s="10">
        <v>0.112</v>
      </c>
      <c r="L451" s="10">
        <v>0.15709999999999999</v>
      </c>
      <c r="M451" s="10">
        <v>0.1522</v>
      </c>
      <c r="N451" s="10">
        <v>8.4809999999999997E-2</v>
      </c>
      <c r="O451" s="10">
        <v>0.20849999999999999</v>
      </c>
      <c r="P451" s="10">
        <v>6.8640000000000007E-2</v>
      </c>
      <c r="Q451" s="10">
        <v>1.37</v>
      </c>
      <c r="R451" s="10">
        <v>1.2130000000000001</v>
      </c>
      <c r="S451" s="10">
        <v>9.4239999999999995</v>
      </c>
      <c r="T451" s="10">
        <v>176.5</v>
      </c>
      <c r="U451" s="10">
        <v>8.1980000000000004E-3</v>
      </c>
      <c r="V451" s="10">
        <v>3.8890000000000001E-2</v>
      </c>
      <c r="W451" s="10">
        <v>4.4929999999999998E-2</v>
      </c>
      <c r="X451" s="10">
        <v>2.1389999999999999E-2</v>
      </c>
      <c r="Y451" s="10">
        <v>2.018E-2</v>
      </c>
      <c r="Z451" s="10">
        <v>5.8149999999999999E-3</v>
      </c>
      <c r="AA451" s="10">
        <v>23.17</v>
      </c>
      <c r="AB451" s="10">
        <v>27.65</v>
      </c>
      <c r="AC451" s="10">
        <v>157.1</v>
      </c>
      <c r="AD451" s="10">
        <v>1748</v>
      </c>
      <c r="AE451" s="10">
        <v>0.1517</v>
      </c>
      <c r="AF451" s="10">
        <v>0.4002</v>
      </c>
      <c r="AG451" s="10">
        <v>0.42109999999999997</v>
      </c>
      <c r="AH451" s="10">
        <v>0.21340000000000001</v>
      </c>
      <c r="AI451" s="10">
        <v>0.30030000000000001</v>
      </c>
      <c r="AJ451">
        <v>0.1048</v>
      </c>
    </row>
    <row r="452" spans="3:36">
      <c r="C452" s="11" t="s">
        <v>558</v>
      </c>
      <c r="D452" s="10">
        <v>419</v>
      </c>
      <c r="E452" s="10">
        <v>906024</v>
      </c>
      <c r="F452" s="10" t="s">
        <v>1</v>
      </c>
      <c r="G452" s="10">
        <v>13.71</v>
      </c>
      <c r="H452" s="10">
        <v>12.17</v>
      </c>
      <c r="I452" s="10">
        <v>80.88</v>
      </c>
      <c r="J452" s="10">
        <v>495</v>
      </c>
      <c r="K452" s="10">
        <v>8.7849999999999998E-2</v>
      </c>
      <c r="L452" s="10">
        <v>5.7939999999999998E-2</v>
      </c>
      <c r="M452" s="10">
        <v>2.3599999999999999E-2</v>
      </c>
      <c r="N452" s="10">
        <v>2.402E-2</v>
      </c>
      <c r="O452" s="10">
        <v>0.1583</v>
      </c>
      <c r="P452" s="10">
        <v>6.275E-2</v>
      </c>
      <c r="Q452" s="10">
        <v>0.2253</v>
      </c>
      <c r="R452" s="10">
        <v>0.64570000000000005</v>
      </c>
      <c r="S452" s="10">
        <v>1.5269999999999999</v>
      </c>
      <c r="T452" s="10">
        <v>17.37</v>
      </c>
      <c r="U452" s="10">
        <v>6.1310000000000002E-3</v>
      </c>
      <c r="V452" s="10">
        <v>1.2630000000000001E-2</v>
      </c>
      <c r="W452" s="10">
        <v>9.0749999999999997E-3</v>
      </c>
      <c r="X452" s="10">
        <v>8.2310000000000005E-3</v>
      </c>
      <c r="Y452" s="10">
        <v>1.7129999999999999E-2</v>
      </c>
      <c r="Z452" s="10">
        <v>4.4140000000000004E-3</v>
      </c>
      <c r="AA452" s="10">
        <v>13.65</v>
      </c>
      <c r="AB452" s="10">
        <v>16.920000000000002</v>
      </c>
      <c r="AC452" s="10">
        <v>88.12</v>
      </c>
      <c r="AD452" s="10">
        <v>566.9</v>
      </c>
      <c r="AE452" s="10">
        <v>0.13139999999999999</v>
      </c>
      <c r="AF452" s="10">
        <v>0.16070000000000001</v>
      </c>
      <c r="AG452" s="10">
        <v>9.3850000000000003E-2</v>
      </c>
      <c r="AH452" s="10">
        <v>8.2239999999999994E-2</v>
      </c>
      <c r="AI452" s="10">
        <v>0.27750000000000002</v>
      </c>
      <c r="AJ452">
        <v>9.4640000000000002E-2</v>
      </c>
    </row>
    <row r="453" spans="3:36">
      <c r="C453" s="11" t="s">
        <v>559</v>
      </c>
      <c r="D453" s="10">
        <v>420</v>
      </c>
      <c r="E453" s="10">
        <v>906290</v>
      </c>
      <c r="F453" s="10" t="s">
        <v>1</v>
      </c>
      <c r="G453" s="10">
        <v>13.71</v>
      </c>
      <c r="H453" s="10">
        <v>21.41</v>
      </c>
      <c r="I453" s="10">
        <v>70.95</v>
      </c>
      <c r="J453" s="10">
        <v>380.3</v>
      </c>
      <c r="K453" s="10">
        <v>0.1018</v>
      </c>
      <c r="L453" s="10">
        <v>5.978E-2</v>
      </c>
      <c r="M453" s="10">
        <v>8.9549999999999994E-3</v>
      </c>
      <c r="N453" s="10">
        <v>1.076E-2</v>
      </c>
      <c r="O453" s="10">
        <v>0.1615</v>
      </c>
      <c r="P453" s="10">
        <v>6.1440000000000002E-2</v>
      </c>
      <c r="Q453" s="10">
        <v>0.28649999999999998</v>
      </c>
      <c r="R453" s="10">
        <v>1.6779999999999999</v>
      </c>
      <c r="S453" s="10">
        <v>1.968</v>
      </c>
      <c r="T453" s="10">
        <v>18.989999999999998</v>
      </c>
      <c r="U453" s="10">
        <v>6.9080000000000001E-3</v>
      </c>
      <c r="V453" s="10">
        <v>9.4420000000000007E-3</v>
      </c>
      <c r="W453" s="10">
        <v>6.9719999999999999E-3</v>
      </c>
      <c r="X453" s="10">
        <v>6.1590000000000004E-3</v>
      </c>
      <c r="Y453" s="10">
        <v>2.6939999999999999E-2</v>
      </c>
      <c r="Z453" s="10">
        <v>2.0600000000000002E-3</v>
      </c>
      <c r="AA453" s="10">
        <v>12.36</v>
      </c>
      <c r="AB453" s="10">
        <v>28.92</v>
      </c>
      <c r="AC453" s="10">
        <v>79.260000000000005</v>
      </c>
      <c r="AD453" s="10">
        <v>458</v>
      </c>
      <c r="AE453" s="10">
        <v>0.12820000000000001</v>
      </c>
      <c r="AF453" s="10">
        <v>0.1108</v>
      </c>
      <c r="AG453" s="10">
        <v>3.5819999999999998E-2</v>
      </c>
      <c r="AH453" s="10">
        <v>4.3060000000000001E-2</v>
      </c>
      <c r="AI453" s="10">
        <v>0.29759999999999998</v>
      </c>
      <c r="AJ453">
        <v>7.1230000000000002E-2</v>
      </c>
    </row>
    <row r="454" spans="3:36">
      <c r="C454" s="11" t="s">
        <v>560</v>
      </c>
      <c r="D454" s="10">
        <v>421</v>
      </c>
      <c r="E454" s="10">
        <v>906539</v>
      </c>
      <c r="F454" s="10" t="s">
        <v>1</v>
      </c>
      <c r="G454" s="10">
        <v>13.71</v>
      </c>
      <c r="H454" s="10">
        <v>19.04</v>
      </c>
      <c r="I454" s="10">
        <v>74.2</v>
      </c>
      <c r="J454" s="10">
        <v>409.7</v>
      </c>
      <c r="K454" s="10">
        <v>8.5459999999999994E-2</v>
      </c>
      <c r="L454" s="10">
        <v>7.7219999999999997E-2</v>
      </c>
      <c r="M454" s="10">
        <v>5.4850000000000003E-2</v>
      </c>
      <c r="N454" s="10">
        <v>1.4279999999999999E-2</v>
      </c>
      <c r="O454" s="10">
        <v>0.2031</v>
      </c>
      <c r="P454" s="10">
        <v>6.2670000000000003E-2</v>
      </c>
      <c r="Q454" s="10">
        <v>0.28639999999999999</v>
      </c>
      <c r="R454" s="10">
        <v>1.44</v>
      </c>
      <c r="S454" s="10">
        <v>2.206</v>
      </c>
      <c r="T454" s="10">
        <v>20.3</v>
      </c>
      <c r="U454" s="10">
        <v>7.2779999999999997E-3</v>
      </c>
      <c r="V454" s="10">
        <v>2.0469999999999999E-2</v>
      </c>
      <c r="W454" s="10">
        <v>4.4470000000000003E-2</v>
      </c>
      <c r="X454" s="10">
        <v>8.7989999999999995E-3</v>
      </c>
      <c r="Y454" s="10">
        <v>1.8679999999999999E-2</v>
      </c>
      <c r="Z454" s="10">
        <v>3.339E-3</v>
      </c>
      <c r="AA454" s="10">
        <v>13.07</v>
      </c>
      <c r="AB454" s="10">
        <v>26.98</v>
      </c>
      <c r="AC454" s="10">
        <v>86.43</v>
      </c>
      <c r="AD454" s="10">
        <v>520.5</v>
      </c>
      <c r="AE454" s="10">
        <v>0.1249</v>
      </c>
      <c r="AF454" s="10">
        <v>0.19370000000000001</v>
      </c>
      <c r="AG454" s="10">
        <v>0.25600000000000001</v>
      </c>
      <c r="AH454" s="10">
        <v>6.6640000000000005E-2</v>
      </c>
      <c r="AI454" s="10">
        <v>0.30349999999999999</v>
      </c>
      <c r="AJ454">
        <v>8.2839999999999997E-2</v>
      </c>
    </row>
    <row r="455" spans="3:36">
      <c r="C455" s="11" t="s">
        <v>561</v>
      </c>
      <c r="D455" s="10">
        <v>422</v>
      </c>
      <c r="E455" s="10">
        <v>906564</v>
      </c>
      <c r="F455" s="10" t="s">
        <v>1</v>
      </c>
      <c r="G455" s="10">
        <v>13.71</v>
      </c>
      <c r="H455" s="10">
        <v>13.98</v>
      </c>
      <c r="I455" s="10">
        <v>98.22</v>
      </c>
      <c r="J455" s="10">
        <v>656.1</v>
      </c>
      <c r="K455" s="10">
        <v>0.1031</v>
      </c>
      <c r="L455" s="10">
        <v>0.18360000000000001</v>
      </c>
      <c r="M455" s="10">
        <v>0.14499999999999999</v>
      </c>
      <c r="N455" s="10">
        <v>6.3E-2</v>
      </c>
      <c r="O455" s="10">
        <v>0.20860000000000001</v>
      </c>
      <c r="P455" s="10">
        <v>7.4060000000000001E-2</v>
      </c>
      <c r="Q455" s="10">
        <v>0.54620000000000002</v>
      </c>
      <c r="R455" s="10">
        <v>1.5109999999999999</v>
      </c>
      <c r="S455" s="10">
        <v>4.7949999999999999</v>
      </c>
      <c r="T455" s="10">
        <v>49.45</v>
      </c>
      <c r="U455" s="10">
        <v>9.9760000000000005E-3</v>
      </c>
      <c r="V455" s="10">
        <v>5.2440000000000001E-2</v>
      </c>
      <c r="W455" s="10">
        <v>5.2780000000000001E-2</v>
      </c>
      <c r="X455" s="10">
        <v>1.5800000000000002E-2</v>
      </c>
      <c r="Y455" s="10">
        <v>2.6530000000000001E-2</v>
      </c>
      <c r="Z455" s="10">
        <v>5.4440000000000001E-3</v>
      </c>
      <c r="AA455" s="10">
        <v>16.46</v>
      </c>
      <c r="AB455" s="10">
        <v>18.34</v>
      </c>
      <c r="AC455" s="10">
        <v>114.1</v>
      </c>
      <c r="AD455" s="10">
        <v>809.2</v>
      </c>
      <c r="AE455" s="10">
        <v>0.13120000000000001</v>
      </c>
      <c r="AF455" s="10">
        <v>0.36349999999999999</v>
      </c>
      <c r="AG455" s="10">
        <v>0.32190000000000002</v>
      </c>
      <c r="AH455" s="10">
        <v>0.1108</v>
      </c>
      <c r="AI455" s="10">
        <v>0.28270000000000001</v>
      </c>
      <c r="AJ455">
        <v>9.2079999999999995E-2</v>
      </c>
    </row>
    <row r="456" spans="3:36">
      <c r="C456" s="11" t="s">
        <v>562</v>
      </c>
      <c r="D456" s="10">
        <v>423</v>
      </c>
      <c r="E456" s="10">
        <v>906616</v>
      </c>
      <c r="F456" s="10" t="s">
        <v>1</v>
      </c>
      <c r="G456" s="10">
        <v>13.71</v>
      </c>
      <c r="H456" s="10">
        <v>16.02</v>
      </c>
      <c r="I456" s="10">
        <v>75.459999999999994</v>
      </c>
      <c r="J456" s="10">
        <v>408.2</v>
      </c>
      <c r="K456" s="10">
        <v>0.10879999999999999</v>
      </c>
      <c r="L456" s="10">
        <v>0.1168</v>
      </c>
      <c r="M456" s="10">
        <v>7.0970000000000005E-2</v>
      </c>
      <c r="N456" s="10">
        <v>4.4970000000000003E-2</v>
      </c>
      <c r="O456" s="10">
        <v>0.18859999999999999</v>
      </c>
      <c r="P456" s="10">
        <v>6.3200000000000006E-2</v>
      </c>
      <c r="Q456" s="10">
        <v>0.24560000000000001</v>
      </c>
      <c r="R456" s="10">
        <v>0.7339</v>
      </c>
      <c r="S456" s="10">
        <v>1.667</v>
      </c>
      <c r="T456" s="10">
        <v>15.89</v>
      </c>
      <c r="U456" s="10">
        <v>5.8840000000000003E-3</v>
      </c>
      <c r="V456" s="10">
        <v>2.0049999999999998E-2</v>
      </c>
      <c r="W456" s="10">
        <v>2.631E-2</v>
      </c>
      <c r="X456" s="10">
        <v>1.304E-2</v>
      </c>
      <c r="Y456" s="10">
        <v>1.848E-2</v>
      </c>
      <c r="Z456" s="10">
        <v>1.9819999999999998E-3</v>
      </c>
      <c r="AA456" s="10">
        <v>12.64</v>
      </c>
      <c r="AB456" s="10">
        <v>19.670000000000002</v>
      </c>
      <c r="AC456" s="10">
        <v>81.93</v>
      </c>
      <c r="AD456" s="10">
        <v>475.7</v>
      </c>
      <c r="AE456" s="10">
        <v>0.14149999999999999</v>
      </c>
      <c r="AF456" s="10">
        <v>0.217</v>
      </c>
      <c r="AG456" s="10">
        <v>0.23019999999999999</v>
      </c>
      <c r="AH456" s="10">
        <v>0.1105</v>
      </c>
      <c r="AI456" s="10">
        <v>0.2787</v>
      </c>
      <c r="AJ456">
        <v>7.4270000000000003E-2</v>
      </c>
    </row>
    <row r="457" spans="3:36">
      <c r="C457" s="11" t="s">
        <v>563</v>
      </c>
      <c r="D457" s="10">
        <v>424</v>
      </c>
      <c r="E457" s="10">
        <v>906878</v>
      </c>
      <c r="F457" s="10" t="s">
        <v>1</v>
      </c>
      <c r="G457" s="10">
        <v>13.71</v>
      </c>
      <c r="H457" s="10">
        <v>19.13</v>
      </c>
      <c r="I457" s="10">
        <v>89.46</v>
      </c>
      <c r="J457" s="10">
        <v>575.29999999999995</v>
      </c>
      <c r="K457" s="10">
        <v>9.0569999999999998E-2</v>
      </c>
      <c r="L457" s="10">
        <v>0.1147</v>
      </c>
      <c r="M457" s="10">
        <v>9.6570000000000003E-2</v>
      </c>
      <c r="N457" s="10">
        <v>4.8120000000000003E-2</v>
      </c>
      <c r="O457" s="10">
        <v>0.18479999999999999</v>
      </c>
      <c r="P457" s="10">
        <v>6.1809999999999997E-2</v>
      </c>
      <c r="Q457" s="10">
        <v>0.22439999999999999</v>
      </c>
      <c r="R457" s="10">
        <v>0.89500000000000002</v>
      </c>
      <c r="S457" s="10">
        <v>1.804</v>
      </c>
      <c r="T457" s="10">
        <v>19.36</v>
      </c>
      <c r="U457" s="10">
        <v>3.98E-3</v>
      </c>
      <c r="V457" s="10">
        <v>2.809E-2</v>
      </c>
      <c r="W457" s="10">
        <v>3.669E-2</v>
      </c>
      <c r="X457" s="10">
        <v>1.274E-2</v>
      </c>
      <c r="Y457" s="10">
        <v>1.5810000000000001E-2</v>
      </c>
      <c r="Z457" s="10">
        <v>3.9560000000000003E-3</v>
      </c>
      <c r="AA457" s="10">
        <v>15.14</v>
      </c>
      <c r="AB457" s="10">
        <v>25.5</v>
      </c>
      <c r="AC457" s="10">
        <v>101.4</v>
      </c>
      <c r="AD457" s="10">
        <v>708.8</v>
      </c>
      <c r="AE457" s="10">
        <v>0.1147</v>
      </c>
      <c r="AF457" s="10">
        <v>0.31669999999999998</v>
      </c>
      <c r="AG457" s="10">
        <v>0.36599999999999999</v>
      </c>
      <c r="AH457" s="10">
        <v>0.14069999999999999</v>
      </c>
      <c r="AI457" s="10">
        <v>0.27439999999999998</v>
      </c>
      <c r="AJ457">
        <v>8.8389999999999996E-2</v>
      </c>
    </row>
    <row r="458" spans="3:36">
      <c r="C458" s="11" t="s">
        <v>564</v>
      </c>
      <c r="D458" s="10">
        <v>425</v>
      </c>
      <c r="E458" s="10">
        <v>907145</v>
      </c>
      <c r="F458" s="10" t="s">
        <v>1</v>
      </c>
      <c r="G458" s="10">
        <v>13.71</v>
      </c>
      <c r="H458" s="10">
        <v>19.12</v>
      </c>
      <c r="I458" s="10">
        <v>61.93</v>
      </c>
      <c r="J458" s="10">
        <v>289.7</v>
      </c>
      <c r="K458" s="10">
        <v>0.1075</v>
      </c>
      <c r="L458" s="10">
        <v>8.3330000000000001E-2</v>
      </c>
      <c r="M458" s="10">
        <v>8.9339999999999992E-3</v>
      </c>
      <c r="N458" s="10">
        <v>1.967E-2</v>
      </c>
      <c r="O458" s="10">
        <v>0.25380000000000003</v>
      </c>
      <c r="P458" s="10">
        <v>7.0290000000000005E-2</v>
      </c>
      <c r="Q458" s="10">
        <v>0.69650000000000001</v>
      </c>
      <c r="R458" s="10">
        <v>1.7470000000000001</v>
      </c>
      <c r="S458" s="10">
        <v>4.6070000000000002</v>
      </c>
      <c r="T458" s="10">
        <v>43.52</v>
      </c>
      <c r="U458" s="10">
        <v>1.307E-2</v>
      </c>
      <c r="V458" s="10">
        <v>1.8849999999999999E-2</v>
      </c>
      <c r="W458" s="10">
        <v>6.0210000000000003E-3</v>
      </c>
      <c r="X458" s="10">
        <v>1.052E-2</v>
      </c>
      <c r="Y458" s="10">
        <v>3.1E-2</v>
      </c>
      <c r="Z458" s="10">
        <v>4.2249999999999996E-3</v>
      </c>
      <c r="AA458" s="10">
        <v>11.21</v>
      </c>
      <c r="AB458" s="10">
        <v>23.17</v>
      </c>
      <c r="AC458" s="10">
        <v>71.790000000000006</v>
      </c>
      <c r="AD458" s="10">
        <v>380.9</v>
      </c>
      <c r="AE458" s="10">
        <v>0.13980000000000001</v>
      </c>
      <c r="AF458" s="10">
        <v>0.13519999999999999</v>
      </c>
      <c r="AG458" s="10">
        <v>2.085E-2</v>
      </c>
      <c r="AH458" s="10">
        <v>4.589E-2</v>
      </c>
      <c r="AI458" s="10">
        <v>0.3196</v>
      </c>
      <c r="AJ458">
        <v>8.0089999999999995E-2</v>
      </c>
    </row>
    <row r="459" spans="3:36">
      <c r="C459" s="11" t="s">
        <v>565</v>
      </c>
      <c r="D459" s="10">
        <v>426</v>
      </c>
      <c r="E459" s="10">
        <v>907367</v>
      </c>
      <c r="F459" s="10" t="s">
        <v>1</v>
      </c>
      <c r="G459" s="10">
        <v>13.71</v>
      </c>
      <c r="H459" s="10">
        <v>21.28</v>
      </c>
      <c r="I459" s="10">
        <v>63.19</v>
      </c>
      <c r="J459" s="10">
        <v>307.3</v>
      </c>
      <c r="K459" s="10">
        <v>8.1170000000000006E-2</v>
      </c>
      <c r="L459" s="10">
        <v>3.9120000000000002E-2</v>
      </c>
      <c r="M459" s="10">
        <v>2.47E-3</v>
      </c>
      <c r="N459" s="10">
        <v>5.1590000000000004E-3</v>
      </c>
      <c r="O459" s="10">
        <v>0.16300000000000001</v>
      </c>
      <c r="P459" s="10">
        <v>6.4390000000000003E-2</v>
      </c>
      <c r="Q459" s="10">
        <v>0.18509999999999999</v>
      </c>
      <c r="R459" s="10">
        <v>1.341</v>
      </c>
      <c r="S459" s="10">
        <v>1.1839999999999999</v>
      </c>
      <c r="T459" s="10">
        <v>11.6</v>
      </c>
      <c r="U459" s="10">
        <v>5.7239999999999999E-3</v>
      </c>
      <c r="V459" s="10">
        <v>5.6969999999999998E-3</v>
      </c>
      <c r="W459" s="10">
        <v>2.0739999999999999E-3</v>
      </c>
      <c r="X459" s="10">
        <v>3.5270000000000002E-3</v>
      </c>
      <c r="Y459" s="10">
        <v>1.4449999999999999E-2</v>
      </c>
      <c r="Z459" s="10">
        <v>2.4109999999999999E-3</v>
      </c>
      <c r="AA459" s="10">
        <v>11.11</v>
      </c>
      <c r="AB459" s="10">
        <v>28.94</v>
      </c>
      <c r="AC459" s="10">
        <v>69.92</v>
      </c>
      <c r="AD459" s="10">
        <v>376.3</v>
      </c>
      <c r="AE459" s="10">
        <v>0.11260000000000001</v>
      </c>
      <c r="AF459" s="10">
        <v>7.0940000000000003E-2</v>
      </c>
      <c r="AG459" s="10">
        <v>1.235E-2</v>
      </c>
      <c r="AH459" s="10">
        <v>2.579E-2</v>
      </c>
      <c r="AI459" s="10">
        <v>0.2349</v>
      </c>
      <c r="AJ459">
        <v>8.0610000000000001E-2</v>
      </c>
    </row>
    <row r="460" spans="3:36">
      <c r="C460" s="11" t="s">
        <v>566</v>
      </c>
      <c r="D460" s="10">
        <v>427</v>
      </c>
      <c r="E460" s="10">
        <v>907409</v>
      </c>
      <c r="F460" s="10" t="s">
        <v>1</v>
      </c>
      <c r="G460" s="10">
        <v>13.71</v>
      </c>
      <c r="H460" s="10">
        <v>14.98</v>
      </c>
      <c r="I460" s="10">
        <v>67.489999999999995</v>
      </c>
      <c r="J460" s="10">
        <v>333.6</v>
      </c>
      <c r="K460" s="10">
        <v>9.8159999999999997E-2</v>
      </c>
      <c r="L460" s="10">
        <v>0.1013</v>
      </c>
      <c r="M460" s="10">
        <v>6.3350000000000004E-2</v>
      </c>
      <c r="N460" s="10">
        <v>2.2179999999999998E-2</v>
      </c>
      <c r="O460" s="10">
        <v>0.1925</v>
      </c>
      <c r="P460" s="10">
        <v>6.9150000000000003E-2</v>
      </c>
      <c r="Q460" s="10">
        <v>0.3276</v>
      </c>
      <c r="R460" s="10">
        <v>1.127</v>
      </c>
      <c r="S460" s="10">
        <v>2.5640000000000001</v>
      </c>
      <c r="T460" s="10">
        <v>20.77</v>
      </c>
      <c r="U460" s="10">
        <v>7.3639999999999999E-3</v>
      </c>
      <c r="V460" s="10">
        <v>3.8670000000000003E-2</v>
      </c>
      <c r="W460" s="10">
        <v>5.2630000000000003E-2</v>
      </c>
      <c r="X460" s="10">
        <v>1.264E-2</v>
      </c>
      <c r="Y460" s="10">
        <v>2.1610000000000001E-2</v>
      </c>
      <c r="Z460" s="10">
        <v>4.8300000000000001E-3</v>
      </c>
      <c r="AA460" s="10">
        <v>12.13</v>
      </c>
      <c r="AB460" s="10">
        <v>21.57</v>
      </c>
      <c r="AC460" s="10">
        <v>81.41</v>
      </c>
      <c r="AD460" s="10">
        <v>440.4</v>
      </c>
      <c r="AE460" s="10">
        <v>0.13270000000000001</v>
      </c>
      <c r="AF460" s="10">
        <v>0.29959999999999998</v>
      </c>
      <c r="AG460" s="10">
        <v>0.29389999999999999</v>
      </c>
      <c r="AH460" s="10">
        <v>9.3100000000000002E-2</v>
      </c>
      <c r="AI460" s="10">
        <v>0.30199999999999999</v>
      </c>
      <c r="AJ460">
        <v>9.6460000000000004E-2</v>
      </c>
    </row>
    <row r="461" spans="3:36">
      <c r="C461" s="11" t="s">
        <v>567</v>
      </c>
      <c r="D461" s="10">
        <v>428</v>
      </c>
      <c r="E461" s="10">
        <v>90745</v>
      </c>
      <c r="F461" s="10" t="s">
        <v>1</v>
      </c>
      <c r="G461" s="10">
        <v>13.71</v>
      </c>
      <c r="H461" s="10">
        <v>21.98</v>
      </c>
      <c r="I461" s="10">
        <v>68.790000000000006</v>
      </c>
      <c r="J461" s="10">
        <v>359.9</v>
      </c>
      <c r="K461" s="10">
        <v>8.8010000000000005E-2</v>
      </c>
      <c r="L461" s="10">
        <v>5.7430000000000002E-2</v>
      </c>
      <c r="M461" s="10">
        <v>3.6139999999999999E-2</v>
      </c>
      <c r="N461" s="10">
        <v>1.404E-2</v>
      </c>
      <c r="O461" s="10">
        <v>0.2016</v>
      </c>
      <c r="P461" s="10">
        <v>5.9769999999999997E-2</v>
      </c>
      <c r="Q461" s="10">
        <v>0.30769999999999997</v>
      </c>
      <c r="R461" s="10">
        <v>1.621</v>
      </c>
      <c r="S461" s="10">
        <v>2.2400000000000002</v>
      </c>
      <c r="T461" s="10">
        <v>20.2</v>
      </c>
      <c r="U461" s="10">
        <v>6.5430000000000002E-3</v>
      </c>
      <c r="V461" s="10">
        <v>2.1479999999999999E-2</v>
      </c>
      <c r="W461" s="10">
        <v>2.9909999999999999E-2</v>
      </c>
      <c r="X461" s="10">
        <v>1.0449999999999999E-2</v>
      </c>
      <c r="Y461" s="10">
        <v>1.8440000000000002E-2</v>
      </c>
      <c r="Z461" s="10">
        <v>2.6900000000000001E-3</v>
      </c>
      <c r="AA461" s="10">
        <v>12.76</v>
      </c>
      <c r="AB461" s="10">
        <v>32.04</v>
      </c>
      <c r="AC461" s="10">
        <v>83.69</v>
      </c>
      <c r="AD461" s="10">
        <v>489.5</v>
      </c>
      <c r="AE461" s="10">
        <v>0.1303</v>
      </c>
      <c r="AF461" s="10">
        <v>0.1696</v>
      </c>
      <c r="AG461" s="10">
        <v>0.19270000000000001</v>
      </c>
      <c r="AH461" s="10">
        <v>7.485E-2</v>
      </c>
      <c r="AI461" s="10">
        <v>0.29649999999999999</v>
      </c>
      <c r="AJ461">
        <v>7.6619999999999994E-2</v>
      </c>
    </row>
    <row r="462" spans="3:36">
      <c r="C462" s="11" t="s">
        <v>568</v>
      </c>
      <c r="D462" s="10">
        <v>429</v>
      </c>
      <c r="E462" s="10">
        <v>90769601</v>
      </c>
      <c r="F462" s="10" t="s">
        <v>1</v>
      </c>
      <c r="G462" s="10">
        <v>13.71</v>
      </c>
      <c r="H462" s="10">
        <v>16.62</v>
      </c>
      <c r="I462" s="10">
        <v>70.47</v>
      </c>
      <c r="J462" s="10">
        <v>381.1</v>
      </c>
      <c r="K462" s="10">
        <v>8.1509999999999999E-2</v>
      </c>
      <c r="L462" s="10">
        <v>3.8339999999999999E-2</v>
      </c>
      <c r="M462" s="10">
        <v>1.3690000000000001E-2</v>
      </c>
      <c r="N462" s="10">
        <v>1.37E-2</v>
      </c>
      <c r="O462" s="10">
        <v>0.15110000000000001</v>
      </c>
      <c r="P462" s="10">
        <v>6.148E-2</v>
      </c>
      <c r="Q462" s="10">
        <v>0.14149999999999999</v>
      </c>
      <c r="R462" s="10">
        <v>0.96709999999999996</v>
      </c>
      <c r="S462" s="10">
        <v>0.96799999999999997</v>
      </c>
      <c r="T462" s="10">
        <v>9.7040000000000006</v>
      </c>
      <c r="U462" s="10">
        <v>5.8830000000000002E-3</v>
      </c>
      <c r="V462" s="10">
        <v>6.2630000000000003E-3</v>
      </c>
      <c r="W462" s="10">
        <v>9.3980000000000001E-3</v>
      </c>
      <c r="X462" s="10">
        <v>6.1890000000000001E-3</v>
      </c>
      <c r="Y462" s="10">
        <v>2.009E-2</v>
      </c>
      <c r="Z462" s="10">
        <v>2.3770000000000002E-3</v>
      </c>
      <c r="AA462" s="10">
        <v>11.68</v>
      </c>
      <c r="AB462" s="10">
        <v>20.29</v>
      </c>
      <c r="AC462" s="10">
        <v>74.349999999999994</v>
      </c>
      <c r="AD462" s="10">
        <v>421.1</v>
      </c>
      <c r="AE462" s="10">
        <v>0.10299999999999999</v>
      </c>
      <c r="AF462" s="10">
        <v>6.2190000000000002E-2</v>
      </c>
      <c r="AG462" s="10">
        <v>4.58E-2</v>
      </c>
      <c r="AH462" s="10">
        <v>4.0439999999999997E-2</v>
      </c>
      <c r="AI462" s="10">
        <v>0.23830000000000001</v>
      </c>
      <c r="AJ462">
        <v>7.0830000000000004E-2</v>
      </c>
    </row>
    <row r="463" spans="3:36">
      <c r="C463" s="11" t="s">
        <v>569</v>
      </c>
      <c r="D463" s="10">
        <v>430</v>
      </c>
      <c r="E463" s="10">
        <v>90769602</v>
      </c>
      <c r="F463" s="10" t="s">
        <v>1</v>
      </c>
      <c r="G463" s="10">
        <v>13.71</v>
      </c>
      <c r="H463" s="10">
        <v>17.670000000000002</v>
      </c>
      <c r="I463" s="10">
        <v>80.98</v>
      </c>
      <c r="J463" s="10">
        <v>501.3</v>
      </c>
      <c r="K463" s="10">
        <v>7.8960000000000002E-2</v>
      </c>
      <c r="L463" s="10">
        <v>4.5220000000000003E-2</v>
      </c>
      <c r="M463" s="10">
        <v>1.4019999999999999E-2</v>
      </c>
      <c r="N463" s="10">
        <v>1.8350000000000002E-2</v>
      </c>
      <c r="O463" s="10">
        <v>0.1459</v>
      </c>
      <c r="P463" s="10">
        <v>5.5440000000000003E-2</v>
      </c>
      <c r="Q463" s="10">
        <v>0.2954</v>
      </c>
      <c r="R463" s="10">
        <v>0.88360000000000005</v>
      </c>
      <c r="S463" s="10">
        <v>2.109</v>
      </c>
      <c r="T463" s="10">
        <v>23.24</v>
      </c>
      <c r="U463" s="10">
        <v>7.3369999999999998E-3</v>
      </c>
      <c r="V463" s="10">
        <v>1.174E-2</v>
      </c>
      <c r="W463" s="10">
        <v>5.3829999999999998E-3</v>
      </c>
      <c r="X463" s="10">
        <v>5.6230000000000004E-3</v>
      </c>
      <c r="Y463" s="10">
        <v>1.9400000000000001E-2</v>
      </c>
      <c r="Z463" s="10">
        <v>1.1800000000000001E-3</v>
      </c>
      <c r="AA463" s="10">
        <v>13.82</v>
      </c>
      <c r="AB463" s="10">
        <v>20.96</v>
      </c>
      <c r="AC463" s="10">
        <v>88.87</v>
      </c>
      <c r="AD463" s="10">
        <v>586.79999999999995</v>
      </c>
      <c r="AE463" s="10">
        <v>0.10680000000000001</v>
      </c>
      <c r="AF463" s="10">
        <v>9.6049999999999996E-2</v>
      </c>
      <c r="AG463" s="10">
        <v>3.4689999999999999E-2</v>
      </c>
      <c r="AH463" s="10">
        <v>3.6119999999999999E-2</v>
      </c>
      <c r="AI463" s="10">
        <v>0.2165</v>
      </c>
      <c r="AJ463">
        <v>6.0249999999999998E-2</v>
      </c>
    </row>
    <row r="464" spans="3:36">
      <c r="C464" s="11" t="s">
        <v>570</v>
      </c>
      <c r="D464" s="10">
        <v>431</v>
      </c>
      <c r="E464" s="10">
        <v>907914</v>
      </c>
      <c r="F464" s="10" t="s">
        <v>0</v>
      </c>
      <c r="G464" s="10">
        <v>13.71</v>
      </c>
      <c r="H464" s="10">
        <v>22.53</v>
      </c>
      <c r="I464" s="10">
        <v>102.1</v>
      </c>
      <c r="J464" s="10">
        <v>685</v>
      </c>
      <c r="K464" s="10">
        <v>9.9470000000000003E-2</v>
      </c>
      <c r="L464" s="10">
        <v>0.2225</v>
      </c>
      <c r="M464" s="10">
        <v>0.27329999999999999</v>
      </c>
      <c r="N464" s="10">
        <v>9.7110000000000002E-2</v>
      </c>
      <c r="O464" s="10">
        <v>0.2041</v>
      </c>
      <c r="P464" s="10">
        <v>6.898E-2</v>
      </c>
      <c r="Q464" s="10">
        <v>0.253</v>
      </c>
      <c r="R464" s="10">
        <v>0.87490000000000001</v>
      </c>
      <c r="S464" s="10">
        <v>3.4660000000000002</v>
      </c>
      <c r="T464" s="10">
        <v>24.19</v>
      </c>
      <c r="U464" s="10">
        <v>6.9649999999999998E-3</v>
      </c>
      <c r="V464" s="10">
        <v>6.2129999999999998E-2</v>
      </c>
      <c r="W464" s="10">
        <v>7.9259999999999997E-2</v>
      </c>
      <c r="X464" s="10">
        <v>2.2339999999999999E-2</v>
      </c>
      <c r="Y464" s="10">
        <v>1.499E-2</v>
      </c>
      <c r="Z464" s="10">
        <v>5.7840000000000001E-3</v>
      </c>
      <c r="AA464" s="10">
        <v>16.350000000000001</v>
      </c>
      <c r="AB464" s="10">
        <v>27.57</v>
      </c>
      <c r="AC464" s="10">
        <v>125.4</v>
      </c>
      <c r="AD464" s="10">
        <v>832.7</v>
      </c>
      <c r="AE464" s="10">
        <v>0.1419</v>
      </c>
      <c r="AF464" s="10">
        <v>0.70899999999999996</v>
      </c>
      <c r="AG464" s="10">
        <v>0.90190000000000003</v>
      </c>
      <c r="AH464" s="10">
        <v>0.2475</v>
      </c>
      <c r="AI464" s="10">
        <v>0.28660000000000002</v>
      </c>
      <c r="AJ464">
        <v>0.11550000000000001</v>
      </c>
    </row>
    <row r="465" spans="3:36">
      <c r="C465" s="11" t="s">
        <v>571</v>
      </c>
      <c r="D465" s="10">
        <v>432</v>
      </c>
      <c r="E465" s="10">
        <v>907915</v>
      </c>
      <c r="F465" s="10" t="s">
        <v>1</v>
      </c>
      <c r="G465" s="10">
        <v>13.71</v>
      </c>
      <c r="H465" s="10">
        <v>17.68</v>
      </c>
      <c r="I465" s="10">
        <v>81.47</v>
      </c>
      <c r="J465" s="10">
        <v>467.8</v>
      </c>
      <c r="K465" s="10">
        <v>0.10539999999999999</v>
      </c>
      <c r="L465" s="10">
        <v>0.13159999999999999</v>
      </c>
      <c r="M465" s="10">
        <v>7.7410000000000007E-2</v>
      </c>
      <c r="N465" s="10">
        <v>2.7990000000000001E-2</v>
      </c>
      <c r="O465" s="10">
        <v>0.18110000000000001</v>
      </c>
      <c r="P465" s="10">
        <v>7.102E-2</v>
      </c>
      <c r="Q465" s="10">
        <v>0.1767</v>
      </c>
      <c r="R465" s="10">
        <v>1.46</v>
      </c>
      <c r="S465" s="10">
        <v>2.2040000000000002</v>
      </c>
      <c r="T465" s="10">
        <v>15.43</v>
      </c>
      <c r="U465" s="10">
        <v>0.01</v>
      </c>
      <c r="V465" s="10">
        <v>3.295E-2</v>
      </c>
      <c r="W465" s="10">
        <v>4.861E-2</v>
      </c>
      <c r="X465" s="10">
        <v>1.167E-2</v>
      </c>
      <c r="Y465" s="10">
        <v>2.1870000000000001E-2</v>
      </c>
      <c r="Z465" s="10">
        <v>6.0049999999999999E-3</v>
      </c>
      <c r="AA465" s="10">
        <v>12.88</v>
      </c>
      <c r="AB465" s="10">
        <v>22.91</v>
      </c>
      <c r="AC465" s="10">
        <v>89.61</v>
      </c>
      <c r="AD465" s="10">
        <v>515.79999999999995</v>
      </c>
      <c r="AE465" s="10">
        <v>0.14499999999999999</v>
      </c>
      <c r="AF465" s="10">
        <v>0.26290000000000002</v>
      </c>
      <c r="AG465" s="10">
        <v>0.24030000000000001</v>
      </c>
      <c r="AH465" s="10">
        <v>7.3700000000000002E-2</v>
      </c>
      <c r="AI465" s="10">
        <v>0.25559999999999999</v>
      </c>
      <c r="AJ465">
        <v>9.3590000000000007E-2</v>
      </c>
    </row>
    <row r="466" spans="3:36">
      <c r="C466" s="11" t="s">
        <v>572</v>
      </c>
      <c r="D466" s="10">
        <v>433</v>
      </c>
      <c r="E466" s="10">
        <v>908194</v>
      </c>
      <c r="F466" s="10" t="s">
        <v>0</v>
      </c>
      <c r="G466" s="10">
        <v>13.71</v>
      </c>
      <c r="H466" s="10">
        <v>19.54</v>
      </c>
      <c r="I466" s="10">
        <v>133.80000000000001</v>
      </c>
      <c r="J466" s="10">
        <v>1250</v>
      </c>
      <c r="K466" s="10">
        <v>0.1133</v>
      </c>
      <c r="L466" s="10">
        <v>0.1489</v>
      </c>
      <c r="M466" s="10">
        <v>0.21329999999999999</v>
      </c>
      <c r="N466" s="10">
        <v>0.12590000000000001</v>
      </c>
      <c r="O466" s="10">
        <v>0.1724</v>
      </c>
      <c r="P466" s="10">
        <v>6.053E-2</v>
      </c>
      <c r="Q466" s="10">
        <v>0.43309999999999998</v>
      </c>
      <c r="R466" s="10">
        <v>1.0009999999999999</v>
      </c>
      <c r="S466" s="10">
        <v>3.008</v>
      </c>
      <c r="T466" s="10">
        <v>52.49</v>
      </c>
      <c r="U466" s="10">
        <v>9.0869999999999996E-3</v>
      </c>
      <c r="V466" s="10">
        <v>2.7150000000000001E-2</v>
      </c>
      <c r="W466" s="10">
        <v>5.5460000000000002E-2</v>
      </c>
      <c r="X466" s="10">
        <v>1.9099999999999999E-2</v>
      </c>
      <c r="Y466" s="10">
        <v>2.4510000000000001E-2</v>
      </c>
      <c r="Z466" s="10">
        <v>4.0049999999999999E-3</v>
      </c>
      <c r="AA466" s="10">
        <v>22.03</v>
      </c>
      <c r="AB466" s="10">
        <v>25.07</v>
      </c>
      <c r="AC466" s="10">
        <v>146</v>
      </c>
      <c r="AD466" s="10">
        <v>1479</v>
      </c>
      <c r="AE466" s="10">
        <v>0.16650000000000001</v>
      </c>
      <c r="AF466" s="10">
        <v>0.29420000000000002</v>
      </c>
      <c r="AG466" s="10">
        <v>0.53080000000000005</v>
      </c>
      <c r="AH466" s="10">
        <v>0.21729999999999999</v>
      </c>
      <c r="AI466" s="10">
        <v>0.30320000000000003</v>
      </c>
      <c r="AJ466">
        <v>8.0750000000000002E-2</v>
      </c>
    </row>
    <row r="467" spans="3:36">
      <c r="C467" s="11" t="s">
        <v>573</v>
      </c>
      <c r="D467" s="10">
        <v>434</v>
      </c>
      <c r="E467" s="10">
        <v>908445</v>
      </c>
      <c r="F467" s="10" t="s">
        <v>0</v>
      </c>
      <c r="G467" s="10">
        <v>13.71</v>
      </c>
      <c r="H467" s="10">
        <v>21.97</v>
      </c>
      <c r="I467" s="10">
        <v>123.7</v>
      </c>
      <c r="J467" s="10">
        <v>1110</v>
      </c>
      <c r="K467" s="10">
        <v>0.1018</v>
      </c>
      <c r="L467" s="10">
        <v>0.1389</v>
      </c>
      <c r="M467" s="10">
        <v>0.15939999999999999</v>
      </c>
      <c r="N467" s="10">
        <v>8.7440000000000004E-2</v>
      </c>
      <c r="O467" s="10">
        <v>0.1943</v>
      </c>
      <c r="P467" s="10">
        <v>6.132E-2</v>
      </c>
      <c r="Q467" s="10">
        <v>0.81910000000000005</v>
      </c>
      <c r="R467" s="10">
        <v>1.931</v>
      </c>
      <c r="S467" s="10">
        <v>4.4930000000000003</v>
      </c>
      <c r="T467" s="10">
        <v>103.9</v>
      </c>
      <c r="U467" s="10">
        <v>8.0739999999999996E-3</v>
      </c>
      <c r="V467" s="10">
        <v>4.088E-2</v>
      </c>
      <c r="W467" s="10">
        <v>5.321E-2</v>
      </c>
      <c r="X467" s="10">
        <v>1.8339999999999999E-2</v>
      </c>
      <c r="Y467" s="10">
        <v>2.383E-2</v>
      </c>
      <c r="Z467" s="10">
        <v>4.5149999999999999E-3</v>
      </c>
      <c r="AA467" s="10">
        <v>22.66</v>
      </c>
      <c r="AB467" s="10">
        <v>30.93</v>
      </c>
      <c r="AC467" s="10">
        <v>145.30000000000001</v>
      </c>
      <c r="AD467" s="10">
        <v>1603</v>
      </c>
      <c r="AE467" s="10">
        <v>0.13900000000000001</v>
      </c>
      <c r="AF467" s="10">
        <v>0.3463</v>
      </c>
      <c r="AG467" s="10">
        <v>0.39119999999999999</v>
      </c>
      <c r="AH467" s="10">
        <v>0.17080000000000001</v>
      </c>
      <c r="AI467" s="10">
        <v>0.30070000000000002</v>
      </c>
      <c r="AJ467">
        <v>8.3140000000000006E-2</v>
      </c>
    </row>
    <row r="468" spans="3:36">
      <c r="C468" s="11" t="s">
        <v>574</v>
      </c>
      <c r="D468" s="10">
        <v>435</v>
      </c>
      <c r="E468" s="10">
        <v>908469</v>
      </c>
      <c r="F468" s="10" t="s">
        <v>1</v>
      </c>
      <c r="G468" s="10">
        <v>13.71</v>
      </c>
      <c r="H468" s="10">
        <v>16.940000000000001</v>
      </c>
      <c r="I468" s="10">
        <v>94.89</v>
      </c>
      <c r="J468" s="10">
        <v>673.7</v>
      </c>
      <c r="K468" s="10">
        <v>8.924E-2</v>
      </c>
      <c r="L468" s="10">
        <v>7.0739999999999997E-2</v>
      </c>
      <c r="M468" s="10">
        <v>3.3459999999999997E-2</v>
      </c>
      <c r="N468" s="10">
        <v>2.877E-2</v>
      </c>
      <c r="O468" s="10">
        <v>0.1573</v>
      </c>
      <c r="P468" s="10">
        <v>5.7029999999999997E-2</v>
      </c>
      <c r="Q468" s="10">
        <v>0.30280000000000001</v>
      </c>
      <c r="R468" s="10">
        <v>0.66830000000000001</v>
      </c>
      <c r="S468" s="10">
        <v>1.6120000000000001</v>
      </c>
      <c r="T468" s="10">
        <v>23.92</v>
      </c>
      <c r="U468" s="10">
        <v>5.7559999999999998E-3</v>
      </c>
      <c r="V468" s="10">
        <v>1.6650000000000002E-2</v>
      </c>
      <c r="W468" s="10">
        <v>1.461E-2</v>
      </c>
      <c r="X468" s="10">
        <v>8.2810000000000002E-3</v>
      </c>
      <c r="Y468" s="10">
        <v>1.5509999999999999E-2</v>
      </c>
      <c r="Z468" s="10">
        <v>2.1679999999999998E-3</v>
      </c>
      <c r="AA468" s="10">
        <v>16.309999999999999</v>
      </c>
      <c r="AB468" s="10">
        <v>20.54</v>
      </c>
      <c r="AC468" s="10">
        <v>102.3</v>
      </c>
      <c r="AD468" s="10">
        <v>777.5</v>
      </c>
      <c r="AE468" s="10">
        <v>0.12180000000000001</v>
      </c>
      <c r="AF468" s="10">
        <v>0.155</v>
      </c>
      <c r="AG468" s="10">
        <v>0.122</v>
      </c>
      <c r="AH468" s="10">
        <v>7.9710000000000003E-2</v>
      </c>
      <c r="AI468" s="10">
        <v>0.2525</v>
      </c>
      <c r="AJ468">
        <v>6.8269999999999997E-2</v>
      </c>
    </row>
    <row r="469" spans="3:36">
      <c r="C469" s="11" t="s">
        <v>575</v>
      </c>
      <c r="D469" s="10">
        <v>436</v>
      </c>
      <c r="E469" s="10">
        <v>908489</v>
      </c>
      <c r="F469" s="10" t="s">
        <v>0</v>
      </c>
      <c r="G469" s="10">
        <v>13.71</v>
      </c>
      <c r="H469" s="10">
        <v>19.62</v>
      </c>
      <c r="I469" s="10">
        <v>91.12</v>
      </c>
      <c r="J469" s="10">
        <v>599.5</v>
      </c>
      <c r="K469" s="10">
        <v>0.106</v>
      </c>
      <c r="L469" s="10">
        <v>0.1133</v>
      </c>
      <c r="M469" s="10">
        <v>0.11260000000000001</v>
      </c>
      <c r="N469" s="10">
        <v>6.4630000000000007E-2</v>
      </c>
      <c r="O469" s="10">
        <v>0.16689999999999999</v>
      </c>
      <c r="P469" s="10">
        <v>6.5439999999999998E-2</v>
      </c>
      <c r="Q469" s="10">
        <v>0.2208</v>
      </c>
      <c r="R469" s="10">
        <v>0.95330000000000004</v>
      </c>
      <c r="S469" s="10">
        <v>1.6020000000000001</v>
      </c>
      <c r="T469" s="10">
        <v>18.850000000000001</v>
      </c>
      <c r="U469" s="10">
        <v>5.3140000000000001E-3</v>
      </c>
      <c r="V469" s="10">
        <v>1.7909999999999999E-2</v>
      </c>
      <c r="W469" s="10">
        <v>2.1850000000000001E-2</v>
      </c>
      <c r="X469" s="10">
        <v>9.5670000000000009E-3</v>
      </c>
      <c r="Y469" s="10">
        <v>1.223E-2</v>
      </c>
      <c r="Z469" s="10">
        <v>2.846E-3</v>
      </c>
      <c r="AA469" s="10">
        <v>17.04</v>
      </c>
      <c r="AB469" s="10">
        <v>30.8</v>
      </c>
      <c r="AC469" s="10">
        <v>113.9</v>
      </c>
      <c r="AD469" s="10">
        <v>869.3</v>
      </c>
      <c r="AE469" s="10">
        <v>0.1613</v>
      </c>
      <c r="AF469" s="10">
        <v>0.35680000000000001</v>
      </c>
      <c r="AG469" s="10">
        <v>0.40689999999999998</v>
      </c>
      <c r="AH469" s="10">
        <v>0.1827</v>
      </c>
      <c r="AI469" s="10">
        <v>0.31790000000000002</v>
      </c>
      <c r="AJ469">
        <v>0.1055</v>
      </c>
    </row>
    <row r="470" spans="3:36">
      <c r="C470" s="11" t="s">
        <v>576</v>
      </c>
      <c r="D470" s="10">
        <v>437</v>
      </c>
      <c r="E470" s="10">
        <v>908916</v>
      </c>
      <c r="F470" s="10" t="s">
        <v>1</v>
      </c>
      <c r="G470" s="10">
        <v>13.71</v>
      </c>
      <c r="H470" s="10">
        <v>19.54</v>
      </c>
      <c r="I470" s="10">
        <v>82.67</v>
      </c>
      <c r="J470" s="10">
        <v>509.2</v>
      </c>
      <c r="K470" s="10">
        <v>9.1359999999999997E-2</v>
      </c>
      <c r="L470" s="10">
        <v>7.8829999999999997E-2</v>
      </c>
      <c r="M470" s="10">
        <v>1.797E-2</v>
      </c>
      <c r="N470" s="10">
        <v>2.0899999999999998E-2</v>
      </c>
      <c r="O470" s="10">
        <v>0.18609999999999999</v>
      </c>
      <c r="P470" s="10">
        <v>6.3469999999999999E-2</v>
      </c>
      <c r="Q470" s="10">
        <v>0.36649999999999999</v>
      </c>
      <c r="R470" s="10">
        <v>0.76929999999999998</v>
      </c>
      <c r="S470" s="10">
        <v>2.597</v>
      </c>
      <c r="T470" s="10">
        <v>26.5</v>
      </c>
      <c r="U470" s="10">
        <v>5.9100000000000003E-3</v>
      </c>
      <c r="V470" s="10">
        <v>1.362E-2</v>
      </c>
      <c r="W470" s="10">
        <v>7.0660000000000002E-3</v>
      </c>
      <c r="X470" s="10">
        <v>6.502E-3</v>
      </c>
      <c r="Y470" s="10">
        <v>2.223E-2</v>
      </c>
      <c r="Z470" s="10">
        <v>2.3779999999999999E-3</v>
      </c>
      <c r="AA470" s="10">
        <v>14.45</v>
      </c>
      <c r="AB470" s="10">
        <v>24.38</v>
      </c>
      <c r="AC470" s="10">
        <v>95.14</v>
      </c>
      <c r="AD470" s="10">
        <v>626.9</v>
      </c>
      <c r="AE470" s="10">
        <v>0.12139999999999999</v>
      </c>
      <c r="AF470" s="10">
        <v>0.16520000000000001</v>
      </c>
      <c r="AG470" s="10">
        <v>7.127E-2</v>
      </c>
      <c r="AH470" s="10">
        <v>6.3839999999999994E-2</v>
      </c>
      <c r="AI470" s="10">
        <v>0.33129999999999998</v>
      </c>
      <c r="AJ470">
        <v>7.7350000000000002E-2</v>
      </c>
    </row>
    <row r="471" spans="3:36">
      <c r="C471" s="11" t="s">
        <v>577</v>
      </c>
      <c r="D471" s="10">
        <v>438</v>
      </c>
      <c r="E471" s="10">
        <v>909220</v>
      </c>
      <c r="F471" s="10" t="s">
        <v>1</v>
      </c>
      <c r="G471" s="10">
        <v>13.71</v>
      </c>
      <c r="H471" s="10">
        <v>15.98</v>
      </c>
      <c r="I471" s="10">
        <v>89.78</v>
      </c>
      <c r="J471" s="10">
        <v>611.20000000000005</v>
      </c>
      <c r="K471" s="10">
        <v>8.4580000000000002E-2</v>
      </c>
      <c r="L471" s="10">
        <v>5.8950000000000002E-2</v>
      </c>
      <c r="M471" s="10">
        <v>3.5340000000000003E-2</v>
      </c>
      <c r="N471" s="10">
        <v>2.9440000000000001E-2</v>
      </c>
      <c r="O471" s="10">
        <v>0.1714</v>
      </c>
      <c r="P471" s="10">
        <v>5.8979999999999998E-2</v>
      </c>
      <c r="Q471" s="10">
        <v>0.38919999999999999</v>
      </c>
      <c r="R471" s="10">
        <v>1.046</v>
      </c>
      <c r="S471" s="10">
        <v>2.6440000000000001</v>
      </c>
      <c r="T471" s="10">
        <v>32.74</v>
      </c>
      <c r="U471" s="10">
        <v>7.9760000000000005E-3</v>
      </c>
      <c r="V471" s="10">
        <v>1.295E-2</v>
      </c>
      <c r="W471" s="10">
        <v>1.6080000000000001E-2</v>
      </c>
      <c r="X471" s="10">
        <v>9.0460000000000002E-3</v>
      </c>
      <c r="Y471" s="10">
        <v>2.0049999999999998E-2</v>
      </c>
      <c r="Z471" s="10">
        <v>2.8300000000000001E-3</v>
      </c>
      <c r="AA471" s="10">
        <v>15.66</v>
      </c>
      <c r="AB471" s="10">
        <v>21.58</v>
      </c>
      <c r="AC471" s="10">
        <v>101.2</v>
      </c>
      <c r="AD471" s="10">
        <v>750</v>
      </c>
      <c r="AE471" s="10">
        <v>0.1195</v>
      </c>
      <c r="AF471" s="10">
        <v>0.12520000000000001</v>
      </c>
      <c r="AG471" s="10">
        <v>0.11169999999999999</v>
      </c>
      <c r="AH471" s="10">
        <v>7.4529999999999999E-2</v>
      </c>
      <c r="AI471" s="10">
        <v>0.27250000000000002</v>
      </c>
      <c r="AJ471">
        <v>7.2340000000000002E-2</v>
      </c>
    </row>
    <row r="472" spans="3:36">
      <c r="C472" s="11" t="s">
        <v>578</v>
      </c>
      <c r="D472" s="10">
        <v>439</v>
      </c>
      <c r="E472" s="10">
        <v>909231</v>
      </c>
      <c r="F472" s="10" t="s">
        <v>1</v>
      </c>
      <c r="G472" s="10">
        <v>13.71</v>
      </c>
      <c r="H472" s="10">
        <v>19.600000000000001</v>
      </c>
      <c r="I472" s="10">
        <v>88.68</v>
      </c>
      <c r="J472" s="10">
        <v>592.6</v>
      </c>
      <c r="K472" s="10">
        <v>8.6840000000000001E-2</v>
      </c>
      <c r="L472" s="10">
        <v>6.3299999999999995E-2</v>
      </c>
      <c r="M472" s="10">
        <v>1.342E-2</v>
      </c>
      <c r="N472" s="10">
        <v>2.2929999999999999E-2</v>
      </c>
      <c r="O472" s="10">
        <v>0.1555</v>
      </c>
      <c r="P472" s="10">
        <v>5.6730000000000003E-2</v>
      </c>
      <c r="Q472" s="10">
        <v>0.34189999999999998</v>
      </c>
      <c r="R472" s="10">
        <v>1.6779999999999999</v>
      </c>
      <c r="S472" s="10">
        <v>2.331</v>
      </c>
      <c r="T472" s="10">
        <v>29.63</v>
      </c>
      <c r="U472" s="10">
        <v>5.836E-3</v>
      </c>
      <c r="V472" s="10">
        <v>1.095E-2</v>
      </c>
      <c r="W472" s="10">
        <v>5.8120000000000003E-3</v>
      </c>
      <c r="X472" s="10">
        <v>7.0390000000000001E-3</v>
      </c>
      <c r="Y472" s="10">
        <v>2.0140000000000002E-2</v>
      </c>
      <c r="Z472" s="10">
        <v>2.3259999999999999E-3</v>
      </c>
      <c r="AA472" s="10">
        <v>15.63</v>
      </c>
      <c r="AB472" s="10">
        <v>28.01</v>
      </c>
      <c r="AC472" s="10">
        <v>100.9</v>
      </c>
      <c r="AD472" s="10">
        <v>749.1</v>
      </c>
      <c r="AE472" s="10">
        <v>0.1118</v>
      </c>
      <c r="AF472" s="10">
        <v>0.11409999999999999</v>
      </c>
      <c r="AG472" s="10">
        <v>4.7530000000000003E-2</v>
      </c>
      <c r="AH472" s="10">
        <v>5.8900000000000001E-2</v>
      </c>
      <c r="AI472" s="10">
        <v>0.25130000000000002</v>
      </c>
      <c r="AJ472">
        <v>6.9110000000000005E-2</v>
      </c>
    </row>
    <row r="473" spans="3:36">
      <c r="C473" s="11" t="s">
        <v>579</v>
      </c>
      <c r="D473" s="10">
        <v>440</v>
      </c>
      <c r="E473" s="10">
        <v>909410</v>
      </c>
      <c r="F473" s="10" t="s">
        <v>1</v>
      </c>
      <c r="G473" s="10">
        <v>13.71</v>
      </c>
      <c r="H473" s="10">
        <v>15.66</v>
      </c>
      <c r="I473" s="10">
        <v>89.59</v>
      </c>
      <c r="J473" s="10">
        <v>606.5</v>
      </c>
      <c r="K473" s="10">
        <v>7.9659999999999995E-2</v>
      </c>
      <c r="L473" s="10">
        <v>5.5809999999999998E-2</v>
      </c>
      <c r="M473" s="10">
        <v>2.087E-2</v>
      </c>
      <c r="N473" s="10">
        <v>2.6519999999999998E-2</v>
      </c>
      <c r="O473" s="10">
        <v>0.15890000000000001</v>
      </c>
      <c r="P473" s="10">
        <v>5.586E-2</v>
      </c>
      <c r="Q473" s="10">
        <v>0.2142</v>
      </c>
      <c r="R473" s="10">
        <v>0.65490000000000004</v>
      </c>
      <c r="S473" s="10">
        <v>1.6060000000000001</v>
      </c>
      <c r="T473" s="10">
        <v>19.25</v>
      </c>
      <c r="U473" s="10">
        <v>4.8370000000000002E-3</v>
      </c>
      <c r="V473" s="10">
        <v>9.2379999999999997E-3</v>
      </c>
      <c r="W473" s="10">
        <v>9.2130000000000007E-3</v>
      </c>
      <c r="X473" s="10">
        <v>1.076E-2</v>
      </c>
      <c r="Y473" s="10">
        <v>1.171E-2</v>
      </c>
      <c r="Z473" s="10">
        <v>2.104E-3</v>
      </c>
      <c r="AA473" s="10">
        <v>14.91</v>
      </c>
      <c r="AB473" s="10">
        <v>19.309999999999999</v>
      </c>
      <c r="AC473" s="10">
        <v>96.53</v>
      </c>
      <c r="AD473" s="10">
        <v>688.9</v>
      </c>
      <c r="AE473" s="10">
        <v>0.10340000000000001</v>
      </c>
      <c r="AF473" s="10">
        <v>0.1017</v>
      </c>
      <c r="AG473" s="10">
        <v>6.2600000000000003E-2</v>
      </c>
      <c r="AH473" s="10">
        <v>8.2159999999999997E-2</v>
      </c>
      <c r="AI473" s="10">
        <v>0.21360000000000001</v>
      </c>
      <c r="AJ473">
        <v>6.7100000000000007E-2</v>
      </c>
    </row>
    <row r="474" spans="3:36">
      <c r="C474" s="11" t="s">
        <v>580</v>
      </c>
      <c r="D474" s="10">
        <v>441</v>
      </c>
      <c r="E474" s="10">
        <v>909411</v>
      </c>
      <c r="F474" s="10" t="s">
        <v>1</v>
      </c>
      <c r="G474" s="10">
        <v>13.71</v>
      </c>
      <c r="H474" s="10">
        <v>17.2</v>
      </c>
      <c r="I474" s="10">
        <v>71.73</v>
      </c>
      <c r="J474" s="10">
        <v>371.5</v>
      </c>
      <c r="K474" s="10">
        <v>8.9149999999999993E-2</v>
      </c>
      <c r="L474" s="10">
        <v>0.1113</v>
      </c>
      <c r="M474" s="10">
        <v>9.4570000000000001E-2</v>
      </c>
      <c r="N474" s="10">
        <v>3.6130000000000002E-2</v>
      </c>
      <c r="O474" s="10">
        <v>0.1489</v>
      </c>
      <c r="P474" s="10">
        <v>6.6400000000000001E-2</v>
      </c>
      <c r="Q474" s="10">
        <v>0.25740000000000002</v>
      </c>
      <c r="R474" s="10">
        <v>1.3759999999999999</v>
      </c>
      <c r="S474" s="10">
        <v>2.806</v>
      </c>
      <c r="T474" s="10">
        <v>18.149999999999999</v>
      </c>
      <c r="U474" s="10">
        <v>8.5649999999999997E-3</v>
      </c>
      <c r="V474" s="10">
        <v>4.6379999999999998E-2</v>
      </c>
      <c r="W474" s="10">
        <v>6.4299999999999996E-2</v>
      </c>
      <c r="X474" s="10">
        <v>1.7680000000000001E-2</v>
      </c>
      <c r="Y474" s="10">
        <v>1.516E-2</v>
      </c>
      <c r="Z474" s="10">
        <v>4.9760000000000004E-3</v>
      </c>
      <c r="AA474" s="10">
        <v>12.36</v>
      </c>
      <c r="AB474" s="10">
        <v>26.87</v>
      </c>
      <c r="AC474" s="10">
        <v>90.14</v>
      </c>
      <c r="AD474" s="10">
        <v>476.4</v>
      </c>
      <c r="AE474" s="10">
        <v>0.1391</v>
      </c>
      <c r="AF474" s="10">
        <v>0.40820000000000001</v>
      </c>
      <c r="AG474" s="10">
        <v>0.47789999999999999</v>
      </c>
      <c r="AH474" s="10">
        <v>0.1555</v>
      </c>
      <c r="AI474" s="10">
        <v>0.254</v>
      </c>
      <c r="AJ474">
        <v>9.5320000000000002E-2</v>
      </c>
    </row>
    <row r="475" spans="3:36">
      <c r="C475" s="11" t="s">
        <v>581</v>
      </c>
      <c r="D475" s="10">
        <v>442</v>
      </c>
      <c r="E475" s="10">
        <v>909445</v>
      </c>
      <c r="F475" s="10" t="s">
        <v>0</v>
      </c>
      <c r="G475" s="10">
        <v>13.71</v>
      </c>
      <c r="H475" s="10">
        <v>25.42</v>
      </c>
      <c r="I475" s="10">
        <v>112.4</v>
      </c>
      <c r="J475" s="10">
        <v>928.8</v>
      </c>
      <c r="K475" s="10">
        <v>8.3309999999999995E-2</v>
      </c>
      <c r="L475" s="10">
        <v>0.1109</v>
      </c>
      <c r="M475" s="10">
        <v>0.12039999999999999</v>
      </c>
      <c r="N475" s="10">
        <v>5.7360000000000001E-2</v>
      </c>
      <c r="O475" s="10">
        <v>0.1467</v>
      </c>
      <c r="P475" s="10">
        <v>5.407E-2</v>
      </c>
      <c r="Q475" s="10">
        <v>0.51</v>
      </c>
      <c r="R475" s="10">
        <v>1.679</v>
      </c>
      <c r="S475" s="10">
        <v>3.2829999999999999</v>
      </c>
      <c r="T475" s="10">
        <v>58.38</v>
      </c>
      <c r="U475" s="10">
        <v>8.1089999999999999E-3</v>
      </c>
      <c r="V475" s="10">
        <v>4.308E-2</v>
      </c>
      <c r="W475" s="10">
        <v>4.9419999999999999E-2</v>
      </c>
      <c r="X475" s="10">
        <v>1.7420000000000001E-2</v>
      </c>
      <c r="Y475" s="10">
        <v>1.5939999999999999E-2</v>
      </c>
      <c r="Z475" s="10">
        <v>3.7390000000000001E-3</v>
      </c>
      <c r="AA475" s="10">
        <v>20.38</v>
      </c>
      <c r="AB475" s="10">
        <v>35.46</v>
      </c>
      <c r="AC475" s="10">
        <v>132.80000000000001</v>
      </c>
      <c r="AD475" s="10">
        <v>1284</v>
      </c>
      <c r="AE475" s="10">
        <v>0.14360000000000001</v>
      </c>
      <c r="AF475" s="10">
        <v>0.41220000000000001</v>
      </c>
      <c r="AG475" s="10">
        <v>0.50360000000000005</v>
      </c>
      <c r="AH475" s="10">
        <v>0.1739</v>
      </c>
      <c r="AI475" s="10">
        <v>0.25</v>
      </c>
      <c r="AJ475">
        <v>7.9439999999999997E-2</v>
      </c>
    </row>
    <row r="476" spans="3:36">
      <c r="C476" s="11" t="s">
        <v>582</v>
      </c>
      <c r="D476" s="10">
        <v>443</v>
      </c>
      <c r="E476" s="10">
        <v>90944601</v>
      </c>
      <c r="F476" s="10" t="s">
        <v>1</v>
      </c>
      <c r="G476" s="10">
        <v>13.71</v>
      </c>
      <c r="H476" s="10">
        <v>15.79</v>
      </c>
      <c r="I476" s="10">
        <v>88.37</v>
      </c>
      <c r="J476" s="10">
        <v>585.9</v>
      </c>
      <c r="K476" s="10">
        <v>8.8169999999999998E-2</v>
      </c>
      <c r="L476" s="10">
        <v>6.7180000000000004E-2</v>
      </c>
      <c r="M476" s="10">
        <v>1.055E-2</v>
      </c>
      <c r="N476" s="10">
        <v>9.9369999999999997E-3</v>
      </c>
      <c r="O476" s="10">
        <v>0.14050000000000001</v>
      </c>
      <c r="P476" s="10">
        <v>5.8479999999999997E-2</v>
      </c>
      <c r="Q476" s="10">
        <v>0.35630000000000001</v>
      </c>
      <c r="R476" s="10">
        <v>0.48330000000000001</v>
      </c>
      <c r="S476" s="10">
        <v>2.2349999999999999</v>
      </c>
      <c r="T476" s="10">
        <v>29.34</v>
      </c>
      <c r="U476" s="10">
        <v>6.4320000000000002E-3</v>
      </c>
      <c r="V476" s="10">
        <v>1.1560000000000001E-2</v>
      </c>
      <c r="W476" s="10">
        <v>7.7409999999999996E-3</v>
      </c>
      <c r="X476" s="10">
        <v>5.6569999999999997E-3</v>
      </c>
      <c r="Y476" s="10">
        <v>1.227E-2</v>
      </c>
      <c r="Z476" s="10">
        <v>2.5639999999999999E-3</v>
      </c>
      <c r="AA476" s="10">
        <v>15.27</v>
      </c>
      <c r="AB476" s="10">
        <v>17.5</v>
      </c>
      <c r="AC476" s="10">
        <v>97.9</v>
      </c>
      <c r="AD476" s="10">
        <v>706.6</v>
      </c>
      <c r="AE476" s="10">
        <v>0.1072</v>
      </c>
      <c r="AF476" s="10">
        <v>0.1071</v>
      </c>
      <c r="AG476" s="10">
        <v>3.517E-2</v>
      </c>
      <c r="AH476" s="10">
        <v>3.3119999999999997E-2</v>
      </c>
      <c r="AI476" s="10">
        <v>0.18590000000000001</v>
      </c>
      <c r="AJ476">
        <v>6.8099999999999994E-2</v>
      </c>
    </row>
    <row r="477" spans="3:36">
      <c r="C477" s="11" t="s">
        <v>583</v>
      </c>
      <c r="D477" s="10">
        <v>444</v>
      </c>
      <c r="E477" s="10">
        <v>909777</v>
      </c>
      <c r="F477" s="10" t="s">
        <v>1</v>
      </c>
      <c r="G477" s="10">
        <v>13.71</v>
      </c>
      <c r="H477" s="10">
        <v>18.32</v>
      </c>
      <c r="I477" s="10">
        <v>66.819999999999993</v>
      </c>
      <c r="J477" s="10">
        <v>340.9</v>
      </c>
      <c r="K477" s="10">
        <v>8.1420000000000006E-2</v>
      </c>
      <c r="L477" s="10">
        <v>4.462E-2</v>
      </c>
      <c r="M477" s="10">
        <v>1.993E-2</v>
      </c>
      <c r="N477" s="10">
        <v>1.111E-2</v>
      </c>
      <c r="O477" s="10">
        <v>0.23719999999999999</v>
      </c>
      <c r="P477" s="10">
        <v>5.7680000000000002E-2</v>
      </c>
      <c r="Q477" s="10">
        <v>0.18179999999999999</v>
      </c>
      <c r="R477" s="10">
        <v>2.5419999999999998</v>
      </c>
      <c r="S477" s="10">
        <v>1.2769999999999999</v>
      </c>
      <c r="T477" s="10">
        <v>13.12</v>
      </c>
      <c r="U477" s="10">
        <v>1.072E-2</v>
      </c>
      <c r="V477" s="10">
        <v>1.3310000000000001E-2</v>
      </c>
      <c r="W477" s="10">
        <v>1.993E-2</v>
      </c>
      <c r="X477" s="10">
        <v>1.111E-2</v>
      </c>
      <c r="Y477" s="10">
        <v>1.7170000000000001E-2</v>
      </c>
      <c r="Z477" s="10">
        <v>4.4920000000000003E-3</v>
      </c>
      <c r="AA477" s="10">
        <v>10.94</v>
      </c>
      <c r="AB477" s="10">
        <v>23.31</v>
      </c>
      <c r="AC477" s="10">
        <v>69.349999999999994</v>
      </c>
      <c r="AD477" s="10">
        <v>366.3</v>
      </c>
      <c r="AE477" s="10">
        <v>9.7939999999999999E-2</v>
      </c>
      <c r="AF477" s="10">
        <v>6.5420000000000006E-2</v>
      </c>
      <c r="AG477" s="10">
        <v>3.986E-2</v>
      </c>
      <c r="AH477" s="10">
        <v>2.222E-2</v>
      </c>
      <c r="AI477" s="10">
        <v>0.26989999999999997</v>
      </c>
      <c r="AJ477">
        <v>6.7360000000000003E-2</v>
      </c>
    </row>
    <row r="478" spans="3:36">
      <c r="C478" s="11" t="s">
        <v>584</v>
      </c>
      <c r="D478" s="10">
        <v>445</v>
      </c>
      <c r="E478" s="10">
        <v>9110127</v>
      </c>
      <c r="F478" s="10" t="s">
        <v>0</v>
      </c>
      <c r="G478" s="10">
        <v>13.71</v>
      </c>
      <c r="H478" s="10">
        <v>16.850000000000001</v>
      </c>
      <c r="I478" s="10">
        <v>117.5</v>
      </c>
      <c r="J478" s="10">
        <v>990</v>
      </c>
      <c r="K478" s="10">
        <v>8.9469999999999994E-2</v>
      </c>
      <c r="L478" s="10">
        <v>0.1232</v>
      </c>
      <c r="M478" s="10">
        <v>0.109</v>
      </c>
      <c r="N478" s="10">
        <v>6.2539999999999998E-2</v>
      </c>
      <c r="O478" s="10">
        <v>0.17199999999999999</v>
      </c>
      <c r="P478" s="10">
        <v>5.7799999999999997E-2</v>
      </c>
      <c r="Q478" s="10">
        <v>0.29859999999999998</v>
      </c>
      <c r="R478" s="10">
        <v>0.59060000000000001</v>
      </c>
      <c r="S478" s="10">
        <v>1.921</v>
      </c>
      <c r="T478" s="10">
        <v>35.770000000000003</v>
      </c>
      <c r="U478" s="10">
        <v>4.117E-3</v>
      </c>
      <c r="V478" s="10">
        <v>1.5599999999999999E-2</v>
      </c>
      <c r="W478" s="10">
        <v>2.9749999999999999E-2</v>
      </c>
      <c r="X478" s="10">
        <v>9.7529999999999995E-3</v>
      </c>
      <c r="Y478" s="10">
        <v>1.295E-2</v>
      </c>
      <c r="Z478" s="10">
        <v>2.4359999999999998E-3</v>
      </c>
      <c r="AA478" s="10">
        <v>20.38</v>
      </c>
      <c r="AB478" s="10">
        <v>22.02</v>
      </c>
      <c r="AC478" s="10">
        <v>133.30000000000001</v>
      </c>
      <c r="AD478" s="10">
        <v>1292</v>
      </c>
      <c r="AE478" s="10">
        <v>0.1263</v>
      </c>
      <c r="AF478" s="10">
        <v>0.2666</v>
      </c>
      <c r="AG478" s="10">
        <v>0.42899999999999999</v>
      </c>
      <c r="AH478" s="10">
        <v>0.1535</v>
      </c>
      <c r="AI478" s="10">
        <v>0.28420000000000001</v>
      </c>
      <c r="AJ478">
        <v>8.2250000000000004E-2</v>
      </c>
    </row>
    <row r="479" spans="3:36">
      <c r="C479" s="11" t="s">
        <v>585</v>
      </c>
      <c r="D479" s="10">
        <v>446</v>
      </c>
      <c r="E479" s="10">
        <v>9110720</v>
      </c>
      <c r="F479" s="10" t="s">
        <v>1</v>
      </c>
      <c r="G479" s="10">
        <v>13.71</v>
      </c>
      <c r="H479" s="10">
        <v>24.89</v>
      </c>
      <c r="I479" s="10">
        <v>77.61</v>
      </c>
      <c r="J479" s="10">
        <v>441.3</v>
      </c>
      <c r="K479" s="10">
        <v>0.10299999999999999</v>
      </c>
      <c r="L479" s="10">
        <v>9.2179999999999998E-2</v>
      </c>
      <c r="M479" s="10">
        <v>5.441E-2</v>
      </c>
      <c r="N479" s="10">
        <v>4.274E-2</v>
      </c>
      <c r="O479" s="10">
        <v>0.182</v>
      </c>
      <c r="P479" s="10">
        <v>6.8500000000000005E-2</v>
      </c>
      <c r="Q479" s="10">
        <v>0.26229999999999998</v>
      </c>
      <c r="R479" s="10">
        <v>1.204</v>
      </c>
      <c r="S479" s="10">
        <v>1.865</v>
      </c>
      <c r="T479" s="10">
        <v>19.39</v>
      </c>
      <c r="U479" s="10">
        <v>8.3199999999999993E-3</v>
      </c>
      <c r="V479" s="10">
        <v>2.0250000000000001E-2</v>
      </c>
      <c r="W479" s="10">
        <v>2.334E-2</v>
      </c>
      <c r="X479" s="10">
        <v>1.6650000000000002E-2</v>
      </c>
      <c r="Y479" s="10">
        <v>2.094E-2</v>
      </c>
      <c r="Z479" s="10">
        <v>3.6740000000000002E-3</v>
      </c>
      <c r="AA479" s="10">
        <v>12.98</v>
      </c>
      <c r="AB479" s="10">
        <v>30.36</v>
      </c>
      <c r="AC479" s="10">
        <v>84.48</v>
      </c>
      <c r="AD479" s="10">
        <v>513.9</v>
      </c>
      <c r="AE479" s="10">
        <v>0.13109999999999999</v>
      </c>
      <c r="AF479" s="10">
        <v>0.1822</v>
      </c>
      <c r="AG479" s="10">
        <v>0.16089999999999999</v>
      </c>
      <c r="AH479" s="10">
        <v>0.1202</v>
      </c>
      <c r="AI479" s="10">
        <v>0.25990000000000002</v>
      </c>
      <c r="AJ479">
        <v>8.251E-2</v>
      </c>
    </row>
    <row r="480" spans="3:36">
      <c r="C480" s="11" t="s">
        <v>586</v>
      </c>
      <c r="D480" s="10">
        <v>447</v>
      </c>
      <c r="E480" s="10">
        <v>9110732</v>
      </c>
      <c r="F480" s="10" t="s">
        <v>0</v>
      </c>
      <c r="G480" s="10">
        <v>13.71</v>
      </c>
      <c r="H480" s="10">
        <v>28.03</v>
      </c>
      <c r="I480" s="10">
        <v>117.3</v>
      </c>
      <c r="J480" s="10">
        <v>981.6</v>
      </c>
      <c r="K480" s="10">
        <v>9.9970000000000003E-2</v>
      </c>
      <c r="L480" s="10">
        <v>0.13139999999999999</v>
      </c>
      <c r="M480" s="10">
        <v>0.16980000000000001</v>
      </c>
      <c r="N480" s="10">
        <v>8.2930000000000004E-2</v>
      </c>
      <c r="O480" s="10">
        <v>0.17130000000000001</v>
      </c>
      <c r="P480" s="10">
        <v>5.9159999999999997E-2</v>
      </c>
      <c r="Q480" s="10">
        <v>0.38969999999999999</v>
      </c>
      <c r="R480" s="10">
        <v>1.077</v>
      </c>
      <c r="S480" s="10">
        <v>2.8730000000000002</v>
      </c>
      <c r="T480" s="10">
        <v>43.95</v>
      </c>
      <c r="U480" s="10">
        <v>4.7140000000000003E-3</v>
      </c>
      <c r="V480" s="10">
        <v>2.0150000000000001E-2</v>
      </c>
      <c r="W480" s="10">
        <v>3.6970000000000003E-2</v>
      </c>
      <c r="X480" s="10">
        <v>1.11E-2</v>
      </c>
      <c r="Y480" s="10">
        <v>1.2370000000000001E-2</v>
      </c>
      <c r="Z480" s="10">
        <v>2.5560000000000001E-3</v>
      </c>
      <c r="AA480" s="10">
        <v>21.53</v>
      </c>
      <c r="AB480" s="10">
        <v>38.54</v>
      </c>
      <c r="AC480" s="10">
        <v>145.4</v>
      </c>
      <c r="AD480" s="10">
        <v>1437</v>
      </c>
      <c r="AE480" s="10">
        <v>0.1401</v>
      </c>
      <c r="AF480" s="10">
        <v>0.37619999999999998</v>
      </c>
      <c r="AG480" s="10">
        <v>0.63990000000000002</v>
      </c>
      <c r="AH480" s="10">
        <v>0.19700000000000001</v>
      </c>
      <c r="AI480" s="10">
        <v>0.29720000000000002</v>
      </c>
      <c r="AJ480">
        <v>9.0749999999999997E-2</v>
      </c>
    </row>
    <row r="481" spans="3:36">
      <c r="C481" s="11" t="s">
        <v>587</v>
      </c>
      <c r="D481" s="10">
        <v>448</v>
      </c>
      <c r="E481" s="10">
        <v>9110944</v>
      </c>
      <c r="F481" s="10" t="s">
        <v>1</v>
      </c>
      <c r="G481" s="10">
        <v>13.71</v>
      </c>
      <c r="H481" s="10">
        <v>17.66</v>
      </c>
      <c r="I481" s="10">
        <v>95.88</v>
      </c>
      <c r="J481" s="10">
        <v>674.8</v>
      </c>
      <c r="K481" s="10">
        <v>9.1789999999999997E-2</v>
      </c>
      <c r="L481" s="10">
        <v>8.8900000000000007E-2</v>
      </c>
      <c r="M481" s="10">
        <v>4.0689999999999997E-2</v>
      </c>
      <c r="N481" s="10">
        <v>2.2599999999999999E-2</v>
      </c>
      <c r="O481" s="10">
        <v>0.1893</v>
      </c>
      <c r="P481" s="10">
        <v>5.8860000000000003E-2</v>
      </c>
      <c r="Q481" s="10">
        <v>0.22040000000000001</v>
      </c>
      <c r="R481" s="10">
        <v>0.62209999999999999</v>
      </c>
      <c r="S481" s="10">
        <v>1.482</v>
      </c>
      <c r="T481" s="10">
        <v>19.75</v>
      </c>
      <c r="U481" s="10">
        <v>4.7959999999999999E-3</v>
      </c>
      <c r="V481" s="10">
        <v>1.171E-2</v>
      </c>
      <c r="W481" s="10">
        <v>1.7579999999999998E-2</v>
      </c>
      <c r="X481" s="10">
        <v>6.8970000000000004E-3</v>
      </c>
      <c r="Y481" s="10">
        <v>2.2540000000000001E-2</v>
      </c>
      <c r="Z481" s="10">
        <v>1.9710000000000001E-3</v>
      </c>
      <c r="AA481" s="10">
        <v>16.43</v>
      </c>
      <c r="AB481" s="10">
        <v>22.74</v>
      </c>
      <c r="AC481" s="10">
        <v>105.9</v>
      </c>
      <c r="AD481" s="10">
        <v>829.5</v>
      </c>
      <c r="AE481" s="10">
        <v>0.1226</v>
      </c>
      <c r="AF481" s="10">
        <v>0.18809999999999999</v>
      </c>
      <c r="AG481" s="10">
        <v>0.20599999999999999</v>
      </c>
      <c r="AH481" s="10">
        <v>8.3080000000000001E-2</v>
      </c>
      <c r="AI481" s="10">
        <v>0.36</v>
      </c>
      <c r="AJ481">
        <v>7.2849999999999998E-2</v>
      </c>
    </row>
    <row r="482" spans="3:36">
      <c r="C482" s="11" t="s">
        <v>588</v>
      </c>
      <c r="D482" s="10">
        <v>449</v>
      </c>
      <c r="E482" s="10">
        <v>911150</v>
      </c>
      <c r="F482" s="10" t="s">
        <v>1</v>
      </c>
      <c r="G482" s="10">
        <v>13.71</v>
      </c>
      <c r="H482" s="10">
        <v>19.34</v>
      </c>
      <c r="I482" s="10">
        <v>94.25</v>
      </c>
      <c r="J482" s="10">
        <v>659.7</v>
      </c>
      <c r="K482" s="10">
        <v>8.3879999999999996E-2</v>
      </c>
      <c r="L482" s="10">
        <v>7.8E-2</v>
      </c>
      <c r="M482" s="10">
        <v>8.8169999999999998E-2</v>
      </c>
      <c r="N482" s="10">
        <v>2.9250000000000002E-2</v>
      </c>
      <c r="O482" s="10">
        <v>0.14729999999999999</v>
      </c>
      <c r="P482" s="10">
        <v>5.7459999999999997E-2</v>
      </c>
      <c r="Q482" s="10">
        <v>0.2535</v>
      </c>
      <c r="R482" s="10">
        <v>1.3540000000000001</v>
      </c>
      <c r="S482" s="10">
        <v>1.994</v>
      </c>
      <c r="T482" s="10">
        <v>23.04</v>
      </c>
      <c r="U482" s="10">
        <v>4.1469999999999996E-3</v>
      </c>
      <c r="V482" s="10">
        <v>2.0480000000000002E-2</v>
      </c>
      <c r="W482" s="10">
        <v>3.3790000000000001E-2</v>
      </c>
      <c r="X482" s="10">
        <v>8.848E-3</v>
      </c>
      <c r="Y482" s="10">
        <v>1.3939999999999999E-2</v>
      </c>
      <c r="Z482" s="10">
        <v>2.3270000000000001E-3</v>
      </c>
      <c r="AA482" s="10">
        <v>16.3</v>
      </c>
      <c r="AB482" s="10">
        <v>28.39</v>
      </c>
      <c r="AC482" s="10">
        <v>108.1</v>
      </c>
      <c r="AD482" s="10">
        <v>830.5</v>
      </c>
      <c r="AE482" s="10">
        <v>0.1089</v>
      </c>
      <c r="AF482" s="10">
        <v>0.26490000000000002</v>
      </c>
      <c r="AG482" s="10">
        <v>0.37790000000000001</v>
      </c>
      <c r="AH482" s="10">
        <v>9.5939999999999998E-2</v>
      </c>
      <c r="AI482" s="10">
        <v>0.24709999999999999</v>
      </c>
      <c r="AJ482">
        <v>7.4630000000000002E-2</v>
      </c>
    </row>
    <row r="483" spans="3:36">
      <c r="C483" s="11" t="s">
        <v>589</v>
      </c>
      <c r="D483" s="10">
        <v>450</v>
      </c>
      <c r="E483" s="10">
        <v>911157302</v>
      </c>
      <c r="F483" s="10" t="s">
        <v>0</v>
      </c>
      <c r="G483" s="10">
        <v>13.71</v>
      </c>
      <c r="H483" s="10">
        <v>20.52</v>
      </c>
      <c r="I483" s="10">
        <v>138.1</v>
      </c>
      <c r="J483" s="10">
        <v>1384</v>
      </c>
      <c r="K483" s="10">
        <v>9.6839999999999996E-2</v>
      </c>
      <c r="L483" s="10">
        <v>0.11749999999999999</v>
      </c>
      <c r="M483" s="10">
        <v>0.15720000000000001</v>
      </c>
      <c r="N483" s="10">
        <v>0.11550000000000001</v>
      </c>
      <c r="O483" s="10">
        <v>0.15540000000000001</v>
      </c>
      <c r="P483" s="10">
        <v>5.6610000000000001E-2</v>
      </c>
      <c r="Q483" s="10">
        <v>0.6643</v>
      </c>
      <c r="R483" s="10">
        <v>1.361</v>
      </c>
      <c r="S483" s="10">
        <v>4.5419999999999998</v>
      </c>
      <c r="T483" s="10">
        <v>81.89</v>
      </c>
      <c r="U483" s="10">
        <v>5.4669999999999996E-3</v>
      </c>
      <c r="V483" s="10">
        <v>2.0750000000000001E-2</v>
      </c>
      <c r="W483" s="10">
        <v>3.1850000000000003E-2</v>
      </c>
      <c r="X483" s="10">
        <v>1.4659999999999999E-2</v>
      </c>
      <c r="Y483" s="10">
        <v>1.0290000000000001E-2</v>
      </c>
      <c r="Z483" s="10">
        <v>2.2049999999999999E-3</v>
      </c>
      <c r="AA483" s="10">
        <v>25.68</v>
      </c>
      <c r="AB483" s="10">
        <v>32.07</v>
      </c>
      <c r="AC483" s="10">
        <v>168.2</v>
      </c>
      <c r="AD483" s="10">
        <v>2022</v>
      </c>
      <c r="AE483" s="10">
        <v>0.1368</v>
      </c>
      <c r="AF483" s="10">
        <v>0.31009999999999999</v>
      </c>
      <c r="AG483" s="10">
        <v>0.43990000000000001</v>
      </c>
      <c r="AH483" s="10">
        <v>0.22800000000000001</v>
      </c>
      <c r="AI483" s="10">
        <v>0.2268</v>
      </c>
      <c r="AJ483">
        <v>7.4249999999999997E-2</v>
      </c>
    </row>
    <row r="484" spans="3:36">
      <c r="C484" s="11" t="s">
        <v>590</v>
      </c>
      <c r="D484" s="10">
        <v>451</v>
      </c>
      <c r="E484" s="10">
        <v>9111596</v>
      </c>
      <c r="F484" s="10" t="s">
        <v>1</v>
      </c>
      <c r="G484" s="10">
        <v>13.71</v>
      </c>
      <c r="H484" s="10">
        <v>21.54</v>
      </c>
      <c r="I484" s="10">
        <v>76.83</v>
      </c>
      <c r="J484" s="10">
        <v>432</v>
      </c>
      <c r="K484" s="10">
        <v>6.6129999999999994E-2</v>
      </c>
      <c r="L484" s="10">
        <v>0.10639999999999999</v>
      </c>
      <c r="M484" s="10">
        <v>8.7770000000000001E-2</v>
      </c>
      <c r="N484" s="10">
        <v>2.3859999999999999E-2</v>
      </c>
      <c r="O484" s="10">
        <v>0.13489999999999999</v>
      </c>
      <c r="P484" s="10">
        <v>6.6119999999999998E-2</v>
      </c>
      <c r="Q484" s="10">
        <v>0.25600000000000001</v>
      </c>
      <c r="R484" s="10">
        <v>1.554</v>
      </c>
      <c r="S484" s="10">
        <v>1.9550000000000001</v>
      </c>
      <c r="T484" s="10">
        <v>20.239999999999998</v>
      </c>
      <c r="U484" s="10">
        <v>6.8539999999999998E-3</v>
      </c>
      <c r="V484" s="10">
        <v>6.0630000000000003E-2</v>
      </c>
      <c r="W484" s="10">
        <v>6.6629999999999995E-2</v>
      </c>
      <c r="X484" s="10">
        <v>1.553E-2</v>
      </c>
      <c r="Y484" s="10">
        <v>2.3539999999999998E-2</v>
      </c>
      <c r="Z484" s="10">
        <v>8.9250000000000006E-3</v>
      </c>
      <c r="AA484" s="10">
        <v>12.79</v>
      </c>
      <c r="AB484" s="10">
        <v>28.18</v>
      </c>
      <c r="AC484" s="10">
        <v>83.51</v>
      </c>
      <c r="AD484" s="10">
        <v>507.2</v>
      </c>
      <c r="AE484" s="10">
        <v>9.4570000000000001E-2</v>
      </c>
      <c r="AF484" s="10">
        <v>0.33989999999999998</v>
      </c>
      <c r="AG484" s="10">
        <v>0.32179999999999997</v>
      </c>
      <c r="AH484" s="10">
        <v>8.7499999999999994E-2</v>
      </c>
      <c r="AI484" s="10">
        <v>0.23050000000000001</v>
      </c>
      <c r="AJ484">
        <v>9.9519999999999997E-2</v>
      </c>
    </row>
    <row r="485" spans="3:36">
      <c r="C485" s="11" t="s">
        <v>591</v>
      </c>
      <c r="D485" s="10">
        <v>452</v>
      </c>
      <c r="E485" s="10">
        <v>9111805</v>
      </c>
      <c r="F485" s="10" t="s">
        <v>0</v>
      </c>
      <c r="G485" s="10">
        <v>13.71</v>
      </c>
      <c r="H485" s="10">
        <v>25</v>
      </c>
      <c r="I485" s="10">
        <v>127.7</v>
      </c>
      <c r="J485" s="10">
        <v>1191</v>
      </c>
      <c r="K485" s="10">
        <v>0.1032</v>
      </c>
      <c r="L485" s="10">
        <v>9.8710000000000006E-2</v>
      </c>
      <c r="M485" s="10">
        <v>0.16550000000000001</v>
      </c>
      <c r="N485" s="10">
        <v>9.0630000000000002E-2</v>
      </c>
      <c r="O485" s="10">
        <v>0.1663</v>
      </c>
      <c r="P485" s="10">
        <v>5.391E-2</v>
      </c>
      <c r="Q485" s="10">
        <v>0.46739999999999998</v>
      </c>
      <c r="R485" s="10">
        <v>1.375</v>
      </c>
      <c r="S485" s="10">
        <v>2.9159999999999999</v>
      </c>
      <c r="T485" s="10">
        <v>56.18</v>
      </c>
      <c r="U485" s="10">
        <v>1.1900000000000001E-2</v>
      </c>
      <c r="V485" s="10">
        <v>1.9290000000000002E-2</v>
      </c>
      <c r="W485" s="10">
        <v>4.9070000000000003E-2</v>
      </c>
      <c r="X485" s="10">
        <v>1.499E-2</v>
      </c>
      <c r="Y485" s="10">
        <v>1.6410000000000001E-2</v>
      </c>
      <c r="Z485" s="10">
        <v>1.807E-3</v>
      </c>
      <c r="AA485" s="10">
        <v>21.44</v>
      </c>
      <c r="AB485" s="10">
        <v>30.96</v>
      </c>
      <c r="AC485" s="10">
        <v>139.80000000000001</v>
      </c>
      <c r="AD485" s="10">
        <v>1421</v>
      </c>
      <c r="AE485" s="10">
        <v>0.15279999999999999</v>
      </c>
      <c r="AF485" s="10">
        <v>0.1845</v>
      </c>
      <c r="AG485" s="10">
        <v>0.3977</v>
      </c>
      <c r="AH485" s="10">
        <v>0.14660000000000001</v>
      </c>
      <c r="AI485" s="10">
        <v>0.2293</v>
      </c>
      <c r="AJ485">
        <v>6.0909999999999999E-2</v>
      </c>
    </row>
    <row r="486" spans="3:36">
      <c r="C486" s="11" t="s">
        <v>592</v>
      </c>
      <c r="D486" s="10">
        <v>453</v>
      </c>
      <c r="E486" s="10">
        <v>9111843</v>
      </c>
      <c r="F486" s="10" t="s">
        <v>1</v>
      </c>
      <c r="G486" s="10">
        <v>13.71</v>
      </c>
      <c r="H486" s="10">
        <v>28.23</v>
      </c>
      <c r="I486" s="10">
        <v>76.77</v>
      </c>
      <c r="J486" s="10">
        <v>442.5</v>
      </c>
      <c r="K486" s="10">
        <v>8.4370000000000001E-2</v>
      </c>
      <c r="L486" s="10">
        <v>6.4500000000000002E-2</v>
      </c>
      <c r="M486" s="10">
        <v>4.0550000000000003E-2</v>
      </c>
      <c r="N486" s="10">
        <v>1.9449999999999999E-2</v>
      </c>
      <c r="O486" s="10">
        <v>0.1615</v>
      </c>
      <c r="P486" s="10">
        <v>6.1039999999999997E-2</v>
      </c>
      <c r="Q486" s="10">
        <v>0.19120000000000001</v>
      </c>
      <c r="R486" s="10">
        <v>1.7050000000000001</v>
      </c>
      <c r="S486" s="10">
        <v>1.516</v>
      </c>
      <c r="T486" s="10">
        <v>13.86</v>
      </c>
      <c r="U486" s="10">
        <v>7.3340000000000002E-3</v>
      </c>
      <c r="V486" s="10">
        <v>2.589E-2</v>
      </c>
      <c r="W486" s="10">
        <v>2.9409999999999999E-2</v>
      </c>
      <c r="X486" s="10">
        <v>9.1660000000000005E-3</v>
      </c>
      <c r="Y486" s="10">
        <v>1.745E-2</v>
      </c>
      <c r="Z486" s="10">
        <v>4.3020000000000003E-3</v>
      </c>
      <c r="AA486" s="10">
        <v>13.09</v>
      </c>
      <c r="AB486" s="10">
        <v>37.880000000000003</v>
      </c>
      <c r="AC486" s="10">
        <v>85.07</v>
      </c>
      <c r="AD486" s="10">
        <v>523.70000000000005</v>
      </c>
      <c r="AE486" s="10">
        <v>0.1208</v>
      </c>
      <c r="AF486" s="10">
        <v>0.18559999999999999</v>
      </c>
      <c r="AG486" s="10">
        <v>0.18110000000000001</v>
      </c>
      <c r="AH486" s="10">
        <v>7.1160000000000001E-2</v>
      </c>
      <c r="AI486" s="10">
        <v>0.2447</v>
      </c>
      <c r="AJ486">
        <v>8.1939999999999999E-2</v>
      </c>
    </row>
    <row r="487" spans="3:36">
      <c r="C487" s="11" t="s">
        <v>593</v>
      </c>
      <c r="D487" s="10">
        <v>454</v>
      </c>
      <c r="E487" s="10">
        <v>911201</v>
      </c>
      <c r="F487" s="10" t="s">
        <v>1</v>
      </c>
      <c r="G487" s="10">
        <v>13.71</v>
      </c>
      <c r="H487" s="10">
        <v>13.98</v>
      </c>
      <c r="I487" s="10">
        <v>93.86</v>
      </c>
      <c r="J487" s="10">
        <v>644.20000000000005</v>
      </c>
      <c r="K487" s="10">
        <v>0.1099</v>
      </c>
      <c r="L487" s="10">
        <v>9.2420000000000002E-2</v>
      </c>
      <c r="M487" s="10">
        <v>6.8949999999999997E-2</v>
      </c>
      <c r="N487" s="10">
        <v>6.4949999999999994E-2</v>
      </c>
      <c r="O487" s="10">
        <v>0.16500000000000001</v>
      </c>
      <c r="P487" s="10">
        <v>6.1210000000000001E-2</v>
      </c>
      <c r="Q487" s="10">
        <v>0.30599999999999999</v>
      </c>
      <c r="R487" s="10">
        <v>0.72130000000000005</v>
      </c>
      <c r="S487" s="10">
        <v>2.1429999999999998</v>
      </c>
      <c r="T487" s="10">
        <v>25.7</v>
      </c>
      <c r="U487" s="10">
        <v>6.1330000000000004E-3</v>
      </c>
      <c r="V487" s="10">
        <v>1.251E-2</v>
      </c>
      <c r="W487" s="10">
        <v>1.6150000000000001E-2</v>
      </c>
      <c r="X487" s="10">
        <v>1.136E-2</v>
      </c>
      <c r="Y487" s="10">
        <v>2.2069999999999999E-2</v>
      </c>
      <c r="Z487" s="10">
        <v>3.5630000000000002E-3</v>
      </c>
      <c r="AA487" s="10">
        <v>15.8</v>
      </c>
      <c r="AB487" s="10">
        <v>16.93</v>
      </c>
      <c r="AC487" s="10">
        <v>103.1</v>
      </c>
      <c r="AD487" s="10">
        <v>749.9</v>
      </c>
      <c r="AE487" s="10">
        <v>0.13469999999999999</v>
      </c>
      <c r="AF487" s="10">
        <v>0.14779999999999999</v>
      </c>
      <c r="AG487" s="10">
        <v>0.13730000000000001</v>
      </c>
      <c r="AH487" s="10">
        <v>0.1069</v>
      </c>
      <c r="AI487" s="10">
        <v>0.2606</v>
      </c>
      <c r="AJ487">
        <v>7.8100000000000003E-2</v>
      </c>
    </row>
    <row r="488" spans="3:36">
      <c r="C488" s="11" t="s">
        <v>594</v>
      </c>
      <c r="D488" s="10">
        <v>455</v>
      </c>
      <c r="E488" s="10">
        <v>911202</v>
      </c>
      <c r="F488" s="10" t="s">
        <v>1</v>
      </c>
      <c r="G488" s="10">
        <v>13.71</v>
      </c>
      <c r="H488" s="10">
        <v>17.149999999999999</v>
      </c>
      <c r="I488" s="10">
        <v>80.62</v>
      </c>
      <c r="J488" s="10">
        <v>492.9</v>
      </c>
      <c r="K488" s="10">
        <v>8.5830000000000004E-2</v>
      </c>
      <c r="L488" s="10">
        <v>5.4300000000000001E-2</v>
      </c>
      <c r="M488" s="10">
        <v>2.9659999999999999E-2</v>
      </c>
      <c r="N488" s="10">
        <v>2.2720000000000001E-2</v>
      </c>
      <c r="O488" s="10">
        <v>0.1799</v>
      </c>
      <c r="P488" s="10">
        <v>5.8259999999999999E-2</v>
      </c>
      <c r="Q488" s="10">
        <v>0.16919999999999999</v>
      </c>
      <c r="R488" s="10">
        <v>0.66739999999999999</v>
      </c>
      <c r="S488" s="10">
        <v>1.1160000000000001</v>
      </c>
      <c r="T488" s="10">
        <v>13.32</v>
      </c>
      <c r="U488" s="10">
        <v>3.888E-3</v>
      </c>
      <c r="V488" s="10">
        <v>8.5389999999999997E-3</v>
      </c>
      <c r="W488" s="10">
        <v>1.256E-2</v>
      </c>
      <c r="X488" s="10">
        <v>6.888E-3</v>
      </c>
      <c r="Y488" s="10">
        <v>1.6080000000000001E-2</v>
      </c>
      <c r="Z488" s="10">
        <v>1.6379999999999999E-3</v>
      </c>
      <c r="AA488" s="10">
        <v>14.34</v>
      </c>
      <c r="AB488" s="10">
        <v>22.15</v>
      </c>
      <c r="AC488" s="10">
        <v>91.62</v>
      </c>
      <c r="AD488" s="10">
        <v>633.5</v>
      </c>
      <c r="AE488" s="10">
        <v>0.1225</v>
      </c>
      <c r="AF488" s="10">
        <v>0.1517</v>
      </c>
      <c r="AG488" s="10">
        <v>0.18870000000000001</v>
      </c>
      <c r="AH488" s="10">
        <v>9.851E-2</v>
      </c>
      <c r="AI488" s="10">
        <v>0.32700000000000001</v>
      </c>
      <c r="AJ488">
        <v>7.3300000000000004E-2</v>
      </c>
    </row>
    <row r="489" spans="3:36">
      <c r="C489" s="11" t="s">
        <v>595</v>
      </c>
      <c r="D489" s="10">
        <v>456</v>
      </c>
      <c r="E489" s="10">
        <v>9112085</v>
      </c>
      <c r="F489" s="10" t="s">
        <v>1</v>
      </c>
      <c r="G489" s="10">
        <v>13.71</v>
      </c>
      <c r="H489" s="10">
        <v>30.72</v>
      </c>
      <c r="I489" s="10">
        <v>86.34</v>
      </c>
      <c r="J489" s="10">
        <v>557.20000000000005</v>
      </c>
      <c r="K489" s="10">
        <v>9.2450000000000004E-2</v>
      </c>
      <c r="L489" s="10">
        <v>7.4260000000000007E-2</v>
      </c>
      <c r="M489" s="10">
        <v>2.819E-2</v>
      </c>
      <c r="N489" s="10">
        <v>3.2640000000000002E-2</v>
      </c>
      <c r="O489" s="10">
        <v>0.13750000000000001</v>
      </c>
      <c r="P489" s="10">
        <v>6.0159999999999998E-2</v>
      </c>
      <c r="Q489" s="10">
        <v>0.34079999999999999</v>
      </c>
      <c r="R489" s="10">
        <v>1.9239999999999999</v>
      </c>
      <c r="S489" s="10">
        <v>2.2869999999999999</v>
      </c>
      <c r="T489" s="10">
        <v>28.93</v>
      </c>
      <c r="U489" s="10">
        <v>5.8409999999999998E-3</v>
      </c>
      <c r="V489" s="10">
        <v>1.2460000000000001E-2</v>
      </c>
      <c r="W489" s="10">
        <v>7.9360000000000003E-3</v>
      </c>
      <c r="X489" s="10">
        <v>9.1280000000000007E-3</v>
      </c>
      <c r="Y489" s="10">
        <v>1.5640000000000001E-2</v>
      </c>
      <c r="Z489" s="10">
        <v>2.9849999999999998E-3</v>
      </c>
      <c r="AA489" s="10">
        <v>15.05</v>
      </c>
      <c r="AB489" s="10">
        <v>41.61</v>
      </c>
      <c r="AC489" s="10">
        <v>96.69</v>
      </c>
      <c r="AD489" s="10">
        <v>705.6</v>
      </c>
      <c r="AE489" s="10">
        <v>0.1172</v>
      </c>
      <c r="AF489" s="10">
        <v>0.1421</v>
      </c>
      <c r="AG489" s="10">
        <v>7.0029999999999995E-2</v>
      </c>
      <c r="AH489" s="10">
        <v>7.7630000000000005E-2</v>
      </c>
      <c r="AI489" s="10">
        <v>0.21959999999999999</v>
      </c>
      <c r="AJ489">
        <v>7.6749999999999999E-2</v>
      </c>
    </row>
    <row r="490" spans="3:36">
      <c r="C490" s="11" t="s">
        <v>596</v>
      </c>
      <c r="D490" s="10">
        <v>457</v>
      </c>
      <c r="E490" s="10">
        <v>9112366</v>
      </c>
      <c r="F490" s="10" t="s">
        <v>1</v>
      </c>
      <c r="G490" s="10">
        <v>13.71</v>
      </c>
      <c r="H490" s="10">
        <v>29.29</v>
      </c>
      <c r="I490" s="10">
        <v>74.87</v>
      </c>
      <c r="J490" s="10">
        <v>415.1</v>
      </c>
      <c r="K490" s="10">
        <v>9.357E-2</v>
      </c>
      <c r="L490" s="10">
        <v>8.5739999999999997E-2</v>
      </c>
      <c r="M490" s="10">
        <v>7.1599999999999997E-2</v>
      </c>
      <c r="N490" s="10">
        <v>2.017E-2</v>
      </c>
      <c r="O490" s="10">
        <v>0.1799</v>
      </c>
      <c r="P490" s="10">
        <v>6.166E-2</v>
      </c>
      <c r="Q490" s="10">
        <v>0.3135</v>
      </c>
      <c r="R490" s="10">
        <v>2.4260000000000002</v>
      </c>
      <c r="S490" s="10">
        <v>2.15</v>
      </c>
      <c r="T490" s="10">
        <v>23.13</v>
      </c>
      <c r="U490" s="10">
        <v>9.861E-3</v>
      </c>
      <c r="V490" s="10">
        <v>2.418E-2</v>
      </c>
      <c r="W490" s="10">
        <v>4.2750000000000003E-2</v>
      </c>
      <c r="X490" s="10">
        <v>9.2149999999999992E-3</v>
      </c>
      <c r="Y490" s="10">
        <v>2.4750000000000001E-2</v>
      </c>
      <c r="Z490" s="10">
        <v>2.1280000000000001E-3</v>
      </c>
      <c r="AA490" s="10">
        <v>13.12</v>
      </c>
      <c r="AB490" s="10">
        <v>38.81</v>
      </c>
      <c r="AC490" s="10">
        <v>86.04</v>
      </c>
      <c r="AD490" s="10">
        <v>527.79999999999995</v>
      </c>
      <c r="AE490" s="10">
        <v>0.1406</v>
      </c>
      <c r="AF490" s="10">
        <v>0.2031</v>
      </c>
      <c r="AG490" s="10">
        <v>0.2923</v>
      </c>
      <c r="AH490" s="10">
        <v>6.8349999999999994E-2</v>
      </c>
      <c r="AI490" s="10">
        <v>0.28839999999999999</v>
      </c>
      <c r="AJ490">
        <v>7.22E-2</v>
      </c>
    </row>
    <row r="491" spans="3:36">
      <c r="C491" s="11" t="s">
        <v>597</v>
      </c>
      <c r="D491" s="10">
        <v>458</v>
      </c>
      <c r="E491" s="10">
        <v>9112367</v>
      </c>
      <c r="F491" s="10" t="s">
        <v>1</v>
      </c>
      <c r="G491" s="10">
        <v>13.71</v>
      </c>
      <c r="H491" s="10">
        <v>25.25</v>
      </c>
      <c r="I491" s="10">
        <v>84.1</v>
      </c>
      <c r="J491" s="10">
        <v>537.9</v>
      </c>
      <c r="K491" s="10">
        <v>8.7910000000000002E-2</v>
      </c>
      <c r="L491" s="10">
        <v>5.2049999999999999E-2</v>
      </c>
      <c r="M491" s="10">
        <v>2.7720000000000002E-2</v>
      </c>
      <c r="N491" s="10">
        <v>2.068E-2</v>
      </c>
      <c r="O491" s="10">
        <v>0.16189999999999999</v>
      </c>
      <c r="P491" s="10">
        <v>5.5840000000000001E-2</v>
      </c>
      <c r="Q491" s="10">
        <v>0.2084</v>
      </c>
      <c r="R491" s="10">
        <v>1.35</v>
      </c>
      <c r="S491" s="10">
        <v>1.3140000000000001</v>
      </c>
      <c r="T491" s="10">
        <v>17.579999999999998</v>
      </c>
      <c r="U491" s="10">
        <v>5.7679999999999997E-3</v>
      </c>
      <c r="V491" s="10">
        <v>8.0820000000000006E-3</v>
      </c>
      <c r="W491" s="10">
        <v>1.5100000000000001E-2</v>
      </c>
      <c r="X491" s="10">
        <v>6.4510000000000001E-3</v>
      </c>
      <c r="Y491" s="10">
        <v>1.3469999999999999E-2</v>
      </c>
      <c r="Z491" s="10">
        <v>1.828E-3</v>
      </c>
      <c r="AA491" s="10">
        <v>14.35</v>
      </c>
      <c r="AB491" s="10">
        <v>34.229999999999997</v>
      </c>
      <c r="AC491" s="10">
        <v>91.29</v>
      </c>
      <c r="AD491" s="10">
        <v>632.9</v>
      </c>
      <c r="AE491" s="10">
        <v>0.12889999999999999</v>
      </c>
      <c r="AF491" s="10">
        <v>0.10630000000000001</v>
      </c>
      <c r="AG491" s="10">
        <v>0.13900000000000001</v>
      </c>
      <c r="AH491" s="10">
        <v>6.0049999999999999E-2</v>
      </c>
      <c r="AI491" s="10">
        <v>0.24440000000000001</v>
      </c>
      <c r="AJ491">
        <v>6.7879999999999996E-2</v>
      </c>
    </row>
    <row r="492" spans="3:36">
      <c r="C492" s="11" t="s">
        <v>598</v>
      </c>
      <c r="D492" s="10">
        <v>459</v>
      </c>
      <c r="E492" s="10">
        <v>9112594</v>
      </c>
      <c r="F492" s="10" t="s">
        <v>1</v>
      </c>
      <c r="G492" s="10">
        <v>13.71</v>
      </c>
      <c r="H492" s="10">
        <v>25.13</v>
      </c>
      <c r="I492" s="10">
        <v>82.61</v>
      </c>
      <c r="J492" s="10">
        <v>520.20000000000005</v>
      </c>
      <c r="K492" s="10">
        <v>8.3690000000000001E-2</v>
      </c>
      <c r="L492" s="10">
        <v>5.0729999999999997E-2</v>
      </c>
      <c r="M492" s="10">
        <v>1.206E-2</v>
      </c>
      <c r="N492" s="10">
        <v>1.762E-2</v>
      </c>
      <c r="O492" s="10">
        <v>0.16669999999999999</v>
      </c>
      <c r="P492" s="10">
        <v>5.4489999999999997E-2</v>
      </c>
      <c r="Q492" s="10">
        <v>0.2621</v>
      </c>
      <c r="R492" s="10">
        <v>1.232</v>
      </c>
      <c r="S492" s="10">
        <v>1.657</v>
      </c>
      <c r="T492" s="10">
        <v>21.19</v>
      </c>
      <c r="U492" s="10">
        <v>6.0540000000000004E-3</v>
      </c>
      <c r="V492" s="10">
        <v>8.9739999999999993E-3</v>
      </c>
      <c r="W492" s="10">
        <v>5.6810000000000003E-3</v>
      </c>
      <c r="X492" s="10">
        <v>6.3359999999999996E-3</v>
      </c>
      <c r="Y492" s="10">
        <v>1.2149999999999999E-2</v>
      </c>
      <c r="Z492" s="10">
        <v>1.5139999999999999E-3</v>
      </c>
      <c r="AA492" s="10">
        <v>14.34</v>
      </c>
      <c r="AB492" s="10">
        <v>31.88</v>
      </c>
      <c r="AC492" s="10">
        <v>91.06</v>
      </c>
      <c r="AD492" s="10">
        <v>628.5</v>
      </c>
      <c r="AE492" s="10">
        <v>0.12180000000000001</v>
      </c>
      <c r="AF492" s="10">
        <v>0.10929999999999999</v>
      </c>
      <c r="AG492" s="10">
        <v>4.462E-2</v>
      </c>
      <c r="AH492" s="10">
        <v>5.9209999999999999E-2</v>
      </c>
      <c r="AI492" s="10">
        <v>0.2306</v>
      </c>
      <c r="AJ492">
        <v>6.2909999999999994E-2</v>
      </c>
    </row>
    <row r="493" spans="3:36">
      <c r="C493" s="11" t="s">
        <v>599</v>
      </c>
      <c r="D493" s="10">
        <v>460</v>
      </c>
      <c r="E493" s="10">
        <v>9112712</v>
      </c>
      <c r="F493" s="10" t="s">
        <v>1</v>
      </c>
      <c r="G493" s="10">
        <v>13.71</v>
      </c>
      <c r="H493" s="10">
        <v>28.2</v>
      </c>
      <c r="I493" s="10">
        <v>61.68</v>
      </c>
      <c r="J493" s="10">
        <v>290.89999999999998</v>
      </c>
      <c r="K493" s="10">
        <v>7.9839999999999994E-2</v>
      </c>
      <c r="L493" s="10">
        <v>4.6260000000000003E-2</v>
      </c>
      <c r="M493" s="10">
        <v>1.541E-2</v>
      </c>
      <c r="N493" s="10">
        <v>1.043E-2</v>
      </c>
      <c r="O493" s="10">
        <v>0.16209999999999999</v>
      </c>
      <c r="P493" s="10">
        <v>5.9520000000000003E-2</v>
      </c>
      <c r="Q493" s="10">
        <v>0.17810000000000001</v>
      </c>
      <c r="R493" s="10">
        <v>1.6870000000000001</v>
      </c>
      <c r="S493" s="10">
        <v>1.2430000000000001</v>
      </c>
      <c r="T493" s="10">
        <v>11.28</v>
      </c>
      <c r="U493" s="10">
        <v>6.5880000000000001E-3</v>
      </c>
      <c r="V493" s="10">
        <v>1.2699999999999999E-2</v>
      </c>
      <c r="W493" s="10">
        <v>1.4500000000000001E-2</v>
      </c>
      <c r="X493" s="10">
        <v>6.1040000000000001E-3</v>
      </c>
      <c r="Y493" s="10">
        <v>1.5740000000000001E-2</v>
      </c>
      <c r="Z493" s="10">
        <v>2.2680000000000001E-3</v>
      </c>
      <c r="AA493" s="10">
        <v>10.67</v>
      </c>
      <c r="AB493" s="10">
        <v>36.92</v>
      </c>
      <c r="AC493" s="10">
        <v>68.03</v>
      </c>
      <c r="AD493" s="10">
        <v>349.9</v>
      </c>
      <c r="AE493" s="10">
        <v>0.111</v>
      </c>
      <c r="AF493" s="10">
        <v>0.1109</v>
      </c>
      <c r="AG493" s="10">
        <v>7.1900000000000006E-2</v>
      </c>
      <c r="AH493" s="10">
        <v>4.8660000000000002E-2</v>
      </c>
      <c r="AI493" s="10">
        <v>0.2321</v>
      </c>
      <c r="AJ493">
        <v>7.2109999999999994E-2</v>
      </c>
    </row>
    <row r="494" spans="3:36">
      <c r="C494" s="11" t="s">
        <v>600</v>
      </c>
      <c r="D494" s="10">
        <v>461</v>
      </c>
      <c r="E494" s="10">
        <v>911296201</v>
      </c>
      <c r="F494" s="10" t="s">
        <v>0</v>
      </c>
      <c r="G494" s="10">
        <v>13.71</v>
      </c>
      <c r="H494" s="10">
        <v>27.15</v>
      </c>
      <c r="I494" s="10">
        <v>111.2</v>
      </c>
      <c r="J494" s="10">
        <v>930.9</v>
      </c>
      <c r="K494" s="10">
        <v>9.8979999999999999E-2</v>
      </c>
      <c r="L494" s="10">
        <v>0.111</v>
      </c>
      <c r="M494" s="10">
        <v>0.1007</v>
      </c>
      <c r="N494" s="10">
        <v>6.4310000000000006E-2</v>
      </c>
      <c r="O494" s="10">
        <v>0.17929999999999999</v>
      </c>
      <c r="P494" s="10">
        <v>6.2810000000000005E-2</v>
      </c>
      <c r="Q494" s="10">
        <v>0.92910000000000004</v>
      </c>
      <c r="R494" s="10">
        <v>1.1519999999999999</v>
      </c>
      <c r="S494" s="10">
        <v>6.0510000000000002</v>
      </c>
      <c r="T494" s="10">
        <v>115.2</v>
      </c>
      <c r="U494" s="10">
        <v>8.7399999999999995E-3</v>
      </c>
      <c r="V494" s="10">
        <v>2.2190000000000001E-2</v>
      </c>
      <c r="W494" s="10">
        <v>2.7210000000000002E-2</v>
      </c>
      <c r="X494" s="10">
        <v>1.4579999999999999E-2</v>
      </c>
      <c r="Y494" s="10">
        <v>2.0449999999999999E-2</v>
      </c>
      <c r="Z494" s="10">
        <v>4.4169999999999999E-3</v>
      </c>
      <c r="AA494" s="10">
        <v>22.96</v>
      </c>
      <c r="AB494" s="10">
        <v>34.49</v>
      </c>
      <c r="AC494" s="10">
        <v>152.1</v>
      </c>
      <c r="AD494" s="10">
        <v>1648</v>
      </c>
      <c r="AE494" s="10">
        <v>0.16</v>
      </c>
      <c r="AF494" s="10">
        <v>0.24440000000000001</v>
      </c>
      <c r="AG494" s="10">
        <v>0.26390000000000002</v>
      </c>
      <c r="AH494" s="10">
        <v>0.1555</v>
      </c>
      <c r="AI494" s="10">
        <v>0.30099999999999999</v>
      </c>
      <c r="AJ494">
        <v>9.06E-2</v>
      </c>
    </row>
    <row r="495" spans="3:36">
      <c r="C495" s="11" t="s">
        <v>601</v>
      </c>
      <c r="D495" s="10">
        <v>462</v>
      </c>
      <c r="E495" s="10">
        <v>911296202</v>
      </c>
      <c r="F495" s="10" t="s">
        <v>0</v>
      </c>
      <c r="G495" s="10">
        <v>13.71</v>
      </c>
      <c r="H495" s="10">
        <v>26.27</v>
      </c>
      <c r="I495" s="10">
        <v>186.9</v>
      </c>
      <c r="J495" s="10">
        <v>2501</v>
      </c>
      <c r="K495" s="10">
        <v>0.1084</v>
      </c>
      <c r="L495" s="10">
        <v>0.1988</v>
      </c>
      <c r="M495" s="10">
        <v>0.36349999999999999</v>
      </c>
      <c r="N495" s="10">
        <v>0.16889999999999999</v>
      </c>
      <c r="O495" s="10">
        <v>0.20610000000000001</v>
      </c>
      <c r="P495" s="10">
        <v>5.6230000000000002E-2</v>
      </c>
      <c r="Q495" s="10">
        <v>2.5470000000000002</v>
      </c>
      <c r="R495" s="10">
        <v>1.306</v>
      </c>
      <c r="S495" s="10">
        <v>18.649999999999999</v>
      </c>
      <c r="T495" s="10">
        <v>542.20000000000005</v>
      </c>
      <c r="U495" s="10">
        <v>7.6499999999999997E-3</v>
      </c>
      <c r="V495" s="10">
        <v>5.3740000000000003E-2</v>
      </c>
      <c r="W495" s="10">
        <v>8.0549999999999997E-2</v>
      </c>
      <c r="X495" s="10">
        <v>2.598E-2</v>
      </c>
      <c r="Y495" s="10">
        <v>1.6969999999999999E-2</v>
      </c>
      <c r="Z495" s="10">
        <v>4.5580000000000004E-3</v>
      </c>
      <c r="AA495" s="10">
        <v>36.04</v>
      </c>
      <c r="AB495" s="10">
        <v>31.37</v>
      </c>
      <c r="AC495" s="10">
        <v>251.2</v>
      </c>
      <c r="AD495" s="10">
        <v>4254</v>
      </c>
      <c r="AE495" s="10">
        <v>0.13569999999999999</v>
      </c>
      <c r="AF495" s="10">
        <v>0.42559999999999998</v>
      </c>
      <c r="AG495" s="10">
        <v>0.68330000000000002</v>
      </c>
      <c r="AH495" s="10">
        <v>0.26250000000000001</v>
      </c>
      <c r="AI495" s="10">
        <v>0.2641</v>
      </c>
      <c r="AJ495">
        <v>7.4270000000000003E-2</v>
      </c>
    </row>
    <row r="496" spans="3:36">
      <c r="C496" s="11" t="s">
        <v>602</v>
      </c>
      <c r="D496" s="10">
        <v>463</v>
      </c>
      <c r="E496" s="10">
        <v>9113156</v>
      </c>
      <c r="F496" s="10" t="s">
        <v>1</v>
      </c>
      <c r="G496" s="10">
        <v>13.71</v>
      </c>
      <c r="H496" s="10">
        <v>26.99</v>
      </c>
      <c r="I496" s="10">
        <v>92.25</v>
      </c>
      <c r="J496" s="10">
        <v>646.1</v>
      </c>
      <c r="K496" s="10">
        <v>6.9949999999999998E-2</v>
      </c>
      <c r="L496" s="10">
        <v>5.2229999999999999E-2</v>
      </c>
      <c r="M496" s="10">
        <v>3.4759999999999999E-2</v>
      </c>
      <c r="N496" s="10">
        <v>1.737E-2</v>
      </c>
      <c r="O496" s="10">
        <v>0.17069999999999999</v>
      </c>
      <c r="P496" s="10">
        <v>5.4330000000000003E-2</v>
      </c>
      <c r="Q496" s="10">
        <v>0.23150000000000001</v>
      </c>
      <c r="R496" s="10">
        <v>0.91120000000000001</v>
      </c>
      <c r="S496" s="10">
        <v>1.7270000000000001</v>
      </c>
      <c r="T496" s="10">
        <v>20.52</v>
      </c>
      <c r="U496" s="10">
        <v>5.3559999999999997E-3</v>
      </c>
      <c r="V496" s="10">
        <v>1.6789999999999999E-2</v>
      </c>
      <c r="W496" s="10">
        <v>1.9709999999999998E-2</v>
      </c>
      <c r="X496" s="10">
        <v>6.3699999999999998E-3</v>
      </c>
      <c r="Y496" s="10">
        <v>1.414E-2</v>
      </c>
      <c r="Z496" s="10">
        <v>1.892E-3</v>
      </c>
      <c r="AA496" s="10">
        <v>15.4</v>
      </c>
      <c r="AB496" s="10">
        <v>31.98</v>
      </c>
      <c r="AC496" s="10">
        <v>100.4</v>
      </c>
      <c r="AD496" s="10">
        <v>734.6</v>
      </c>
      <c r="AE496" s="10">
        <v>0.1017</v>
      </c>
      <c r="AF496" s="10">
        <v>0.14599999999999999</v>
      </c>
      <c r="AG496" s="10">
        <v>0.1472</v>
      </c>
      <c r="AH496" s="10">
        <v>5.5629999999999999E-2</v>
      </c>
      <c r="AI496" s="10">
        <v>0.23449999999999999</v>
      </c>
      <c r="AJ496">
        <v>6.4640000000000003E-2</v>
      </c>
    </row>
    <row r="497" spans="3:36">
      <c r="C497" s="11" t="s">
        <v>603</v>
      </c>
      <c r="D497" s="10">
        <v>464</v>
      </c>
      <c r="E497" s="10">
        <v>911320501</v>
      </c>
      <c r="F497" s="10" t="s">
        <v>1</v>
      </c>
      <c r="G497" s="10">
        <v>13.71</v>
      </c>
      <c r="H497" s="10">
        <v>18.36</v>
      </c>
      <c r="I497" s="10">
        <v>73.88</v>
      </c>
      <c r="J497" s="10">
        <v>412.7</v>
      </c>
      <c r="K497" s="10">
        <v>8.5080000000000003E-2</v>
      </c>
      <c r="L497" s="10">
        <v>5.8549999999999998E-2</v>
      </c>
      <c r="M497" s="10">
        <v>3.3669999999999999E-2</v>
      </c>
      <c r="N497" s="10">
        <v>1.7770000000000001E-2</v>
      </c>
      <c r="O497" s="10">
        <v>0.15160000000000001</v>
      </c>
      <c r="P497" s="10">
        <v>5.8590000000000003E-2</v>
      </c>
      <c r="Q497" s="10">
        <v>0.18160000000000001</v>
      </c>
      <c r="R497" s="10">
        <v>0.76559999999999995</v>
      </c>
      <c r="S497" s="10">
        <v>1.3029999999999999</v>
      </c>
      <c r="T497" s="10">
        <v>12.89</v>
      </c>
      <c r="U497" s="10">
        <v>6.7089999999999997E-3</v>
      </c>
      <c r="V497" s="10">
        <v>1.7010000000000001E-2</v>
      </c>
      <c r="W497" s="10">
        <v>2.0799999999999999E-2</v>
      </c>
      <c r="X497" s="10">
        <v>7.4970000000000002E-3</v>
      </c>
      <c r="Y497" s="10">
        <v>2.1239999999999998E-2</v>
      </c>
      <c r="Z497" s="10">
        <v>2.7680000000000001E-3</v>
      </c>
      <c r="AA497" s="10">
        <v>12.77</v>
      </c>
      <c r="AB497" s="10">
        <v>24.02</v>
      </c>
      <c r="AC497" s="10">
        <v>82.68</v>
      </c>
      <c r="AD497" s="10">
        <v>495.1</v>
      </c>
      <c r="AE497" s="10">
        <v>0.13420000000000001</v>
      </c>
      <c r="AF497" s="10">
        <v>0.18079999999999999</v>
      </c>
      <c r="AG497" s="10">
        <v>0.186</v>
      </c>
      <c r="AH497" s="10">
        <v>8.2879999999999995E-2</v>
      </c>
      <c r="AI497" s="10">
        <v>0.32100000000000001</v>
      </c>
      <c r="AJ497">
        <v>7.8630000000000005E-2</v>
      </c>
    </row>
    <row r="498" spans="3:36">
      <c r="C498" s="11" t="s">
        <v>604</v>
      </c>
      <c r="D498" s="10">
        <v>465</v>
      </c>
      <c r="E498" s="10">
        <v>911320502</v>
      </c>
      <c r="F498" s="10" t="s">
        <v>1</v>
      </c>
      <c r="G498" s="10">
        <v>13.71</v>
      </c>
      <c r="H498" s="10">
        <v>18.22</v>
      </c>
      <c r="I498" s="10">
        <v>84.28</v>
      </c>
      <c r="J498" s="10">
        <v>537.29999999999995</v>
      </c>
      <c r="K498" s="10">
        <v>7.4660000000000004E-2</v>
      </c>
      <c r="L498" s="10">
        <v>5.994E-2</v>
      </c>
      <c r="M498" s="10">
        <v>4.8590000000000001E-2</v>
      </c>
      <c r="N498" s="10">
        <v>2.87E-2</v>
      </c>
      <c r="O498" s="10">
        <v>0.1454</v>
      </c>
      <c r="P498" s="10">
        <v>5.5489999999999998E-2</v>
      </c>
      <c r="Q498" s="10">
        <v>0.20230000000000001</v>
      </c>
      <c r="R498" s="10">
        <v>0.68500000000000005</v>
      </c>
      <c r="S498" s="10">
        <v>1.236</v>
      </c>
      <c r="T498" s="10">
        <v>16.89</v>
      </c>
      <c r="U498" s="10">
        <v>5.9690000000000003E-3</v>
      </c>
      <c r="V498" s="10">
        <v>1.4930000000000001E-2</v>
      </c>
      <c r="W498" s="10">
        <v>1.5640000000000001E-2</v>
      </c>
      <c r="X498" s="10">
        <v>8.463E-3</v>
      </c>
      <c r="Y498" s="10">
        <v>1.093E-2</v>
      </c>
      <c r="Z498" s="10">
        <v>1.6720000000000001E-3</v>
      </c>
      <c r="AA498" s="10">
        <v>14.9</v>
      </c>
      <c r="AB498" s="10">
        <v>23.89</v>
      </c>
      <c r="AC498" s="10">
        <v>95.1</v>
      </c>
      <c r="AD498" s="10">
        <v>687.6</v>
      </c>
      <c r="AE498" s="10">
        <v>0.12820000000000001</v>
      </c>
      <c r="AF498" s="10">
        <v>0.19650000000000001</v>
      </c>
      <c r="AG498" s="10">
        <v>0.18759999999999999</v>
      </c>
      <c r="AH498" s="10">
        <v>0.1045</v>
      </c>
      <c r="AI498" s="10">
        <v>0.2235</v>
      </c>
      <c r="AJ498">
        <v>6.9250000000000006E-2</v>
      </c>
    </row>
    <row r="499" spans="3:36">
      <c r="C499" s="11" t="s">
        <v>605</v>
      </c>
      <c r="D499" s="10">
        <v>466</v>
      </c>
      <c r="E499" s="10">
        <v>9113239</v>
      </c>
      <c r="F499" s="10" t="s">
        <v>1</v>
      </c>
      <c r="G499" s="10">
        <v>13.71</v>
      </c>
      <c r="H499" s="10">
        <v>20.13</v>
      </c>
      <c r="I499" s="10">
        <v>86.87</v>
      </c>
      <c r="J499" s="10">
        <v>542.9</v>
      </c>
      <c r="K499" s="10">
        <v>8.2839999999999997E-2</v>
      </c>
      <c r="L499" s="10">
        <v>0.12230000000000001</v>
      </c>
      <c r="M499" s="10">
        <v>0.10100000000000001</v>
      </c>
      <c r="N499" s="10">
        <v>2.8330000000000001E-2</v>
      </c>
      <c r="O499" s="10">
        <v>0.16009999999999999</v>
      </c>
      <c r="P499" s="10">
        <v>6.4320000000000002E-2</v>
      </c>
      <c r="Q499" s="10">
        <v>0.28100000000000003</v>
      </c>
      <c r="R499" s="10">
        <v>0.8135</v>
      </c>
      <c r="S499" s="10">
        <v>3.3690000000000002</v>
      </c>
      <c r="T499" s="10">
        <v>23.81</v>
      </c>
      <c r="U499" s="10">
        <v>4.9290000000000002E-3</v>
      </c>
      <c r="V499" s="10">
        <v>6.6570000000000004E-2</v>
      </c>
      <c r="W499" s="10">
        <v>7.6829999999999996E-2</v>
      </c>
      <c r="X499" s="10">
        <v>1.3679999999999999E-2</v>
      </c>
      <c r="Y499" s="10">
        <v>1.5259999999999999E-2</v>
      </c>
      <c r="Z499" s="10">
        <v>8.1329999999999996E-3</v>
      </c>
      <c r="AA499" s="10">
        <v>15.44</v>
      </c>
      <c r="AB499" s="10">
        <v>25.5</v>
      </c>
      <c r="AC499" s="10">
        <v>115</v>
      </c>
      <c r="AD499" s="10">
        <v>733.5</v>
      </c>
      <c r="AE499" s="10">
        <v>0.1201</v>
      </c>
      <c r="AF499" s="10">
        <v>0.56459999999999999</v>
      </c>
      <c r="AG499" s="10">
        <v>0.65559999999999996</v>
      </c>
      <c r="AH499" s="10">
        <v>0.13569999999999999</v>
      </c>
      <c r="AI499" s="10">
        <v>0.28449999999999998</v>
      </c>
      <c r="AJ499">
        <v>0.1249</v>
      </c>
    </row>
    <row r="500" spans="3:36">
      <c r="C500" s="11" t="s">
        <v>606</v>
      </c>
      <c r="D500" s="10">
        <v>467</v>
      </c>
      <c r="E500" s="10">
        <v>9113455</v>
      </c>
      <c r="F500" s="10" t="s">
        <v>1</v>
      </c>
      <c r="G500" s="10">
        <v>13.71</v>
      </c>
      <c r="H500" s="10">
        <v>20.74</v>
      </c>
      <c r="I500" s="10">
        <v>85.98</v>
      </c>
      <c r="J500" s="10">
        <v>536.9</v>
      </c>
      <c r="K500" s="10">
        <v>8.6749999999999994E-2</v>
      </c>
      <c r="L500" s="10">
        <v>0.1089</v>
      </c>
      <c r="M500" s="10">
        <v>0.1085</v>
      </c>
      <c r="N500" s="10">
        <v>3.5099999999999999E-2</v>
      </c>
      <c r="O500" s="10">
        <v>0.15620000000000001</v>
      </c>
      <c r="P500" s="10">
        <v>6.0199999999999997E-2</v>
      </c>
      <c r="Q500" s="10">
        <v>0.31519999999999998</v>
      </c>
      <c r="R500" s="10">
        <v>0.78839999999999999</v>
      </c>
      <c r="S500" s="10">
        <v>2.3119999999999998</v>
      </c>
      <c r="T500" s="10">
        <v>27.4</v>
      </c>
      <c r="U500" s="10">
        <v>7.2950000000000003E-3</v>
      </c>
      <c r="V500" s="10">
        <v>3.1789999999999999E-2</v>
      </c>
      <c r="W500" s="10">
        <v>4.6149999999999997E-2</v>
      </c>
      <c r="X500" s="10">
        <v>1.2540000000000001E-2</v>
      </c>
      <c r="Y500" s="10">
        <v>1.5610000000000001E-2</v>
      </c>
      <c r="Z500" s="10">
        <v>3.2299999999999998E-3</v>
      </c>
      <c r="AA500" s="10">
        <v>14.8</v>
      </c>
      <c r="AB500" s="10">
        <v>25.46</v>
      </c>
      <c r="AC500" s="10">
        <v>100.9</v>
      </c>
      <c r="AD500" s="10">
        <v>689.1</v>
      </c>
      <c r="AE500" s="10">
        <v>0.1351</v>
      </c>
      <c r="AF500" s="10">
        <v>0.35489999999999999</v>
      </c>
      <c r="AG500" s="10">
        <v>0.45040000000000002</v>
      </c>
      <c r="AH500" s="10">
        <v>0.1181</v>
      </c>
      <c r="AI500" s="10">
        <v>0.25629999999999997</v>
      </c>
      <c r="AJ500">
        <v>8.1739999999999993E-2</v>
      </c>
    </row>
    <row r="501" spans="3:36">
      <c r="C501" s="11" t="s">
        <v>607</v>
      </c>
      <c r="D501" s="10">
        <v>468</v>
      </c>
      <c r="E501" s="10">
        <v>9113514</v>
      </c>
      <c r="F501" s="10" t="s">
        <v>1</v>
      </c>
      <c r="G501" s="10">
        <v>13.71</v>
      </c>
      <c r="H501" s="10">
        <v>18.100000000000001</v>
      </c>
      <c r="I501" s="10">
        <v>61.06</v>
      </c>
      <c r="J501" s="10">
        <v>286.3</v>
      </c>
      <c r="K501" s="10">
        <v>8.3110000000000003E-2</v>
      </c>
      <c r="L501" s="10">
        <v>5.4280000000000002E-2</v>
      </c>
      <c r="M501" s="10">
        <v>1.4789999999999999E-2</v>
      </c>
      <c r="N501" s="10">
        <v>5.7689999999999998E-3</v>
      </c>
      <c r="O501" s="10">
        <v>0.16800000000000001</v>
      </c>
      <c r="P501" s="10">
        <v>6.4119999999999996E-2</v>
      </c>
      <c r="Q501" s="10">
        <v>0.34160000000000001</v>
      </c>
      <c r="R501" s="10">
        <v>1.3120000000000001</v>
      </c>
      <c r="S501" s="10">
        <v>2.2749999999999999</v>
      </c>
      <c r="T501" s="10">
        <v>20.98</v>
      </c>
      <c r="U501" s="10">
        <v>1.098E-2</v>
      </c>
      <c r="V501" s="10">
        <v>1.257E-2</v>
      </c>
      <c r="W501" s="10">
        <v>1.031E-2</v>
      </c>
      <c r="X501" s="10">
        <v>3.934E-3</v>
      </c>
      <c r="Y501" s="10">
        <v>2.6929999999999999E-2</v>
      </c>
      <c r="Z501" s="10">
        <v>2.9789999999999999E-3</v>
      </c>
      <c r="AA501" s="10">
        <v>11.15</v>
      </c>
      <c r="AB501" s="10">
        <v>24.62</v>
      </c>
      <c r="AC501" s="10">
        <v>71.11</v>
      </c>
      <c r="AD501" s="10">
        <v>380.2</v>
      </c>
      <c r="AE501" s="10">
        <v>0.13880000000000001</v>
      </c>
      <c r="AF501" s="10">
        <v>0.1255</v>
      </c>
      <c r="AG501" s="10">
        <v>6.4089999999999994E-2</v>
      </c>
      <c r="AH501" s="10">
        <v>2.5000000000000001E-2</v>
      </c>
      <c r="AI501" s="10">
        <v>0.30570000000000003</v>
      </c>
      <c r="AJ501">
        <v>7.8750000000000001E-2</v>
      </c>
    </row>
    <row r="502" spans="3:36">
      <c r="C502" s="11" t="s">
        <v>608</v>
      </c>
      <c r="D502" s="10">
        <v>469</v>
      </c>
      <c r="E502" s="10">
        <v>9113538</v>
      </c>
      <c r="F502" s="10" t="s">
        <v>0</v>
      </c>
      <c r="G502" s="10">
        <v>13.71</v>
      </c>
      <c r="H502" s="10">
        <v>23.33</v>
      </c>
      <c r="I502" s="10">
        <v>119</v>
      </c>
      <c r="J502" s="10">
        <v>980.5</v>
      </c>
      <c r="K502" s="10">
        <v>9.289E-2</v>
      </c>
      <c r="L502" s="10">
        <v>0.20039999999999999</v>
      </c>
      <c r="M502" s="10">
        <v>0.21360000000000001</v>
      </c>
      <c r="N502" s="10">
        <v>0.1002</v>
      </c>
      <c r="O502" s="10">
        <v>0.1696</v>
      </c>
      <c r="P502" s="10">
        <v>7.3690000000000005E-2</v>
      </c>
      <c r="Q502" s="10">
        <v>0.92889999999999995</v>
      </c>
      <c r="R502" s="10">
        <v>1.4650000000000001</v>
      </c>
      <c r="S502" s="10">
        <v>5.8010000000000002</v>
      </c>
      <c r="T502" s="10">
        <v>104.9</v>
      </c>
      <c r="U502" s="10">
        <v>6.7660000000000003E-3</v>
      </c>
      <c r="V502" s="10">
        <v>7.0250000000000007E-2</v>
      </c>
      <c r="W502" s="10">
        <v>6.5909999999999996E-2</v>
      </c>
      <c r="X502" s="10">
        <v>2.3109999999999999E-2</v>
      </c>
      <c r="Y502" s="10">
        <v>1.6729999999999998E-2</v>
      </c>
      <c r="Z502" s="10">
        <v>1.1299999999999999E-2</v>
      </c>
      <c r="AA502" s="10">
        <v>21.57</v>
      </c>
      <c r="AB502" s="10">
        <v>28.87</v>
      </c>
      <c r="AC502" s="10">
        <v>143.6</v>
      </c>
      <c r="AD502" s="10">
        <v>1437</v>
      </c>
      <c r="AE502" s="10">
        <v>0.1207</v>
      </c>
      <c r="AF502" s="10">
        <v>0.47849999999999998</v>
      </c>
      <c r="AG502" s="10">
        <v>0.51649999999999996</v>
      </c>
      <c r="AH502" s="10">
        <v>0.1996</v>
      </c>
      <c r="AI502" s="10">
        <v>0.2301</v>
      </c>
      <c r="AJ502">
        <v>0.12239999999999999</v>
      </c>
    </row>
    <row r="503" spans="3:36">
      <c r="C503" s="11" t="s">
        <v>609</v>
      </c>
      <c r="D503" s="10">
        <v>470</v>
      </c>
      <c r="E503" s="10">
        <v>911366</v>
      </c>
      <c r="F503" s="10" t="s">
        <v>1</v>
      </c>
      <c r="G503" s="10">
        <v>13.71</v>
      </c>
      <c r="H503" s="10">
        <v>18.18</v>
      </c>
      <c r="I503" s="10">
        <v>76.38</v>
      </c>
      <c r="J503" s="10">
        <v>408.8</v>
      </c>
      <c r="K503" s="10">
        <v>0.11749999999999999</v>
      </c>
      <c r="L503" s="10">
        <v>0.14829999999999999</v>
      </c>
      <c r="M503" s="10">
        <v>0.10199999999999999</v>
      </c>
      <c r="N503" s="10">
        <v>5.5640000000000002E-2</v>
      </c>
      <c r="O503" s="10">
        <v>0.19570000000000001</v>
      </c>
      <c r="P503" s="10">
        <v>7.2550000000000003E-2</v>
      </c>
      <c r="Q503" s="10">
        <v>0.41010000000000002</v>
      </c>
      <c r="R503" s="10">
        <v>1.74</v>
      </c>
      <c r="S503" s="10">
        <v>3.0270000000000001</v>
      </c>
      <c r="T503" s="10">
        <v>27.85</v>
      </c>
      <c r="U503" s="10">
        <v>1.4590000000000001E-2</v>
      </c>
      <c r="V503" s="10">
        <v>3.2059999999999998E-2</v>
      </c>
      <c r="W503" s="10">
        <v>4.9610000000000001E-2</v>
      </c>
      <c r="X503" s="10">
        <v>1.8409999999999999E-2</v>
      </c>
      <c r="Y503" s="10">
        <v>1.8069999999999999E-2</v>
      </c>
      <c r="Z503" s="10">
        <v>5.2170000000000003E-3</v>
      </c>
      <c r="AA503" s="10">
        <v>13.36</v>
      </c>
      <c r="AB503" s="10">
        <v>25.4</v>
      </c>
      <c r="AC503" s="10">
        <v>88.14</v>
      </c>
      <c r="AD503" s="10">
        <v>528.1</v>
      </c>
      <c r="AE503" s="10">
        <v>0.17799999999999999</v>
      </c>
      <c r="AF503" s="10">
        <v>0.2878</v>
      </c>
      <c r="AG503" s="10">
        <v>0.31859999999999999</v>
      </c>
      <c r="AH503" s="10">
        <v>0.1416</v>
      </c>
      <c r="AI503" s="10">
        <v>0.26600000000000001</v>
      </c>
      <c r="AJ503">
        <v>9.2700000000000005E-2</v>
      </c>
    </row>
    <row r="504" spans="3:36">
      <c r="C504" s="11" t="s">
        <v>610</v>
      </c>
      <c r="D504" s="10">
        <v>471</v>
      </c>
      <c r="E504" s="10">
        <v>9113778</v>
      </c>
      <c r="F504" s="10" t="s">
        <v>1</v>
      </c>
      <c r="G504" s="10">
        <v>13.71</v>
      </c>
      <c r="H504" s="10">
        <v>18.489999999999998</v>
      </c>
      <c r="I504" s="10">
        <v>61.49</v>
      </c>
      <c r="J504" s="10">
        <v>289.10000000000002</v>
      </c>
      <c r="K504" s="10">
        <v>8.9459999999999998E-2</v>
      </c>
      <c r="L504" s="10">
        <v>6.2579999999999997E-2</v>
      </c>
      <c r="M504" s="10">
        <v>2.9479999999999999E-2</v>
      </c>
      <c r="N504" s="10">
        <v>1.5140000000000001E-2</v>
      </c>
      <c r="O504" s="10">
        <v>0.2238</v>
      </c>
      <c r="P504" s="10">
        <v>6.4130000000000006E-2</v>
      </c>
      <c r="Q504" s="10">
        <v>0.37759999999999999</v>
      </c>
      <c r="R504" s="10">
        <v>1.35</v>
      </c>
      <c r="S504" s="10">
        <v>2.569</v>
      </c>
      <c r="T504" s="10">
        <v>22.73</v>
      </c>
      <c r="U504" s="10">
        <v>7.5009999999999999E-3</v>
      </c>
      <c r="V504" s="10">
        <v>1.9890000000000001E-2</v>
      </c>
      <c r="W504" s="10">
        <v>2.7140000000000001E-2</v>
      </c>
      <c r="X504" s="10">
        <v>9.8829999999999994E-3</v>
      </c>
      <c r="Y504" s="10">
        <v>1.9599999999999999E-2</v>
      </c>
      <c r="Z504" s="10">
        <v>3.9129999999999998E-3</v>
      </c>
      <c r="AA504" s="10">
        <v>11.14</v>
      </c>
      <c r="AB504" s="10">
        <v>25.62</v>
      </c>
      <c r="AC504" s="10">
        <v>70.88</v>
      </c>
      <c r="AD504" s="10">
        <v>385.2</v>
      </c>
      <c r="AE504" s="10">
        <v>0.1234</v>
      </c>
      <c r="AF504" s="10">
        <v>0.1542</v>
      </c>
      <c r="AG504" s="10">
        <v>0.12770000000000001</v>
      </c>
      <c r="AH504" s="10">
        <v>6.5600000000000006E-2</v>
      </c>
      <c r="AI504" s="10">
        <v>0.31740000000000002</v>
      </c>
      <c r="AJ504">
        <v>8.5239999999999996E-2</v>
      </c>
    </row>
    <row r="505" spans="3:36">
      <c r="C505" s="11" t="s">
        <v>611</v>
      </c>
      <c r="D505" s="10">
        <v>472</v>
      </c>
      <c r="E505" s="10">
        <v>9113816</v>
      </c>
      <c r="F505" s="10" t="s">
        <v>1</v>
      </c>
      <c r="G505" s="10">
        <v>13.71</v>
      </c>
      <c r="H505" s="10">
        <v>28.14</v>
      </c>
      <c r="I505" s="10">
        <v>76.849999999999994</v>
      </c>
      <c r="J505" s="10">
        <v>449.9</v>
      </c>
      <c r="K505" s="10">
        <v>8.7520000000000001E-2</v>
      </c>
      <c r="L505" s="10">
        <v>0.06</v>
      </c>
      <c r="M505" s="10">
        <v>2.367E-2</v>
      </c>
      <c r="N505" s="10">
        <v>2.3769999999999999E-2</v>
      </c>
      <c r="O505" s="10">
        <v>0.18540000000000001</v>
      </c>
      <c r="P505" s="10">
        <v>5.6980000000000003E-2</v>
      </c>
      <c r="Q505" s="10">
        <v>0.60609999999999997</v>
      </c>
      <c r="R505" s="10">
        <v>2.6429999999999998</v>
      </c>
      <c r="S505" s="10">
        <v>4.0990000000000002</v>
      </c>
      <c r="T505" s="10">
        <v>44.96</v>
      </c>
      <c r="U505" s="10">
        <v>7.5170000000000002E-3</v>
      </c>
      <c r="V505" s="10">
        <v>1.555E-2</v>
      </c>
      <c r="W505" s="10">
        <v>1.465E-2</v>
      </c>
      <c r="X505" s="10">
        <v>1.183E-2</v>
      </c>
      <c r="Y505" s="10">
        <v>2.0469999999999999E-2</v>
      </c>
      <c r="Z505" s="10">
        <v>3.8830000000000002E-3</v>
      </c>
      <c r="AA505" s="10">
        <v>13.6</v>
      </c>
      <c r="AB505" s="10">
        <v>33.33</v>
      </c>
      <c r="AC505" s="10">
        <v>87.24</v>
      </c>
      <c r="AD505" s="10">
        <v>567.6</v>
      </c>
      <c r="AE505" s="10">
        <v>0.1041</v>
      </c>
      <c r="AF505" s="10">
        <v>9.7259999999999999E-2</v>
      </c>
      <c r="AG505" s="10">
        <v>5.5239999999999997E-2</v>
      </c>
      <c r="AH505" s="10">
        <v>5.5469999999999998E-2</v>
      </c>
      <c r="AI505" s="10">
        <v>0.2404</v>
      </c>
      <c r="AJ505">
        <v>6.6390000000000005E-2</v>
      </c>
    </row>
    <row r="506" spans="3:36">
      <c r="C506" s="11" t="s">
        <v>612</v>
      </c>
      <c r="D506" s="10">
        <v>473</v>
      </c>
      <c r="E506" s="10">
        <v>911384</v>
      </c>
      <c r="F506" s="10" t="s">
        <v>1</v>
      </c>
      <c r="G506" s="10">
        <v>13.71</v>
      </c>
      <c r="H506" s="10">
        <v>14.93</v>
      </c>
      <c r="I506" s="10">
        <v>96.45</v>
      </c>
      <c r="J506" s="10">
        <v>686.9</v>
      </c>
      <c r="K506" s="10">
        <v>8.0979999999999996E-2</v>
      </c>
      <c r="L506" s="10">
        <v>8.5489999999999997E-2</v>
      </c>
      <c r="M506" s="10">
        <v>5.5390000000000002E-2</v>
      </c>
      <c r="N506" s="10">
        <v>3.2210000000000003E-2</v>
      </c>
      <c r="O506" s="10">
        <v>0.16869999999999999</v>
      </c>
      <c r="P506" s="10">
        <v>5.6689999999999997E-2</v>
      </c>
      <c r="Q506" s="10">
        <v>0.24460000000000001</v>
      </c>
      <c r="R506" s="10">
        <v>0.43340000000000001</v>
      </c>
      <c r="S506" s="10">
        <v>1.8260000000000001</v>
      </c>
      <c r="T506" s="10">
        <v>23.31</v>
      </c>
      <c r="U506" s="10">
        <v>3.271E-3</v>
      </c>
      <c r="V506" s="10">
        <v>1.77E-2</v>
      </c>
      <c r="W506" s="10">
        <v>2.3099999999999999E-2</v>
      </c>
      <c r="X506" s="10">
        <v>8.3990000000000002E-3</v>
      </c>
      <c r="Y506" s="10">
        <v>1.1480000000000001E-2</v>
      </c>
      <c r="Z506" s="10">
        <v>2.379E-3</v>
      </c>
      <c r="AA506" s="10">
        <v>17.18</v>
      </c>
      <c r="AB506" s="10">
        <v>18.22</v>
      </c>
      <c r="AC506" s="10">
        <v>112</v>
      </c>
      <c r="AD506" s="10">
        <v>906.6</v>
      </c>
      <c r="AE506" s="10">
        <v>0.1065</v>
      </c>
      <c r="AF506" s="10">
        <v>0.27910000000000001</v>
      </c>
      <c r="AG506" s="10">
        <v>0.31509999999999999</v>
      </c>
      <c r="AH506" s="10">
        <v>0.1147</v>
      </c>
      <c r="AI506" s="10">
        <v>0.26879999999999998</v>
      </c>
      <c r="AJ506">
        <v>8.2729999999999998E-2</v>
      </c>
    </row>
    <row r="507" spans="3:36">
      <c r="C507" s="11" t="s">
        <v>613</v>
      </c>
      <c r="D507" s="10">
        <v>474</v>
      </c>
      <c r="E507" s="10">
        <v>9113846</v>
      </c>
      <c r="F507" s="10" t="s">
        <v>1</v>
      </c>
      <c r="G507" s="10">
        <v>13.71</v>
      </c>
      <c r="H507" s="10">
        <v>29.97</v>
      </c>
      <c r="I507" s="10">
        <v>77.42</v>
      </c>
      <c r="J507" s="10">
        <v>465.4</v>
      </c>
      <c r="K507" s="10">
        <v>7.6990000000000003E-2</v>
      </c>
      <c r="L507" s="10">
        <v>3.3980000000000003E-2</v>
      </c>
      <c r="M507" s="10">
        <v>0</v>
      </c>
      <c r="N507" s="10">
        <v>0</v>
      </c>
      <c r="O507" s="10">
        <v>0.1701</v>
      </c>
      <c r="P507" s="10">
        <v>5.96E-2</v>
      </c>
      <c r="Q507" s="10">
        <v>0.44550000000000001</v>
      </c>
      <c r="R507" s="10">
        <v>3.6469999999999998</v>
      </c>
      <c r="S507" s="10">
        <v>2.8839999999999999</v>
      </c>
      <c r="T507" s="10">
        <v>35.130000000000003</v>
      </c>
      <c r="U507" s="10">
        <v>7.339E-3</v>
      </c>
      <c r="V507" s="10">
        <v>8.2430000000000003E-3</v>
      </c>
      <c r="W507" s="10">
        <v>0</v>
      </c>
      <c r="X507" s="10">
        <v>0</v>
      </c>
      <c r="Y507" s="10">
        <v>3.141E-2</v>
      </c>
      <c r="Z507" s="10">
        <v>3.1359999999999999E-3</v>
      </c>
      <c r="AA507" s="10">
        <v>13.45</v>
      </c>
      <c r="AB507" s="10">
        <v>38.049999999999997</v>
      </c>
      <c r="AC507" s="10">
        <v>85.08</v>
      </c>
      <c r="AD507" s="10">
        <v>558.9</v>
      </c>
      <c r="AE507" s="10">
        <v>9.4219999999999998E-2</v>
      </c>
      <c r="AF507" s="10">
        <v>5.2130000000000003E-2</v>
      </c>
      <c r="AG507" s="10">
        <v>0</v>
      </c>
      <c r="AH507" s="10">
        <v>0</v>
      </c>
      <c r="AI507" s="10">
        <v>0.2409</v>
      </c>
      <c r="AJ507">
        <v>6.7430000000000004E-2</v>
      </c>
    </row>
    <row r="508" spans="3:36">
      <c r="C508" s="11" t="s">
        <v>614</v>
      </c>
      <c r="D508" s="10">
        <v>475</v>
      </c>
      <c r="E508" s="10">
        <v>911391</v>
      </c>
      <c r="F508" s="10" t="s">
        <v>1</v>
      </c>
      <c r="G508" s="10">
        <v>13.71</v>
      </c>
      <c r="H508" s="10">
        <v>15.62</v>
      </c>
      <c r="I508" s="10">
        <v>70.41</v>
      </c>
      <c r="J508" s="10">
        <v>358.9</v>
      </c>
      <c r="K508" s="10">
        <v>0.1007</v>
      </c>
      <c r="L508" s="10">
        <v>0.1069</v>
      </c>
      <c r="M508" s="10">
        <v>5.1150000000000001E-2</v>
      </c>
      <c r="N508" s="10">
        <v>1.5709999999999998E-2</v>
      </c>
      <c r="O508" s="10">
        <v>0.18609999999999999</v>
      </c>
      <c r="P508" s="10">
        <v>6.837E-2</v>
      </c>
      <c r="Q508" s="10">
        <v>0.1482</v>
      </c>
      <c r="R508" s="10">
        <v>0.53800000000000003</v>
      </c>
      <c r="S508" s="10">
        <v>1.3009999999999999</v>
      </c>
      <c r="T508" s="10">
        <v>9.5969999999999995</v>
      </c>
      <c r="U508" s="10">
        <v>4.4739999999999997E-3</v>
      </c>
      <c r="V508" s="10">
        <v>3.0929999999999999E-2</v>
      </c>
      <c r="W508" s="10">
        <v>2.7570000000000001E-2</v>
      </c>
      <c r="X508" s="10">
        <v>6.6909999999999999E-3</v>
      </c>
      <c r="Y508" s="10">
        <v>1.2120000000000001E-2</v>
      </c>
      <c r="Z508" s="10">
        <v>4.6719999999999999E-3</v>
      </c>
      <c r="AA508" s="10">
        <v>11.94</v>
      </c>
      <c r="AB508" s="10">
        <v>19.350000000000001</v>
      </c>
      <c r="AC508" s="10">
        <v>80.78</v>
      </c>
      <c r="AD508" s="10">
        <v>433.1</v>
      </c>
      <c r="AE508" s="10">
        <v>0.13320000000000001</v>
      </c>
      <c r="AF508" s="10">
        <v>0.38979999999999998</v>
      </c>
      <c r="AG508" s="10">
        <v>0.33650000000000002</v>
      </c>
      <c r="AH508" s="10">
        <v>7.9659999999999995E-2</v>
      </c>
      <c r="AI508" s="10">
        <v>0.2581</v>
      </c>
      <c r="AJ508">
        <v>0.108</v>
      </c>
    </row>
    <row r="509" spans="3:36">
      <c r="C509" s="11" t="s">
        <v>615</v>
      </c>
      <c r="D509" s="10">
        <v>476</v>
      </c>
      <c r="E509" s="10">
        <v>911408</v>
      </c>
      <c r="F509" s="10" t="s">
        <v>1</v>
      </c>
      <c r="G509" s="10">
        <v>13.71</v>
      </c>
      <c r="H509" s="10">
        <v>15.73</v>
      </c>
      <c r="I509" s="10">
        <v>82.89</v>
      </c>
      <c r="J509" s="10">
        <v>506.9</v>
      </c>
      <c r="K509" s="10">
        <v>9.0399999999999994E-2</v>
      </c>
      <c r="L509" s="10">
        <v>8.269E-2</v>
      </c>
      <c r="M509" s="10">
        <v>5.8349999999999999E-2</v>
      </c>
      <c r="N509" s="10">
        <v>3.0779999999999998E-2</v>
      </c>
      <c r="O509" s="10">
        <v>0.17050000000000001</v>
      </c>
      <c r="P509" s="10">
        <v>5.9130000000000002E-2</v>
      </c>
      <c r="Q509" s="10">
        <v>0.14990000000000001</v>
      </c>
      <c r="R509" s="10">
        <v>0.48749999999999999</v>
      </c>
      <c r="S509" s="10">
        <v>1.1950000000000001</v>
      </c>
      <c r="T509" s="10">
        <v>11.64</v>
      </c>
      <c r="U509" s="10">
        <v>4.8729999999999997E-3</v>
      </c>
      <c r="V509" s="10">
        <v>1.796E-2</v>
      </c>
      <c r="W509" s="10">
        <v>3.3180000000000001E-2</v>
      </c>
      <c r="X509" s="10">
        <v>8.3599999999999994E-3</v>
      </c>
      <c r="Y509" s="10">
        <v>1.601E-2</v>
      </c>
      <c r="Z509" s="10">
        <v>2.2889999999999998E-3</v>
      </c>
      <c r="AA509" s="10">
        <v>14.09</v>
      </c>
      <c r="AB509" s="10">
        <v>19.350000000000001</v>
      </c>
      <c r="AC509" s="10">
        <v>93.22</v>
      </c>
      <c r="AD509" s="10">
        <v>605.79999999999995</v>
      </c>
      <c r="AE509" s="10">
        <v>0.1326</v>
      </c>
      <c r="AF509" s="10">
        <v>0.26100000000000001</v>
      </c>
      <c r="AG509" s="10">
        <v>0.34760000000000002</v>
      </c>
      <c r="AH509" s="10">
        <v>9.783E-2</v>
      </c>
      <c r="AI509" s="10">
        <v>0.30059999999999998</v>
      </c>
      <c r="AJ509">
        <v>7.8020000000000006E-2</v>
      </c>
    </row>
    <row r="510" spans="3:36">
      <c r="C510" s="11" t="s">
        <v>616</v>
      </c>
      <c r="D510" s="10">
        <v>477</v>
      </c>
      <c r="E510" s="10">
        <v>911654</v>
      </c>
      <c r="F510" s="10" t="s">
        <v>1</v>
      </c>
      <c r="G510" s="10">
        <v>13.71</v>
      </c>
      <c r="H510" s="10">
        <v>20.53</v>
      </c>
      <c r="I510" s="10">
        <v>92.41</v>
      </c>
      <c r="J510" s="10">
        <v>618.4</v>
      </c>
      <c r="K510" s="10">
        <v>8.931E-2</v>
      </c>
      <c r="L510" s="10">
        <v>0.1108</v>
      </c>
      <c r="M510" s="10">
        <v>5.0630000000000001E-2</v>
      </c>
      <c r="N510" s="10">
        <v>3.058E-2</v>
      </c>
      <c r="O510" s="10">
        <v>0.15060000000000001</v>
      </c>
      <c r="P510" s="10">
        <v>6.0089999999999998E-2</v>
      </c>
      <c r="Q510" s="10">
        <v>0.3478</v>
      </c>
      <c r="R510" s="10">
        <v>1.018</v>
      </c>
      <c r="S510" s="10">
        <v>2.7490000000000001</v>
      </c>
      <c r="T510" s="10">
        <v>31.01</v>
      </c>
      <c r="U510" s="10">
        <v>4.1070000000000004E-3</v>
      </c>
      <c r="V510" s="10">
        <v>3.288E-2</v>
      </c>
      <c r="W510" s="10">
        <v>2.8209999999999999E-2</v>
      </c>
      <c r="X510" s="10">
        <v>1.35E-2</v>
      </c>
      <c r="Y510" s="10">
        <v>1.61E-2</v>
      </c>
      <c r="Z510" s="10">
        <v>2.7439999999999999E-3</v>
      </c>
      <c r="AA510" s="10">
        <v>16.45</v>
      </c>
      <c r="AB510" s="10">
        <v>27.26</v>
      </c>
      <c r="AC510" s="10">
        <v>112.1</v>
      </c>
      <c r="AD510" s="10">
        <v>828.5</v>
      </c>
      <c r="AE510" s="10">
        <v>0.1153</v>
      </c>
      <c r="AF510" s="10">
        <v>0.34289999999999998</v>
      </c>
      <c r="AG510" s="10">
        <v>0.25119999999999998</v>
      </c>
      <c r="AH510" s="10">
        <v>0.13389999999999999</v>
      </c>
      <c r="AI510" s="10">
        <v>0.25340000000000001</v>
      </c>
      <c r="AJ510">
        <v>7.8579999999999997E-2</v>
      </c>
    </row>
    <row r="511" spans="3:36">
      <c r="C511" s="11" t="s">
        <v>617</v>
      </c>
      <c r="D511" s="10">
        <v>478</v>
      </c>
      <c r="E511" s="10">
        <v>911673</v>
      </c>
      <c r="F511" s="10" t="s">
        <v>1</v>
      </c>
      <c r="G511" s="10">
        <v>13.71</v>
      </c>
      <c r="H511" s="10">
        <v>16.62</v>
      </c>
      <c r="I511" s="10">
        <v>88.97</v>
      </c>
      <c r="J511" s="10">
        <v>599.4</v>
      </c>
      <c r="K511" s="10">
        <v>6.8279999999999993E-2</v>
      </c>
      <c r="L511" s="10">
        <v>5.3190000000000001E-2</v>
      </c>
      <c r="M511" s="10">
        <v>2.2239999999999999E-2</v>
      </c>
      <c r="N511" s="10">
        <v>1.3390000000000001E-2</v>
      </c>
      <c r="O511" s="10">
        <v>0.18129999999999999</v>
      </c>
      <c r="P511" s="10">
        <v>5.5359999999999999E-2</v>
      </c>
      <c r="Q511" s="10">
        <v>0.1555</v>
      </c>
      <c r="R511" s="10">
        <v>0.57620000000000005</v>
      </c>
      <c r="S511" s="10">
        <v>1.3919999999999999</v>
      </c>
      <c r="T511" s="10">
        <v>14.03</v>
      </c>
      <c r="U511" s="10">
        <v>3.3080000000000002E-3</v>
      </c>
      <c r="V511" s="10">
        <v>1.315E-2</v>
      </c>
      <c r="W511" s="10">
        <v>9.9039999999999996E-3</v>
      </c>
      <c r="X511" s="10">
        <v>4.8320000000000004E-3</v>
      </c>
      <c r="Y511" s="10">
        <v>1.316E-2</v>
      </c>
      <c r="Z511" s="10">
        <v>2.0950000000000001E-3</v>
      </c>
      <c r="AA511" s="10">
        <v>15.14</v>
      </c>
      <c r="AB511" s="10">
        <v>21.8</v>
      </c>
      <c r="AC511" s="10">
        <v>101.2</v>
      </c>
      <c r="AD511" s="10">
        <v>718.9</v>
      </c>
      <c r="AE511" s="10">
        <v>9.3840000000000007E-2</v>
      </c>
      <c r="AF511" s="10">
        <v>0.2006</v>
      </c>
      <c r="AG511" s="10">
        <v>0.1384</v>
      </c>
      <c r="AH511" s="10">
        <v>6.2219999999999998E-2</v>
      </c>
      <c r="AI511" s="10">
        <v>0.26790000000000003</v>
      </c>
      <c r="AJ511">
        <v>7.6980000000000007E-2</v>
      </c>
    </row>
    <row r="512" spans="3:36">
      <c r="C512" s="11" t="s">
        <v>618</v>
      </c>
      <c r="D512" s="10">
        <v>479</v>
      </c>
      <c r="E512" s="10">
        <v>911685</v>
      </c>
      <c r="F512" s="10" t="s">
        <v>1</v>
      </c>
      <c r="G512" s="10">
        <v>13.71</v>
      </c>
      <c r="H512" s="10">
        <v>14.59</v>
      </c>
      <c r="I512" s="10">
        <v>73.989999999999995</v>
      </c>
      <c r="J512" s="10">
        <v>404.9</v>
      </c>
      <c r="K512" s="10">
        <v>0.1046</v>
      </c>
      <c r="L512" s="10">
        <v>8.2280000000000006E-2</v>
      </c>
      <c r="M512" s="10">
        <v>5.3080000000000002E-2</v>
      </c>
      <c r="N512" s="10">
        <v>1.9689999999999999E-2</v>
      </c>
      <c r="O512" s="10">
        <v>0.1779</v>
      </c>
      <c r="P512" s="10">
        <v>6.5740000000000007E-2</v>
      </c>
      <c r="Q512" s="10">
        <v>0.2034</v>
      </c>
      <c r="R512" s="10">
        <v>1.1659999999999999</v>
      </c>
      <c r="S512" s="10">
        <v>1.5669999999999999</v>
      </c>
      <c r="T512" s="10">
        <v>14.34</v>
      </c>
      <c r="U512" s="10">
        <v>4.9569999999999996E-3</v>
      </c>
      <c r="V512" s="10">
        <v>2.1139999999999999E-2</v>
      </c>
      <c r="W512" s="10">
        <v>4.156E-2</v>
      </c>
      <c r="X512" s="10">
        <v>8.038E-3</v>
      </c>
      <c r="Y512" s="10">
        <v>1.8429999999999998E-2</v>
      </c>
      <c r="Z512" s="10">
        <v>3.614E-3</v>
      </c>
      <c r="AA512" s="10">
        <v>12.4</v>
      </c>
      <c r="AB512" s="10">
        <v>21.9</v>
      </c>
      <c r="AC512" s="10">
        <v>82.04</v>
      </c>
      <c r="AD512" s="10">
        <v>467.6</v>
      </c>
      <c r="AE512" s="10">
        <v>0.13519999999999999</v>
      </c>
      <c r="AF512" s="10">
        <v>0.20100000000000001</v>
      </c>
      <c r="AG512" s="10">
        <v>0.2596</v>
      </c>
      <c r="AH512" s="10">
        <v>7.4310000000000001E-2</v>
      </c>
      <c r="AI512" s="10">
        <v>0.29409999999999997</v>
      </c>
      <c r="AJ512">
        <v>9.1800000000000007E-2</v>
      </c>
    </row>
    <row r="513" spans="3:36">
      <c r="C513" s="11" t="s">
        <v>619</v>
      </c>
      <c r="D513" s="10">
        <v>480</v>
      </c>
      <c r="E513" s="10">
        <v>911916</v>
      </c>
      <c r="F513" s="10" t="s">
        <v>0</v>
      </c>
      <c r="G513" s="10">
        <v>13.71</v>
      </c>
      <c r="H513" s="10">
        <v>19.510000000000002</v>
      </c>
      <c r="I513" s="10">
        <v>109.8</v>
      </c>
      <c r="J513" s="10">
        <v>815.8</v>
      </c>
      <c r="K513" s="10">
        <v>0.1026</v>
      </c>
      <c r="L513" s="10">
        <v>0.1893</v>
      </c>
      <c r="M513" s="10">
        <v>0.22359999999999999</v>
      </c>
      <c r="N513" s="10">
        <v>9.1939999999999994E-2</v>
      </c>
      <c r="O513" s="10">
        <v>0.21510000000000001</v>
      </c>
      <c r="P513" s="10">
        <v>6.5780000000000005E-2</v>
      </c>
      <c r="Q513" s="10">
        <v>0.31469999999999998</v>
      </c>
      <c r="R513" s="10">
        <v>0.98570000000000002</v>
      </c>
      <c r="S513" s="10">
        <v>3.07</v>
      </c>
      <c r="T513" s="10">
        <v>33.119999999999997</v>
      </c>
      <c r="U513" s="10">
        <v>9.1970000000000003E-3</v>
      </c>
      <c r="V513" s="10">
        <v>5.4699999999999999E-2</v>
      </c>
      <c r="W513" s="10">
        <v>8.0790000000000001E-2</v>
      </c>
      <c r="X513" s="10">
        <v>2.215E-2</v>
      </c>
      <c r="Y513" s="10">
        <v>2.7730000000000001E-2</v>
      </c>
      <c r="Z513" s="10">
        <v>6.3550000000000004E-3</v>
      </c>
      <c r="AA513" s="10">
        <v>17.39</v>
      </c>
      <c r="AB513" s="10">
        <v>23.05</v>
      </c>
      <c r="AC513" s="10">
        <v>122.1</v>
      </c>
      <c r="AD513" s="10">
        <v>939.7</v>
      </c>
      <c r="AE513" s="10">
        <v>0.13769999999999999</v>
      </c>
      <c r="AF513" s="10">
        <v>0.44619999999999999</v>
      </c>
      <c r="AG513" s="10">
        <v>0.5897</v>
      </c>
      <c r="AH513" s="10">
        <v>0.17749999999999999</v>
      </c>
      <c r="AI513" s="10">
        <v>0.33179999999999998</v>
      </c>
      <c r="AJ513">
        <v>9.1359999999999997E-2</v>
      </c>
    </row>
    <row r="514" spans="3:36">
      <c r="C514" s="11" t="s">
        <v>620</v>
      </c>
      <c r="D514" s="10">
        <v>481</v>
      </c>
      <c r="E514" s="10">
        <v>912193</v>
      </c>
      <c r="F514" s="10" t="s">
        <v>1</v>
      </c>
      <c r="G514" s="10">
        <v>13.71</v>
      </c>
      <c r="H514" s="10">
        <v>18.03</v>
      </c>
      <c r="I514" s="10">
        <v>78.290000000000006</v>
      </c>
      <c r="J514" s="10">
        <v>455.3</v>
      </c>
      <c r="K514" s="10">
        <v>9.0870000000000006E-2</v>
      </c>
      <c r="L514" s="10">
        <v>7.8380000000000005E-2</v>
      </c>
      <c r="M514" s="10">
        <v>2.9159999999999998E-2</v>
      </c>
      <c r="N514" s="10">
        <v>1.5270000000000001E-2</v>
      </c>
      <c r="O514" s="10">
        <v>0.1464</v>
      </c>
      <c r="P514" s="10">
        <v>6.2839999999999993E-2</v>
      </c>
      <c r="Q514" s="10">
        <v>0.21940000000000001</v>
      </c>
      <c r="R514" s="10">
        <v>1.19</v>
      </c>
      <c r="S514" s="10">
        <v>1.6779999999999999</v>
      </c>
      <c r="T514" s="10">
        <v>16.260000000000002</v>
      </c>
      <c r="U514" s="10">
        <v>4.9109999999999996E-3</v>
      </c>
      <c r="V514" s="10">
        <v>1.6660000000000001E-2</v>
      </c>
      <c r="W514" s="10">
        <v>1.397E-2</v>
      </c>
      <c r="X514" s="10">
        <v>5.1609999999999998E-3</v>
      </c>
      <c r="Y514" s="10">
        <v>1.4540000000000001E-2</v>
      </c>
      <c r="Z514" s="10">
        <v>1.8580000000000001E-3</v>
      </c>
      <c r="AA514" s="10">
        <v>13.34</v>
      </c>
      <c r="AB514" s="10">
        <v>27.87</v>
      </c>
      <c r="AC514" s="10">
        <v>88.83</v>
      </c>
      <c r="AD514" s="10">
        <v>547.4</v>
      </c>
      <c r="AE514" s="10">
        <v>0.1208</v>
      </c>
      <c r="AF514" s="10">
        <v>0.22789999999999999</v>
      </c>
      <c r="AG514" s="10">
        <v>0.16200000000000001</v>
      </c>
      <c r="AH514" s="10">
        <v>5.6899999999999999E-2</v>
      </c>
      <c r="AI514" s="10">
        <v>0.24060000000000001</v>
      </c>
      <c r="AJ514">
        <v>7.7289999999999998E-2</v>
      </c>
    </row>
    <row r="515" spans="3:36">
      <c r="C515" s="11" t="s">
        <v>621</v>
      </c>
      <c r="D515" s="10">
        <v>482</v>
      </c>
      <c r="E515" s="10">
        <v>91227</v>
      </c>
      <c r="F515" s="10" t="s">
        <v>1</v>
      </c>
      <c r="G515" s="10">
        <v>13.71</v>
      </c>
      <c r="H515" s="10">
        <v>19.239999999999998</v>
      </c>
      <c r="I515" s="10">
        <v>88.73</v>
      </c>
      <c r="J515" s="10">
        <v>602.9</v>
      </c>
      <c r="K515" s="10">
        <v>7.9909999999999995E-2</v>
      </c>
      <c r="L515" s="10">
        <v>5.3260000000000002E-2</v>
      </c>
      <c r="M515" s="10">
        <v>2.9950000000000001E-2</v>
      </c>
      <c r="N515" s="10">
        <v>2.07E-2</v>
      </c>
      <c r="O515" s="10">
        <v>0.15790000000000001</v>
      </c>
      <c r="P515" s="10">
        <v>5.5939999999999997E-2</v>
      </c>
      <c r="Q515" s="10">
        <v>0.33160000000000001</v>
      </c>
      <c r="R515" s="10">
        <v>0.9264</v>
      </c>
      <c r="S515" s="10">
        <v>2.056</v>
      </c>
      <c r="T515" s="10">
        <v>28.41</v>
      </c>
      <c r="U515" s="10">
        <v>3.7039999999999998E-3</v>
      </c>
      <c r="V515" s="10">
        <v>2.5503945422535219E-2</v>
      </c>
      <c r="W515" s="10">
        <v>1.5299999999999999E-2</v>
      </c>
      <c r="X515" s="10">
        <v>6.2750000000000002E-3</v>
      </c>
      <c r="Y515" s="10">
        <v>1.0619999999999999E-2</v>
      </c>
      <c r="Z515" s="10">
        <v>2.2169999999999998E-3</v>
      </c>
      <c r="AA515" s="10">
        <v>16.41</v>
      </c>
      <c r="AB515" s="10">
        <v>26.42</v>
      </c>
      <c r="AC515" s="10">
        <v>104.4</v>
      </c>
      <c r="AD515" s="10">
        <v>830.5</v>
      </c>
      <c r="AE515" s="10">
        <v>0.10639999999999999</v>
      </c>
      <c r="AF515" s="10">
        <v>0.14149999999999999</v>
      </c>
      <c r="AG515" s="10">
        <v>0.1673</v>
      </c>
      <c r="AH515" s="10">
        <v>8.1500000000000003E-2</v>
      </c>
      <c r="AI515" s="10">
        <v>0.2356</v>
      </c>
      <c r="AJ515">
        <v>7.603E-2</v>
      </c>
    </row>
    <row r="516" spans="3:36">
      <c r="C516" s="11" t="s">
        <v>622</v>
      </c>
      <c r="D516" s="10">
        <v>483</v>
      </c>
      <c r="E516" s="10">
        <v>912519</v>
      </c>
      <c r="F516" s="10" t="s">
        <v>1</v>
      </c>
      <c r="G516" s="10">
        <v>13.71</v>
      </c>
      <c r="H516" s="10">
        <v>14.06</v>
      </c>
      <c r="I516" s="10">
        <v>87.32</v>
      </c>
      <c r="J516" s="10">
        <v>546.29999999999995</v>
      </c>
      <c r="K516" s="10">
        <v>0.1071</v>
      </c>
      <c r="L516" s="10">
        <v>0.11550000000000001</v>
      </c>
      <c r="M516" s="10">
        <v>5.7860000000000002E-2</v>
      </c>
      <c r="N516" s="10">
        <v>5.2659999999999998E-2</v>
      </c>
      <c r="O516" s="10">
        <v>0.1779</v>
      </c>
      <c r="P516" s="10">
        <v>6.6390000000000005E-2</v>
      </c>
      <c r="Q516" s="10">
        <v>0.1588</v>
      </c>
      <c r="R516" s="10">
        <v>0.57330000000000003</v>
      </c>
      <c r="S516" s="10">
        <v>1.1020000000000001</v>
      </c>
      <c r="T516" s="10">
        <v>12.84</v>
      </c>
      <c r="U516" s="10">
        <v>4.45E-3</v>
      </c>
      <c r="V516" s="10">
        <v>1.452E-2</v>
      </c>
      <c r="W516" s="10">
        <v>1.3339999999999999E-2</v>
      </c>
      <c r="X516" s="10">
        <v>8.7910000000000002E-3</v>
      </c>
      <c r="Y516" s="10">
        <v>1.6979999999999999E-2</v>
      </c>
      <c r="Z516" s="10">
        <v>2.787E-3</v>
      </c>
      <c r="AA516" s="10">
        <v>14.83</v>
      </c>
      <c r="AB516" s="10">
        <v>18.32</v>
      </c>
      <c r="AC516" s="10">
        <v>94.94</v>
      </c>
      <c r="AD516" s="10">
        <v>660.2</v>
      </c>
      <c r="AE516" s="10">
        <v>0.13930000000000001</v>
      </c>
      <c r="AF516" s="10">
        <v>0.24990000000000001</v>
      </c>
      <c r="AG516" s="10">
        <v>0.18479999999999999</v>
      </c>
      <c r="AH516" s="10">
        <v>0.13350000000000001</v>
      </c>
      <c r="AI516" s="10">
        <v>0.32269999999999999</v>
      </c>
      <c r="AJ516">
        <v>9.3259999999999996E-2</v>
      </c>
    </row>
    <row r="517" spans="3:36">
      <c r="C517" s="11" t="s">
        <v>623</v>
      </c>
      <c r="D517" s="10">
        <v>484</v>
      </c>
      <c r="E517" s="10">
        <v>912558</v>
      </c>
      <c r="F517" s="10" t="s">
        <v>1</v>
      </c>
      <c r="G517" s="10">
        <v>13.71</v>
      </c>
      <c r="H517" s="10">
        <v>17.64</v>
      </c>
      <c r="I517" s="10">
        <v>87.76</v>
      </c>
      <c r="J517" s="10">
        <v>571.1</v>
      </c>
      <c r="K517" s="10">
        <v>9.9500000000000005E-2</v>
      </c>
      <c r="L517" s="10">
        <v>7.9570000000000002E-2</v>
      </c>
      <c r="M517" s="10">
        <v>4.548E-2</v>
      </c>
      <c r="N517" s="10">
        <v>3.1600000000000003E-2</v>
      </c>
      <c r="O517" s="10">
        <v>0.17319999999999999</v>
      </c>
      <c r="P517" s="10">
        <v>6.0879999999999997E-2</v>
      </c>
      <c r="Q517" s="10">
        <v>0.24310000000000001</v>
      </c>
      <c r="R517" s="10">
        <v>0.94620000000000004</v>
      </c>
      <c r="S517" s="10">
        <v>1.5640000000000001</v>
      </c>
      <c r="T517" s="10">
        <v>20.64</v>
      </c>
      <c r="U517" s="10">
        <v>3.2450000000000001E-3</v>
      </c>
      <c r="V517" s="10">
        <v>8.1860000000000006E-3</v>
      </c>
      <c r="W517" s="10">
        <v>1.6979999999999999E-2</v>
      </c>
      <c r="X517" s="10">
        <v>9.2329999999999999E-3</v>
      </c>
      <c r="Y517" s="10">
        <v>1.285E-2</v>
      </c>
      <c r="Z517" s="10">
        <v>1.524E-3</v>
      </c>
      <c r="AA517" s="10">
        <v>14.96</v>
      </c>
      <c r="AB517" s="10">
        <v>23.53</v>
      </c>
      <c r="AC517" s="10">
        <v>95.78</v>
      </c>
      <c r="AD517" s="10">
        <v>686.5</v>
      </c>
      <c r="AE517" s="10">
        <v>0.11990000000000001</v>
      </c>
      <c r="AF517" s="10">
        <v>0.1346</v>
      </c>
      <c r="AG517" s="10">
        <v>0.17419999999999999</v>
      </c>
      <c r="AH517" s="10">
        <v>9.0770000000000003E-2</v>
      </c>
      <c r="AI517" s="10">
        <v>0.25180000000000002</v>
      </c>
      <c r="AJ517">
        <v>6.9599999999999995E-2</v>
      </c>
    </row>
    <row r="518" spans="3:36">
      <c r="C518" s="11" t="s">
        <v>624</v>
      </c>
      <c r="D518" s="10">
        <v>485</v>
      </c>
      <c r="E518" s="10">
        <v>912600</v>
      </c>
      <c r="F518" s="10" t="s">
        <v>1</v>
      </c>
      <c r="G518" s="10">
        <v>13.71</v>
      </c>
      <c r="H518" s="10">
        <v>11.28</v>
      </c>
      <c r="I518" s="10">
        <v>102.8</v>
      </c>
      <c r="J518" s="10">
        <v>747.2</v>
      </c>
      <c r="K518" s="10">
        <v>0.1043</v>
      </c>
      <c r="L518" s="10">
        <v>0.12989999999999999</v>
      </c>
      <c r="M518" s="10">
        <v>0.1191</v>
      </c>
      <c r="N518" s="10">
        <v>6.2109999999999999E-2</v>
      </c>
      <c r="O518" s="10">
        <v>0.1784</v>
      </c>
      <c r="P518" s="10">
        <v>6.2590000000000007E-2</v>
      </c>
      <c r="Q518" s="10">
        <v>0.16300000000000001</v>
      </c>
      <c r="R518" s="10">
        <v>0.3871</v>
      </c>
      <c r="S518" s="10">
        <v>1.143</v>
      </c>
      <c r="T518" s="10">
        <v>13.87</v>
      </c>
      <c r="U518" s="10">
        <v>6.0340000000000003E-3</v>
      </c>
      <c r="V518" s="10">
        <v>1.8200000000000001E-2</v>
      </c>
      <c r="W518" s="10">
        <v>3.3360000000000001E-2</v>
      </c>
      <c r="X518" s="10">
        <v>1.0670000000000001E-2</v>
      </c>
      <c r="Y518" s="10">
        <v>1.175E-2</v>
      </c>
      <c r="Z518" s="10">
        <v>2.2560000000000002E-3</v>
      </c>
      <c r="AA518" s="10">
        <v>17.010000000000002</v>
      </c>
      <c r="AB518" s="10">
        <v>14.2</v>
      </c>
      <c r="AC518" s="10">
        <v>112.5</v>
      </c>
      <c r="AD518" s="10">
        <v>854.3</v>
      </c>
      <c r="AE518" s="10">
        <v>0.15409999999999999</v>
      </c>
      <c r="AF518" s="10">
        <v>0.2979</v>
      </c>
      <c r="AG518" s="10">
        <v>0.40039999999999998</v>
      </c>
      <c r="AH518" s="10">
        <v>0.1452</v>
      </c>
      <c r="AI518" s="10">
        <v>0.25569999999999998</v>
      </c>
      <c r="AJ518">
        <v>8.1809999999999994E-2</v>
      </c>
    </row>
    <row r="519" spans="3:36">
      <c r="C519" s="11" t="s">
        <v>625</v>
      </c>
      <c r="D519" s="10">
        <v>486</v>
      </c>
      <c r="E519" s="10">
        <v>913063</v>
      </c>
      <c r="F519" s="10" t="s">
        <v>1</v>
      </c>
      <c r="G519" s="10">
        <v>13.71</v>
      </c>
      <c r="H519" s="10">
        <v>16.41</v>
      </c>
      <c r="I519" s="10">
        <v>82.85</v>
      </c>
      <c r="J519" s="10">
        <v>476.7</v>
      </c>
      <c r="K519" s="10">
        <v>9.5140000000000002E-2</v>
      </c>
      <c r="L519" s="10">
        <v>0.15110000000000001</v>
      </c>
      <c r="M519" s="10">
        <v>0.15440000000000001</v>
      </c>
      <c r="N519" s="10">
        <v>4.8460000000000003E-2</v>
      </c>
      <c r="O519" s="10">
        <v>0.2082</v>
      </c>
      <c r="P519" s="10">
        <v>7.3249999999999996E-2</v>
      </c>
      <c r="Q519" s="10">
        <v>0.3921</v>
      </c>
      <c r="R519" s="10">
        <v>1.2070000000000001</v>
      </c>
      <c r="S519" s="10">
        <v>5.0039999999999996</v>
      </c>
      <c r="T519" s="10">
        <v>30.19</v>
      </c>
      <c r="U519" s="10">
        <v>7.234E-3</v>
      </c>
      <c r="V519" s="10">
        <v>7.4709999999999999E-2</v>
      </c>
      <c r="W519" s="10">
        <v>0.1114</v>
      </c>
      <c r="X519" s="10">
        <v>2.7210000000000002E-2</v>
      </c>
      <c r="Y519" s="10">
        <v>3.2320000000000002E-2</v>
      </c>
      <c r="Z519" s="10">
        <v>9.6270000000000001E-3</v>
      </c>
      <c r="AA519" s="10">
        <v>13.78</v>
      </c>
      <c r="AB519" s="10">
        <v>21.03</v>
      </c>
      <c r="AC519" s="10">
        <v>97.82</v>
      </c>
      <c r="AD519" s="10">
        <v>580.6</v>
      </c>
      <c r="AE519" s="10">
        <v>0.11749999999999999</v>
      </c>
      <c r="AF519" s="10">
        <v>0.40610000000000002</v>
      </c>
      <c r="AG519" s="10">
        <v>0.48959999999999998</v>
      </c>
      <c r="AH519" s="10">
        <v>0.13420000000000001</v>
      </c>
      <c r="AI519" s="10">
        <v>0.3231</v>
      </c>
      <c r="AJ519">
        <v>0.10340000000000001</v>
      </c>
    </row>
    <row r="520" spans="3:36">
      <c r="C520" s="11" t="s">
        <v>626</v>
      </c>
      <c r="D520" s="10">
        <v>487</v>
      </c>
      <c r="E520" s="10">
        <v>913102</v>
      </c>
      <c r="F520" s="10" t="s">
        <v>1</v>
      </c>
      <c r="G520" s="10">
        <v>13.71</v>
      </c>
      <c r="H520" s="10">
        <v>16.850000000000001</v>
      </c>
      <c r="I520" s="10">
        <v>94.21</v>
      </c>
      <c r="J520" s="10">
        <v>666</v>
      </c>
      <c r="K520" s="10">
        <v>8.6410000000000001E-2</v>
      </c>
      <c r="L520" s="10">
        <v>6.6979999999999998E-2</v>
      </c>
      <c r="M520" s="10">
        <v>5.1920000000000001E-2</v>
      </c>
      <c r="N520" s="10">
        <v>2.7910000000000001E-2</v>
      </c>
      <c r="O520" s="10">
        <v>0.1409</v>
      </c>
      <c r="P520" s="10">
        <v>5.355E-2</v>
      </c>
      <c r="Q520" s="10">
        <v>0.22040000000000001</v>
      </c>
      <c r="R520" s="10">
        <v>1.006</v>
      </c>
      <c r="S520" s="10">
        <v>1.4710000000000001</v>
      </c>
      <c r="T520" s="10">
        <v>19.98</v>
      </c>
      <c r="U520" s="10">
        <v>3.5349999999999999E-3</v>
      </c>
      <c r="V520" s="10">
        <v>1.393E-2</v>
      </c>
      <c r="W520" s="10">
        <v>1.7999999999999999E-2</v>
      </c>
      <c r="X520" s="10">
        <v>6.1440000000000002E-3</v>
      </c>
      <c r="Y520" s="10">
        <v>1.2540000000000001E-2</v>
      </c>
      <c r="Z520" s="10">
        <v>1.219E-3</v>
      </c>
      <c r="AA520" s="10">
        <v>16.46</v>
      </c>
      <c r="AB520" s="10">
        <v>25.44</v>
      </c>
      <c r="AC520" s="10">
        <v>106</v>
      </c>
      <c r="AD520" s="10">
        <v>831</v>
      </c>
      <c r="AE520" s="10">
        <v>0.1142</v>
      </c>
      <c r="AF520" s="10">
        <v>0.20699999999999999</v>
      </c>
      <c r="AG520" s="10">
        <v>0.2437</v>
      </c>
      <c r="AH520" s="10">
        <v>7.8280000000000002E-2</v>
      </c>
      <c r="AI520" s="10">
        <v>0.2455</v>
      </c>
      <c r="AJ520">
        <v>6.5960000000000005E-2</v>
      </c>
    </row>
    <row r="521" spans="3:36">
      <c r="C521" s="11" t="s">
        <v>627</v>
      </c>
      <c r="D521" s="10">
        <v>488</v>
      </c>
      <c r="E521" s="10">
        <v>913505</v>
      </c>
      <c r="F521" s="10" t="s">
        <v>0</v>
      </c>
      <c r="G521" s="10">
        <v>13.71</v>
      </c>
      <c r="H521" s="10">
        <v>18.82</v>
      </c>
      <c r="I521" s="10">
        <v>128.1</v>
      </c>
      <c r="J521" s="10">
        <v>1167</v>
      </c>
      <c r="K521" s="10">
        <v>0.1089</v>
      </c>
      <c r="L521" s="10">
        <v>0.14480000000000001</v>
      </c>
      <c r="M521" s="10">
        <v>0.22559999999999999</v>
      </c>
      <c r="N521" s="10">
        <v>0.11940000000000001</v>
      </c>
      <c r="O521" s="10">
        <v>0.18229999999999999</v>
      </c>
      <c r="P521" s="10">
        <v>6.1150000000000003E-2</v>
      </c>
      <c r="Q521" s="10">
        <v>0.56589999999999996</v>
      </c>
      <c r="R521" s="10">
        <v>1.4079999999999999</v>
      </c>
      <c r="S521" s="10">
        <v>3.6309999999999998</v>
      </c>
      <c r="T521" s="10">
        <v>67.739999999999995</v>
      </c>
      <c r="U521" s="10">
        <v>5.2880000000000002E-3</v>
      </c>
      <c r="V521" s="10">
        <v>2.8330000000000001E-2</v>
      </c>
      <c r="W521" s="10">
        <v>4.2560000000000001E-2</v>
      </c>
      <c r="X521" s="10">
        <v>1.176E-2</v>
      </c>
      <c r="Y521" s="10">
        <v>1.7170000000000001E-2</v>
      </c>
      <c r="Z521" s="10">
        <v>3.2109999999999999E-3</v>
      </c>
      <c r="AA521" s="10">
        <v>23.96</v>
      </c>
      <c r="AB521" s="10">
        <v>30.39</v>
      </c>
      <c r="AC521" s="10">
        <v>153.9</v>
      </c>
      <c r="AD521" s="10">
        <v>1740</v>
      </c>
      <c r="AE521" s="10">
        <v>0.15140000000000001</v>
      </c>
      <c r="AF521" s="10">
        <v>0.3725</v>
      </c>
      <c r="AG521" s="10">
        <v>0.59360000000000002</v>
      </c>
      <c r="AH521" s="10">
        <v>0.20599999999999999</v>
      </c>
      <c r="AI521" s="10">
        <v>0.3266</v>
      </c>
      <c r="AJ521">
        <v>9.0090000000000003E-2</v>
      </c>
    </row>
    <row r="522" spans="3:36">
      <c r="C522" s="11" t="s">
        <v>628</v>
      </c>
      <c r="D522" s="10">
        <v>489</v>
      </c>
      <c r="E522" s="10">
        <v>913512</v>
      </c>
      <c r="F522" s="10" t="s">
        <v>1</v>
      </c>
      <c r="G522" s="10">
        <v>13.71</v>
      </c>
      <c r="H522" s="10">
        <v>16.170000000000002</v>
      </c>
      <c r="I522" s="10">
        <v>75.489999999999995</v>
      </c>
      <c r="J522" s="10">
        <v>420.5</v>
      </c>
      <c r="K522" s="10">
        <v>0.1128</v>
      </c>
      <c r="L522" s="10">
        <v>9.2630000000000004E-2</v>
      </c>
      <c r="M522" s="10">
        <v>4.2790000000000002E-2</v>
      </c>
      <c r="N522" s="10">
        <v>3.1320000000000001E-2</v>
      </c>
      <c r="O522" s="10">
        <v>0.18529999999999999</v>
      </c>
      <c r="P522" s="10">
        <v>6.4009999999999997E-2</v>
      </c>
      <c r="Q522" s="10">
        <v>0.37130000000000002</v>
      </c>
      <c r="R522" s="10">
        <v>1.1539999999999999</v>
      </c>
      <c r="S522" s="10">
        <v>2.5539999999999998</v>
      </c>
      <c r="T522" s="10">
        <v>27.57</v>
      </c>
      <c r="U522" s="10">
        <v>8.9980000000000008E-3</v>
      </c>
      <c r="V522" s="10">
        <v>1.2919999999999999E-2</v>
      </c>
      <c r="W522" s="10">
        <v>1.8509999999999999E-2</v>
      </c>
      <c r="X522" s="10">
        <v>1.167E-2</v>
      </c>
      <c r="Y522" s="10">
        <v>2.1520000000000001E-2</v>
      </c>
      <c r="Z522" s="10">
        <v>3.2130000000000001E-3</v>
      </c>
      <c r="AA522" s="10">
        <v>13.32</v>
      </c>
      <c r="AB522" s="10">
        <v>21.59</v>
      </c>
      <c r="AC522" s="10">
        <v>86.57</v>
      </c>
      <c r="AD522" s="10">
        <v>549.79999999999995</v>
      </c>
      <c r="AE522" s="10">
        <v>0.15260000000000001</v>
      </c>
      <c r="AF522" s="10">
        <v>0.1477</v>
      </c>
      <c r="AG522" s="10">
        <v>0.14899999999999999</v>
      </c>
      <c r="AH522" s="10">
        <v>9.8150000000000001E-2</v>
      </c>
      <c r="AI522" s="10">
        <v>0.28039999999999998</v>
      </c>
      <c r="AJ522">
        <v>8.0240000000000006E-2</v>
      </c>
    </row>
    <row r="523" spans="3:36">
      <c r="C523" s="11" t="s">
        <v>629</v>
      </c>
      <c r="D523" s="10">
        <v>490</v>
      </c>
      <c r="E523" s="10">
        <v>913535</v>
      </c>
      <c r="F523" s="10" t="s">
        <v>0</v>
      </c>
      <c r="G523" s="10">
        <v>13.71</v>
      </c>
      <c r="H523" s="10">
        <v>20.2</v>
      </c>
      <c r="I523" s="10">
        <v>107.1</v>
      </c>
      <c r="J523" s="10">
        <v>857.6</v>
      </c>
      <c r="K523" s="10">
        <v>7.4969999999999995E-2</v>
      </c>
      <c r="L523" s="10">
        <v>7.1120000000000003E-2</v>
      </c>
      <c r="M523" s="10">
        <v>3.6490000000000002E-2</v>
      </c>
      <c r="N523" s="10">
        <v>2.307E-2</v>
      </c>
      <c r="O523" s="10">
        <v>0.18459999999999999</v>
      </c>
      <c r="P523" s="10">
        <v>5.3249999999999999E-2</v>
      </c>
      <c r="Q523" s="10">
        <v>0.24729999999999999</v>
      </c>
      <c r="R523" s="10">
        <v>0.56789999999999996</v>
      </c>
      <c r="S523" s="10">
        <v>1.7749999999999999</v>
      </c>
      <c r="T523" s="10">
        <v>22.95</v>
      </c>
      <c r="U523" s="10">
        <v>2.6670000000000001E-3</v>
      </c>
      <c r="V523" s="10">
        <v>1.4460000000000001E-2</v>
      </c>
      <c r="W523" s="10">
        <v>1.423E-2</v>
      </c>
      <c r="X523" s="10">
        <v>5.2969999999999996E-3</v>
      </c>
      <c r="Y523" s="10">
        <v>1.9609999999999999E-2</v>
      </c>
      <c r="Z523" s="10">
        <v>1.6999999999999999E-3</v>
      </c>
      <c r="AA523" s="10">
        <v>19.18</v>
      </c>
      <c r="AB523" s="10">
        <v>26.56</v>
      </c>
      <c r="AC523" s="10">
        <v>127.3</v>
      </c>
      <c r="AD523" s="10">
        <v>1084</v>
      </c>
      <c r="AE523" s="10">
        <v>0.1009</v>
      </c>
      <c r="AF523" s="10">
        <v>0.29199999999999998</v>
      </c>
      <c r="AG523" s="10">
        <v>0.2477</v>
      </c>
      <c r="AH523" s="10">
        <v>8.7370000000000003E-2</v>
      </c>
      <c r="AI523" s="10">
        <v>0.4677</v>
      </c>
      <c r="AJ523">
        <v>7.6230000000000006E-2</v>
      </c>
    </row>
    <row r="524" spans="3:36">
      <c r="C524" s="11" t="s">
        <v>630</v>
      </c>
      <c r="D524" s="10">
        <v>491</v>
      </c>
      <c r="E524" s="10">
        <v>91376701</v>
      </c>
      <c r="F524" s="10" t="s">
        <v>1</v>
      </c>
      <c r="G524" s="10">
        <v>13.71</v>
      </c>
      <c r="H524" s="10">
        <v>22.44</v>
      </c>
      <c r="I524" s="10">
        <v>78.180000000000007</v>
      </c>
      <c r="J524" s="10">
        <v>466.5</v>
      </c>
      <c r="K524" s="10">
        <v>8.1920000000000007E-2</v>
      </c>
      <c r="L524" s="10">
        <v>5.1999999999999998E-2</v>
      </c>
      <c r="M524" s="10">
        <v>1.7139999999999999E-2</v>
      </c>
      <c r="N524" s="10">
        <v>1.261E-2</v>
      </c>
      <c r="O524" s="10">
        <v>0.15440000000000001</v>
      </c>
      <c r="P524" s="10">
        <v>5.9760000000000001E-2</v>
      </c>
      <c r="Q524" s="10">
        <v>0.22389999999999999</v>
      </c>
      <c r="R524" s="10">
        <v>1.139</v>
      </c>
      <c r="S524" s="10">
        <v>1.577</v>
      </c>
      <c r="T524" s="10">
        <v>18.04</v>
      </c>
      <c r="U524" s="10">
        <v>5.0959999999999998E-3</v>
      </c>
      <c r="V524" s="10">
        <v>1.205E-2</v>
      </c>
      <c r="W524" s="10">
        <v>9.41E-3</v>
      </c>
      <c r="X524" s="10">
        <v>4.5510000000000004E-3</v>
      </c>
      <c r="Y524" s="10">
        <v>1.6080000000000001E-2</v>
      </c>
      <c r="Z524" s="10">
        <v>2.3990000000000001E-3</v>
      </c>
      <c r="AA524" s="10">
        <v>14.17</v>
      </c>
      <c r="AB524" s="10">
        <v>31.99</v>
      </c>
      <c r="AC524" s="10">
        <v>92.74</v>
      </c>
      <c r="AD524" s="10">
        <v>622.9</v>
      </c>
      <c r="AE524" s="10">
        <v>0.12559999999999999</v>
      </c>
      <c r="AF524" s="10">
        <v>0.1804</v>
      </c>
      <c r="AG524" s="10">
        <v>0.123</v>
      </c>
      <c r="AH524" s="10">
        <v>6.3350000000000004E-2</v>
      </c>
      <c r="AI524" s="10">
        <v>0.31</v>
      </c>
      <c r="AJ524">
        <v>8.2030000000000006E-2</v>
      </c>
    </row>
    <row r="525" spans="3:36">
      <c r="C525" s="11" t="s">
        <v>631</v>
      </c>
      <c r="D525" s="10">
        <v>492</v>
      </c>
      <c r="E525" s="10">
        <v>91376702</v>
      </c>
      <c r="F525" s="10" t="s">
        <v>1</v>
      </c>
      <c r="G525" s="10">
        <v>13.71</v>
      </c>
      <c r="H525" s="10">
        <v>13.23</v>
      </c>
      <c r="I525" s="10">
        <v>114.6</v>
      </c>
      <c r="J525" s="10">
        <v>992.1</v>
      </c>
      <c r="K525" s="10">
        <v>7.8380000000000005E-2</v>
      </c>
      <c r="L525" s="10">
        <v>6.2170000000000003E-2</v>
      </c>
      <c r="M525" s="10">
        <v>4.4450000000000003E-2</v>
      </c>
      <c r="N525" s="10">
        <v>4.1779999999999998E-2</v>
      </c>
      <c r="O525" s="10">
        <v>0.122</v>
      </c>
      <c r="P525" s="10">
        <v>5.2429999999999997E-2</v>
      </c>
      <c r="Q525" s="10">
        <v>0.4834</v>
      </c>
      <c r="R525" s="10">
        <v>1.046</v>
      </c>
      <c r="S525" s="10">
        <v>3.1629999999999998</v>
      </c>
      <c r="T525" s="10">
        <v>50.95</v>
      </c>
      <c r="U525" s="10">
        <v>4.3689999999999996E-3</v>
      </c>
      <c r="V525" s="10">
        <v>8.2740000000000001E-3</v>
      </c>
      <c r="W525" s="10">
        <v>1.153E-2</v>
      </c>
      <c r="X525" s="10">
        <v>7.437E-3</v>
      </c>
      <c r="Y525" s="10">
        <v>1.302E-2</v>
      </c>
      <c r="Z525" s="10">
        <v>1.3090000000000001E-3</v>
      </c>
      <c r="AA525" s="10">
        <v>19.82</v>
      </c>
      <c r="AB525" s="10">
        <v>18.420000000000002</v>
      </c>
      <c r="AC525" s="10">
        <v>127.1</v>
      </c>
      <c r="AD525" s="10">
        <v>1210</v>
      </c>
      <c r="AE525" s="10">
        <v>9.8619999999999999E-2</v>
      </c>
      <c r="AF525" s="10">
        <v>9.9760000000000001E-2</v>
      </c>
      <c r="AG525" s="10">
        <v>0.1048</v>
      </c>
      <c r="AH525" s="10">
        <v>8.3409999999999998E-2</v>
      </c>
      <c r="AI525" s="10">
        <v>0.17829999999999999</v>
      </c>
      <c r="AJ525">
        <v>5.8709999999999998E-2</v>
      </c>
    </row>
    <row r="526" spans="3:36">
      <c r="C526" s="11" t="s">
        <v>632</v>
      </c>
      <c r="D526" s="10">
        <v>493</v>
      </c>
      <c r="E526" s="10">
        <v>914062</v>
      </c>
      <c r="F526" s="10" t="s">
        <v>0</v>
      </c>
      <c r="G526" s="10">
        <v>13.71</v>
      </c>
      <c r="H526" s="10">
        <v>20.56</v>
      </c>
      <c r="I526" s="10">
        <v>118.4</v>
      </c>
      <c r="J526" s="10">
        <v>1007</v>
      </c>
      <c r="K526" s="10">
        <v>0.10009999999999999</v>
      </c>
      <c r="L526" s="10">
        <v>0.12889999999999999</v>
      </c>
      <c r="M526" s="10">
        <v>0.11700000000000001</v>
      </c>
      <c r="N526" s="10">
        <v>7.7619999999999995E-2</v>
      </c>
      <c r="O526" s="10">
        <v>0.21160000000000001</v>
      </c>
      <c r="P526" s="10">
        <v>6.0769999999999998E-2</v>
      </c>
      <c r="Q526" s="10">
        <v>0.75480000000000003</v>
      </c>
      <c r="R526" s="10">
        <v>1.288</v>
      </c>
      <c r="S526" s="10">
        <v>5.3529999999999998</v>
      </c>
      <c r="T526" s="10">
        <v>89.74</v>
      </c>
      <c r="U526" s="10">
        <v>7.9970000000000006E-3</v>
      </c>
      <c r="V526" s="10">
        <v>2.7E-2</v>
      </c>
      <c r="W526" s="10">
        <v>3.737E-2</v>
      </c>
      <c r="X526" s="10">
        <v>1.6480000000000002E-2</v>
      </c>
      <c r="Y526" s="10">
        <v>2.8969999999999999E-2</v>
      </c>
      <c r="Z526" s="10">
        <v>3.9960000000000004E-3</v>
      </c>
      <c r="AA526" s="10">
        <v>21.53</v>
      </c>
      <c r="AB526" s="10">
        <v>26.06</v>
      </c>
      <c r="AC526" s="10">
        <v>143.4</v>
      </c>
      <c r="AD526" s="10">
        <v>1426</v>
      </c>
      <c r="AE526" s="10">
        <v>0.13089999999999999</v>
      </c>
      <c r="AF526" s="10">
        <v>0.23269999999999999</v>
      </c>
      <c r="AG526" s="10">
        <v>0.25440000000000002</v>
      </c>
      <c r="AH526" s="10">
        <v>0.1489</v>
      </c>
      <c r="AI526" s="10">
        <v>0.3251</v>
      </c>
      <c r="AJ526">
        <v>7.6249999999999998E-2</v>
      </c>
    </row>
    <row r="527" spans="3:36">
      <c r="C527" s="11" t="s">
        <v>633</v>
      </c>
      <c r="D527" s="10">
        <v>494</v>
      </c>
      <c r="E527" s="10">
        <v>914101</v>
      </c>
      <c r="F527" s="10" t="s">
        <v>1</v>
      </c>
      <c r="G527" s="10">
        <v>13.71</v>
      </c>
      <c r="H527" s="10">
        <v>12.83</v>
      </c>
      <c r="I527" s="10">
        <v>78.83</v>
      </c>
      <c r="J527" s="10">
        <v>477.3</v>
      </c>
      <c r="K527" s="10">
        <v>7.3719999999999994E-2</v>
      </c>
      <c r="L527" s="10">
        <v>4.0430000000000001E-2</v>
      </c>
      <c r="M527" s="10">
        <v>7.1729999999999997E-3</v>
      </c>
      <c r="N527" s="10">
        <v>1.149E-2</v>
      </c>
      <c r="O527" s="10">
        <v>0.1613</v>
      </c>
      <c r="P527" s="10">
        <v>6.0130000000000003E-2</v>
      </c>
      <c r="Q527" s="10">
        <v>0.3276</v>
      </c>
      <c r="R527" s="10">
        <v>1.486</v>
      </c>
      <c r="S527" s="10">
        <v>2.1080000000000001</v>
      </c>
      <c r="T527" s="10">
        <v>24.6</v>
      </c>
      <c r="U527" s="10">
        <v>1.039E-2</v>
      </c>
      <c r="V527" s="10">
        <v>1.0030000000000001E-2</v>
      </c>
      <c r="W527" s="10">
        <v>6.4159999999999998E-3</v>
      </c>
      <c r="X527" s="10">
        <v>7.8949999999999992E-3</v>
      </c>
      <c r="Y527" s="10">
        <v>2.869E-2</v>
      </c>
      <c r="Z527" s="10">
        <v>4.8209999999999998E-3</v>
      </c>
      <c r="AA527" s="10">
        <v>13.19</v>
      </c>
      <c r="AB527" s="10">
        <v>16.36</v>
      </c>
      <c r="AC527" s="10">
        <v>83.24</v>
      </c>
      <c r="AD527" s="10">
        <v>534</v>
      </c>
      <c r="AE527" s="10">
        <v>9.4390000000000002E-2</v>
      </c>
      <c r="AF527" s="10">
        <v>6.4769999999999994E-2</v>
      </c>
      <c r="AG527" s="10">
        <v>1.6740000000000001E-2</v>
      </c>
      <c r="AH527" s="10">
        <v>2.6800000000000001E-2</v>
      </c>
      <c r="AI527" s="10">
        <v>0.22800000000000001</v>
      </c>
      <c r="AJ527">
        <v>7.0279999999999995E-2</v>
      </c>
    </row>
    <row r="528" spans="3:36">
      <c r="C528" s="11" t="s">
        <v>634</v>
      </c>
      <c r="D528" s="10">
        <v>495</v>
      </c>
      <c r="E528" s="10">
        <v>914102</v>
      </c>
      <c r="F528" s="10" t="s">
        <v>1</v>
      </c>
      <c r="G528" s="10">
        <v>13.71</v>
      </c>
      <c r="H528" s="10">
        <v>20.54</v>
      </c>
      <c r="I528" s="10">
        <v>84.06</v>
      </c>
      <c r="J528" s="10">
        <v>538.70000000000005</v>
      </c>
      <c r="K528" s="10">
        <v>7.3349999999999999E-2</v>
      </c>
      <c r="L528" s="10">
        <v>5.2749999999999998E-2</v>
      </c>
      <c r="M528" s="10">
        <v>1.7999999999999999E-2</v>
      </c>
      <c r="N528" s="10">
        <v>1.256E-2</v>
      </c>
      <c r="O528" s="10">
        <v>0.17130000000000001</v>
      </c>
      <c r="P528" s="10">
        <v>5.8880000000000002E-2</v>
      </c>
      <c r="Q528" s="10">
        <v>0.32369999999999999</v>
      </c>
      <c r="R528" s="10">
        <v>1.4730000000000001</v>
      </c>
      <c r="S528" s="10">
        <v>2.3260000000000001</v>
      </c>
      <c r="T528" s="10">
        <v>26.07</v>
      </c>
      <c r="U528" s="10">
        <v>7.8019999999999999E-3</v>
      </c>
      <c r="V528" s="10">
        <v>2.052E-2</v>
      </c>
      <c r="W528" s="10">
        <v>1.341E-2</v>
      </c>
      <c r="X528" s="10">
        <v>5.5640000000000004E-3</v>
      </c>
      <c r="Y528" s="10">
        <v>2.086E-2</v>
      </c>
      <c r="Z528" s="10">
        <v>2.7009999999999998E-3</v>
      </c>
      <c r="AA528" s="10">
        <v>14.5</v>
      </c>
      <c r="AB528" s="10">
        <v>28.46</v>
      </c>
      <c r="AC528" s="10">
        <v>95.29</v>
      </c>
      <c r="AD528" s="10">
        <v>648.29999999999995</v>
      </c>
      <c r="AE528" s="10">
        <v>0.1118</v>
      </c>
      <c r="AF528" s="10">
        <v>0.1646</v>
      </c>
      <c r="AG528" s="10">
        <v>7.6980000000000007E-2</v>
      </c>
      <c r="AH528" s="10">
        <v>4.1950000000000001E-2</v>
      </c>
      <c r="AI528" s="10">
        <v>0.26869999999999999</v>
      </c>
      <c r="AJ528">
        <v>7.4289999999999995E-2</v>
      </c>
    </row>
    <row r="529" spans="3:36">
      <c r="C529" s="11" t="s">
        <v>635</v>
      </c>
      <c r="D529" s="10">
        <v>496</v>
      </c>
      <c r="E529" s="10">
        <v>914333</v>
      </c>
      <c r="F529" s="10" t="s">
        <v>1</v>
      </c>
      <c r="G529" s="10">
        <v>13.71</v>
      </c>
      <c r="H529" s="10">
        <v>20.21</v>
      </c>
      <c r="I529" s="10">
        <v>96.12</v>
      </c>
      <c r="J529" s="10">
        <v>680.9</v>
      </c>
      <c r="K529" s="10">
        <v>9.5869999999999997E-2</v>
      </c>
      <c r="L529" s="10">
        <v>8.3449999999999996E-2</v>
      </c>
      <c r="M529" s="10">
        <v>6.8239999999999995E-2</v>
      </c>
      <c r="N529" s="10">
        <v>4.9509999999999998E-2</v>
      </c>
      <c r="O529" s="10">
        <v>0.1487</v>
      </c>
      <c r="P529" s="10">
        <v>5.7480000000000003E-2</v>
      </c>
      <c r="Q529" s="10">
        <v>0.23230000000000001</v>
      </c>
      <c r="R529" s="10">
        <v>1.6359999999999999</v>
      </c>
      <c r="S529" s="10">
        <v>1.5960000000000001</v>
      </c>
      <c r="T529" s="10">
        <v>21.84</v>
      </c>
      <c r="U529" s="10">
        <v>5.4149999999999997E-3</v>
      </c>
      <c r="V529" s="10">
        <v>1.371E-2</v>
      </c>
      <c r="W529" s="10">
        <v>2.1530000000000001E-2</v>
      </c>
      <c r="X529" s="10">
        <v>1.183E-2</v>
      </c>
      <c r="Y529" s="10">
        <v>1.959E-2</v>
      </c>
      <c r="Z529" s="10">
        <v>1.812E-3</v>
      </c>
      <c r="AA529" s="10">
        <v>16.010000000000002</v>
      </c>
      <c r="AB529" s="10">
        <v>28.48</v>
      </c>
      <c r="AC529" s="10">
        <v>103.9</v>
      </c>
      <c r="AD529" s="10">
        <v>783.6</v>
      </c>
      <c r="AE529" s="10">
        <v>0.1216</v>
      </c>
      <c r="AF529" s="10">
        <v>0.13880000000000001</v>
      </c>
      <c r="AG529" s="10">
        <v>0.17</v>
      </c>
      <c r="AH529" s="10">
        <v>0.1017</v>
      </c>
      <c r="AI529" s="10">
        <v>0.2369</v>
      </c>
      <c r="AJ529">
        <v>6.5989999999999993E-2</v>
      </c>
    </row>
    <row r="530" spans="3:36">
      <c r="C530" s="11" t="s">
        <v>636</v>
      </c>
      <c r="D530" s="10">
        <v>497</v>
      </c>
      <c r="E530" s="10">
        <v>914366</v>
      </c>
      <c r="F530" s="10" t="s">
        <v>1</v>
      </c>
      <c r="G530" s="10">
        <v>13.71</v>
      </c>
      <c r="H530" s="10">
        <v>18.170000000000002</v>
      </c>
      <c r="I530" s="10">
        <v>82.69</v>
      </c>
      <c r="J530" s="10">
        <v>485.6</v>
      </c>
      <c r="K530" s="10">
        <v>0.1076</v>
      </c>
      <c r="L530" s="10">
        <v>0.13339999999999999</v>
      </c>
      <c r="M530" s="10">
        <v>8.0170000000000005E-2</v>
      </c>
      <c r="N530" s="10">
        <v>5.074E-2</v>
      </c>
      <c r="O530" s="10">
        <v>0.1641</v>
      </c>
      <c r="P530" s="10">
        <v>6.8540000000000004E-2</v>
      </c>
      <c r="Q530" s="10">
        <v>0.2324</v>
      </c>
      <c r="R530" s="10">
        <v>0.63319999999999999</v>
      </c>
      <c r="S530" s="10">
        <v>1.696</v>
      </c>
      <c r="T530" s="10">
        <v>18.399999999999999</v>
      </c>
      <c r="U530" s="10">
        <v>5.7039999999999999E-3</v>
      </c>
      <c r="V530" s="10">
        <v>2.5020000000000001E-2</v>
      </c>
      <c r="W530" s="10">
        <v>2.6360000000000001E-2</v>
      </c>
      <c r="X530" s="10">
        <v>1.0319999999999999E-2</v>
      </c>
      <c r="Y530" s="10">
        <v>1.7590000000000001E-2</v>
      </c>
      <c r="Z530" s="10">
        <v>3.5630000000000002E-3</v>
      </c>
      <c r="AA530" s="10">
        <v>14.38</v>
      </c>
      <c r="AB530" s="10">
        <v>22.15</v>
      </c>
      <c r="AC530" s="10">
        <v>95.29</v>
      </c>
      <c r="AD530" s="10">
        <v>633.70000000000005</v>
      </c>
      <c r="AE530" s="10">
        <v>0.15329999999999999</v>
      </c>
      <c r="AF530" s="10">
        <v>0.38419999999999999</v>
      </c>
      <c r="AG530" s="10">
        <v>0.35820000000000002</v>
      </c>
      <c r="AH530" s="10">
        <v>0.14069999999999999</v>
      </c>
      <c r="AI530" s="10">
        <v>0.32300000000000001</v>
      </c>
      <c r="AJ530">
        <v>0.1033</v>
      </c>
    </row>
    <row r="531" spans="3:36">
      <c r="C531" s="11" t="s">
        <v>637</v>
      </c>
      <c r="D531" s="10">
        <v>498</v>
      </c>
      <c r="E531" s="10">
        <v>914580</v>
      </c>
      <c r="F531" s="10" t="s">
        <v>1</v>
      </c>
      <c r="G531" s="10">
        <v>13.71</v>
      </c>
      <c r="H531" s="10">
        <v>17.309999999999999</v>
      </c>
      <c r="I531" s="10">
        <v>80.45</v>
      </c>
      <c r="J531" s="10">
        <v>480.1</v>
      </c>
      <c r="K531" s="10">
        <v>8.9279999999999998E-2</v>
      </c>
      <c r="L531" s="10">
        <v>7.6300000000000007E-2</v>
      </c>
      <c r="M531" s="10">
        <v>3.6089999999999997E-2</v>
      </c>
      <c r="N531" s="10">
        <v>2.3689999999999999E-2</v>
      </c>
      <c r="O531" s="10">
        <v>0.15260000000000001</v>
      </c>
      <c r="P531" s="10">
        <v>6.046E-2</v>
      </c>
      <c r="Q531" s="10">
        <v>0.1532</v>
      </c>
      <c r="R531" s="10">
        <v>0.78100000000000003</v>
      </c>
      <c r="S531" s="10">
        <v>1.2529999999999999</v>
      </c>
      <c r="T531" s="10">
        <v>11.91</v>
      </c>
      <c r="U531" s="10">
        <v>3.7959999999999999E-3</v>
      </c>
      <c r="V531" s="10">
        <v>1.371E-2</v>
      </c>
      <c r="W531" s="10">
        <v>1.346E-2</v>
      </c>
      <c r="X531" s="10">
        <v>7.0959999999999999E-3</v>
      </c>
      <c r="Y531" s="10">
        <v>1.536E-2</v>
      </c>
      <c r="Z531" s="10">
        <v>1.5410000000000001E-3</v>
      </c>
      <c r="AA531" s="10">
        <v>14.06</v>
      </c>
      <c r="AB531" s="10">
        <v>24.34</v>
      </c>
      <c r="AC531" s="10">
        <v>92.82</v>
      </c>
      <c r="AD531" s="10">
        <v>607.29999999999995</v>
      </c>
      <c r="AE531" s="10">
        <v>0.12759999999999999</v>
      </c>
      <c r="AF531" s="10">
        <v>0.25059999999999999</v>
      </c>
      <c r="AG531" s="10">
        <v>0.20280000000000001</v>
      </c>
      <c r="AH531" s="10">
        <v>0.1053</v>
      </c>
      <c r="AI531" s="10">
        <v>0.30349999999999999</v>
      </c>
      <c r="AJ531">
        <v>7.6609999999999998E-2</v>
      </c>
    </row>
    <row r="532" spans="3:36">
      <c r="C532" s="11" t="s">
        <v>638</v>
      </c>
      <c r="D532" s="10">
        <v>499</v>
      </c>
      <c r="E532" s="10">
        <v>914769</v>
      </c>
      <c r="F532" s="10" t="s">
        <v>0</v>
      </c>
      <c r="G532" s="10">
        <v>13.71</v>
      </c>
      <c r="H532" s="10">
        <v>17.52</v>
      </c>
      <c r="I532" s="10">
        <v>121.3</v>
      </c>
      <c r="J532" s="10">
        <v>1068</v>
      </c>
      <c r="K532" s="10">
        <v>0.1012</v>
      </c>
      <c r="L532" s="10">
        <v>0.13170000000000001</v>
      </c>
      <c r="M532" s="10">
        <v>0.14910000000000001</v>
      </c>
      <c r="N532" s="10">
        <v>9.1829999999999995E-2</v>
      </c>
      <c r="O532" s="10">
        <v>0.1832</v>
      </c>
      <c r="P532" s="10">
        <v>6.6970000000000002E-2</v>
      </c>
      <c r="Q532" s="10">
        <v>0.7923</v>
      </c>
      <c r="R532" s="10">
        <v>1.0449999999999999</v>
      </c>
      <c r="S532" s="10">
        <v>4.851</v>
      </c>
      <c r="T532" s="10">
        <v>95.77</v>
      </c>
      <c r="U532" s="10">
        <v>7.9740000000000002E-3</v>
      </c>
      <c r="V532" s="10">
        <v>3.2140000000000002E-2</v>
      </c>
      <c r="W532" s="10">
        <v>4.4350000000000001E-2</v>
      </c>
      <c r="X532" s="10">
        <v>1.5730000000000001E-2</v>
      </c>
      <c r="Y532" s="10">
        <v>1.617E-2</v>
      </c>
      <c r="Z532" s="10">
        <v>5.2550000000000001E-3</v>
      </c>
      <c r="AA532" s="10">
        <v>22.75</v>
      </c>
      <c r="AB532" s="10">
        <v>22.88</v>
      </c>
      <c r="AC532" s="10">
        <v>146.4</v>
      </c>
      <c r="AD532" s="10">
        <v>1600</v>
      </c>
      <c r="AE532" s="10">
        <v>0.14119999999999999</v>
      </c>
      <c r="AF532" s="10">
        <v>0.30890000000000001</v>
      </c>
      <c r="AG532" s="10">
        <v>0.3533</v>
      </c>
      <c r="AH532" s="10">
        <v>0.1663</v>
      </c>
      <c r="AI532" s="10">
        <v>0.251</v>
      </c>
      <c r="AJ532">
        <v>9.4450000000000006E-2</v>
      </c>
    </row>
    <row r="533" spans="3:36">
      <c r="C533" s="11" t="s">
        <v>639</v>
      </c>
      <c r="D533" s="10">
        <v>500</v>
      </c>
      <c r="E533" s="10">
        <v>91485</v>
      </c>
      <c r="F533" s="10" t="s">
        <v>0</v>
      </c>
      <c r="G533" s="10">
        <v>13.71</v>
      </c>
      <c r="H533" s="10">
        <v>21.24</v>
      </c>
      <c r="I533" s="10">
        <v>137.80000000000001</v>
      </c>
      <c r="J533" s="10">
        <v>1320</v>
      </c>
      <c r="K533" s="10">
        <v>0.1085</v>
      </c>
      <c r="L533" s="10">
        <v>0.16439999999999999</v>
      </c>
      <c r="M533" s="10">
        <v>0.21879999999999999</v>
      </c>
      <c r="N533" s="10">
        <v>0.11210000000000001</v>
      </c>
      <c r="O533" s="10">
        <v>0.18479999999999999</v>
      </c>
      <c r="P533" s="10">
        <v>6.2219999999999998E-2</v>
      </c>
      <c r="Q533" s="10">
        <v>0.59040000000000004</v>
      </c>
      <c r="R533" s="10">
        <v>1.216</v>
      </c>
      <c r="S533" s="10">
        <v>4.2060000000000004</v>
      </c>
      <c r="T533" s="10">
        <v>75.09</v>
      </c>
      <c r="U533" s="10">
        <v>6.6660000000000001E-3</v>
      </c>
      <c r="V533" s="10">
        <v>2.7910000000000001E-2</v>
      </c>
      <c r="W533" s="10">
        <v>4.0620000000000003E-2</v>
      </c>
      <c r="X533" s="10">
        <v>1.4789999999999999E-2</v>
      </c>
      <c r="Y533" s="10">
        <v>1.1169999999999999E-2</v>
      </c>
      <c r="Z533" s="10">
        <v>3.7269999999999998E-3</v>
      </c>
      <c r="AA533" s="10">
        <v>23.86</v>
      </c>
      <c r="AB533" s="10">
        <v>30.76</v>
      </c>
      <c r="AC533" s="10">
        <v>163.19999999999999</v>
      </c>
      <c r="AD533" s="10">
        <v>1760</v>
      </c>
      <c r="AE533" s="10">
        <v>0.1464</v>
      </c>
      <c r="AF533" s="10">
        <v>0.35970000000000002</v>
      </c>
      <c r="AG533" s="10">
        <v>0.51790000000000003</v>
      </c>
      <c r="AH533" s="10">
        <v>0.21129999999999999</v>
      </c>
      <c r="AI533" s="10">
        <v>0.248</v>
      </c>
      <c r="AJ533">
        <v>8.9990000000000001E-2</v>
      </c>
    </row>
    <row r="534" spans="3:36">
      <c r="C534" s="11" t="s">
        <v>640</v>
      </c>
      <c r="D534" s="10">
        <v>501</v>
      </c>
      <c r="E534" s="10">
        <v>914862</v>
      </c>
      <c r="F534" s="10" t="s">
        <v>1</v>
      </c>
      <c r="G534" s="10">
        <v>13.71</v>
      </c>
      <c r="H534" s="10">
        <v>16.739999999999998</v>
      </c>
      <c r="I534" s="10">
        <v>98.73</v>
      </c>
      <c r="J534" s="10">
        <v>689.4</v>
      </c>
      <c r="K534" s="10">
        <v>9.8830000000000001E-2</v>
      </c>
      <c r="L534" s="10">
        <v>0.13639999999999999</v>
      </c>
      <c r="M534" s="10">
        <v>7.7210000000000001E-2</v>
      </c>
      <c r="N534" s="10">
        <v>6.1420000000000002E-2</v>
      </c>
      <c r="O534" s="10">
        <v>0.1668</v>
      </c>
      <c r="P534" s="10">
        <v>6.8690000000000001E-2</v>
      </c>
      <c r="Q534" s="10">
        <v>0.372</v>
      </c>
      <c r="R534" s="10">
        <v>0.84230000000000005</v>
      </c>
      <c r="S534" s="10">
        <v>2.3039999999999998</v>
      </c>
      <c r="T534" s="10">
        <v>34.840000000000003</v>
      </c>
      <c r="U534" s="10">
        <v>4.1229999999999999E-3</v>
      </c>
      <c r="V534" s="10">
        <v>1.8190000000000001E-2</v>
      </c>
      <c r="W534" s="10">
        <v>1.9959999999999999E-2</v>
      </c>
      <c r="X534" s="10">
        <v>1.004E-2</v>
      </c>
      <c r="Y534" s="10">
        <v>1.055E-2</v>
      </c>
      <c r="Z534" s="10">
        <v>3.2369999999999999E-3</v>
      </c>
      <c r="AA534" s="10">
        <v>16.760000000000002</v>
      </c>
      <c r="AB534" s="10">
        <v>20.43</v>
      </c>
      <c r="AC534" s="10">
        <v>109.7</v>
      </c>
      <c r="AD534" s="10">
        <v>856.9</v>
      </c>
      <c r="AE534" s="10">
        <v>0.1135</v>
      </c>
      <c r="AF534" s="10">
        <v>0.21759999999999999</v>
      </c>
      <c r="AG534" s="10">
        <v>0.18559999999999999</v>
      </c>
      <c r="AH534" s="10">
        <v>0.1018</v>
      </c>
      <c r="AI534" s="10">
        <v>0.2177</v>
      </c>
      <c r="AJ534">
        <v>8.5489999999999997E-2</v>
      </c>
    </row>
    <row r="535" spans="3:36">
      <c r="C535" s="11" t="s">
        <v>641</v>
      </c>
      <c r="D535" s="10">
        <v>502</v>
      </c>
      <c r="E535" s="10">
        <v>91504</v>
      </c>
      <c r="F535" s="10" t="s">
        <v>0</v>
      </c>
      <c r="G535" s="10">
        <v>13.71</v>
      </c>
      <c r="H535" s="10">
        <v>24.49</v>
      </c>
      <c r="I535" s="10">
        <v>92.33</v>
      </c>
      <c r="J535" s="10">
        <v>595.9</v>
      </c>
      <c r="K535" s="10">
        <v>0.1162</v>
      </c>
      <c r="L535" s="10">
        <v>0.1681</v>
      </c>
      <c r="M535" s="10">
        <v>0.13569999999999999</v>
      </c>
      <c r="N535" s="10">
        <v>6.7589999999999997E-2</v>
      </c>
      <c r="O535" s="10">
        <v>0.22750000000000001</v>
      </c>
      <c r="P535" s="10">
        <v>7.2370000000000004E-2</v>
      </c>
      <c r="Q535" s="10">
        <v>0.47510000000000002</v>
      </c>
      <c r="R535" s="10">
        <v>1.528</v>
      </c>
      <c r="S535" s="10">
        <v>2.9740000000000002</v>
      </c>
      <c r="T535" s="10">
        <v>39.049999999999997</v>
      </c>
      <c r="U535" s="10">
        <v>9.6799999999999994E-3</v>
      </c>
      <c r="V535" s="10">
        <v>3.8559999999999997E-2</v>
      </c>
      <c r="W535" s="10">
        <v>3.4759999999999999E-2</v>
      </c>
      <c r="X535" s="10">
        <v>1.6160000000000001E-2</v>
      </c>
      <c r="Y535" s="10">
        <v>2.4340000000000001E-2</v>
      </c>
      <c r="Z535" s="10">
        <v>6.9950000000000003E-3</v>
      </c>
      <c r="AA535" s="10">
        <v>16.010000000000002</v>
      </c>
      <c r="AB535" s="10">
        <v>32.94</v>
      </c>
      <c r="AC535" s="10">
        <v>106</v>
      </c>
      <c r="AD535" s="10">
        <v>788</v>
      </c>
      <c r="AE535" s="10">
        <v>0.1794</v>
      </c>
      <c r="AF535" s="10">
        <v>0.39660000000000001</v>
      </c>
      <c r="AG535" s="10">
        <v>0.33810000000000001</v>
      </c>
      <c r="AH535" s="10">
        <v>0.15210000000000001</v>
      </c>
      <c r="AI535" s="10">
        <v>0.36509999999999998</v>
      </c>
      <c r="AJ535">
        <v>0.1183</v>
      </c>
    </row>
    <row r="536" spans="3:36">
      <c r="C536" s="11" t="s">
        <v>642</v>
      </c>
      <c r="D536" s="10">
        <v>503</v>
      </c>
      <c r="E536" s="10">
        <v>91505</v>
      </c>
      <c r="F536" s="10" t="s">
        <v>1</v>
      </c>
      <c r="G536" s="10">
        <v>13.71</v>
      </c>
      <c r="H536" s="10">
        <v>16.32</v>
      </c>
      <c r="I536" s="10">
        <v>81.25</v>
      </c>
      <c r="J536" s="10">
        <v>476.3</v>
      </c>
      <c r="K536" s="10">
        <v>0.1158</v>
      </c>
      <c r="L536" s="10">
        <v>0.1085</v>
      </c>
      <c r="M536" s="10">
        <v>5.9279999999999999E-2</v>
      </c>
      <c r="N536" s="10">
        <v>3.279E-2</v>
      </c>
      <c r="O536" s="10">
        <v>0.1943</v>
      </c>
      <c r="P536" s="10">
        <v>6.6119999999999998E-2</v>
      </c>
      <c r="Q536" s="10">
        <v>0.25769999999999998</v>
      </c>
      <c r="R536" s="10">
        <v>1.095</v>
      </c>
      <c r="S536" s="10">
        <v>1.5660000000000001</v>
      </c>
      <c r="T536" s="10">
        <v>18.489999999999998</v>
      </c>
      <c r="U536" s="10">
        <v>9.7020000000000006E-3</v>
      </c>
      <c r="V536" s="10">
        <v>1.567E-2</v>
      </c>
      <c r="W536" s="10">
        <v>2.5749999999999999E-2</v>
      </c>
      <c r="X536" s="10">
        <v>1.1610000000000001E-2</v>
      </c>
      <c r="Y536" s="10">
        <v>2.801E-2</v>
      </c>
      <c r="Z536" s="10">
        <v>2.48E-3</v>
      </c>
      <c r="AA536" s="10">
        <v>13.57</v>
      </c>
      <c r="AB536" s="10">
        <v>21.4</v>
      </c>
      <c r="AC536" s="10">
        <v>86.67</v>
      </c>
      <c r="AD536" s="10">
        <v>552</v>
      </c>
      <c r="AE536" s="10">
        <v>0.158</v>
      </c>
      <c r="AF536" s="10">
        <v>0.17510000000000001</v>
      </c>
      <c r="AG536" s="10">
        <v>0.18890000000000001</v>
      </c>
      <c r="AH536" s="10">
        <v>8.4110000000000004E-2</v>
      </c>
      <c r="AI536" s="10">
        <v>0.3155</v>
      </c>
      <c r="AJ536">
        <v>7.5380000000000003E-2</v>
      </c>
    </row>
    <row r="537" spans="3:36">
      <c r="C537" s="11" t="s">
        <v>643</v>
      </c>
      <c r="D537" s="10">
        <v>504</v>
      </c>
      <c r="E537" s="10">
        <v>915143</v>
      </c>
      <c r="F537" s="10" t="s">
        <v>0</v>
      </c>
      <c r="G537" s="10">
        <v>13.71</v>
      </c>
      <c r="H537" s="10">
        <v>19.829999999999998</v>
      </c>
      <c r="I537" s="10">
        <v>152.1</v>
      </c>
      <c r="J537" s="10">
        <v>1682</v>
      </c>
      <c r="K537" s="10">
        <v>9.3420000000000003E-2</v>
      </c>
      <c r="L537" s="10">
        <v>0.1275</v>
      </c>
      <c r="M537" s="10">
        <v>0.1676</v>
      </c>
      <c r="N537" s="10">
        <v>0.1003</v>
      </c>
      <c r="O537" s="10">
        <v>0.15049999999999999</v>
      </c>
      <c r="P537" s="10">
        <v>5.484E-2</v>
      </c>
      <c r="Q537" s="10">
        <v>1.2909999999999999</v>
      </c>
      <c r="R537" s="10">
        <v>0.74519999999999997</v>
      </c>
      <c r="S537" s="10">
        <v>9.6349999999999998</v>
      </c>
      <c r="T537" s="10">
        <v>180.2</v>
      </c>
      <c r="U537" s="10">
        <v>5.7530000000000003E-3</v>
      </c>
      <c r="V537" s="10">
        <v>3.356E-2</v>
      </c>
      <c r="W537" s="10">
        <v>3.9759999999999997E-2</v>
      </c>
      <c r="X537" s="10">
        <v>2.1559999999999999E-2</v>
      </c>
      <c r="Y537" s="10">
        <v>2.2009999999999998E-2</v>
      </c>
      <c r="Z537" s="10">
        <v>2.8969999999999998E-3</v>
      </c>
      <c r="AA537" s="10">
        <v>30.79</v>
      </c>
      <c r="AB537" s="10">
        <v>23.87</v>
      </c>
      <c r="AC537" s="10">
        <v>211.5</v>
      </c>
      <c r="AD537" s="10">
        <v>2782</v>
      </c>
      <c r="AE537" s="10">
        <v>0.11990000000000001</v>
      </c>
      <c r="AF537" s="10">
        <v>0.36249999999999999</v>
      </c>
      <c r="AG537" s="10">
        <v>0.37940000000000002</v>
      </c>
      <c r="AH537" s="10">
        <v>0.22639999999999999</v>
      </c>
      <c r="AI537" s="10">
        <v>0.2908</v>
      </c>
      <c r="AJ537">
        <v>7.2770000000000001E-2</v>
      </c>
    </row>
    <row r="538" spans="3:36">
      <c r="C538" s="11" t="s">
        <v>644</v>
      </c>
      <c r="D538" s="10">
        <v>505</v>
      </c>
      <c r="E538" s="10">
        <v>915186</v>
      </c>
      <c r="F538" s="10" t="s">
        <v>1</v>
      </c>
      <c r="G538" s="10">
        <v>13.71</v>
      </c>
      <c r="H538" s="10">
        <v>12.87</v>
      </c>
      <c r="I538" s="10">
        <v>61.49</v>
      </c>
      <c r="J538" s="10">
        <v>248.7</v>
      </c>
      <c r="K538" s="10">
        <v>0.16339999999999999</v>
      </c>
      <c r="L538" s="10">
        <v>0.22389999999999999</v>
      </c>
      <c r="M538" s="10">
        <v>9.7299999999999998E-2</v>
      </c>
      <c r="N538" s="10">
        <v>5.2519999999999997E-2</v>
      </c>
      <c r="O538" s="10">
        <v>0.23780000000000001</v>
      </c>
      <c r="P538" s="10">
        <v>9.5019999999999993E-2</v>
      </c>
      <c r="Q538" s="10">
        <v>0.40760000000000002</v>
      </c>
      <c r="R538" s="10">
        <v>1.093</v>
      </c>
      <c r="S538" s="10">
        <v>3.0139999999999998</v>
      </c>
      <c r="T538" s="10">
        <v>20.04</v>
      </c>
      <c r="U538" s="10">
        <v>9.783E-3</v>
      </c>
      <c r="V538" s="10">
        <v>4.5420000000000002E-2</v>
      </c>
      <c r="W538" s="10">
        <v>3.483E-2</v>
      </c>
      <c r="X538" s="10">
        <v>2.188E-2</v>
      </c>
      <c r="Y538" s="10">
        <v>2.5420000000000002E-2</v>
      </c>
      <c r="Z538" s="10">
        <v>1.0449999999999999E-2</v>
      </c>
      <c r="AA538" s="10">
        <v>10.28</v>
      </c>
      <c r="AB538" s="10">
        <v>16.38</v>
      </c>
      <c r="AC538" s="10">
        <v>69.05</v>
      </c>
      <c r="AD538" s="10">
        <v>300.2</v>
      </c>
      <c r="AE538" s="10">
        <v>0.19020000000000001</v>
      </c>
      <c r="AF538" s="10">
        <v>0.34410000000000002</v>
      </c>
      <c r="AG538" s="10">
        <v>0.2099</v>
      </c>
      <c r="AH538" s="10">
        <v>0.10249999999999999</v>
      </c>
      <c r="AI538" s="10">
        <v>0.30380000000000001</v>
      </c>
      <c r="AJ538">
        <v>0.12520000000000001</v>
      </c>
    </row>
    <row r="539" spans="3:36">
      <c r="C539" s="11" t="s">
        <v>645</v>
      </c>
      <c r="D539" s="10">
        <v>506</v>
      </c>
      <c r="E539" s="10">
        <v>915276</v>
      </c>
      <c r="F539" s="10" t="s">
        <v>1</v>
      </c>
      <c r="G539" s="10">
        <v>13.71</v>
      </c>
      <c r="H539" s="10">
        <v>13.14</v>
      </c>
      <c r="I539" s="10">
        <v>64.12</v>
      </c>
      <c r="J539" s="10">
        <v>272.5</v>
      </c>
      <c r="K539" s="10">
        <v>0.1255</v>
      </c>
      <c r="L539" s="10">
        <v>0.22040000000000001</v>
      </c>
      <c r="M539" s="10">
        <v>0.1188</v>
      </c>
      <c r="N539" s="10">
        <v>7.0379999999999998E-2</v>
      </c>
      <c r="O539" s="10">
        <v>0.20569999999999999</v>
      </c>
      <c r="P539" s="10">
        <v>9.5750000000000002E-2</v>
      </c>
      <c r="Q539" s="10">
        <v>0.27439999999999998</v>
      </c>
      <c r="R539" s="10">
        <v>1.39</v>
      </c>
      <c r="S539" s="10">
        <v>1.7869999999999999</v>
      </c>
      <c r="T539" s="10">
        <v>17.670000000000002</v>
      </c>
      <c r="U539" s="10">
        <v>2.1770000000000001E-2</v>
      </c>
      <c r="V539" s="10">
        <v>4.888E-2</v>
      </c>
      <c r="W539" s="10">
        <v>5.1889999999999999E-2</v>
      </c>
      <c r="X539" s="10">
        <v>1.4500000000000001E-2</v>
      </c>
      <c r="Y539" s="10">
        <v>2.632E-2</v>
      </c>
      <c r="Z539" s="10">
        <v>1.1480000000000001E-2</v>
      </c>
      <c r="AA539" s="10">
        <v>10.6</v>
      </c>
      <c r="AB539" s="10">
        <v>18.04</v>
      </c>
      <c r="AC539" s="10">
        <v>69.47</v>
      </c>
      <c r="AD539" s="10">
        <v>328.1</v>
      </c>
      <c r="AE539" s="10">
        <v>0.2006</v>
      </c>
      <c r="AF539" s="10">
        <v>0.36630000000000001</v>
      </c>
      <c r="AG539" s="10">
        <v>0.2913</v>
      </c>
      <c r="AH539" s="10">
        <v>0.1075</v>
      </c>
      <c r="AI539" s="10">
        <v>0.2848</v>
      </c>
      <c r="AJ539">
        <v>0.13639999999999999</v>
      </c>
    </row>
    <row r="540" spans="3:36">
      <c r="C540" s="11" t="s">
        <v>646</v>
      </c>
      <c r="D540" s="10">
        <v>507</v>
      </c>
      <c r="E540" s="10">
        <v>91544001</v>
      </c>
      <c r="F540" s="10" t="s">
        <v>1</v>
      </c>
      <c r="G540" s="10">
        <v>13.71</v>
      </c>
      <c r="H540" s="10">
        <v>20.04</v>
      </c>
      <c r="I540" s="10">
        <v>79.47</v>
      </c>
      <c r="J540" s="10">
        <v>453.1</v>
      </c>
      <c r="K540" s="10">
        <v>0.1096</v>
      </c>
      <c r="L540" s="10">
        <v>0.1152</v>
      </c>
      <c r="M540" s="10">
        <v>8.1750000000000003E-2</v>
      </c>
      <c r="N540" s="10">
        <v>2.1659999999999999E-2</v>
      </c>
      <c r="O540" s="10">
        <v>0.21240000000000001</v>
      </c>
      <c r="P540" s="10">
        <v>6.8940000000000001E-2</v>
      </c>
      <c r="Q540" s="10">
        <v>0.18110000000000001</v>
      </c>
      <c r="R540" s="10">
        <v>0.79590000000000005</v>
      </c>
      <c r="S540" s="10">
        <v>0.98570000000000002</v>
      </c>
      <c r="T540" s="10">
        <v>12.58</v>
      </c>
      <c r="U540" s="10">
        <v>6.2719999999999998E-3</v>
      </c>
      <c r="V540" s="10">
        <v>2.198E-2</v>
      </c>
      <c r="W540" s="10">
        <v>3.9660000000000001E-2</v>
      </c>
      <c r="X540" s="10">
        <v>9.894E-3</v>
      </c>
      <c r="Y540" s="10">
        <v>1.32E-2</v>
      </c>
      <c r="Z540" s="10">
        <v>3.813E-3</v>
      </c>
      <c r="AA540" s="10">
        <v>13.16</v>
      </c>
      <c r="AB540" s="10">
        <v>24.17</v>
      </c>
      <c r="AC540" s="10">
        <v>85.13</v>
      </c>
      <c r="AD540" s="10">
        <v>515.29999999999995</v>
      </c>
      <c r="AE540" s="10">
        <v>0.14019999999999999</v>
      </c>
      <c r="AF540" s="10">
        <v>0.23150000000000001</v>
      </c>
      <c r="AG540" s="10">
        <v>0.35349999999999998</v>
      </c>
      <c r="AH540" s="10">
        <v>8.0879999999999994E-2</v>
      </c>
      <c r="AI540" s="10">
        <v>0.27089999999999997</v>
      </c>
      <c r="AJ540">
        <v>8.8389999999999996E-2</v>
      </c>
    </row>
    <row r="541" spans="3:36">
      <c r="C541" s="11" t="s">
        <v>647</v>
      </c>
      <c r="D541" s="10">
        <v>508</v>
      </c>
      <c r="E541" s="10">
        <v>91544002</v>
      </c>
      <c r="F541" s="10" t="s">
        <v>1</v>
      </c>
      <c r="G541" s="10">
        <v>13.71</v>
      </c>
      <c r="H541" s="10">
        <v>17.12</v>
      </c>
      <c r="I541" s="10">
        <v>71.25</v>
      </c>
      <c r="J541" s="10">
        <v>366.5</v>
      </c>
      <c r="K541" s="10">
        <v>0.11940000000000001</v>
      </c>
      <c r="L541" s="10">
        <v>0.1071</v>
      </c>
      <c r="M541" s="10">
        <v>4.0629999999999999E-2</v>
      </c>
      <c r="N541" s="10">
        <v>4.2680000000000003E-2</v>
      </c>
      <c r="O541" s="10">
        <v>0.19539999999999999</v>
      </c>
      <c r="P541" s="10">
        <v>7.9759999999999998E-2</v>
      </c>
      <c r="Q541" s="10">
        <v>0.1779</v>
      </c>
      <c r="R541" s="10">
        <v>1.03</v>
      </c>
      <c r="S541" s="10">
        <v>1.3180000000000001</v>
      </c>
      <c r="T541" s="10">
        <v>12.3</v>
      </c>
      <c r="U541" s="10">
        <v>1.2619999999999999E-2</v>
      </c>
      <c r="V541" s="10">
        <v>2.3480000000000001E-2</v>
      </c>
      <c r="W541" s="10">
        <v>1.7999999999999999E-2</v>
      </c>
      <c r="X541" s="10">
        <v>1.285E-2</v>
      </c>
      <c r="Y541" s="10">
        <v>2.2200000000000001E-2</v>
      </c>
      <c r="Z541" s="10">
        <v>8.3129999999999992E-3</v>
      </c>
      <c r="AA541" s="10">
        <v>11.69</v>
      </c>
      <c r="AB541" s="10">
        <v>20.74</v>
      </c>
      <c r="AC541" s="10">
        <v>76.08</v>
      </c>
      <c r="AD541" s="10">
        <v>411.1</v>
      </c>
      <c r="AE541" s="10">
        <v>0.16619999999999999</v>
      </c>
      <c r="AF541" s="10">
        <v>0.2031</v>
      </c>
      <c r="AG541" s="10">
        <v>0.12559999999999999</v>
      </c>
      <c r="AH541" s="10">
        <v>9.5140000000000002E-2</v>
      </c>
      <c r="AI541" s="10">
        <v>0.27800000000000002</v>
      </c>
      <c r="AJ541">
        <v>0.1168</v>
      </c>
    </row>
    <row r="542" spans="3:36">
      <c r="C542" s="11" t="s">
        <v>648</v>
      </c>
      <c r="D542" s="10">
        <v>509</v>
      </c>
      <c r="E542" s="10">
        <v>915452</v>
      </c>
      <c r="F542" s="10" t="s">
        <v>1</v>
      </c>
      <c r="G542" s="10">
        <v>13.71</v>
      </c>
      <c r="H542" s="10">
        <v>15.7</v>
      </c>
      <c r="I542" s="10">
        <v>104.7</v>
      </c>
      <c r="J542" s="10">
        <v>819.8</v>
      </c>
      <c r="K542" s="10">
        <v>9.4270000000000007E-2</v>
      </c>
      <c r="L542" s="10">
        <v>6.7119999999999999E-2</v>
      </c>
      <c r="M542" s="10">
        <v>5.5259999999999997E-2</v>
      </c>
      <c r="N542" s="10">
        <v>4.5629999999999997E-2</v>
      </c>
      <c r="O542" s="10">
        <v>0.1711</v>
      </c>
      <c r="P542" s="10">
        <v>5.6570000000000002E-2</v>
      </c>
      <c r="Q542" s="10">
        <v>0.20669999999999999</v>
      </c>
      <c r="R542" s="10">
        <v>0.47060000000000002</v>
      </c>
      <c r="S542" s="10">
        <v>1.1459999999999999</v>
      </c>
      <c r="T542" s="10">
        <v>20.67</v>
      </c>
      <c r="U542" s="10">
        <v>7.3940000000000004E-3</v>
      </c>
      <c r="V542" s="10">
        <v>1.2030000000000001E-2</v>
      </c>
      <c r="W542" s="10">
        <v>2.47E-2</v>
      </c>
      <c r="X542" s="10">
        <v>1.431E-2</v>
      </c>
      <c r="Y542" s="10">
        <v>1.3440000000000001E-2</v>
      </c>
      <c r="Z542" s="10">
        <v>2.5690000000000001E-3</v>
      </c>
      <c r="AA542" s="10">
        <v>17.32</v>
      </c>
      <c r="AB542" s="10">
        <v>17.760000000000002</v>
      </c>
      <c r="AC542" s="10">
        <v>109.8</v>
      </c>
      <c r="AD542" s="10">
        <v>928.2</v>
      </c>
      <c r="AE542" s="10">
        <v>0.13539999999999999</v>
      </c>
      <c r="AF542" s="10">
        <v>0.1361</v>
      </c>
      <c r="AG542" s="10">
        <v>0.19470000000000001</v>
      </c>
      <c r="AH542" s="10">
        <v>0.13569999999999999</v>
      </c>
      <c r="AI542" s="10">
        <v>0.23</v>
      </c>
      <c r="AJ542">
        <v>7.2300000000000003E-2</v>
      </c>
    </row>
    <row r="543" spans="3:36">
      <c r="C543" s="11" t="s">
        <v>649</v>
      </c>
      <c r="D543" s="10">
        <v>510</v>
      </c>
      <c r="E543" s="10">
        <v>915460</v>
      </c>
      <c r="F543" s="10" t="s">
        <v>0</v>
      </c>
      <c r="G543" s="10">
        <v>13.71</v>
      </c>
      <c r="H543" s="10">
        <v>23.95</v>
      </c>
      <c r="I543" s="10">
        <v>103.8</v>
      </c>
      <c r="J543" s="10">
        <v>731.3</v>
      </c>
      <c r="K543" s="10">
        <v>0.1183</v>
      </c>
      <c r="L543" s="10">
        <v>0.187</v>
      </c>
      <c r="M543" s="10">
        <v>0.20300000000000001</v>
      </c>
      <c r="N543" s="10">
        <v>8.5199999999999998E-2</v>
      </c>
      <c r="O543" s="10">
        <v>0.1807</v>
      </c>
      <c r="P543" s="10">
        <v>7.0830000000000004E-2</v>
      </c>
      <c r="Q543" s="10">
        <v>0.33310000000000001</v>
      </c>
      <c r="R543" s="10">
        <v>1.9610000000000001</v>
      </c>
      <c r="S543" s="10">
        <v>2.9369999999999998</v>
      </c>
      <c r="T543" s="10">
        <v>32.520000000000003</v>
      </c>
      <c r="U543" s="10">
        <v>9.5379999999999996E-3</v>
      </c>
      <c r="V543" s="10">
        <v>4.9399999999999999E-2</v>
      </c>
      <c r="W543" s="10">
        <v>6.019E-2</v>
      </c>
      <c r="X543" s="10">
        <v>2.0410000000000001E-2</v>
      </c>
      <c r="Y543" s="10">
        <v>2.1049999999999999E-2</v>
      </c>
      <c r="Z543" s="10">
        <v>6.0000000000000001E-3</v>
      </c>
      <c r="AA543" s="10">
        <v>17.11</v>
      </c>
      <c r="AB543" s="10">
        <v>36.33</v>
      </c>
      <c r="AC543" s="10">
        <v>117.7</v>
      </c>
      <c r="AD543" s="10">
        <v>909.4</v>
      </c>
      <c r="AE543" s="10">
        <v>0.17319999999999999</v>
      </c>
      <c r="AF543" s="10">
        <v>0.49669999999999997</v>
      </c>
      <c r="AG543" s="10">
        <v>0.59109999999999996</v>
      </c>
      <c r="AH543" s="10">
        <v>0.21629999999999999</v>
      </c>
      <c r="AI543" s="10">
        <v>0.30130000000000001</v>
      </c>
      <c r="AJ543">
        <v>0.1067</v>
      </c>
    </row>
    <row r="544" spans="3:36">
      <c r="C544" s="11" t="s">
        <v>650</v>
      </c>
      <c r="D544" s="10">
        <v>511</v>
      </c>
      <c r="E544" s="10">
        <v>91550</v>
      </c>
      <c r="F544" s="10" t="s">
        <v>1</v>
      </c>
      <c r="G544" s="10">
        <v>13.71</v>
      </c>
      <c r="H544" s="10">
        <v>14.69</v>
      </c>
      <c r="I544" s="10">
        <v>76.31</v>
      </c>
      <c r="J544" s="10">
        <v>426</v>
      </c>
      <c r="K544" s="10">
        <v>8.0990000000000006E-2</v>
      </c>
      <c r="L544" s="10">
        <v>9.6610000000000001E-2</v>
      </c>
      <c r="M544" s="10">
        <v>6.726E-2</v>
      </c>
      <c r="N544" s="10">
        <v>2.639E-2</v>
      </c>
      <c r="O544" s="10">
        <v>0.14990000000000001</v>
      </c>
      <c r="P544" s="10">
        <v>6.7580000000000001E-2</v>
      </c>
      <c r="Q544" s="10">
        <v>0.19239999999999999</v>
      </c>
      <c r="R544" s="10">
        <v>0.64170000000000005</v>
      </c>
      <c r="S544" s="10">
        <v>1.345</v>
      </c>
      <c r="T544" s="10">
        <v>13.04</v>
      </c>
      <c r="U544" s="10">
        <v>6.9820000000000004E-3</v>
      </c>
      <c r="V544" s="10">
        <v>3.916E-2</v>
      </c>
      <c r="W544" s="10">
        <v>4.0169999999999997E-2</v>
      </c>
      <c r="X544" s="10">
        <v>1.528E-2</v>
      </c>
      <c r="Y544" s="10">
        <v>2.2599999999999999E-2</v>
      </c>
      <c r="Z544" s="10">
        <v>6.8219999999999999E-3</v>
      </c>
      <c r="AA544" s="10">
        <v>12.45</v>
      </c>
      <c r="AB544" s="10">
        <v>17.600000000000001</v>
      </c>
      <c r="AC544" s="10">
        <v>81.25</v>
      </c>
      <c r="AD544" s="10">
        <v>473.8</v>
      </c>
      <c r="AE544" s="10">
        <v>0.10730000000000001</v>
      </c>
      <c r="AF544" s="10">
        <v>0.27929999999999999</v>
      </c>
      <c r="AG544" s="10">
        <v>0.26900000000000002</v>
      </c>
      <c r="AH544" s="10">
        <v>0.1056</v>
      </c>
      <c r="AI544" s="10">
        <v>0.26040000000000002</v>
      </c>
      <c r="AJ544">
        <v>9.8790000000000003E-2</v>
      </c>
    </row>
    <row r="545" spans="3:36">
      <c r="C545" s="11" t="s">
        <v>651</v>
      </c>
      <c r="D545" s="10">
        <v>512</v>
      </c>
      <c r="E545" s="10">
        <v>915664</v>
      </c>
      <c r="F545" s="10" t="s">
        <v>1</v>
      </c>
      <c r="G545" s="10">
        <v>13.71</v>
      </c>
      <c r="H545" s="10">
        <v>14.7</v>
      </c>
      <c r="I545" s="10">
        <v>94.66</v>
      </c>
      <c r="J545" s="10">
        <v>680.7</v>
      </c>
      <c r="K545" s="10">
        <v>8.4720000000000004E-2</v>
      </c>
      <c r="L545" s="10">
        <v>5.0160000000000003E-2</v>
      </c>
      <c r="M545" s="10">
        <v>3.4160000000000003E-2</v>
      </c>
      <c r="N545" s="10">
        <v>2.5409999999999999E-2</v>
      </c>
      <c r="O545" s="10">
        <v>0.16589999999999999</v>
      </c>
      <c r="P545" s="10">
        <v>5.348E-2</v>
      </c>
      <c r="Q545" s="10">
        <v>0.21820000000000001</v>
      </c>
      <c r="R545" s="10">
        <v>0.62319999999999998</v>
      </c>
      <c r="S545" s="10">
        <v>1.677</v>
      </c>
      <c r="T545" s="10">
        <v>20.72</v>
      </c>
      <c r="U545" s="10">
        <v>6.7080000000000004E-3</v>
      </c>
      <c r="V545" s="10">
        <v>1.197E-2</v>
      </c>
      <c r="W545" s="10">
        <v>1.482E-2</v>
      </c>
      <c r="X545" s="10">
        <v>1.056E-2</v>
      </c>
      <c r="Y545" s="10">
        <v>1.5800000000000002E-2</v>
      </c>
      <c r="Z545" s="10">
        <v>1.779E-3</v>
      </c>
      <c r="AA545" s="10">
        <v>15.61</v>
      </c>
      <c r="AB545" s="10">
        <v>17.579999999999998</v>
      </c>
      <c r="AC545" s="10">
        <v>101.7</v>
      </c>
      <c r="AD545" s="10">
        <v>760.2</v>
      </c>
      <c r="AE545" s="10">
        <v>0.1139</v>
      </c>
      <c r="AF545" s="10">
        <v>0.1011</v>
      </c>
      <c r="AG545" s="10">
        <v>0.1101</v>
      </c>
      <c r="AH545" s="10">
        <v>7.9549999999999996E-2</v>
      </c>
      <c r="AI545" s="10">
        <v>0.2334</v>
      </c>
      <c r="AJ545">
        <v>6.1420000000000002E-2</v>
      </c>
    </row>
    <row r="546" spans="3:36">
      <c r="C546" s="11" t="s">
        <v>652</v>
      </c>
      <c r="D546" s="10">
        <v>513</v>
      </c>
      <c r="E546" s="10">
        <v>915691</v>
      </c>
      <c r="F546" s="10" t="s">
        <v>0</v>
      </c>
      <c r="G546" s="10">
        <v>13.71</v>
      </c>
      <c r="H546" s="10">
        <v>20.52</v>
      </c>
      <c r="I546" s="10">
        <v>88.64</v>
      </c>
      <c r="J546" s="10">
        <v>556.70000000000005</v>
      </c>
      <c r="K546" s="10">
        <v>0.1106</v>
      </c>
      <c r="L546" s="10">
        <v>0.1469</v>
      </c>
      <c r="M546" s="10">
        <v>0.14449999999999999</v>
      </c>
      <c r="N546" s="10">
        <v>8.1720000000000001E-2</v>
      </c>
      <c r="O546" s="10">
        <v>0.21160000000000001</v>
      </c>
      <c r="P546" s="10">
        <v>7.3249999999999996E-2</v>
      </c>
      <c r="Q546" s="10">
        <v>0.3906</v>
      </c>
      <c r="R546" s="10">
        <v>0.93059999999999998</v>
      </c>
      <c r="S546" s="10">
        <v>3.093</v>
      </c>
      <c r="T546" s="10">
        <v>33.67</v>
      </c>
      <c r="U546" s="10">
        <v>5.4140000000000004E-3</v>
      </c>
      <c r="V546" s="10">
        <v>2.265E-2</v>
      </c>
      <c r="W546" s="10">
        <v>3.4520000000000002E-2</v>
      </c>
      <c r="X546" s="10">
        <v>1.3339999999999999E-2</v>
      </c>
      <c r="Y546" s="10">
        <v>1.7049999999999999E-2</v>
      </c>
      <c r="Z546" s="10">
        <v>4.0049999999999999E-3</v>
      </c>
      <c r="AA546" s="10">
        <v>16.41</v>
      </c>
      <c r="AB546" s="10">
        <v>29.66</v>
      </c>
      <c r="AC546" s="10">
        <v>113.3</v>
      </c>
      <c r="AD546" s="10">
        <v>844.4</v>
      </c>
      <c r="AE546" s="10">
        <v>0.15740000000000001</v>
      </c>
      <c r="AF546" s="10">
        <v>0.3856</v>
      </c>
      <c r="AG546" s="10">
        <v>0.51060000000000005</v>
      </c>
      <c r="AH546" s="10">
        <v>0.2051</v>
      </c>
      <c r="AI546" s="10">
        <v>0.35849999999999999</v>
      </c>
      <c r="AJ546">
        <v>0.1109</v>
      </c>
    </row>
    <row r="547" spans="3:36">
      <c r="C547" s="11" t="s">
        <v>653</v>
      </c>
      <c r="D547" s="10">
        <v>514</v>
      </c>
      <c r="E547" s="10">
        <v>915940</v>
      </c>
      <c r="F547" s="10" t="s">
        <v>1</v>
      </c>
      <c r="G547" s="10">
        <v>13.71</v>
      </c>
      <c r="H547" s="10">
        <v>13.66</v>
      </c>
      <c r="I547" s="10">
        <v>94.29</v>
      </c>
      <c r="J547" s="10">
        <v>658.8</v>
      </c>
      <c r="K547" s="10">
        <v>9.8320000000000005E-2</v>
      </c>
      <c r="L547" s="10">
        <v>8.9179999999999995E-2</v>
      </c>
      <c r="M547" s="10">
        <v>8.2220000000000001E-2</v>
      </c>
      <c r="N547" s="10">
        <v>4.3490000000000001E-2</v>
      </c>
      <c r="O547" s="10">
        <v>0.1739</v>
      </c>
      <c r="P547" s="10">
        <v>5.6399999999999999E-2</v>
      </c>
      <c r="Q547" s="10">
        <v>0.41649999999999998</v>
      </c>
      <c r="R547" s="10">
        <v>0.62370000000000003</v>
      </c>
      <c r="S547" s="10">
        <v>2.5609999999999999</v>
      </c>
      <c r="T547" s="10">
        <v>37.11</v>
      </c>
      <c r="U547" s="10">
        <v>4.9529999999999999E-3</v>
      </c>
      <c r="V547" s="10">
        <v>1.8120000000000001E-2</v>
      </c>
      <c r="W547" s="10">
        <v>3.0349999999999999E-2</v>
      </c>
      <c r="X547" s="10">
        <v>8.6479999999999994E-3</v>
      </c>
      <c r="Y547" s="10">
        <v>1.5389999999999999E-2</v>
      </c>
      <c r="Z547" s="10">
        <v>2.281E-3</v>
      </c>
      <c r="AA547" s="10">
        <v>16.760000000000002</v>
      </c>
      <c r="AB547" s="10">
        <v>17.239999999999998</v>
      </c>
      <c r="AC547" s="10">
        <v>108.5</v>
      </c>
      <c r="AD547" s="10">
        <v>862</v>
      </c>
      <c r="AE547" s="10">
        <v>0.12230000000000001</v>
      </c>
      <c r="AF547" s="10">
        <v>0.1928</v>
      </c>
      <c r="AG547" s="10">
        <v>0.2492</v>
      </c>
      <c r="AH547" s="10">
        <v>9.1859999999999997E-2</v>
      </c>
      <c r="AI547" s="10">
        <v>0.2626</v>
      </c>
      <c r="AJ547">
        <v>7.0480000000000001E-2</v>
      </c>
    </row>
    <row r="548" spans="3:36">
      <c r="C548" s="11" t="s">
        <v>654</v>
      </c>
      <c r="D548" s="10">
        <v>515</v>
      </c>
      <c r="E548" s="10">
        <v>91594602</v>
      </c>
      <c r="F548" s="10" t="s">
        <v>0</v>
      </c>
      <c r="G548" s="10">
        <v>13.71</v>
      </c>
      <c r="H548" s="10">
        <v>19.07</v>
      </c>
      <c r="I548" s="10">
        <v>97.26</v>
      </c>
      <c r="J548" s="10">
        <v>701.9</v>
      </c>
      <c r="K548" s="10">
        <v>9.2149999999999996E-2</v>
      </c>
      <c r="L548" s="10">
        <v>8.5970000000000005E-2</v>
      </c>
      <c r="M548" s="10">
        <v>7.4859999999999996E-2</v>
      </c>
      <c r="N548" s="10">
        <v>4.335E-2</v>
      </c>
      <c r="O548" s="10">
        <v>0.15609999999999999</v>
      </c>
      <c r="P548" s="10">
        <v>5.9150000000000001E-2</v>
      </c>
      <c r="Q548" s="10">
        <v>0.38600000000000001</v>
      </c>
      <c r="R548" s="10">
        <v>1.198</v>
      </c>
      <c r="S548" s="10">
        <v>2.63</v>
      </c>
      <c r="T548" s="10">
        <v>38.49</v>
      </c>
      <c r="U548" s="10">
        <v>4.9519999999999998E-3</v>
      </c>
      <c r="V548" s="10">
        <v>1.6299999999999999E-2</v>
      </c>
      <c r="W548" s="10">
        <v>2.9669999999999998E-2</v>
      </c>
      <c r="X548" s="10">
        <v>9.4230000000000008E-3</v>
      </c>
      <c r="Y548" s="10">
        <v>1.1520000000000001E-2</v>
      </c>
      <c r="Z548" s="10">
        <v>1.7179999999999999E-3</v>
      </c>
      <c r="AA548" s="10">
        <v>17.579999999999998</v>
      </c>
      <c r="AB548" s="10">
        <v>28.06</v>
      </c>
      <c r="AC548" s="10">
        <v>113.8</v>
      </c>
      <c r="AD548" s="10">
        <v>967</v>
      </c>
      <c r="AE548" s="10">
        <v>0.1246</v>
      </c>
      <c r="AF548" s="10">
        <v>0.21010000000000001</v>
      </c>
      <c r="AG548" s="10">
        <v>0.28660000000000002</v>
      </c>
      <c r="AH548" s="10">
        <v>0.112</v>
      </c>
      <c r="AI548" s="10">
        <v>0.22819999999999999</v>
      </c>
      <c r="AJ548">
        <v>6.9540000000000005E-2</v>
      </c>
    </row>
    <row r="549" spans="3:36">
      <c r="C549" s="11" t="s">
        <v>655</v>
      </c>
      <c r="D549" s="10">
        <v>516</v>
      </c>
      <c r="E549" s="10">
        <v>916221</v>
      </c>
      <c r="F549" s="10" t="s">
        <v>1</v>
      </c>
      <c r="G549" s="10">
        <v>13.71</v>
      </c>
      <c r="H549" s="10">
        <v>18.61</v>
      </c>
      <c r="I549" s="10">
        <v>72.760000000000005</v>
      </c>
      <c r="J549" s="10">
        <v>391.2</v>
      </c>
      <c r="K549" s="10">
        <v>0.10489999999999999</v>
      </c>
      <c r="L549" s="10">
        <v>8.4989999999999996E-2</v>
      </c>
      <c r="M549" s="10">
        <v>4.3020000000000003E-2</v>
      </c>
      <c r="N549" s="10">
        <v>2.5940000000000001E-2</v>
      </c>
      <c r="O549" s="10">
        <v>0.19270000000000001</v>
      </c>
      <c r="P549" s="10">
        <v>6.2109999999999999E-2</v>
      </c>
      <c r="Q549" s="10">
        <v>0.24299999999999999</v>
      </c>
      <c r="R549" s="10">
        <v>1.01</v>
      </c>
      <c r="S549" s="10">
        <v>1.4910000000000001</v>
      </c>
      <c r="T549" s="10">
        <v>18.190000000000001</v>
      </c>
      <c r="U549" s="10">
        <v>8.5769999999999996E-3</v>
      </c>
      <c r="V549" s="10">
        <v>1.6410000000000001E-2</v>
      </c>
      <c r="W549" s="10">
        <v>2.0990000000000002E-2</v>
      </c>
      <c r="X549" s="10">
        <v>1.107E-2</v>
      </c>
      <c r="Y549" s="10">
        <v>2.4340000000000001E-2</v>
      </c>
      <c r="Z549" s="10">
        <v>1.217E-3</v>
      </c>
      <c r="AA549" s="10">
        <v>12.47</v>
      </c>
      <c r="AB549" s="10">
        <v>23.03</v>
      </c>
      <c r="AC549" s="10">
        <v>79.150000000000006</v>
      </c>
      <c r="AD549" s="10">
        <v>478.6</v>
      </c>
      <c r="AE549" s="10">
        <v>0.14829999999999999</v>
      </c>
      <c r="AF549" s="10">
        <v>0.15740000000000001</v>
      </c>
      <c r="AG549" s="10">
        <v>0.16239999999999999</v>
      </c>
      <c r="AH549" s="10">
        <v>8.5419999999999996E-2</v>
      </c>
      <c r="AI549" s="10">
        <v>0.30599999999999999</v>
      </c>
      <c r="AJ549">
        <v>6.7830000000000001E-2</v>
      </c>
    </row>
    <row r="550" spans="3:36">
      <c r="C550" s="11" t="s">
        <v>656</v>
      </c>
      <c r="D550" s="10">
        <v>517</v>
      </c>
      <c r="E550" s="10">
        <v>916799</v>
      </c>
      <c r="F550" s="10" t="s">
        <v>0</v>
      </c>
      <c r="G550" s="10">
        <v>13.71</v>
      </c>
      <c r="H550" s="10">
        <v>20.58</v>
      </c>
      <c r="I550" s="10">
        <v>120.8</v>
      </c>
      <c r="J550" s="10">
        <v>1052</v>
      </c>
      <c r="K550" s="10">
        <v>0.10680000000000001</v>
      </c>
      <c r="L550" s="10">
        <v>0.12479999999999999</v>
      </c>
      <c r="M550" s="10">
        <v>0.15690000000000001</v>
      </c>
      <c r="N550" s="10">
        <v>9.4509999999999997E-2</v>
      </c>
      <c r="O550" s="10">
        <v>0.186</v>
      </c>
      <c r="P550" s="10">
        <v>5.9409999999999998E-2</v>
      </c>
      <c r="Q550" s="10">
        <v>0.54490000000000005</v>
      </c>
      <c r="R550" s="10">
        <v>0.92249999999999999</v>
      </c>
      <c r="S550" s="10">
        <v>3.218</v>
      </c>
      <c r="T550" s="10">
        <v>67.36</v>
      </c>
      <c r="U550" s="10">
        <v>6.1760000000000001E-3</v>
      </c>
      <c r="V550" s="10">
        <v>1.8769999999999998E-2</v>
      </c>
      <c r="W550" s="10">
        <v>2.913E-2</v>
      </c>
      <c r="X550" s="10">
        <v>1.0460000000000001E-2</v>
      </c>
      <c r="Y550" s="10">
        <v>1.559E-2</v>
      </c>
      <c r="Z550" s="10">
        <v>2.725E-3</v>
      </c>
      <c r="AA550" s="10">
        <v>21.86</v>
      </c>
      <c r="AB550" s="10">
        <v>26.2</v>
      </c>
      <c r="AC550" s="10">
        <v>142.19999999999999</v>
      </c>
      <c r="AD550" s="10">
        <v>1493</v>
      </c>
      <c r="AE550" s="10">
        <v>0.1492</v>
      </c>
      <c r="AF550" s="10">
        <v>0.25359999999999999</v>
      </c>
      <c r="AG550" s="10">
        <v>0.37590000000000001</v>
      </c>
      <c r="AH550" s="10">
        <v>0.151</v>
      </c>
      <c r="AI550" s="10">
        <v>0.30740000000000001</v>
      </c>
      <c r="AJ550">
        <v>7.8630000000000005E-2</v>
      </c>
    </row>
    <row r="551" spans="3:36">
      <c r="C551" s="11" t="s">
        <v>657</v>
      </c>
      <c r="D551" s="10">
        <v>518</v>
      </c>
      <c r="E551" s="10">
        <v>916838</v>
      </c>
      <c r="F551" s="10" t="s">
        <v>0</v>
      </c>
      <c r="G551" s="10">
        <v>13.71</v>
      </c>
      <c r="H551" s="10">
        <v>20.260000000000002</v>
      </c>
      <c r="I551" s="10">
        <v>130.5</v>
      </c>
      <c r="J551" s="10">
        <v>1214</v>
      </c>
      <c r="K551" s="10">
        <v>0.1037</v>
      </c>
      <c r="L551" s="10">
        <v>0.13100000000000001</v>
      </c>
      <c r="M551" s="10">
        <v>0.1411</v>
      </c>
      <c r="N551" s="10">
        <v>9.4310000000000005E-2</v>
      </c>
      <c r="O551" s="10">
        <v>0.1802</v>
      </c>
      <c r="P551" s="10">
        <v>6.1879999999999998E-2</v>
      </c>
      <c r="Q551" s="10">
        <v>0.50790000000000002</v>
      </c>
      <c r="R551" s="10">
        <v>0.87370000000000003</v>
      </c>
      <c r="S551" s="10">
        <v>3.6539999999999999</v>
      </c>
      <c r="T551" s="10">
        <v>59.7</v>
      </c>
      <c r="U551" s="10">
        <v>5.0889999999999998E-3</v>
      </c>
      <c r="V551" s="10">
        <v>2.3029999999999998E-2</v>
      </c>
      <c r="W551" s="10">
        <v>3.0519999999999999E-2</v>
      </c>
      <c r="X551" s="10">
        <v>1.1780000000000001E-2</v>
      </c>
      <c r="Y551" s="10">
        <v>1.057E-2</v>
      </c>
      <c r="Z551" s="10">
        <v>3.3909999999999999E-3</v>
      </c>
      <c r="AA551" s="10">
        <v>23.73</v>
      </c>
      <c r="AB551" s="10">
        <v>25.23</v>
      </c>
      <c r="AC551" s="10">
        <v>160.5</v>
      </c>
      <c r="AD551" s="10">
        <v>1646</v>
      </c>
      <c r="AE551" s="10">
        <v>0.14169999999999999</v>
      </c>
      <c r="AF551" s="10">
        <v>0.33090000000000003</v>
      </c>
      <c r="AG551" s="10">
        <v>0.41849999999999998</v>
      </c>
      <c r="AH551" s="10">
        <v>0.1613</v>
      </c>
      <c r="AI551" s="10">
        <v>0.25490000000000002</v>
      </c>
      <c r="AJ551">
        <v>9.1359999999999997E-2</v>
      </c>
    </row>
    <row r="552" spans="3:36">
      <c r="C552" s="11" t="s">
        <v>658</v>
      </c>
      <c r="D552" s="10">
        <v>519</v>
      </c>
      <c r="E552" s="10">
        <v>917062</v>
      </c>
      <c r="F552" s="10" t="s">
        <v>1</v>
      </c>
      <c r="G552" s="10">
        <v>13.71</v>
      </c>
      <c r="H552" s="10">
        <v>18.22</v>
      </c>
      <c r="I552" s="10">
        <v>84.45</v>
      </c>
      <c r="J552" s="10">
        <v>493.1</v>
      </c>
      <c r="K552" s="10">
        <v>0.12180000000000001</v>
      </c>
      <c r="L552" s="10">
        <v>0.1661</v>
      </c>
      <c r="M552" s="10">
        <v>4.8250000000000001E-2</v>
      </c>
      <c r="N552" s="10">
        <v>5.3030000000000001E-2</v>
      </c>
      <c r="O552" s="10">
        <v>0.1709</v>
      </c>
      <c r="P552" s="10">
        <v>7.2529999999999997E-2</v>
      </c>
      <c r="Q552" s="10">
        <v>0.44259999999999999</v>
      </c>
      <c r="R552" s="10">
        <v>1.169</v>
      </c>
      <c r="S552" s="10">
        <v>3.1760000000000002</v>
      </c>
      <c r="T552" s="10">
        <v>34.369999999999997</v>
      </c>
      <c r="U552" s="10">
        <v>5.2729999999999999E-3</v>
      </c>
      <c r="V552" s="10">
        <v>2.3290000000000002E-2</v>
      </c>
      <c r="W552" s="10">
        <v>1.405E-2</v>
      </c>
      <c r="X552" s="10">
        <v>1.244E-2</v>
      </c>
      <c r="Y552" s="10">
        <v>1.8159999999999999E-2</v>
      </c>
      <c r="Z552" s="10">
        <v>3.2989999999999998E-3</v>
      </c>
      <c r="AA552" s="10">
        <v>15.05</v>
      </c>
      <c r="AB552" s="10">
        <v>24.37</v>
      </c>
      <c r="AC552" s="10">
        <v>99.31</v>
      </c>
      <c r="AD552" s="10">
        <v>674.7</v>
      </c>
      <c r="AE552" s="10">
        <v>0.14560000000000001</v>
      </c>
      <c r="AF552" s="10">
        <v>0.29609999999999997</v>
      </c>
      <c r="AG552" s="10">
        <v>0.1246</v>
      </c>
      <c r="AH552" s="10">
        <v>0.1096</v>
      </c>
      <c r="AI552" s="10">
        <v>0.25819999999999999</v>
      </c>
      <c r="AJ552">
        <v>8.8929999999999995E-2</v>
      </c>
    </row>
    <row r="553" spans="3:36">
      <c r="C553" s="11" t="s">
        <v>659</v>
      </c>
      <c r="D553" s="10">
        <v>520</v>
      </c>
      <c r="E553" s="10">
        <v>917080</v>
      </c>
      <c r="F553" s="10" t="s">
        <v>1</v>
      </c>
      <c r="G553" s="10">
        <v>13.71</v>
      </c>
      <c r="H553" s="10">
        <v>16.7</v>
      </c>
      <c r="I553" s="10">
        <v>82.51</v>
      </c>
      <c r="J553" s="10">
        <v>493.8</v>
      </c>
      <c r="K553" s="10">
        <v>0.1125</v>
      </c>
      <c r="L553" s="10">
        <v>0.11169999999999999</v>
      </c>
      <c r="M553" s="10">
        <v>3.8800000000000001E-2</v>
      </c>
      <c r="N553" s="10">
        <v>2.9950000000000001E-2</v>
      </c>
      <c r="O553" s="10">
        <v>0.21199999999999999</v>
      </c>
      <c r="P553" s="10">
        <v>6.6229999999999997E-2</v>
      </c>
      <c r="Q553" s="10">
        <v>0.38340000000000002</v>
      </c>
      <c r="R553" s="10">
        <v>1.0029999999999999</v>
      </c>
      <c r="S553" s="10">
        <v>2.4950000000000001</v>
      </c>
      <c r="T553" s="10">
        <v>28.62</v>
      </c>
      <c r="U553" s="10">
        <v>7.509E-3</v>
      </c>
      <c r="V553" s="10">
        <v>1.5610000000000001E-2</v>
      </c>
      <c r="W553" s="10">
        <v>1.9769999999999999E-2</v>
      </c>
      <c r="X553" s="10">
        <v>9.1990000000000006E-3</v>
      </c>
      <c r="Y553" s="10">
        <v>1.805E-2</v>
      </c>
      <c r="Z553" s="10">
        <v>3.6289999999999998E-3</v>
      </c>
      <c r="AA553" s="10">
        <v>14.45</v>
      </c>
      <c r="AB553" s="10">
        <v>21.74</v>
      </c>
      <c r="AC553" s="10">
        <v>93.63</v>
      </c>
      <c r="AD553" s="10">
        <v>624.1</v>
      </c>
      <c r="AE553" s="10">
        <v>0.14749999999999999</v>
      </c>
      <c r="AF553" s="10">
        <v>0.19789999999999999</v>
      </c>
      <c r="AG553" s="10">
        <v>0.14230000000000001</v>
      </c>
      <c r="AH553" s="10">
        <v>8.0449999999999994E-2</v>
      </c>
      <c r="AI553" s="10">
        <v>0.30709999999999998</v>
      </c>
      <c r="AJ553">
        <v>8.5569999999999993E-2</v>
      </c>
    </row>
    <row r="554" spans="3:36">
      <c r="C554" s="11" t="s">
        <v>660</v>
      </c>
      <c r="D554" s="10">
        <v>521</v>
      </c>
      <c r="E554" s="10">
        <v>917092</v>
      </c>
      <c r="F554" s="10" t="s">
        <v>1</v>
      </c>
      <c r="G554" s="10">
        <v>13.71</v>
      </c>
      <c r="H554" s="10">
        <v>13.9</v>
      </c>
      <c r="I554" s="10">
        <v>59.96</v>
      </c>
      <c r="J554" s="10">
        <v>257.8</v>
      </c>
      <c r="K554" s="10">
        <v>0.1371</v>
      </c>
      <c r="L554" s="10">
        <v>0.1225</v>
      </c>
      <c r="M554" s="10">
        <v>3.3320000000000002E-2</v>
      </c>
      <c r="N554" s="10">
        <v>2.4209999999999999E-2</v>
      </c>
      <c r="O554" s="10">
        <v>0.21970000000000001</v>
      </c>
      <c r="P554" s="10">
        <v>7.6960000000000001E-2</v>
      </c>
      <c r="Q554" s="10">
        <v>0.3538</v>
      </c>
      <c r="R554" s="10">
        <v>1.1299999999999999</v>
      </c>
      <c r="S554" s="10">
        <v>2.3879999999999999</v>
      </c>
      <c r="T554" s="10">
        <v>19.63</v>
      </c>
      <c r="U554" s="10">
        <v>1.546E-2</v>
      </c>
      <c r="V554" s="10">
        <v>2.5399999999999999E-2</v>
      </c>
      <c r="W554" s="10">
        <v>2.197E-2</v>
      </c>
      <c r="X554" s="10">
        <v>1.5800000000000002E-2</v>
      </c>
      <c r="Y554" s="10">
        <v>3.9969999999999999E-2</v>
      </c>
      <c r="Z554" s="10">
        <v>3.901E-3</v>
      </c>
      <c r="AA554" s="10">
        <v>10.57</v>
      </c>
      <c r="AB554" s="10">
        <v>17.84</v>
      </c>
      <c r="AC554" s="10">
        <v>67.84</v>
      </c>
      <c r="AD554" s="10">
        <v>326.60000000000002</v>
      </c>
      <c r="AE554" s="10">
        <v>0.185</v>
      </c>
      <c r="AF554" s="10">
        <v>0.2097</v>
      </c>
      <c r="AG554" s="10">
        <v>9.9959999999999993E-2</v>
      </c>
      <c r="AH554" s="10">
        <v>7.2620000000000004E-2</v>
      </c>
      <c r="AI554" s="10">
        <v>0.36809999999999998</v>
      </c>
      <c r="AJ554">
        <v>8.9819999999999997E-2</v>
      </c>
    </row>
    <row r="555" spans="3:36">
      <c r="C555" s="11" t="s">
        <v>661</v>
      </c>
      <c r="D555" s="10">
        <v>522</v>
      </c>
      <c r="E555" s="10">
        <v>91762702</v>
      </c>
      <c r="F555" s="10" t="s">
        <v>0</v>
      </c>
      <c r="G555" s="10">
        <v>13.71</v>
      </c>
      <c r="H555" s="10">
        <v>21.6</v>
      </c>
      <c r="I555" s="10">
        <v>165.5</v>
      </c>
      <c r="J555" s="10">
        <v>1841</v>
      </c>
      <c r="K555" s="10">
        <v>0.10299999999999999</v>
      </c>
      <c r="L555" s="10">
        <v>0.21060000000000001</v>
      </c>
      <c r="M555" s="10">
        <v>0.23100000000000001</v>
      </c>
      <c r="N555" s="10">
        <v>0.14710000000000001</v>
      </c>
      <c r="O555" s="10">
        <v>0.1991</v>
      </c>
      <c r="P555" s="10">
        <v>6.7390000000000005E-2</v>
      </c>
      <c r="Q555" s="10">
        <v>0.99150000000000005</v>
      </c>
      <c r="R555" s="10">
        <v>0.90039999999999998</v>
      </c>
      <c r="S555" s="10">
        <v>7.05</v>
      </c>
      <c r="T555" s="10">
        <v>139.9</v>
      </c>
      <c r="U555" s="10">
        <v>4.9890000000000004E-3</v>
      </c>
      <c r="V555" s="10">
        <v>3.2120000000000003E-2</v>
      </c>
      <c r="W555" s="10">
        <v>3.5709999999999999E-2</v>
      </c>
      <c r="X555" s="10">
        <v>1.5970000000000002E-2</v>
      </c>
      <c r="Y555" s="10">
        <v>1.8790000000000001E-2</v>
      </c>
      <c r="Z555" s="10">
        <v>4.7600000000000003E-3</v>
      </c>
      <c r="AA555" s="10">
        <v>29.92</v>
      </c>
      <c r="AB555" s="10">
        <v>26.93</v>
      </c>
      <c r="AC555" s="10">
        <v>205.7</v>
      </c>
      <c r="AD555" s="10">
        <v>2642</v>
      </c>
      <c r="AE555" s="10">
        <v>0.13420000000000001</v>
      </c>
      <c r="AF555" s="10">
        <v>0.41880000000000001</v>
      </c>
      <c r="AG555" s="10">
        <v>0.46579999999999999</v>
      </c>
      <c r="AH555" s="10">
        <v>0.2475</v>
      </c>
      <c r="AI555" s="10">
        <v>0.31569999999999998</v>
      </c>
      <c r="AJ555">
        <v>9.6710000000000004E-2</v>
      </c>
    </row>
    <row r="556" spans="3:36">
      <c r="C556" s="11" t="s">
        <v>662</v>
      </c>
      <c r="D556" s="10">
        <v>523</v>
      </c>
      <c r="E556" s="10">
        <v>91789</v>
      </c>
      <c r="F556" s="10" t="s">
        <v>1</v>
      </c>
      <c r="G556" s="10">
        <v>13.71</v>
      </c>
      <c r="H556" s="10">
        <v>19.829999999999998</v>
      </c>
      <c r="I556" s="10">
        <v>71.3</v>
      </c>
      <c r="J556" s="10">
        <v>388.1</v>
      </c>
      <c r="K556" s="10">
        <v>8.5110000000000005E-2</v>
      </c>
      <c r="L556" s="10">
        <v>4.4130000000000003E-2</v>
      </c>
      <c r="M556" s="10">
        <v>5.0670000000000003E-3</v>
      </c>
      <c r="N556" s="10">
        <v>5.6639999999999998E-3</v>
      </c>
      <c r="O556" s="10">
        <v>0.16370000000000001</v>
      </c>
      <c r="P556" s="10">
        <v>6.343E-2</v>
      </c>
      <c r="Q556" s="10">
        <v>0.13439999999999999</v>
      </c>
      <c r="R556" s="10">
        <v>1.083</v>
      </c>
      <c r="S556" s="10">
        <v>0.98119999999999996</v>
      </c>
      <c r="T556" s="10">
        <v>9.3320000000000007</v>
      </c>
      <c r="U556" s="10">
        <v>4.1999999999999997E-3</v>
      </c>
      <c r="V556" s="10">
        <v>5.8999999999999999E-3</v>
      </c>
      <c r="W556" s="10">
        <v>3.846E-3</v>
      </c>
      <c r="X556" s="10">
        <v>4.065E-3</v>
      </c>
      <c r="Y556" s="10">
        <v>1.487E-2</v>
      </c>
      <c r="Z556" s="10">
        <v>2.2950000000000002E-3</v>
      </c>
      <c r="AA556" s="10">
        <v>11.93</v>
      </c>
      <c r="AB556" s="10">
        <v>26.43</v>
      </c>
      <c r="AC556" s="10">
        <v>76.38</v>
      </c>
      <c r="AD556" s="10">
        <v>435.9</v>
      </c>
      <c r="AE556" s="10">
        <v>0.1108</v>
      </c>
      <c r="AF556" s="10">
        <v>7.7229999999999993E-2</v>
      </c>
      <c r="AG556" s="10">
        <v>2.5329999999999998E-2</v>
      </c>
      <c r="AH556" s="10">
        <v>2.8320000000000001E-2</v>
      </c>
      <c r="AI556" s="10">
        <v>0.25569999999999998</v>
      </c>
      <c r="AJ556">
        <v>7.6130000000000003E-2</v>
      </c>
    </row>
    <row r="557" spans="3:36">
      <c r="C557" s="11" t="s">
        <v>663</v>
      </c>
      <c r="D557" s="10">
        <v>524</v>
      </c>
      <c r="E557" s="10">
        <v>917896</v>
      </c>
      <c r="F557" s="10" t="s">
        <v>1</v>
      </c>
      <c r="G557" s="10">
        <v>13.71</v>
      </c>
      <c r="H557" s="10">
        <v>18.68</v>
      </c>
      <c r="I557" s="10">
        <v>88.73</v>
      </c>
      <c r="J557" s="10">
        <v>571</v>
      </c>
      <c r="K557" s="10">
        <v>9.9159999999999998E-2</v>
      </c>
      <c r="L557" s="10">
        <v>0.107</v>
      </c>
      <c r="M557" s="10">
        <v>5.3850000000000002E-2</v>
      </c>
      <c r="N557" s="10">
        <v>3.7830000000000003E-2</v>
      </c>
      <c r="O557" s="10">
        <v>0.1714</v>
      </c>
      <c r="P557" s="10">
        <v>6.8430000000000005E-2</v>
      </c>
      <c r="Q557" s="10">
        <v>0.31909999999999999</v>
      </c>
      <c r="R557" s="10">
        <v>1.2490000000000001</v>
      </c>
      <c r="S557" s="10">
        <v>2.2839999999999998</v>
      </c>
      <c r="T557" s="10">
        <v>26.45</v>
      </c>
      <c r="U557" s="10">
        <v>6.7390000000000002E-3</v>
      </c>
      <c r="V557" s="10">
        <v>2.2509999999999999E-2</v>
      </c>
      <c r="W557" s="10">
        <v>2.086E-2</v>
      </c>
      <c r="X557" s="10">
        <v>1.3520000000000001E-2</v>
      </c>
      <c r="Y557" s="10">
        <v>1.8700000000000001E-2</v>
      </c>
      <c r="Z557" s="10">
        <v>3.7469999999999999E-3</v>
      </c>
      <c r="AA557" s="10">
        <v>15.11</v>
      </c>
      <c r="AB557" s="10">
        <v>25.63</v>
      </c>
      <c r="AC557" s="10">
        <v>99.43</v>
      </c>
      <c r="AD557" s="10">
        <v>701.9</v>
      </c>
      <c r="AE557" s="10">
        <v>0.14249999999999999</v>
      </c>
      <c r="AF557" s="10">
        <v>0.25659999999999999</v>
      </c>
      <c r="AG557" s="10">
        <v>0.19350000000000001</v>
      </c>
      <c r="AH557" s="10">
        <v>0.12839999999999999</v>
      </c>
      <c r="AI557" s="10">
        <v>0.28489999999999999</v>
      </c>
      <c r="AJ557">
        <v>9.0310000000000001E-2</v>
      </c>
    </row>
    <row r="558" spans="3:36">
      <c r="C558" s="11" t="s">
        <v>664</v>
      </c>
      <c r="D558" s="10">
        <v>525</v>
      </c>
      <c r="E558" s="10">
        <v>917897</v>
      </c>
      <c r="F558" s="10" t="s">
        <v>1</v>
      </c>
      <c r="G558" s="10">
        <v>13.71</v>
      </c>
      <c r="H558" s="10">
        <v>15.68</v>
      </c>
      <c r="I558" s="10">
        <v>63</v>
      </c>
      <c r="J558" s="10">
        <v>293.2</v>
      </c>
      <c r="K558" s="10">
        <v>9.4920000000000004E-2</v>
      </c>
      <c r="L558" s="10">
        <v>8.4190000000000001E-2</v>
      </c>
      <c r="M558" s="10">
        <v>2.3300000000000001E-2</v>
      </c>
      <c r="N558" s="10">
        <v>2.4160000000000001E-2</v>
      </c>
      <c r="O558" s="10">
        <v>0.13869999999999999</v>
      </c>
      <c r="P558" s="10">
        <v>6.8909999999999999E-2</v>
      </c>
      <c r="Q558" s="10">
        <v>0.24979999999999999</v>
      </c>
      <c r="R558" s="10">
        <v>1.216</v>
      </c>
      <c r="S558" s="10">
        <v>1.976</v>
      </c>
      <c r="T558" s="10">
        <v>15.24</v>
      </c>
      <c r="U558" s="10">
        <v>8.7320000000000002E-3</v>
      </c>
      <c r="V558" s="10">
        <v>2.0420000000000001E-2</v>
      </c>
      <c r="W558" s="10">
        <v>1.0619999999999999E-2</v>
      </c>
      <c r="X558" s="10">
        <v>6.8009999999999998E-3</v>
      </c>
      <c r="Y558" s="10">
        <v>1.8239999999999999E-2</v>
      </c>
      <c r="Z558" s="10">
        <v>3.4940000000000001E-3</v>
      </c>
      <c r="AA558" s="10">
        <v>11.24</v>
      </c>
      <c r="AB558" s="10">
        <v>22.99</v>
      </c>
      <c r="AC558" s="10">
        <v>74.319999999999993</v>
      </c>
      <c r="AD558" s="10">
        <v>376.5</v>
      </c>
      <c r="AE558" s="10">
        <v>0.1419</v>
      </c>
      <c r="AF558" s="10">
        <v>0.2243</v>
      </c>
      <c r="AG558" s="10">
        <v>8.4339999999999998E-2</v>
      </c>
      <c r="AH558" s="10">
        <v>6.5280000000000005E-2</v>
      </c>
      <c r="AI558" s="10">
        <v>0.25019999999999998</v>
      </c>
      <c r="AJ558">
        <v>9.2090000000000005E-2</v>
      </c>
    </row>
    <row r="559" spans="3:36">
      <c r="C559" s="11" t="s">
        <v>665</v>
      </c>
      <c r="D559" s="10">
        <v>526</v>
      </c>
      <c r="E559" s="10">
        <v>91805</v>
      </c>
      <c r="F559" s="10" t="s">
        <v>1</v>
      </c>
      <c r="G559" s="10">
        <v>13.71</v>
      </c>
      <c r="H559" s="10">
        <v>13.1</v>
      </c>
      <c r="I559" s="10">
        <v>54.53</v>
      </c>
      <c r="J559" s="10">
        <v>221.3</v>
      </c>
      <c r="K559" s="10">
        <v>0.1036</v>
      </c>
      <c r="L559" s="10">
        <v>7.6319999999999999E-2</v>
      </c>
      <c r="M559" s="10">
        <v>2.5649999999999999E-2</v>
      </c>
      <c r="N559" s="10">
        <v>1.5100000000000001E-2</v>
      </c>
      <c r="O559" s="10">
        <v>0.1678</v>
      </c>
      <c r="P559" s="10">
        <v>7.1260000000000004E-2</v>
      </c>
      <c r="Q559" s="10">
        <v>0.12670000000000001</v>
      </c>
      <c r="R559" s="10">
        <v>0.67930000000000001</v>
      </c>
      <c r="S559" s="10">
        <v>1.069</v>
      </c>
      <c r="T559" s="10">
        <v>7.2539999999999996</v>
      </c>
      <c r="U559" s="10">
        <v>7.8969999999999995E-3</v>
      </c>
      <c r="V559" s="10">
        <v>1.762E-2</v>
      </c>
      <c r="W559" s="10">
        <v>1.8010000000000002E-2</v>
      </c>
      <c r="X559" s="10">
        <v>7.3200000000000001E-3</v>
      </c>
      <c r="Y559" s="10">
        <v>1.592E-2</v>
      </c>
      <c r="Z559" s="10">
        <v>3.9249999999999997E-3</v>
      </c>
      <c r="AA559" s="10">
        <v>9.4730000000000008</v>
      </c>
      <c r="AB559" s="10">
        <v>18.45</v>
      </c>
      <c r="AC559" s="10">
        <v>63.3</v>
      </c>
      <c r="AD559" s="10">
        <v>275.60000000000002</v>
      </c>
      <c r="AE559" s="10">
        <v>0.1641</v>
      </c>
      <c r="AF559" s="10">
        <v>0.2235</v>
      </c>
      <c r="AG559" s="10">
        <v>0.1754</v>
      </c>
      <c r="AH559" s="10">
        <v>8.5120000000000001E-2</v>
      </c>
      <c r="AI559" s="10">
        <v>0.29830000000000001</v>
      </c>
      <c r="AJ559">
        <v>0.10489999999999999</v>
      </c>
    </row>
    <row r="560" spans="3:36">
      <c r="C560" s="11" t="s">
        <v>666</v>
      </c>
      <c r="D560" s="10">
        <v>527</v>
      </c>
      <c r="E560" s="10">
        <v>91813701</v>
      </c>
      <c r="F560" s="10" t="s">
        <v>1</v>
      </c>
      <c r="G560" s="10">
        <v>13.71</v>
      </c>
      <c r="H560" s="10">
        <v>18.75</v>
      </c>
      <c r="I560" s="10">
        <v>87.44</v>
      </c>
      <c r="J560" s="10">
        <v>551.1</v>
      </c>
      <c r="K560" s="10">
        <v>0.1075</v>
      </c>
      <c r="L560" s="10">
        <v>0.1138</v>
      </c>
      <c r="M560" s="10">
        <v>4.2009999999999999E-2</v>
      </c>
      <c r="N560" s="10">
        <v>3.1519999999999999E-2</v>
      </c>
      <c r="O560" s="10">
        <v>0.17230000000000001</v>
      </c>
      <c r="P560" s="10">
        <v>6.3170000000000004E-2</v>
      </c>
      <c r="Q560" s="10">
        <v>0.19980000000000001</v>
      </c>
      <c r="R560" s="10">
        <v>0.60680000000000001</v>
      </c>
      <c r="S560" s="10">
        <v>1.4430000000000001</v>
      </c>
      <c r="T560" s="10">
        <v>16.07</v>
      </c>
      <c r="U560" s="10">
        <v>4.4130000000000003E-3</v>
      </c>
      <c r="V560" s="10">
        <v>1.443E-2</v>
      </c>
      <c r="W560" s="10">
        <v>1.5089999999999999E-2</v>
      </c>
      <c r="X560" s="10">
        <v>7.3689999999999997E-3</v>
      </c>
      <c r="Y560" s="10">
        <v>1.354E-2</v>
      </c>
      <c r="Z560" s="10">
        <v>1.787E-3</v>
      </c>
      <c r="AA560" s="10">
        <v>15.35</v>
      </c>
      <c r="AB560" s="10">
        <v>25.16</v>
      </c>
      <c r="AC560" s="10">
        <v>101.9</v>
      </c>
      <c r="AD560" s="10">
        <v>719.8</v>
      </c>
      <c r="AE560" s="10">
        <v>0.16239999999999999</v>
      </c>
      <c r="AF560" s="10">
        <v>0.31240000000000001</v>
      </c>
      <c r="AG560" s="10">
        <v>0.26540000000000002</v>
      </c>
      <c r="AH560" s="10">
        <v>0.14269999999999999</v>
      </c>
      <c r="AI560" s="10">
        <v>0.3518</v>
      </c>
      <c r="AJ560">
        <v>8.6650000000000005E-2</v>
      </c>
    </row>
    <row r="561" spans="3:36">
      <c r="C561" s="11" t="s">
        <v>667</v>
      </c>
      <c r="D561" s="10">
        <v>528</v>
      </c>
      <c r="E561" s="10">
        <v>91813702</v>
      </c>
      <c r="F561" s="10" t="s">
        <v>1</v>
      </c>
      <c r="G561" s="10">
        <v>13.71</v>
      </c>
      <c r="H561" s="10">
        <v>12.27</v>
      </c>
      <c r="I561" s="10">
        <v>78.94</v>
      </c>
      <c r="J561" s="10">
        <v>468.5</v>
      </c>
      <c r="K561" s="10">
        <v>9.0029999999999999E-2</v>
      </c>
      <c r="L561" s="10">
        <v>6.3070000000000001E-2</v>
      </c>
      <c r="M561" s="10">
        <v>2.9579999999999999E-2</v>
      </c>
      <c r="N561" s="10">
        <v>2.647E-2</v>
      </c>
      <c r="O561" s="10">
        <v>0.16889999999999999</v>
      </c>
      <c r="P561" s="10">
        <v>5.808E-2</v>
      </c>
      <c r="Q561" s="10">
        <v>0.1166</v>
      </c>
      <c r="R561" s="10">
        <v>0.49569999999999997</v>
      </c>
      <c r="S561" s="10">
        <v>0.77139999999999997</v>
      </c>
      <c r="T561" s="10">
        <v>8.9550000000000001</v>
      </c>
      <c r="U561" s="10">
        <v>3.6809999999999998E-3</v>
      </c>
      <c r="V561" s="10">
        <v>9.1690000000000001E-3</v>
      </c>
      <c r="W561" s="10">
        <v>8.7320000000000002E-3</v>
      </c>
      <c r="X561" s="10">
        <v>5.7400000000000003E-3</v>
      </c>
      <c r="Y561" s="10">
        <v>1.129E-2</v>
      </c>
      <c r="Z561" s="10">
        <v>1.366E-3</v>
      </c>
      <c r="AA561" s="10">
        <v>13.61</v>
      </c>
      <c r="AB561" s="10">
        <v>19.27</v>
      </c>
      <c r="AC561" s="10">
        <v>87.22</v>
      </c>
      <c r="AD561" s="10">
        <v>564.9</v>
      </c>
      <c r="AE561" s="10">
        <v>0.12920000000000001</v>
      </c>
      <c r="AF561" s="10">
        <v>0.2074</v>
      </c>
      <c r="AG561" s="10">
        <v>0.17910000000000001</v>
      </c>
      <c r="AH561" s="10">
        <v>0.107</v>
      </c>
      <c r="AI561" s="10">
        <v>0.311</v>
      </c>
      <c r="AJ561">
        <v>7.5920000000000001E-2</v>
      </c>
    </row>
    <row r="562" spans="3:36">
      <c r="C562" s="11" t="s">
        <v>668</v>
      </c>
      <c r="D562" s="10">
        <v>529</v>
      </c>
      <c r="E562" s="10">
        <v>918192</v>
      </c>
      <c r="F562" s="10" t="s">
        <v>1</v>
      </c>
      <c r="G562" s="10">
        <v>13.71</v>
      </c>
      <c r="H562" s="10">
        <v>13.17</v>
      </c>
      <c r="I562" s="10">
        <v>90.31</v>
      </c>
      <c r="J562" s="10">
        <v>594.20000000000005</v>
      </c>
      <c r="K562" s="10">
        <v>0.12479999999999999</v>
      </c>
      <c r="L562" s="10">
        <v>9.7549999999999998E-2</v>
      </c>
      <c r="M562" s="10">
        <v>0.10100000000000001</v>
      </c>
      <c r="N562" s="10">
        <v>6.615E-2</v>
      </c>
      <c r="O562" s="10">
        <v>0.1976</v>
      </c>
      <c r="P562" s="10">
        <v>6.4570000000000002E-2</v>
      </c>
      <c r="Q562" s="10">
        <v>0.54610000000000003</v>
      </c>
      <c r="R562" s="10">
        <v>2.6349999999999998</v>
      </c>
      <c r="S562" s="10">
        <v>4.0910000000000002</v>
      </c>
      <c r="T562" s="10">
        <v>44.74</v>
      </c>
      <c r="U562" s="10">
        <v>1.004E-2</v>
      </c>
      <c r="V562" s="10">
        <v>3.2469999999999999E-2</v>
      </c>
      <c r="W562" s="10">
        <v>4.7629999999999999E-2</v>
      </c>
      <c r="X562" s="10">
        <v>2.853E-2</v>
      </c>
      <c r="Y562" s="10">
        <v>1.7149999999999999E-2</v>
      </c>
      <c r="Z562" s="10">
        <v>5.5279999999999999E-3</v>
      </c>
      <c r="AA562" s="10">
        <v>14.62</v>
      </c>
      <c r="AB562" s="10">
        <v>15.38</v>
      </c>
      <c r="AC562" s="10">
        <v>94.52</v>
      </c>
      <c r="AD562" s="10">
        <v>653.29999999999995</v>
      </c>
      <c r="AE562" s="10">
        <v>0.1394</v>
      </c>
      <c r="AF562" s="10">
        <v>0.13639999999999999</v>
      </c>
      <c r="AG562" s="10">
        <v>0.15590000000000001</v>
      </c>
      <c r="AH562" s="10">
        <v>0.10150000000000001</v>
      </c>
      <c r="AI562" s="10">
        <v>0.216</v>
      </c>
      <c r="AJ562">
        <v>7.2529999999999997E-2</v>
      </c>
    </row>
    <row r="563" spans="3:36">
      <c r="C563" s="11" t="s">
        <v>669</v>
      </c>
      <c r="D563" s="10">
        <v>530</v>
      </c>
      <c r="E563" s="10">
        <v>918465</v>
      </c>
      <c r="F563" s="10" t="s">
        <v>1</v>
      </c>
      <c r="G563" s="10">
        <v>13.71</v>
      </c>
      <c r="H563" s="10">
        <v>13.44</v>
      </c>
      <c r="I563" s="10">
        <v>77.83</v>
      </c>
      <c r="J563" s="10">
        <v>445.2</v>
      </c>
      <c r="K563" s="10">
        <v>0.11</v>
      </c>
      <c r="L563" s="10">
        <v>9.0090000000000003E-2</v>
      </c>
      <c r="M563" s="10">
        <v>3.7810000000000003E-2</v>
      </c>
      <c r="N563" s="10">
        <v>2.7980000000000001E-2</v>
      </c>
      <c r="O563" s="10">
        <v>0.16569999999999999</v>
      </c>
      <c r="P563" s="10">
        <v>6.608E-2</v>
      </c>
      <c r="Q563" s="10">
        <v>0.25130000000000002</v>
      </c>
      <c r="R563" s="10">
        <v>0.504</v>
      </c>
      <c r="S563" s="10">
        <v>1.714</v>
      </c>
      <c r="T563" s="10">
        <v>18.54</v>
      </c>
      <c r="U563" s="10">
        <v>7.3270000000000002E-3</v>
      </c>
      <c r="V563" s="10">
        <v>1.153E-2</v>
      </c>
      <c r="W563" s="10">
        <v>1.7979999999999999E-2</v>
      </c>
      <c r="X563" s="10">
        <v>7.986E-3</v>
      </c>
      <c r="Y563" s="10">
        <v>1.9619999999999999E-2</v>
      </c>
      <c r="Z563" s="10">
        <v>2.2339999999999999E-3</v>
      </c>
      <c r="AA563" s="10">
        <v>13.45</v>
      </c>
      <c r="AB563" s="10">
        <v>15.77</v>
      </c>
      <c r="AC563" s="10">
        <v>86.92</v>
      </c>
      <c r="AD563" s="10">
        <v>549.9</v>
      </c>
      <c r="AE563" s="10">
        <v>0.15210000000000001</v>
      </c>
      <c r="AF563" s="10">
        <v>0.16320000000000001</v>
      </c>
      <c r="AG563" s="10">
        <v>0.16220000000000001</v>
      </c>
      <c r="AH563" s="10">
        <v>7.3929999999999996E-2</v>
      </c>
      <c r="AI563" s="10">
        <v>0.27810000000000001</v>
      </c>
      <c r="AJ563">
        <v>8.0519999999999994E-2</v>
      </c>
    </row>
    <row r="564" spans="3:36">
      <c r="C564" s="11" t="s">
        <v>670</v>
      </c>
      <c r="D564" s="10">
        <v>531</v>
      </c>
      <c r="E564" s="10">
        <v>91858</v>
      </c>
      <c r="F564" s="10" t="s">
        <v>1</v>
      </c>
      <c r="G564" s="10">
        <v>13.71</v>
      </c>
      <c r="H564" s="10">
        <v>17.559999999999999</v>
      </c>
      <c r="I564" s="10">
        <v>75.89</v>
      </c>
      <c r="J564" s="10">
        <v>422.9</v>
      </c>
      <c r="K564" s="10">
        <v>0.10730000000000001</v>
      </c>
      <c r="L564" s="10">
        <v>9.7129999999999994E-2</v>
      </c>
      <c r="M564" s="10">
        <v>5.2819999999999999E-2</v>
      </c>
      <c r="N564" s="10">
        <v>4.4400000000000002E-2</v>
      </c>
      <c r="O564" s="10">
        <v>0.1598</v>
      </c>
      <c r="P564" s="10">
        <v>6.6769999999999996E-2</v>
      </c>
      <c r="Q564" s="10">
        <v>0.43840000000000001</v>
      </c>
      <c r="R564" s="10">
        <v>1.907</v>
      </c>
      <c r="S564" s="10">
        <v>3.149</v>
      </c>
      <c r="T564" s="10">
        <v>30.66</v>
      </c>
      <c r="U564" s="10">
        <v>6.587E-3</v>
      </c>
      <c r="V564" s="10">
        <v>1.8149999999999999E-2</v>
      </c>
      <c r="W564" s="10">
        <v>1.737E-2</v>
      </c>
      <c r="X564" s="10">
        <v>1.316E-2</v>
      </c>
      <c r="Y564" s="10">
        <v>1.8350000000000002E-2</v>
      </c>
      <c r="Z564" s="10">
        <v>2.3180000000000002E-3</v>
      </c>
      <c r="AA564" s="10">
        <v>13.5</v>
      </c>
      <c r="AB564" s="10">
        <v>27.98</v>
      </c>
      <c r="AC564" s="10">
        <v>88.52</v>
      </c>
      <c r="AD564" s="10">
        <v>552.29999999999995</v>
      </c>
      <c r="AE564" s="10">
        <v>0.13489999999999999</v>
      </c>
      <c r="AF564" s="10">
        <v>0.18540000000000001</v>
      </c>
      <c r="AG564" s="10">
        <v>0.1366</v>
      </c>
      <c r="AH564" s="10">
        <v>0.10100000000000001</v>
      </c>
      <c r="AI564" s="10">
        <v>0.24779999999999999</v>
      </c>
      <c r="AJ564">
        <v>7.757E-2</v>
      </c>
    </row>
    <row r="565" spans="3:36">
      <c r="C565" s="11" t="s">
        <v>671</v>
      </c>
      <c r="D565" s="10">
        <v>532</v>
      </c>
      <c r="E565" s="10">
        <v>91903901</v>
      </c>
      <c r="F565" s="10" t="s">
        <v>1</v>
      </c>
      <c r="G565" s="10">
        <v>13.71</v>
      </c>
      <c r="H565" s="10">
        <v>20.02</v>
      </c>
      <c r="I565" s="10">
        <v>75.209999999999994</v>
      </c>
      <c r="J565" s="10">
        <v>416.2</v>
      </c>
      <c r="K565" s="10">
        <v>0.1016</v>
      </c>
      <c r="L565" s="10">
        <v>9.4530000000000003E-2</v>
      </c>
      <c r="M565" s="10">
        <v>4.2000000000000003E-2</v>
      </c>
      <c r="N565" s="10">
        <v>2.1569999999999999E-2</v>
      </c>
      <c r="O565" s="10">
        <v>0.18590000000000001</v>
      </c>
      <c r="P565" s="10">
        <v>6.4610000000000001E-2</v>
      </c>
      <c r="Q565" s="10">
        <v>0.20669999999999999</v>
      </c>
      <c r="R565" s="10">
        <v>0.87450000000000006</v>
      </c>
      <c r="S565" s="10">
        <v>1.393</v>
      </c>
      <c r="T565" s="10">
        <v>15.34</v>
      </c>
      <c r="U565" s="10">
        <v>5.2509999999999996E-3</v>
      </c>
      <c r="V565" s="10">
        <v>1.7270000000000001E-2</v>
      </c>
      <c r="W565" s="10">
        <v>1.84E-2</v>
      </c>
      <c r="X565" s="10">
        <v>5.2979999999999998E-3</v>
      </c>
      <c r="Y565" s="10">
        <v>1.4489999999999999E-2</v>
      </c>
      <c r="Z565" s="10">
        <v>2.6710000000000002E-3</v>
      </c>
      <c r="AA565" s="10">
        <v>13.35</v>
      </c>
      <c r="AB565" s="10">
        <v>28.81</v>
      </c>
      <c r="AC565" s="10">
        <v>87</v>
      </c>
      <c r="AD565" s="10">
        <v>550.6</v>
      </c>
      <c r="AE565" s="10">
        <v>0.155</v>
      </c>
      <c r="AF565" s="10">
        <v>0.2964</v>
      </c>
      <c r="AG565" s="10">
        <v>0.27579999999999999</v>
      </c>
      <c r="AH565" s="10">
        <v>8.1199999999999994E-2</v>
      </c>
      <c r="AI565" s="10">
        <v>0.3206</v>
      </c>
      <c r="AJ565">
        <v>8.9499999999999996E-2</v>
      </c>
    </row>
    <row r="566" spans="3:36">
      <c r="C566" s="11" t="s">
        <v>672</v>
      </c>
      <c r="D566" s="10">
        <v>533</v>
      </c>
      <c r="E566" s="10">
        <v>91903902</v>
      </c>
      <c r="F566" s="10" t="s">
        <v>1</v>
      </c>
      <c r="G566" s="10">
        <v>13.71</v>
      </c>
      <c r="H566" s="10">
        <v>16.329999999999998</v>
      </c>
      <c r="I566" s="10">
        <v>87.76</v>
      </c>
      <c r="J566" s="10">
        <v>575.5</v>
      </c>
      <c r="K566" s="10">
        <v>9.2770000000000005E-2</v>
      </c>
      <c r="L566" s="10">
        <v>7.2550000000000003E-2</v>
      </c>
      <c r="M566" s="10">
        <v>1.7520000000000001E-2</v>
      </c>
      <c r="N566" s="10">
        <v>1.8800000000000001E-2</v>
      </c>
      <c r="O566" s="10">
        <v>0.16309999999999999</v>
      </c>
      <c r="P566" s="10">
        <v>6.1550000000000001E-2</v>
      </c>
      <c r="Q566" s="10">
        <v>0.20469999999999999</v>
      </c>
      <c r="R566" s="10">
        <v>0.48010000000000003</v>
      </c>
      <c r="S566" s="10">
        <v>1.373</v>
      </c>
      <c r="T566" s="10">
        <v>17.25</v>
      </c>
      <c r="U566" s="10">
        <v>3.8279999999999998E-3</v>
      </c>
      <c r="V566" s="10">
        <v>7.228E-3</v>
      </c>
      <c r="W566" s="10">
        <v>7.0780000000000001E-3</v>
      </c>
      <c r="X566" s="10">
        <v>5.0769999999999999E-3</v>
      </c>
      <c r="Y566" s="10">
        <v>1.0540000000000001E-2</v>
      </c>
      <c r="Z566" s="10">
        <v>1.6969999999999999E-3</v>
      </c>
      <c r="AA566" s="10">
        <v>15.85</v>
      </c>
      <c r="AB566" s="10">
        <v>20.2</v>
      </c>
      <c r="AC566" s="10">
        <v>101.6</v>
      </c>
      <c r="AD566" s="10">
        <v>773.4</v>
      </c>
      <c r="AE566" s="10">
        <v>0.12640000000000001</v>
      </c>
      <c r="AF566" s="10">
        <v>0.15640000000000001</v>
      </c>
      <c r="AG566" s="10">
        <v>0.1206</v>
      </c>
      <c r="AH566" s="10">
        <v>8.7040000000000006E-2</v>
      </c>
      <c r="AI566" s="10">
        <v>0.28060000000000002</v>
      </c>
      <c r="AJ566">
        <v>7.782E-2</v>
      </c>
    </row>
    <row r="567" spans="3:36">
      <c r="C567" s="11" t="s">
        <v>673</v>
      </c>
      <c r="D567" s="10">
        <v>534</v>
      </c>
      <c r="E567" s="10">
        <v>91930402</v>
      </c>
      <c r="F567" s="10" t="s">
        <v>0</v>
      </c>
      <c r="G567" s="10">
        <v>13.71</v>
      </c>
      <c r="H567" s="10">
        <v>20.67</v>
      </c>
      <c r="I567" s="10">
        <v>134.69999999999999</v>
      </c>
      <c r="J567" s="10">
        <v>1299</v>
      </c>
      <c r="K567" s="10">
        <v>9.1560000000000002E-2</v>
      </c>
      <c r="L567" s="10">
        <v>0.1313</v>
      </c>
      <c r="M567" s="10">
        <v>0.15229999999999999</v>
      </c>
      <c r="N567" s="10">
        <v>0.10150000000000001</v>
      </c>
      <c r="O567" s="10">
        <v>0.21659999999999999</v>
      </c>
      <c r="P567" s="10">
        <v>5.4190000000000002E-2</v>
      </c>
      <c r="Q567" s="10">
        <v>0.83360000000000001</v>
      </c>
      <c r="R567" s="10">
        <v>1.736</v>
      </c>
      <c r="S567" s="10">
        <v>5.1680000000000001</v>
      </c>
      <c r="T567" s="10">
        <v>100.4</v>
      </c>
      <c r="U567" s="10">
        <v>4.9379999999999997E-3</v>
      </c>
      <c r="V567" s="10">
        <v>3.0890000000000001E-2</v>
      </c>
      <c r="W567" s="10">
        <v>4.0930000000000001E-2</v>
      </c>
      <c r="X567" s="10">
        <v>1.6990000000000002E-2</v>
      </c>
      <c r="Y567" s="10">
        <v>2.8160000000000001E-2</v>
      </c>
      <c r="Z567" s="10">
        <v>2.7190000000000001E-3</v>
      </c>
      <c r="AA567" s="10">
        <v>23.23</v>
      </c>
      <c r="AB567" s="10">
        <v>27.15</v>
      </c>
      <c r="AC567" s="10">
        <v>152</v>
      </c>
      <c r="AD567" s="10">
        <v>1645</v>
      </c>
      <c r="AE567" s="10">
        <v>0.10970000000000001</v>
      </c>
      <c r="AF567" s="10">
        <v>0.25340000000000001</v>
      </c>
      <c r="AG567" s="10">
        <v>0.30919999999999997</v>
      </c>
      <c r="AH567" s="10">
        <v>0.1613</v>
      </c>
      <c r="AI567" s="10">
        <v>0.32200000000000001</v>
      </c>
      <c r="AJ567">
        <v>6.386E-2</v>
      </c>
    </row>
    <row r="568" spans="3:36">
      <c r="C568" s="11" t="s">
        <v>674</v>
      </c>
      <c r="D568" s="10">
        <v>535</v>
      </c>
      <c r="E568" s="10">
        <v>919537</v>
      </c>
      <c r="F568" s="10" t="s">
        <v>1</v>
      </c>
      <c r="G568" s="10">
        <v>13.71</v>
      </c>
      <c r="H568" s="10">
        <v>17.62</v>
      </c>
      <c r="I568" s="10">
        <v>70.790000000000006</v>
      </c>
      <c r="J568" s="10">
        <v>365.6</v>
      </c>
      <c r="K568" s="10">
        <v>9.6869999999999998E-2</v>
      </c>
      <c r="L568" s="10">
        <v>9.7519999999999996E-2</v>
      </c>
      <c r="M568" s="10">
        <v>5.2630000000000003E-2</v>
      </c>
      <c r="N568" s="10">
        <v>2.7879999999999999E-2</v>
      </c>
      <c r="O568" s="10">
        <v>0.16189999999999999</v>
      </c>
      <c r="P568" s="10">
        <v>6.4079999999999998E-2</v>
      </c>
      <c r="Q568" s="10">
        <v>0.1507</v>
      </c>
      <c r="R568" s="10">
        <v>1.583</v>
      </c>
      <c r="S568" s="10">
        <v>1.165</v>
      </c>
      <c r="T568" s="10">
        <v>10.09</v>
      </c>
      <c r="U568" s="10">
        <v>9.5010000000000008E-3</v>
      </c>
      <c r="V568" s="10">
        <v>3.3779999999999998E-2</v>
      </c>
      <c r="W568" s="10">
        <v>4.4010000000000001E-2</v>
      </c>
      <c r="X568" s="10">
        <v>1.346E-2</v>
      </c>
      <c r="Y568" s="10">
        <v>1.3220000000000001E-2</v>
      </c>
      <c r="Z568" s="10">
        <v>3.5339999999999998E-3</v>
      </c>
      <c r="AA568" s="10">
        <v>11.62</v>
      </c>
      <c r="AB568" s="10">
        <v>26.51</v>
      </c>
      <c r="AC568" s="10">
        <v>76.430000000000007</v>
      </c>
      <c r="AD568" s="10">
        <v>407.5</v>
      </c>
      <c r="AE568" s="10">
        <v>0.14280000000000001</v>
      </c>
      <c r="AF568" s="10">
        <v>0.251</v>
      </c>
      <c r="AG568" s="10">
        <v>0.21229999999999999</v>
      </c>
      <c r="AH568" s="10">
        <v>9.8610000000000003E-2</v>
      </c>
      <c r="AI568" s="10">
        <v>0.22889999999999999</v>
      </c>
      <c r="AJ568">
        <v>8.2780000000000006E-2</v>
      </c>
    </row>
    <row r="569" spans="3:36">
      <c r="C569" s="11" t="s">
        <v>675</v>
      </c>
      <c r="D569" s="10">
        <v>536</v>
      </c>
      <c r="E569" s="10">
        <v>919555</v>
      </c>
      <c r="F569" s="10" t="s">
        <v>0</v>
      </c>
      <c r="G569" s="10">
        <v>13.71</v>
      </c>
      <c r="H569" s="10">
        <v>20.86</v>
      </c>
      <c r="I569" s="10">
        <v>137.80000000000001</v>
      </c>
      <c r="J569" s="10">
        <v>1308</v>
      </c>
      <c r="K569" s="10">
        <v>0.1046</v>
      </c>
      <c r="L569" s="10">
        <v>0.1739</v>
      </c>
      <c r="M569" s="10">
        <v>0.20849999999999999</v>
      </c>
      <c r="N569" s="10">
        <v>0.13220000000000001</v>
      </c>
      <c r="O569" s="10">
        <v>0.2127</v>
      </c>
      <c r="P569" s="10">
        <v>6.2509999999999996E-2</v>
      </c>
      <c r="Q569" s="10">
        <v>0.6986</v>
      </c>
      <c r="R569" s="10">
        <v>0.99009999999999998</v>
      </c>
      <c r="S569" s="10">
        <v>4.7060000000000004</v>
      </c>
      <c r="T569" s="10">
        <v>87.78</v>
      </c>
      <c r="U569" s="10">
        <v>4.5779999999999996E-3</v>
      </c>
      <c r="V569" s="10">
        <v>2.6159999999999999E-2</v>
      </c>
      <c r="W569" s="10">
        <v>4.0050000000000002E-2</v>
      </c>
      <c r="X569" s="10">
        <v>1.421E-2</v>
      </c>
      <c r="Y569" s="10">
        <v>1.9480000000000001E-2</v>
      </c>
      <c r="Z569" s="10">
        <v>2.689E-3</v>
      </c>
      <c r="AA569" s="10">
        <v>24.3</v>
      </c>
      <c r="AB569" s="10">
        <v>25.48</v>
      </c>
      <c r="AC569" s="10">
        <v>160.19999999999999</v>
      </c>
      <c r="AD569" s="10">
        <v>1809</v>
      </c>
      <c r="AE569" s="10">
        <v>0.1268</v>
      </c>
      <c r="AF569" s="10">
        <v>0.3135</v>
      </c>
      <c r="AG569" s="10">
        <v>0.44330000000000003</v>
      </c>
      <c r="AH569" s="10">
        <v>0.21479999999999999</v>
      </c>
      <c r="AI569" s="10">
        <v>0.30769999999999997</v>
      </c>
      <c r="AJ569">
        <v>7.5689999999999993E-2</v>
      </c>
    </row>
    <row r="570" spans="3:36">
      <c r="C570" s="11" t="s">
        <v>676</v>
      </c>
      <c r="D570" s="10">
        <v>537</v>
      </c>
      <c r="E570" s="10">
        <v>91979701</v>
      </c>
      <c r="F570" s="10" t="s">
        <v>0</v>
      </c>
      <c r="G570" s="10">
        <v>13.71</v>
      </c>
      <c r="H570" s="10">
        <v>22.55</v>
      </c>
      <c r="I570" s="10">
        <v>93.77</v>
      </c>
      <c r="J570" s="10">
        <v>629.79999999999995</v>
      </c>
      <c r="K570" s="10">
        <v>0.1038</v>
      </c>
      <c r="L570" s="10">
        <v>0.1154</v>
      </c>
      <c r="M570" s="10">
        <v>0.14630000000000001</v>
      </c>
      <c r="N570" s="10">
        <v>6.139E-2</v>
      </c>
      <c r="O570" s="10">
        <v>0.19259999999999999</v>
      </c>
      <c r="P570" s="10">
        <v>5.9819999999999998E-2</v>
      </c>
      <c r="Q570" s="10">
        <v>0.20269999999999999</v>
      </c>
      <c r="R570" s="10">
        <v>1.851</v>
      </c>
      <c r="S570" s="10">
        <v>1.895</v>
      </c>
      <c r="T570" s="10">
        <v>18.54</v>
      </c>
      <c r="U570" s="10">
        <v>6.1130000000000004E-3</v>
      </c>
      <c r="V570" s="10">
        <v>2.5829999999999999E-2</v>
      </c>
      <c r="W570" s="10">
        <v>4.6449999999999998E-2</v>
      </c>
      <c r="X570" s="10">
        <v>1.2760000000000001E-2</v>
      </c>
      <c r="Y570" s="10">
        <v>1.451E-2</v>
      </c>
      <c r="Z570" s="10">
        <v>3.7559999999999998E-3</v>
      </c>
      <c r="AA570" s="10">
        <v>15.29</v>
      </c>
      <c r="AB570" s="10">
        <v>34.270000000000003</v>
      </c>
      <c r="AC570" s="10">
        <v>104.3</v>
      </c>
      <c r="AD570" s="10">
        <v>728.3</v>
      </c>
      <c r="AE570" s="10">
        <v>0.13800000000000001</v>
      </c>
      <c r="AF570" s="10">
        <v>0.27329999999999999</v>
      </c>
      <c r="AG570" s="10">
        <v>0.4234</v>
      </c>
      <c r="AH570" s="10">
        <v>0.13619999999999999</v>
      </c>
      <c r="AI570" s="10">
        <v>0.26979999999999998</v>
      </c>
      <c r="AJ570">
        <v>8.3510000000000001E-2</v>
      </c>
    </row>
    <row r="571" spans="3:36">
      <c r="C571" s="11" t="s">
        <v>677</v>
      </c>
      <c r="D571" s="10">
        <v>538</v>
      </c>
      <c r="E571" s="10">
        <v>919812</v>
      </c>
      <c r="F571" s="10" t="s">
        <v>1</v>
      </c>
      <c r="G571" s="10">
        <v>13.71</v>
      </c>
      <c r="H571" s="10">
        <v>24.44</v>
      </c>
      <c r="I571" s="10">
        <v>76.37</v>
      </c>
      <c r="J571" s="10">
        <v>406.4</v>
      </c>
      <c r="K571" s="10">
        <v>0.1236</v>
      </c>
      <c r="L571" s="10">
        <v>0.1552</v>
      </c>
      <c r="M571" s="10">
        <v>4.5150000000000003E-2</v>
      </c>
      <c r="N571" s="10">
        <v>4.5310000000000003E-2</v>
      </c>
      <c r="O571" s="10">
        <v>0.21310000000000001</v>
      </c>
      <c r="P571" s="10">
        <v>7.4050000000000005E-2</v>
      </c>
      <c r="Q571" s="10">
        <v>0.29570000000000002</v>
      </c>
      <c r="R571" s="10">
        <v>1.978</v>
      </c>
      <c r="S571" s="10">
        <v>2.1579999999999999</v>
      </c>
      <c r="T571" s="10">
        <v>20.95</v>
      </c>
      <c r="U571" s="10">
        <v>1.2880000000000001E-2</v>
      </c>
      <c r="V571" s="10">
        <v>3.4950000000000002E-2</v>
      </c>
      <c r="W571" s="10">
        <v>1.865E-2</v>
      </c>
      <c r="X571" s="10">
        <v>1.7659999999999999E-2</v>
      </c>
      <c r="Y571" s="10">
        <v>1.5599999999999999E-2</v>
      </c>
      <c r="Z571" s="10">
        <v>5.8240000000000002E-3</v>
      </c>
      <c r="AA571" s="10">
        <v>12.98</v>
      </c>
      <c r="AB571" s="10">
        <v>32.19</v>
      </c>
      <c r="AC571" s="10">
        <v>86.12</v>
      </c>
      <c r="AD571" s="10">
        <v>487.7</v>
      </c>
      <c r="AE571" s="10">
        <v>0.17680000000000001</v>
      </c>
      <c r="AF571" s="10">
        <v>0.3251</v>
      </c>
      <c r="AG571" s="10">
        <v>0.13950000000000001</v>
      </c>
      <c r="AH571" s="10">
        <v>0.1308</v>
      </c>
      <c r="AI571" s="10">
        <v>0.28029999999999999</v>
      </c>
      <c r="AJ571">
        <v>9.9699999999999997E-2</v>
      </c>
    </row>
    <row r="572" spans="3:36">
      <c r="C572" s="11" t="s">
        <v>678</v>
      </c>
      <c r="D572" s="10">
        <v>539</v>
      </c>
      <c r="E572" s="10">
        <v>921092</v>
      </c>
      <c r="F572" s="10" t="s">
        <v>1</v>
      </c>
      <c r="G572" s="10">
        <v>13.71</v>
      </c>
      <c r="H572" s="10">
        <v>25.49</v>
      </c>
      <c r="I572" s="10">
        <v>47.98</v>
      </c>
      <c r="J572" s="10">
        <v>178.8</v>
      </c>
      <c r="K572" s="10">
        <v>8.0979999999999996E-2</v>
      </c>
      <c r="L572" s="10">
        <v>4.8779999999999997E-2</v>
      </c>
      <c r="M572" s="10">
        <v>0</v>
      </c>
      <c r="N572" s="10">
        <v>0</v>
      </c>
      <c r="O572" s="10">
        <v>0.187</v>
      </c>
      <c r="P572" s="10">
        <v>7.2849999999999998E-2</v>
      </c>
      <c r="Q572" s="10">
        <v>0.37769999999999998</v>
      </c>
      <c r="R572" s="10">
        <v>1.462</v>
      </c>
      <c r="S572" s="10">
        <v>2.492</v>
      </c>
      <c r="T572" s="10">
        <v>19.14</v>
      </c>
      <c r="U572" s="10">
        <v>1.2659999999999999E-2</v>
      </c>
      <c r="V572" s="10">
        <v>9.6919999999999992E-3</v>
      </c>
      <c r="W572" s="10">
        <v>0</v>
      </c>
      <c r="X572" s="10">
        <v>0</v>
      </c>
      <c r="Y572" s="10">
        <v>2.8819999999999998E-2</v>
      </c>
      <c r="Z572" s="10">
        <v>6.8719999999999996E-3</v>
      </c>
      <c r="AA572" s="10">
        <v>9.077</v>
      </c>
      <c r="AB572" s="10">
        <v>30.92</v>
      </c>
      <c r="AC572" s="10">
        <v>57.17</v>
      </c>
      <c r="AD572" s="10">
        <v>248</v>
      </c>
      <c r="AE572" s="10">
        <v>0.12559999999999999</v>
      </c>
      <c r="AF572" s="10">
        <v>8.3400000000000002E-2</v>
      </c>
      <c r="AG572" s="10">
        <v>0</v>
      </c>
      <c r="AH572" s="10">
        <v>0</v>
      </c>
      <c r="AI572" s="10">
        <v>0.30580000000000002</v>
      </c>
      <c r="AJ572">
        <v>9.9379999999999996E-2</v>
      </c>
    </row>
    <row r="573" spans="3:36">
      <c r="C573" s="11" t="s">
        <v>679</v>
      </c>
      <c r="D573" s="10">
        <v>540</v>
      </c>
      <c r="E573" s="10">
        <v>921362</v>
      </c>
      <c r="F573" s="10" t="s">
        <v>1</v>
      </c>
      <c r="G573" s="10">
        <v>13.71</v>
      </c>
      <c r="H573" s="10">
        <v>25.44</v>
      </c>
      <c r="I573" s="10">
        <v>48.34</v>
      </c>
      <c r="J573" s="10">
        <v>170.4</v>
      </c>
      <c r="K573" s="10">
        <v>8.6679999999999993E-2</v>
      </c>
      <c r="L573" s="10">
        <v>0.11990000000000001</v>
      </c>
      <c r="M573" s="10">
        <v>9.2520000000000005E-2</v>
      </c>
      <c r="N573" s="10">
        <v>1.3639999999999999E-2</v>
      </c>
      <c r="O573" s="10">
        <v>0.20369999999999999</v>
      </c>
      <c r="P573" s="10">
        <v>7.7509999999999996E-2</v>
      </c>
      <c r="Q573" s="10">
        <v>0.21959999999999999</v>
      </c>
      <c r="R573" s="10">
        <v>1.4790000000000001</v>
      </c>
      <c r="S573" s="10">
        <v>1.4450000000000001</v>
      </c>
      <c r="T573" s="10">
        <v>11.73</v>
      </c>
      <c r="U573" s="10">
        <v>1.5469999999999999E-2</v>
      </c>
      <c r="V573" s="10">
        <v>6.4570000000000002E-2</v>
      </c>
      <c r="W573" s="10">
        <v>9.2520000000000005E-2</v>
      </c>
      <c r="X573" s="10">
        <v>1.3639999999999999E-2</v>
      </c>
      <c r="Y573" s="10">
        <v>2.1049999999999999E-2</v>
      </c>
      <c r="Z573" s="10">
        <v>7.5510000000000004E-3</v>
      </c>
      <c r="AA573" s="10">
        <v>8.6780000000000008</v>
      </c>
      <c r="AB573" s="10">
        <v>31.89</v>
      </c>
      <c r="AC573" s="10">
        <v>54.49</v>
      </c>
      <c r="AD573" s="10">
        <v>223.6</v>
      </c>
      <c r="AE573" s="10">
        <v>0.15959999999999999</v>
      </c>
      <c r="AF573" s="10">
        <v>0.30640000000000001</v>
      </c>
      <c r="AG573" s="10">
        <v>0.33929999999999999</v>
      </c>
      <c r="AH573" s="10">
        <v>0.05</v>
      </c>
      <c r="AI573" s="10">
        <v>0.27900000000000003</v>
      </c>
      <c r="AJ573">
        <v>0.1066</v>
      </c>
    </row>
    <row r="574" spans="3:36">
      <c r="C574" s="11" t="s">
        <v>680</v>
      </c>
      <c r="D574" s="10">
        <v>541</v>
      </c>
      <c r="E574" s="10">
        <v>921385</v>
      </c>
      <c r="F574" s="10" t="s">
        <v>1</v>
      </c>
      <c r="G574" s="10">
        <v>13.71</v>
      </c>
      <c r="H574" s="10">
        <v>14.44</v>
      </c>
      <c r="I574" s="10">
        <v>74.650000000000006</v>
      </c>
      <c r="J574" s="10">
        <v>402.9</v>
      </c>
      <c r="K574" s="10">
        <v>9.9839999999999998E-2</v>
      </c>
      <c r="L574" s="10">
        <v>0.112</v>
      </c>
      <c r="M574" s="10">
        <v>6.7369999999999999E-2</v>
      </c>
      <c r="N574" s="10">
        <v>2.5940000000000001E-2</v>
      </c>
      <c r="O574" s="10">
        <v>0.18179999999999999</v>
      </c>
      <c r="P574" s="10">
        <v>6.7820000000000005E-2</v>
      </c>
      <c r="Q574" s="10">
        <v>0.27839999999999998</v>
      </c>
      <c r="R574" s="10">
        <v>1.768</v>
      </c>
      <c r="S574" s="10">
        <v>1.6279999999999999</v>
      </c>
      <c r="T574" s="10">
        <v>20.86</v>
      </c>
      <c r="U574" s="10">
        <v>1.2149999999999999E-2</v>
      </c>
      <c r="V574" s="10">
        <v>4.1119999999999997E-2</v>
      </c>
      <c r="W574" s="10">
        <v>5.5530000000000003E-2</v>
      </c>
      <c r="X574" s="10">
        <v>1.494E-2</v>
      </c>
      <c r="Y574" s="10">
        <v>1.84E-2</v>
      </c>
      <c r="Z574" s="10">
        <v>5.5120000000000004E-3</v>
      </c>
      <c r="AA574" s="10">
        <v>12.26</v>
      </c>
      <c r="AB574" s="10">
        <v>19.68</v>
      </c>
      <c r="AC574" s="10">
        <v>78.78</v>
      </c>
      <c r="AD574" s="10">
        <v>457.8</v>
      </c>
      <c r="AE574" s="10">
        <v>0.13450000000000001</v>
      </c>
      <c r="AF574" s="10">
        <v>0.21179999999999999</v>
      </c>
      <c r="AG574" s="10">
        <v>0.1797</v>
      </c>
      <c r="AH574" s="10">
        <v>6.9180000000000005E-2</v>
      </c>
      <c r="AI574" s="10">
        <v>0.2329</v>
      </c>
      <c r="AJ574">
        <v>8.1339999999999996E-2</v>
      </c>
    </row>
    <row r="575" spans="3:36">
      <c r="C575" s="11" t="s">
        <v>681</v>
      </c>
      <c r="D575" s="10">
        <v>542</v>
      </c>
      <c r="E575" s="10">
        <v>921386</v>
      </c>
      <c r="F575" s="10" t="s">
        <v>1</v>
      </c>
      <c r="G575" s="10">
        <v>13.71</v>
      </c>
      <c r="H575" s="10">
        <v>24.99</v>
      </c>
      <c r="I575" s="10">
        <v>95.81</v>
      </c>
      <c r="J575" s="10">
        <v>656.4</v>
      </c>
      <c r="K575" s="10">
        <v>8.8370000000000004E-2</v>
      </c>
      <c r="L575" s="10">
        <v>0.123</v>
      </c>
      <c r="M575" s="10">
        <v>0.1009</v>
      </c>
      <c r="N575" s="10">
        <v>3.8899999999999997E-2</v>
      </c>
      <c r="O575" s="10">
        <v>0.18720000000000001</v>
      </c>
      <c r="P575" s="10">
        <v>6.3409999999999994E-2</v>
      </c>
      <c r="Q575" s="10">
        <v>0.25419999999999998</v>
      </c>
      <c r="R575" s="10">
        <v>1.079</v>
      </c>
      <c r="S575" s="10">
        <v>2.6150000000000002</v>
      </c>
      <c r="T575" s="10">
        <v>23.11</v>
      </c>
      <c r="U575" s="10">
        <v>7.1380000000000002E-3</v>
      </c>
      <c r="V575" s="10">
        <v>4.6530000000000002E-2</v>
      </c>
      <c r="W575" s="10">
        <v>3.8289999999999998E-2</v>
      </c>
      <c r="X575" s="10">
        <v>1.162E-2</v>
      </c>
      <c r="Y575" s="10">
        <v>2.068E-2</v>
      </c>
      <c r="Z575" s="10">
        <v>6.1110000000000001E-3</v>
      </c>
      <c r="AA575" s="10">
        <v>16.22</v>
      </c>
      <c r="AB575" s="10">
        <v>31.73</v>
      </c>
      <c r="AC575" s="10">
        <v>113.5</v>
      </c>
      <c r="AD575" s="10">
        <v>808.9</v>
      </c>
      <c r="AE575" s="10">
        <v>0.13400000000000001</v>
      </c>
      <c r="AF575" s="10">
        <v>0.42020000000000002</v>
      </c>
      <c r="AG575" s="10">
        <v>0.40400000000000003</v>
      </c>
      <c r="AH575" s="10">
        <v>0.1205</v>
      </c>
      <c r="AI575" s="10">
        <v>0.31869999999999998</v>
      </c>
      <c r="AJ575">
        <v>0.1023</v>
      </c>
    </row>
    <row r="576" spans="3:36">
      <c r="C576" s="11" t="s">
        <v>682</v>
      </c>
      <c r="D576" s="10">
        <v>543</v>
      </c>
      <c r="E576" s="10">
        <v>921644</v>
      </c>
      <c r="F576" s="10" t="s">
        <v>1</v>
      </c>
      <c r="G576" s="10">
        <v>13.71</v>
      </c>
      <c r="H576" s="10">
        <v>25.42</v>
      </c>
      <c r="I576" s="10">
        <v>94.7</v>
      </c>
      <c r="J576" s="10">
        <v>668.6</v>
      </c>
      <c r="K576" s="10">
        <v>8.2750000000000004E-2</v>
      </c>
      <c r="L576" s="10">
        <v>7.2139999999999996E-2</v>
      </c>
      <c r="M576" s="10">
        <v>4.1050000000000003E-2</v>
      </c>
      <c r="N576" s="10">
        <v>3.0269999999999998E-2</v>
      </c>
      <c r="O576" s="10">
        <v>0.184</v>
      </c>
      <c r="P576" s="10">
        <v>5.6800000000000003E-2</v>
      </c>
      <c r="Q576" s="10">
        <v>0.30309999999999998</v>
      </c>
      <c r="R576" s="10">
        <v>1.385</v>
      </c>
      <c r="S576" s="10">
        <v>2.177</v>
      </c>
      <c r="T576" s="10">
        <v>27.41</v>
      </c>
      <c r="U576" s="10">
        <v>4.7749999999999997E-3</v>
      </c>
      <c r="V576" s="10">
        <v>1.172E-2</v>
      </c>
      <c r="W576" s="10">
        <v>1.9470000000000001E-2</v>
      </c>
      <c r="X576" s="10">
        <v>1.269E-2</v>
      </c>
      <c r="Y576" s="10">
        <v>1.8700000000000001E-2</v>
      </c>
      <c r="Z576" s="10">
        <v>2.6259999999999999E-3</v>
      </c>
      <c r="AA576" s="10">
        <v>16.510000000000002</v>
      </c>
      <c r="AB576" s="10">
        <v>32.29</v>
      </c>
      <c r="AC576" s="10">
        <v>107.4</v>
      </c>
      <c r="AD576" s="10">
        <v>826.4</v>
      </c>
      <c r="AE576" s="10">
        <v>0.106</v>
      </c>
      <c r="AF576" s="10">
        <v>0.1376</v>
      </c>
      <c r="AG576" s="10">
        <v>0.16109999999999999</v>
      </c>
      <c r="AH576" s="10">
        <v>0.1095</v>
      </c>
      <c r="AI576" s="10">
        <v>0.2722</v>
      </c>
      <c r="AJ576">
        <v>6.9559999999999997E-2</v>
      </c>
    </row>
    <row r="577" spans="3:36">
      <c r="C577" s="11" t="s">
        <v>683</v>
      </c>
      <c r="D577" s="10">
        <v>544</v>
      </c>
      <c r="E577" s="10">
        <v>922296</v>
      </c>
      <c r="F577" s="10" t="s">
        <v>1</v>
      </c>
      <c r="G577" s="10">
        <v>13.71</v>
      </c>
      <c r="H577" s="10">
        <v>28.06</v>
      </c>
      <c r="I577" s="10">
        <v>84.88</v>
      </c>
      <c r="J577" s="10">
        <v>538.4</v>
      </c>
      <c r="K577" s="10">
        <v>8.6709999999999995E-2</v>
      </c>
      <c r="L577" s="10">
        <v>6.8769999999999998E-2</v>
      </c>
      <c r="M577" s="10">
        <v>2.9870000000000001E-2</v>
      </c>
      <c r="N577" s="10">
        <v>3.2750000000000001E-2</v>
      </c>
      <c r="O577" s="10">
        <v>0.1628</v>
      </c>
      <c r="P577" s="10">
        <v>5.781E-2</v>
      </c>
      <c r="Q577" s="10">
        <v>0.2351</v>
      </c>
      <c r="R577" s="10">
        <v>1.597</v>
      </c>
      <c r="S577" s="10">
        <v>1.5389999999999999</v>
      </c>
      <c r="T577" s="10">
        <v>17.850000000000001</v>
      </c>
      <c r="U577" s="10">
        <v>4.973E-3</v>
      </c>
      <c r="V577" s="10">
        <v>1.372E-2</v>
      </c>
      <c r="W577" s="10">
        <v>1.498E-2</v>
      </c>
      <c r="X577" s="10">
        <v>9.1170000000000001E-3</v>
      </c>
      <c r="Y577" s="10">
        <v>1.7239999999999998E-2</v>
      </c>
      <c r="Z577" s="10">
        <v>1.343E-3</v>
      </c>
      <c r="AA577" s="10">
        <v>14.37</v>
      </c>
      <c r="AB577" s="10">
        <v>37.17</v>
      </c>
      <c r="AC577" s="10">
        <v>92.48</v>
      </c>
      <c r="AD577" s="10">
        <v>629.6</v>
      </c>
      <c r="AE577" s="10">
        <v>0.1072</v>
      </c>
      <c r="AF577" s="10">
        <v>0.1381</v>
      </c>
      <c r="AG577" s="10">
        <v>0.1062</v>
      </c>
      <c r="AH577" s="10">
        <v>7.9579999999999998E-2</v>
      </c>
      <c r="AI577" s="10">
        <v>0.24729999999999999</v>
      </c>
      <c r="AJ577">
        <v>6.4430000000000001E-2</v>
      </c>
    </row>
    <row r="578" spans="3:36">
      <c r="C578" s="11" t="s">
        <v>684</v>
      </c>
      <c r="D578" s="10">
        <v>545</v>
      </c>
      <c r="E578" s="10">
        <v>922297</v>
      </c>
      <c r="F578" s="10" t="s">
        <v>1</v>
      </c>
      <c r="G578" s="10">
        <v>13.71</v>
      </c>
      <c r="H578" s="10">
        <v>20.7</v>
      </c>
      <c r="I578" s="10">
        <v>89.77</v>
      </c>
      <c r="J578" s="10">
        <v>584.79999999999995</v>
      </c>
      <c r="K578" s="10">
        <v>9.5780000000000004E-2</v>
      </c>
      <c r="L578" s="10">
        <v>0.1018</v>
      </c>
      <c r="M578" s="10">
        <v>3.6880000000000003E-2</v>
      </c>
      <c r="N578" s="10">
        <v>2.3689999999999999E-2</v>
      </c>
      <c r="O578" s="10">
        <v>0.16200000000000001</v>
      </c>
      <c r="P578" s="10">
        <v>6.6879999999999995E-2</v>
      </c>
      <c r="Q578" s="10">
        <v>0.27200000000000002</v>
      </c>
      <c r="R578" s="10">
        <v>1.0469999999999999</v>
      </c>
      <c r="S578" s="10">
        <v>2.0760000000000001</v>
      </c>
      <c r="T578" s="10">
        <v>23.12</v>
      </c>
      <c r="U578" s="10">
        <v>6.2979999999999998E-3</v>
      </c>
      <c r="V578" s="10">
        <v>2.172E-2</v>
      </c>
      <c r="W578" s="10">
        <v>2.615E-2</v>
      </c>
      <c r="X578" s="10">
        <v>9.0609999999999996E-3</v>
      </c>
      <c r="Y578" s="10">
        <v>1.49E-2</v>
      </c>
      <c r="Z578" s="10">
        <v>3.5990000000000002E-3</v>
      </c>
      <c r="AA578" s="10">
        <v>15.05</v>
      </c>
      <c r="AB578" s="10">
        <v>24.75</v>
      </c>
      <c r="AC578" s="10">
        <v>99.17</v>
      </c>
      <c r="AD578" s="10">
        <v>688.6</v>
      </c>
      <c r="AE578" s="10">
        <v>0.12640000000000001</v>
      </c>
      <c r="AF578" s="10">
        <v>0.20369999999999999</v>
      </c>
      <c r="AG578" s="10">
        <v>0.13769999999999999</v>
      </c>
      <c r="AH578" s="10">
        <v>6.8449999999999997E-2</v>
      </c>
      <c r="AI578" s="10">
        <v>0.22489999999999999</v>
      </c>
      <c r="AJ578">
        <v>8.4919999999999995E-2</v>
      </c>
    </row>
    <row r="579" spans="3:36">
      <c r="C579" s="11" t="s">
        <v>685</v>
      </c>
      <c r="D579" s="10">
        <v>546</v>
      </c>
      <c r="E579" s="10">
        <v>922576</v>
      </c>
      <c r="F579" s="10" t="s">
        <v>1</v>
      </c>
      <c r="G579" s="10">
        <v>13.71</v>
      </c>
      <c r="H579" s="10">
        <v>23.23</v>
      </c>
      <c r="I579" s="10">
        <v>87.19</v>
      </c>
      <c r="J579" s="10">
        <v>573.20000000000005</v>
      </c>
      <c r="K579" s="10">
        <v>9.2460000000000001E-2</v>
      </c>
      <c r="L579" s="10">
        <v>6.7470000000000002E-2</v>
      </c>
      <c r="M579" s="10">
        <v>2.9739999999999999E-2</v>
      </c>
      <c r="N579" s="10">
        <v>2.443E-2</v>
      </c>
      <c r="O579" s="10">
        <v>0.16639999999999999</v>
      </c>
      <c r="P579" s="10">
        <v>5.8009999999999999E-2</v>
      </c>
      <c r="Q579" s="10">
        <v>0.34599999999999997</v>
      </c>
      <c r="R579" s="10">
        <v>1.3360000000000001</v>
      </c>
      <c r="S579" s="10">
        <v>2.0659999999999998</v>
      </c>
      <c r="T579" s="10">
        <v>31.24</v>
      </c>
      <c r="U579" s="10">
        <v>5.868E-3</v>
      </c>
      <c r="V579" s="10">
        <v>2.0990000000000002E-2</v>
      </c>
      <c r="W579" s="10">
        <v>2.0209999999999999E-2</v>
      </c>
      <c r="X579" s="10">
        <v>9.0639999999999991E-3</v>
      </c>
      <c r="Y579" s="10">
        <v>2.087E-2</v>
      </c>
      <c r="Z579" s="10">
        <v>2.5829999999999998E-3</v>
      </c>
      <c r="AA579" s="10">
        <v>15.35</v>
      </c>
      <c r="AB579" s="10">
        <v>29.09</v>
      </c>
      <c r="AC579" s="10">
        <v>97.58</v>
      </c>
      <c r="AD579" s="10">
        <v>729.8</v>
      </c>
      <c r="AE579" s="10">
        <v>0.1216</v>
      </c>
      <c r="AF579" s="10">
        <v>0.1517</v>
      </c>
      <c r="AG579" s="10">
        <v>0.10489999999999999</v>
      </c>
      <c r="AH579" s="10">
        <v>7.1739999999999998E-2</v>
      </c>
      <c r="AI579" s="10">
        <v>0.26419999999999999</v>
      </c>
      <c r="AJ579">
        <v>6.9529999999999995E-2</v>
      </c>
    </row>
    <row r="580" spans="3:36">
      <c r="C580" s="11" t="s">
        <v>686</v>
      </c>
      <c r="D580" s="10">
        <v>547</v>
      </c>
      <c r="E580" s="10">
        <v>922577</v>
      </c>
      <c r="F580" s="10" t="s">
        <v>1</v>
      </c>
      <c r="G580" s="10">
        <v>13.71</v>
      </c>
      <c r="H580" s="10">
        <v>16.350000000000001</v>
      </c>
      <c r="I580" s="10">
        <v>65.31</v>
      </c>
      <c r="J580" s="10">
        <v>324.89999999999998</v>
      </c>
      <c r="K580" s="10">
        <v>9.4339999999999993E-2</v>
      </c>
      <c r="L580" s="10">
        <v>4.9939999999999998E-2</v>
      </c>
      <c r="M580" s="10">
        <v>1.0120000000000001E-2</v>
      </c>
      <c r="N580" s="10">
        <v>5.4949999999999999E-3</v>
      </c>
      <c r="O580" s="10">
        <v>0.1885</v>
      </c>
      <c r="P580" s="10">
        <v>6.2010000000000003E-2</v>
      </c>
      <c r="Q580" s="10">
        <v>0.2104</v>
      </c>
      <c r="R580" s="10">
        <v>0.96699999999999997</v>
      </c>
      <c r="S580" s="10">
        <v>1.3560000000000001</v>
      </c>
      <c r="T580" s="10">
        <v>12.97</v>
      </c>
      <c r="U580" s="10">
        <v>7.0860000000000003E-3</v>
      </c>
      <c r="V580" s="10">
        <v>7.247E-3</v>
      </c>
      <c r="W580" s="10">
        <v>1.0120000000000001E-2</v>
      </c>
      <c r="X580" s="10">
        <v>5.4949999999999999E-3</v>
      </c>
      <c r="Y580" s="10">
        <v>1.5599999999999999E-2</v>
      </c>
      <c r="Z580" s="10">
        <v>2.6059999999999998E-3</v>
      </c>
      <c r="AA580" s="10">
        <v>11.25</v>
      </c>
      <c r="AB580" s="10">
        <v>21.77</v>
      </c>
      <c r="AC580" s="10">
        <v>71.12</v>
      </c>
      <c r="AD580" s="10">
        <v>384.9</v>
      </c>
      <c r="AE580" s="10">
        <v>0.1285</v>
      </c>
      <c r="AF580" s="10">
        <v>8.8419999999999999E-2</v>
      </c>
      <c r="AG580" s="10">
        <v>4.3839999999999997E-2</v>
      </c>
      <c r="AH580" s="10">
        <v>2.3810000000000001E-2</v>
      </c>
      <c r="AI580" s="10">
        <v>0.2681</v>
      </c>
      <c r="AJ580">
        <v>7.399E-2</v>
      </c>
    </row>
    <row r="581" spans="3:36">
      <c r="C581" s="11" t="s">
        <v>687</v>
      </c>
      <c r="D581" s="10">
        <v>548</v>
      </c>
      <c r="E581" s="10">
        <v>922840</v>
      </c>
      <c r="F581" s="10" t="s">
        <v>1</v>
      </c>
      <c r="G581" s="10">
        <v>13.71</v>
      </c>
      <c r="H581" s="10">
        <v>16.579999999999998</v>
      </c>
      <c r="I581" s="10">
        <v>65.849999999999994</v>
      </c>
      <c r="J581" s="10">
        <v>320.8</v>
      </c>
      <c r="K581" s="10">
        <v>8.8770000000000002E-2</v>
      </c>
      <c r="L581" s="10">
        <v>8.0659999999999996E-2</v>
      </c>
      <c r="M581" s="10">
        <v>4.3580000000000001E-2</v>
      </c>
      <c r="N581" s="10">
        <v>2.4379999999999999E-2</v>
      </c>
      <c r="O581" s="10">
        <v>0.16689999999999999</v>
      </c>
      <c r="P581" s="10">
        <v>6.7140000000000005E-2</v>
      </c>
      <c r="Q581" s="10">
        <v>0.1144</v>
      </c>
      <c r="R581" s="10">
        <v>1.0229999999999999</v>
      </c>
      <c r="S581" s="10">
        <v>0.98870000000000002</v>
      </c>
      <c r="T581" s="10">
        <v>7.3259999999999996</v>
      </c>
      <c r="U581" s="10">
        <v>1.027E-2</v>
      </c>
      <c r="V581" s="10">
        <v>3.0839999999999999E-2</v>
      </c>
      <c r="W581" s="10">
        <v>2.613E-2</v>
      </c>
      <c r="X581" s="10">
        <v>1.0970000000000001E-2</v>
      </c>
      <c r="Y581" s="10">
        <v>2.2769999999999999E-2</v>
      </c>
      <c r="Z581" s="10">
        <v>5.8900000000000003E-3</v>
      </c>
      <c r="AA581" s="10">
        <v>10.83</v>
      </c>
      <c r="AB581" s="10">
        <v>22.04</v>
      </c>
      <c r="AC581" s="10">
        <v>71.08</v>
      </c>
      <c r="AD581" s="10">
        <v>357.4</v>
      </c>
      <c r="AE581" s="10">
        <v>0.14610000000000001</v>
      </c>
      <c r="AF581" s="10">
        <v>0.22459999999999999</v>
      </c>
      <c r="AG581" s="10">
        <v>0.17829999999999999</v>
      </c>
      <c r="AH581" s="10">
        <v>8.3330000000000001E-2</v>
      </c>
      <c r="AI581" s="10">
        <v>0.26910000000000001</v>
      </c>
      <c r="AJ581">
        <v>9.4789999999999999E-2</v>
      </c>
    </row>
    <row r="582" spans="3:36">
      <c r="C582" s="11" t="s">
        <v>688</v>
      </c>
      <c r="D582" s="10">
        <v>549</v>
      </c>
      <c r="E582" s="10">
        <v>923169</v>
      </c>
      <c r="F582" s="10" t="s">
        <v>1</v>
      </c>
      <c r="G582" s="10">
        <v>13.71</v>
      </c>
      <c r="H582" s="10">
        <v>19.34</v>
      </c>
      <c r="I582" s="10">
        <v>61.05</v>
      </c>
      <c r="J582" s="10">
        <v>285.7</v>
      </c>
      <c r="K582" s="10">
        <v>8.4909999999999999E-2</v>
      </c>
      <c r="L582" s="10">
        <v>5.0299999999999997E-2</v>
      </c>
      <c r="M582" s="10">
        <v>2.3369999999999998E-2</v>
      </c>
      <c r="N582" s="10">
        <v>9.6150000000000003E-3</v>
      </c>
      <c r="O582" s="10">
        <v>0.158</v>
      </c>
      <c r="P582" s="10">
        <v>6.2350000000000003E-2</v>
      </c>
      <c r="Q582" s="10">
        <v>0.29570000000000002</v>
      </c>
      <c r="R582" s="10">
        <v>1.363</v>
      </c>
      <c r="S582" s="10">
        <v>2.0539999999999998</v>
      </c>
      <c r="T582" s="10">
        <v>18.239999999999998</v>
      </c>
      <c r="U582" s="10">
        <v>7.4400000000000004E-3</v>
      </c>
      <c r="V582" s="10">
        <v>1.123E-2</v>
      </c>
      <c r="W582" s="10">
        <v>2.3369999999999998E-2</v>
      </c>
      <c r="X582" s="10">
        <v>9.6150000000000003E-3</v>
      </c>
      <c r="Y582" s="10">
        <v>2.2030000000000001E-2</v>
      </c>
      <c r="Z582" s="10">
        <v>4.1539999999999997E-3</v>
      </c>
      <c r="AA582" s="10">
        <v>10.93</v>
      </c>
      <c r="AB582" s="10">
        <v>25.59</v>
      </c>
      <c r="AC582" s="10">
        <v>69.099999999999994</v>
      </c>
      <c r="AD582" s="10">
        <v>364.2</v>
      </c>
      <c r="AE582" s="10">
        <v>0.11990000000000001</v>
      </c>
      <c r="AF582" s="10">
        <v>9.5460000000000003E-2</v>
      </c>
      <c r="AG582" s="10">
        <v>9.35E-2</v>
      </c>
      <c r="AH582" s="10">
        <v>3.8460000000000001E-2</v>
      </c>
      <c r="AI582" s="10">
        <v>0.25519999999999998</v>
      </c>
      <c r="AJ582">
        <v>7.9200000000000007E-2</v>
      </c>
    </row>
    <row r="583" spans="3:36">
      <c r="C583" s="11" t="s">
        <v>689</v>
      </c>
      <c r="D583" s="10">
        <v>550</v>
      </c>
      <c r="E583" s="10">
        <v>923465</v>
      </c>
      <c r="F583" s="10" t="s">
        <v>1</v>
      </c>
      <c r="G583" s="10">
        <v>13.71</v>
      </c>
      <c r="H583" s="10">
        <v>24.21</v>
      </c>
      <c r="I583" s="10">
        <v>68.89</v>
      </c>
      <c r="J583" s="10">
        <v>361.6</v>
      </c>
      <c r="K583" s="10">
        <v>8.1920000000000007E-2</v>
      </c>
      <c r="L583" s="10">
        <v>6.6019999999999995E-2</v>
      </c>
      <c r="M583" s="10">
        <v>1.5480000000000001E-2</v>
      </c>
      <c r="N583" s="10">
        <v>8.1600000000000006E-3</v>
      </c>
      <c r="O583" s="10">
        <v>0.1976</v>
      </c>
      <c r="P583" s="10">
        <v>6.3280000000000003E-2</v>
      </c>
      <c r="Q583" s="10">
        <v>0.51959999999999995</v>
      </c>
      <c r="R583" s="10">
        <v>1.9179999999999999</v>
      </c>
      <c r="S583" s="10">
        <v>3.5640000000000001</v>
      </c>
      <c r="T583" s="10">
        <v>33</v>
      </c>
      <c r="U583" s="10">
        <v>8.2629999999999995E-3</v>
      </c>
      <c r="V583" s="10">
        <v>1.8700000000000001E-2</v>
      </c>
      <c r="W583" s="10">
        <v>1.277E-2</v>
      </c>
      <c r="X583" s="10">
        <v>5.9170000000000004E-3</v>
      </c>
      <c r="Y583" s="10">
        <v>2.4660000000000001E-2</v>
      </c>
      <c r="Z583" s="10">
        <v>2.977E-3</v>
      </c>
      <c r="AA583" s="10">
        <v>13.03</v>
      </c>
      <c r="AB583" s="10">
        <v>31.45</v>
      </c>
      <c r="AC583" s="10">
        <v>83.9</v>
      </c>
      <c r="AD583" s="10">
        <v>505.6</v>
      </c>
      <c r="AE583" s="10">
        <v>0.12039999999999999</v>
      </c>
      <c r="AF583" s="10">
        <v>0.1633</v>
      </c>
      <c r="AG583" s="10">
        <v>6.1940000000000002E-2</v>
      </c>
      <c r="AH583" s="10">
        <v>3.2640000000000002E-2</v>
      </c>
      <c r="AI583" s="10">
        <v>0.30590000000000001</v>
      </c>
      <c r="AJ583">
        <v>7.6259999999999994E-2</v>
      </c>
    </row>
    <row r="584" spans="3:36">
      <c r="C584" s="11" t="s">
        <v>690</v>
      </c>
      <c r="D584" s="10">
        <v>551</v>
      </c>
      <c r="E584" s="10">
        <v>923748</v>
      </c>
      <c r="F584" s="10" t="s">
        <v>1</v>
      </c>
      <c r="G584" s="10">
        <v>13.71</v>
      </c>
      <c r="H584" s="10">
        <v>21.48</v>
      </c>
      <c r="I584" s="10">
        <v>68.510000000000005</v>
      </c>
      <c r="J584" s="10">
        <v>360.5</v>
      </c>
      <c r="K584" s="10">
        <v>7.4310000000000001E-2</v>
      </c>
      <c r="L584" s="10">
        <v>4.2270000000000002E-2</v>
      </c>
      <c r="M584" s="10">
        <v>0</v>
      </c>
      <c r="N584" s="10">
        <v>0</v>
      </c>
      <c r="O584" s="10">
        <v>0.1661</v>
      </c>
      <c r="P584" s="10">
        <v>5.9479999999999998E-2</v>
      </c>
      <c r="Q584" s="10">
        <v>0.31630000000000003</v>
      </c>
      <c r="R584" s="10">
        <v>1.304</v>
      </c>
      <c r="S584" s="10">
        <v>2.1150000000000002</v>
      </c>
      <c r="T584" s="10">
        <v>20.67</v>
      </c>
      <c r="U584" s="10">
        <v>9.5790000000000007E-3</v>
      </c>
      <c r="V584" s="10">
        <v>1.1039999999999999E-2</v>
      </c>
      <c r="W584" s="10">
        <v>0</v>
      </c>
      <c r="X584" s="10">
        <v>0</v>
      </c>
      <c r="Y584" s="10">
        <v>3.0040000000000001E-2</v>
      </c>
      <c r="Z584" s="10">
        <v>2.2279999999999999E-3</v>
      </c>
      <c r="AA584" s="10">
        <v>11.66</v>
      </c>
      <c r="AB584" s="10">
        <v>24.77</v>
      </c>
      <c r="AC584" s="10">
        <v>74.08</v>
      </c>
      <c r="AD584" s="10">
        <v>412.3</v>
      </c>
      <c r="AE584" s="10">
        <v>0.10009999999999999</v>
      </c>
      <c r="AF584" s="10">
        <v>7.3480000000000004E-2</v>
      </c>
      <c r="AG584" s="10">
        <v>0</v>
      </c>
      <c r="AH584" s="10">
        <v>0</v>
      </c>
      <c r="AI584" s="10">
        <v>0.24579999999999999</v>
      </c>
      <c r="AJ584">
        <v>6.5920000000000006E-2</v>
      </c>
    </row>
    <row r="585" spans="3:36">
      <c r="C585" s="11" t="s">
        <v>691</v>
      </c>
      <c r="D585" s="10">
        <v>552</v>
      </c>
      <c r="E585" s="10">
        <v>923780</v>
      </c>
      <c r="F585" s="10" t="s">
        <v>1</v>
      </c>
      <c r="G585" s="10">
        <v>13.71</v>
      </c>
      <c r="H585" s="10">
        <v>22.44</v>
      </c>
      <c r="I585" s="10">
        <v>71.489999999999995</v>
      </c>
      <c r="J585" s="10">
        <v>378.4</v>
      </c>
      <c r="K585" s="10">
        <v>9.5659999999999995E-2</v>
      </c>
      <c r="L585" s="10">
        <v>8.1939999999999999E-2</v>
      </c>
      <c r="M585" s="10">
        <v>4.8239999999999998E-2</v>
      </c>
      <c r="N585" s="10">
        <v>2.257E-2</v>
      </c>
      <c r="O585" s="10">
        <v>0.20300000000000001</v>
      </c>
      <c r="P585" s="10">
        <v>6.5519999999999995E-2</v>
      </c>
      <c r="Q585" s="10">
        <v>0.28000000000000003</v>
      </c>
      <c r="R585" s="10">
        <v>1.4670000000000001</v>
      </c>
      <c r="S585" s="10">
        <v>1.994</v>
      </c>
      <c r="T585" s="10">
        <v>17.850000000000001</v>
      </c>
      <c r="U585" s="10">
        <v>3.4949999999999998E-3</v>
      </c>
      <c r="V585" s="10">
        <v>3.0509999999999999E-2</v>
      </c>
      <c r="W585" s="10">
        <v>3.4450000000000001E-2</v>
      </c>
      <c r="X585" s="10">
        <v>1.0240000000000001E-2</v>
      </c>
      <c r="Y585" s="10">
        <v>2.912E-2</v>
      </c>
      <c r="Z585" s="10">
        <v>4.7229999999999998E-3</v>
      </c>
      <c r="AA585" s="10">
        <v>12.02</v>
      </c>
      <c r="AB585" s="10">
        <v>28.26</v>
      </c>
      <c r="AC585" s="10">
        <v>77.8</v>
      </c>
      <c r="AD585" s="10">
        <v>436.6</v>
      </c>
      <c r="AE585" s="10">
        <v>0.1087</v>
      </c>
      <c r="AF585" s="10">
        <v>0.1782</v>
      </c>
      <c r="AG585" s="10">
        <v>0.15640000000000001</v>
      </c>
      <c r="AH585" s="10">
        <v>6.4130000000000006E-2</v>
      </c>
      <c r="AI585" s="10">
        <v>0.31690000000000002</v>
      </c>
      <c r="AJ585">
        <v>8.0320000000000003E-2</v>
      </c>
    </row>
    <row r="586" spans="3:36">
      <c r="C586" s="11" t="s">
        <v>692</v>
      </c>
      <c r="D586" s="10">
        <v>553</v>
      </c>
      <c r="E586" s="10">
        <v>924084</v>
      </c>
      <c r="F586" s="10" t="s">
        <v>1</v>
      </c>
      <c r="G586" s="10">
        <v>13.71</v>
      </c>
      <c r="H586" s="10">
        <v>29.43</v>
      </c>
      <c r="I586" s="10">
        <v>81.349999999999994</v>
      </c>
      <c r="J586" s="10">
        <v>507.9</v>
      </c>
      <c r="K586" s="10">
        <v>8.276E-2</v>
      </c>
      <c r="L586" s="10">
        <v>4.2340000000000003E-2</v>
      </c>
      <c r="M586" s="10">
        <v>1.9970000000000002E-2</v>
      </c>
      <c r="N586" s="10">
        <v>1.499E-2</v>
      </c>
      <c r="O586" s="10">
        <v>0.15390000000000001</v>
      </c>
      <c r="P586" s="10">
        <v>5.6370000000000003E-2</v>
      </c>
      <c r="Q586" s="10">
        <v>0.2409</v>
      </c>
      <c r="R586" s="10">
        <v>1.367</v>
      </c>
      <c r="S586" s="10">
        <v>1.4770000000000001</v>
      </c>
      <c r="T586" s="10">
        <v>18.760000000000002</v>
      </c>
      <c r="U586" s="10">
        <v>8.8350000000000008E-3</v>
      </c>
      <c r="V586" s="10">
        <v>1.2330000000000001E-2</v>
      </c>
      <c r="W586" s="10">
        <v>1.328E-2</v>
      </c>
      <c r="X586" s="10">
        <v>9.3050000000000008E-3</v>
      </c>
      <c r="Y586" s="10">
        <v>1.8970000000000001E-2</v>
      </c>
      <c r="Z586" s="10">
        <v>1.7260000000000001E-3</v>
      </c>
      <c r="AA586" s="10">
        <v>13.87</v>
      </c>
      <c r="AB586" s="10">
        <v>36</v>
      </c>
      <c r="AC586" s="10">
        <v>88.1</v>
      </c>
      <c r="AD586" s="10">
        <v>594.70000000000005</v>
      </c>
      <c r="AE586" s="10">
        <v>0.1234</v>
      </c>
      <c r="AF586" s="10">
        <v>0.10639999999999999</v>
      </c>
      <c r="AG586" s="10">
        <v>8.6529999999999996E-2</v>
      </c>
      <c r="AH586" s="10">
        <v>6.4979999999999996E-2</v>
      </c>
      <c r="AI586" s="10">
        <v>0.2407</v>
      </c>
      <c r="AJ586">
        <v>6.4839999999999995E-2</v>
      </c>
    </row>
    <row r="587" spans="3:36">
      <c r="C587" s="11" t="s">
        <v>693</v>
      </c>
      <c r="D587" s="10">
        <v>554</v>
      </c>
      <c r="E587" s="10">
        <v>924342</v>
      </c>
      <c r="F587" s="10" t="s">
        <v>1</v>
      </c>
      <c r="G587" s="10">
        <v>13.71</v>
      </c>
      <c r="H587" s="10">
        <v>21.94</v>
      </c>
      <c r="I587" s="10">
        <v>59.01</v>
      </c>
      <c r="J587" s="10">
        <v>264</v>
      </c>
      <c r="K587" s="10">
        <v>9.2399999999999996E-2</v>
      </c>
      <c r="L587" s="10">
        <v>5.6050000000000003E-2</v>
      </c>
      <c r="M587" s="10">
        <v>3.9960000000000002E-2</v>
      </c>
      <c r="N587" s="10">
        <v>1.282E-2</v>
      </c>
      <c r="O587" s="10">
        <v>0.16919999999999999</v>
      </c>
      <c r="P587" s="10">
        <v>6.5759999999999999E-2</v>
      </c>
      <c r="Q587" s="10">
        <v>0.30130000000000001</v>
      </c>
      <c r="R587" s="10">
        <v>1.879</v>
      </c>
      <c r="S587" s="10">
        <v>2.121</v>
      </c>
      <c r="T587" s="10">
        <v>17.86</v>
      </c>
      <c r="U587" s="10">
        <v>1.094E-2</v>
      </c>
      <c r="V587" s="10">
        <v>1.8339999999999999E-2</v>
      </c>
      <c r="W587" s="10">
        <v>3.9960000000000002E-2</v>
      </c>
      <c r="X587" s="10">
        <v>1.282E-2</v>
      </c>
      <c r="Y587" s="10">
        <v>3.7589999999999998E-2</v>
      </c>
      <c r="Z587" s="10">
        <v>4.6230000000000004E-3</v>
      </c>
      <c r="AA587" s="10">
        <v>9.8450000000000006</v>
      </c>
      <c r="AB587" s="10">
        <v>25.05</v>
      </c>
      <c r="AC587" s="10">
        <v>62.86</v>
      </c>
      <c r="AD587" s="10">
        <v>295.8</v>
      </c>
      <c r="AE587" s="10">
        <v>0.1103</v>
      </c>
      <c r="AF587" s="10">
        <v>8.2979999999999998E-2</v>
      </c>
      <c r="AG587" s="10">
        <v>7.9930000000000001E-2</v>
      </c>
      <c r="AH587" s="10">
        <v>2.564E-2</v>
      </c>
      <c r="AI587" s="10">
        <v>0.24349999999999999</v>
      </c>
      <c r="AJ587">
        <v>7.3929999999999996E-2</v>
      </c>
    </row>
    <row r="588" spans="3:36">
      <c r="C588" s="11" t="s">
        <v>694</v>
      </c>
      <c r="D588" s="10">
        <v>555</v>
      </c>
      <c r="E588" s="10">
        <v>924632</v>
      </c>
      <c r="F588" s="10" t="s">
        <v>1</v>
      </c>
      <c r="G588" s="10">
        <v>13.71</v>
      </c>
      <c r="H588" s="10">
        <v>28.92</v>
      </c>
      <c r="I588" s="10">
        <v>82.5</v>
      </c>
      <c r="J588" s="10">
        <v>514.29999999999995</v>
      </c>
      <c r="K588" s="10">
        <v>8.1229999999999997E-2</v>
      </c>
      <c r="L588" s="10">
        <v>5.824E-2</v>
      </c>
      <c r="M588" s="10">
        <v>6.1949999999999998E-2</v>
      </c>
      <c r="N588" s="10">
        <v>2.3429999999999999E-2</v>
      </c>
      <c r="O588" s="10">
        <v>0.15659999999999999</v>
      </c>
      <c r="P588" s="10">
        <v>5.7079999999999999E-2</v>
      </c>
      <c r="Q588" s="10">
        <v>0.21160000000000001</v>
      </c>
      <c r="R588" s="10">
        <v>1.36</v>
      </c>
      <c r="S588" s="10">
        <v>1.502</v>
      </c>
      <c r="T588" s="10">
        <v>16.829999999999998</v>
      </c>
      <c r="U588" s="10">
        <v>8.4119999999999993E-3</v>
      </c>
      <c r="V588" s="10">
        <v>2.1530000000000001E-2</v>
      </c>
      <c r="W588" s="10">
        <v>3.8980000000000001E-2</v>
      </c>
      <c r="X588" s="10">
        <v>7.62E-3</v>
      </c>
      <c r="Y588" s="10">
        <v>1.695E-2</v>
      </c>
      <c r="Z588" s="10">
        <v>2.8010000000000001E-3</v>
      </c>
      <c r="AA588" s="10">
        <v>13.89</v>
      </c>
      <c r="AB588" s="10">
        <v>35.74</v>
      </c>
      <c r="AC588" s="10">
        <v>88.84</v>
      </c>
      <c r="AD588" s="10">
        <v>595.70000000000005</v>
      </c>
      <c r="AE588" s="10">
        <v>0.1227</v>
      </c>
      <c r="AF588" s="10">
        <v>0.16200000000000001</v>
      </c>
      <c r="AG588" s="10">
        <v>0.24390000000000001</v>
      </c>
      <c r="AH588" s="10">
        <v>6.4930000000000002E-2</v>
      </c>
      <c r="AI588" s="10">
        <v>0.23719999999999999</v>
      </c>
      <c r="AJ588">
        <v>7.2419999999999998E-2</v>
      </c>
    </row>
    <row r="589" spans="3:36">
      <c r="C589" s="11" t="s">
        <v>695</v>
      </c>
      <c r="D589" s="10">
        <v>556</v>
      </c>
      <c r="E589" s="10">
        <v>924934</v>
      </c>
      <c r="F589" s="10" t="s">
        <v>1</v>
      </c>
      <c r="G589" s="10">
        <v>13.71</v>
      </c>
      <c r="H589" s="10">
        <v>27.61</v>
      </c>
      <c r="I589" s="10">
        <v>65.67</v>
      </c>
      <c r="J589" s="10">
        <v>321.39999999999998</v>
      </c>
      <c r="K589" s="10">
        <v>9.0300000000000005E-2</v>
      </c>
      <c r="L589" s="10">
        <v>7.6579999999999995E-2</v>
      </c>
      <c r="M589" s="10">
        <v>5.9990000000000002E-2</v>
      </c>
      <c r="N589" s="10">
        <v>2.7380000000000002E-2</v>
      </c>
      <c r="O589" s="10">
        <v>0.1593</v>
      </c>
      <c r="P589" s="10">
        <v>6.1269999999999998E-2</v>
      </c>
      <c r="Q589" s="10">
        <v>0.21990000000000001</v>
      </c>
      <c r="R589" s="10">
        <v>2.2389999999999999</v>
      </c>
      <c r="S589" s="10">
        <v>1.4370000000000001</v>
      </c>
      <c r="T589" s="10">
        <v>14.46</v>
      </c>
      <c r="U589" s="10">
        <v>1.205E-2</v>
      </c>
      <c r="V589" s="10">
        <v>2.7359999999999999E-2</v>
      </c>
      <c r="W589" s="10">
        <v>4.8039999999999999E-2</v>
      </c>
      <c r="X589" s="10">
        <v>1.721E-2</v>
      </c>
      <c r="Y589" s="10">
        <v>1.8429999999999998E-2</v>
      </c>
      <c r="Z589" s="10">
        <v>4.9379999999999997E-3</v>
      </c>
      <c r="AA589" s="10">
        <v>10.84</v>
      </c>
      <c r="AB589" s="10">
        <v>34.909999999999997</v>
      </c>
      <c r="AC589" s="10">
        <v>69.569999999999993</v>
      </c>
      <c r="AD589" s="10">
        <v>357.6</v>
      </c>
      <c r="AE589" s="10">
        <v>0.1384</v>
      </c>
      <c r="AF589" s="10">
        <v>0.17100000000000001</v>
      </c>
      <c r="AG589" s="10">
        <v>0.2</v>
      </c>
      <c r="AH589" s="10">
        <v>9.1270000000000004E-2</v>
      </c>
      <c r="AI589" s="10">
        <v>0.22259999999999999</v>
      </c>
      <c r="AJ589">
        <v>8.2830000000000001E-2</v>
      </c>
    </row>
    <row r="590" spans="3:36">
      <c r="C590" s="11" t="s">
        <v>696</v>
      </c>
      <c r="D590" s="10">
        <v>557</v>
      </c>
      <c r="E590" s="10">
        <v>924964</v>
      </c>
      <c r="F590" s="10" t="s">
        <v>1</v>
      </c>
      <c r="G590" s="10">
        <v>13.71</v>
      </c>
      <c r="H590" s="10">
        <v>19.59</v>
      </c>
      <c r="I590" s="10">
        <v>64.73</v>
      </c>
      <c r="J590" s="10">
        <v>311.7</v>
      </c>
      <c r="K590" s="10">
        <v>0.1003</v>
      </c>
      <c r="L590" s="10">
        <v>7.5039999999999996E-2</v>
      </c>
      <c r="M590" s="10">
        <v>5.025E-3</v>
      </c>
      <c r="N590" s="10">
        <v>1.116E-2</v>
      </c>
      <c r="O590" s="10">
        <v>0.17910000000000001</v>
      </c>
      <c r="P590" s="10">
        <v>6.3310000000000005E-2</v>
      </c>
      <c r="Q590" s="10">
        <v>0.24410000000000001</v>
      </c>
      <c r="R590" s="10">
        <v>2.09</v>
      </c>
      <c r="S590" s="10">
        <v>1.6479999999999999</v>
      </c>
      <c r="T590" s="10">
        <v>16.8</v>
      </c>
      <c r="U590" s="10">
        <v>1.291E-2</v>
      </c>
      <c r="V590" s="10">
        <v>2.222E-2</v>
      </c>
      <c r="W590" s="10">
        <v>4.1739999999999998E-3</v>
      </c>
      <c r="X590" s="10">
        <v>7.0819999999999998E-3</v>
      </c>
      <c r="Y590" s="10">
        <v>2.572E-2</v>
      </c>
      <c r="Z590" s="10">
        <v>2.2780000000000001E-3</v>
      </c>
      <c r="AA590" s="10">
        <v>10.65</v>
      </c>
      <c r="AB590" s="10">
        <v>22.88</v>
      </c>
      <c r="AC590" s="10">
        <v>67.88</v>
      </c>
      <c r="AD590" s="10">
        <v>347.3</v>
      </c>
      <c r="AE590" s="10">
        <v>0.1265</v>
      </c>
      <c r="AF590" s="10">
        <v>0.12</v>
      </c>
      <c r="AG590" s="10">
        <v>1.005E-2</v>
      </c>
      <c r="AH590" s="10">
        <v>2.232E-2</v>
      </c>
      <c r="AI590" s="10">
        <v>0.22620000000000001</v>
      </c>
      <c r="AJ590">
        <v>6.7419999999999994E-2</v>
      </c>
    </row>
    <row r="591" spans="3:36">
      <c r="C591" s="11" t="s">
        <v>697</v>
      </c>
      <c r="D591" s="10">
        <v>558</v>
      </c>
      <c r="E591" s="10">
        <v>925236</v>
      </c>
      <c r="F591" s="10" t="s">
        <v>1</v>
      </c>
      <c r="G591" s="10">
        <v>13.71</v>
      </c>
      <c r="H591" s="10">
        <v>27.88</v>
      </c>
      <c r="I591" s="10">
        <v>59.26</v>
      </c>
      <c r="J591" s="10">
        <v>271.3</v>
      </c>
      <c r="K591" s="10">
        <v>8.1229999999999997E-2</v>
      </c>
      <c r="L591" s="10">
        <v>4.9709999999999997E-2</v>
      </c>
      <c r="M591" s="10">
        <v>0</v>
      </c>
      <c r="N591" s="10">
        <v>0</v>
      </c>
      <c r="O591" s="10">
        <v>0.17419999999999999</v>
      </c>
      <c r="P591" s="10">
        <v>6.0589999999999998E-2</v>
      </c>
      <c r="Q591" s="10">
        <v>0.53749999999999998</v>
      </c>
      <c r="R591" s="10">
        <v>2.927</v>
      </c>
      <c r="S591" s="10">
        <v>3.6179999999999999</v>
      </c>
      <c r="T591" s="10">
        <v>29.11</v>
      </c>
      <c r="U591" s="10">
        <v>1.159E-2</v>
      </c>
      <c r="V591" s="10">
        <v>1.124E-2</v>
      </c>
      <c r="W591" s="10">
        <v>0</v>
      </c>
      <c r="X591" s="10">
        <v>0</v>
      </c>
      <c r="Y591" s="10">
        <v>3.0040000000000001E-2</v>
      </c>
      <c r="Z591" s="10">
        <v>3.3240000000000001E-3</v>
      </c>
      <c r="AA591" s="10">
        <v>10.49</v>
      </c>
      <c r="AB591" s="10">
        <v>34.24</v>
      </c>
      <c r="AC591" s="10">
        <v>66.5</v>
      </c>
      <c r="AD591" s="10">
        <v>330.6</v>
      </c>
      <c r="AE591" s="10">
        <v>0.10730000000000001</v>
      </c>
      <c r="AF591" s="10">
        <v>7.1580000000000005E-2</v>
      </c>
      <c r="AG591" s="10">
        <v>0</v>
      </c>
      <c r="AH591" s="10">
        <v>0</v>
      </c>
      <c r="AI591" s="10">
        <v>0.2475</v>
      </c>
      <c r="AJ591">
        <v>6.9690000000000002E-2</v>
      </c>
    </row>
    <row r="592" spans="3:36">
      <c r="C592" s="11" t="s">
        <v>698</v>
      </c>
      <c r="D592" s="10">
        <v>559</v>
      </c>
      <c r="E592" s="10">
        <v>925277</v>
      </c>
      <c r="F592" s="10" t="s">
        <v>1</v>
      </c>
      <c r="G592" s="10">
        <v>13.71</v>
      </c>
      <c r="H592" s="10">
        <v>22.68</v>
      </c>
      <c r="I592" s="10">
        <v>96.39</v>
      </c>
      <c r="J592" s="10">
        <v>657.1</v>
      </c>
      <c r="K592" s="10">
        <v>8.473E-2</v>
      </c>
      <c r="L592" s="10">
        <v>0.13300000000000001</v>
      </c>
      <c r="M592" s="10">
        <v>0.10290000000000001</v>
      </c>
      <c r="N592" s="10">
        <v>3.7359999999999997E-2</v>
      </c>
      <c r="O592" s="10">
        <v>0.1454</v>
      </c>
      <c r="P592" s="10">
        <v>6.1469999999999997E-2</v>
      </c>
      <c r="Q592" s="10">
        <v>0.22539999999999999</v>
      </c>
      <c r="R592" s="10">
        <v>1.1080000000000001</v>
      </c>
      <c r="S592" s="10">
        <v>2.2240000000000002</v>
      </c>
      <c r="T592" s="10">
        <v>19.54</v>
      </c>
      <c r="U592" s="10">
        <v>4.2420000000000001E-3</v>
      </c>
      <c r="V592" s="10">
        <v>4.6390000000000001E-2</v>
      </c>
      <c r="W592" s="10">
        <v>6.5780000000000005E-2</v>
      </c>
      <c r="X592" s="10">
        <v>1.6060000000000001E-2</v>
      </c>
      <c r="Y592" s="10">
        <v>1.6379999999999999E-2</v>
      </c>
      <c r="Z592" s="10">
        <v>4.4060000000000002E-3</v>
      </c>
      <c r="AA592" s="10">
        <v>15.48</v>
      </c>
      <c r="AB592" s="10">
        <v>27.27</v>
      </c>
      <c r="AC592" s="10">
        <v>105.9</v>
      </c>
      <c r="AD592" s="10">
        <v>733.5</v>
      </c>
      <c r="AE592" s="10">
        <v>0.1026</v>
      </c>
      <c r="AF592" s="10">
        <v>0.31709999999999999</v>
      </c>
      <c r="AG592" s="10">
        <v>0.36620000000000003</v>
      </c>
      <c r="AH592" s="10">
        <v>0.1105</v>
      </c>
      <c r="AI592" s="10">
        <v>0.2258</v>
      </c>
      <c r="AJ592">
        <v>8.004E-2</v>
      </c>
    </row>
    <row r="593" spans="3:36">
      <c r="C593" s="11" t="s">
        <v>699</v>
      </c>
      <c r="D593" s="10">
        <v>560</v>
      </c>
      <c r="E593" s="10">
        <v>925291</v>
      </c>
      <c r="F593" s="10" t="s">
        <v>1</v>
      </c>
      <c r="G593" s="10">
        <v>13.71</v>
      </c>
      <c r="H593" s="10">
        <v>23.93</v>
      </c>
      <c r="I593" s="10">
        <v>74.52</v>
      </c>
      <c r="J593" s="10">
        <v>403.5</v>
      </c>
      <c r="K593" s="10">
        <v>9.2609999999999998E-2</v>
      </c>
      <c r="L593" s="10">
        <v>0.1021</v>
      </c>
      <c r="M593" s="10">
        <v>0.11119999999999999</v>
      </c>
      <c r="N593" s="10">
        <v>4.1050000000000003E-2</v>
      </c>
      <c r="O593" s="10">
        <v>0.13880000000000001</v>
      </c>
      <c r="P593" s="10">
        <v>6.5699999999999995E-2</v>
      </c>
      <c r="Q593" s="10">
        <v>0.23880000000000001</v>
      </c>
      <c r="R593" s="10">
        <v>2.9039999999999999</v>
      </c>
      <c r="S593" s="10">
        <v>1.9359999999999999</v>
      </c>
      <c r="T593" s="10">
        <v>16.97</v>
      </c>
      <c r="U593" s="10">
        <v>8.2000000000000007E-3</v>
      </c>
      <c r="V593" s="10">
        <v>2.9819999999999999E-2</v>
      </c>
      <c r="W593" s="10">
        <v>5.738E-2</v>
      </c>
      <c r="X593" s="10">
        <v>1.2670000000000001E-2</v>
      </c>
      <c r="Y593" s="10">
        <v>1.4880000000000001E-2</v>
      </c>
      <c r="Z593" s="10">
        <v>4.738E-3</v>
      </c>
      <c r="AA593" s="10">
        <v>12.48</v>
      </c>
      <c r="AB593" s="10">
        <v>37.159999999999997</v>
      </c>
      <c r="AC593" s="10">
        <v>82.28</v>
      </c>
      <c r="AD593" s="10">
        <v>474.2</v>
      </c>
      <c r="AE593" s="10">
        <v>0.1298</v>
      </c>
      <c r="AF593" s="10">
        <v>0.25169999999999998</v>
      </c>
      <c r="AG593" s="10">
        <v>0.36299999999999999</v>
      </c>
      <c r="AH593" s="10">
        <v>9.6530000000000005E-2</v>
      </c>
      <c r="AI593" s="10">
        <v>0.2112</v>
      </c>
      <c r="AJ593">
        <v>8.7319999999999995E-2</v>
      </c>
    </row>
    <row r="594" spans="3:36">
      <c r="C594" s="11" t="s">
        <v>700</v>
      </c>
      <c r="D594" s="10">
        <v>561</v>
      </c>
      <c r="E594" s="10">
        <v>925292</v>
      </c>
      <c r="F594" s="10" t="s">
        <v>1</v>
      </c>
      <c r="G594" s="10">
        <v>13.71</v>
      </c>
      <c r="H594" s="10">
        <v>27.15</v>
      </c>
      <c r="I594" s="10">
        <v>91.38</v>
      </c>
      <c r="J594" s="10">
        <v>600.4</v>
      </c>
      <c r="K594" s="10">
        <v>9.9290000000000003E-2</v>
      </c>
      <c r="L594" s="10">
        <v>0.11260000000000001</v>
      </c>
      <c r="M594" s="10">
        <v>4.462E-2</v>
      </c>
      <c r="N594" s="10">
        <v>4.3040000000000002E-2</v>
      </c>
      <c r="O594" s="10">
        <v>0.1537</v>
      </c>
      <c r="P594" s="10">
        <v>6.1710000000000001E-2</v>
      </c>
      <c r="Q594" s="10">
        <v>0.36449999999999999</v>
      </c>
      <c r="R594" s="10">
        <v>1.492</v>
      </c>
      <c r="S594" s="10">
        <v>2.8879999999999999</v>
      </c>
      <c r="T594" s="10">
        <v>29.84</v>
      </c>
      <c r="U594" s="10">
        <v>7.2560000000000003E-3</v>
      </c>
      <c r="V594" s="10">
        <v>2.6780000000000002E-2</v>
      </c>
      <c r="W594" s="10">
        <v>2.0709999999999999E-2</v>
      </c>
      <c r="X594" s="10">
        <v>1.626E-2</v>
      </c>
      <c r="Y594" s="10">
        <v>2.0799999999999999E-2</v>
      </c>
      <c r="Z594" s="10">
        <v>5.3039999999999997E-3</v>
      </c>
      <c r="AA594" s="10">
        <v>15.3</v>
      </c>
      <c r="AB594" s="10">
        <v>33.17</v>
      </c>
      <c r="AC594" s="10">
        <v>100.2</v>
      </c>
      <c r="AD594" s="10">
        <v>706.7</v>
      </c>
      <c r="AE594" s="10">
        <v>0.1241</v>
      </c>
      <c r="AF594" s="10">
        <v>0.22639999999999999</v>
      </c>
      <c r="AG594" s="10">
        <v>0.1326</v>
      </c>
      <c r="AH594" s="10">
        <v>0.1048</v>
      </c>
      <c r="AI594" s="10">
        <v>0.22500000000000001</v>
      </c>
      <c r="AJ594">
        <v>8.3210000000000006E-2</v>
      </c>
    </row>
    <row r="595" spans="3:36">
      <c r="C595" s="11" t="s">
        <v>701</v>
      </c>
      <c r="D595" s="10">
        <v>562</v>
      </c>
      <c r="E595" s="10">
        <v>925311</v>
      </c>
      <c r="F595" s="10" t="s">
        <v>1</v>
      </c>
      <c r="G595" s="10">
        <v>13.71</v>
      </c>
      <c r="H595" s="10">
        <v>29.37</v>
      </c>
      <c r="I595" s="10">
        <v>70.67</v>
      </c>
      <c r="J595" s="10">
        <v>386</v>
      </c>
      <c r="K595" s="10">
        <v>7.4490000000000001E-2</v>
      </c>
      <c r="L595" s="10">
        <v>3.5580000000000001E-2</v>
      </c>
      <c r="M595" s="10">
        <v>0</v>
      </c>
      <c r="N595" s="10">
        <v>0</v>
      </c>
      <c r="O595" s="10">
        <v>0.106</v>
      </c>
      <c r="P595" s="10">
        <v>5.5019999999999999E-2</v>
      </c>
      <c r="Q595" s="10">
        <v>0.31409999999999999</v>
      </c>
      <c r="R595" s="10">
        <v>3.8959999999999999</v>
      </c>
      <c r="S595" s="10">
        <v>2.0409999999999999</v>
      </c>
      <c r="T595" s="10">
        <v>22.81</v>
      </c>
      <c r="U595" s="10">
        <v>7.5940000000000001E-3</v>
      </c>
      <c r="V595" s="10">
        <v>8.8780000000000005E-3</v>
      </c>
      <c r="W595" s="10">
        <v>0</v>
      </c>
      <c r="X595" s="10">
        <v>0</v>
      </c>
      <c r="Y595" s="10">
        <v>1.9890000000000001E-2</v>
      </c>
      <c r="Z595" s="10">
        <v>1.7730000000000001E-3</v>
      </c>
      <c r="AA595" s="10">
        <v>11.92</v>
      </c>
      <c r="AB595" s="10">
        <v>38.299999999999997</v>
      </c>
      <c r="AC595" s="10">
        <v>75.19</v>
      </c>
      <c r="AD595" s="10">
        <v>439.6</v>
      </c>
      <c r="AE595" s="10">
        <v>9.2670000000000002E-2</v>
      </c>
      <c r="AF595" s="10">
        <v>5.4940000000000003E-2</v>
      </c>
      <c r="AG595" s="10">
        <v>0</v>
      </c>
      <c r="AH595" s="10">
        <v>0</v>
      </c>
      <c r="AI595" s="10">
        <v>0.15659999999999999</v>
      </c>
      <c r="AJ595">
        <v>5.9049999999999998E-2</v>
      </c>
    </row>
    <row r="596" spans="3:36">
      <c r="C596" s="11" t="s">
        <v>702</v>
      </c>
      <c r="D596" s="10">
        <v>563</v>
      </c>
      <c r="E596" s="10">
        <v>925622</v>
      </c>
      <c r="F596" s="10" t="s">
        <v>0</v>
      </c>
      <c r="G596" s="10">
        <v>13.71</v>
      </c>
      <c r="H596" s="10">
        <v>30.62</v>
      </c>
      <c r="I596" s="10">
        <v>103.4</v>
      </c>
      <c r="J596" s="10">
        <v>716.9</v>
      </c>
      <c r="K596" s="10">
        <v>9.6345422535211181E-2</v>
      </c>
      <c r="L596" s="10">
        <v>0.2087</v>
      </c>
      <c r="M596" s="10">
        <v>0.255</v>
      </c>
      <c r="N596" s="10">
        <v>9.4289999999999999E-2</v>
      </c>
      <c r="O596" s="10">
        <v>0.21279999999999999</v>
      </c>
      <c r="P596" s="10">
        <v>7.152E-2</v>
      </c>
      <c r="Q596" s="10">
        <v>0.26019999999999999</v>
      </c>
      <c r="R596" s="10">
        <v>1.2050000000000001</v>
      </c>
      <c r="S596" s="10">
        <v>2.3620000000000001</v>
      </c>
      <c r="T596" s="10">
        <v>22.65</v>
      </c>
      <c r="U596" s="10">
        <v>4.6249999999999998E-3</v>
      </c>
      <c r="V596" s="10">
        <v>4.8439999999999997E-2</v>
      </c>
      <c r="W596" s="10">
        <v>7.3590000000000003E-2</v>
      </c>
      <c r="X596" s="10">
        <v>1.6080000000000001E-2</v>
      </c>
      <c r="Y596" s="10">
        <v>2.137E-2</v>
      </c>
      <c r="Z596" s="10">
        <v>6.1419999999999999E-3</v>
      </c>
      <c r="AA596" s="10">
        <v>17.52</v>
      </c>
      <c r="AB596" s="10">
        <v>42.79</v>
      </c>
      <c r="AC596" s="10">
        <v>128.69999999999999</v>
      </c>
      <c r="AD596" s="10">
        <v>915</v>
      </c>
      <c r="AE596" s="10">
        <v>0.14169999999999999</v>
      </c>
      <c r="AF596" s="10">
        <v>0.79169999999999996</v>
      </c>
      <c r="AG596" s="10">
        <v>1.17</v>
      </c>
      <c r="AH596" s="10">
        <v>0.2356</v>
      </c>
      <c r="AI596" s="10">
        <v>0.40889999999999999</v>
      </c>
      <c r="AJ596">
        <v>0.1409</v>
      </c>
    </row>
    <row r="597" spans="3:36">
      <c r="C597" s="11" t="s">
        <v>703</v>
      </c>
      <c r="D597" s="10">
        <v>564</v>
      </c>
      <c r="E597" s="10">
        <v>926125</v>
      </c>
      <c r="F597" s="10" t="s">
        <v>0</v>
      </c>
      <c r="G597" s="10">
        <v>13.71</v>
      </c>
      <c r="H597" s="10">
        <v>25.09</v>
      </c>
      <c r="I597" s="10">
        <v>143</v>
      </c>
      <c r="J597" s="10">
        <v>1347</v>
      </c>
      <c r="K597" s="10">
        <v>0.1099</v>
      </c>
      <c r="L597" s="10">
        <v>0.22359999999999999</v>
      </c>
      <c r="M597" s="10">
        <v>0.31740000000000002</v>
      </c>
      <c r="N597" s="10">
        <v>0.1474</v>
      </c>
      <c r="O597" s="10">
        <v>0.21490000000000001</v>
      </c>
      <c r="P597" s="10">
        <v>6.8790000000000004E-2</v>
      </c>
      <c r="Q597" s="10">
        <v>0.96220000000000006</v>
      </c>
      <c r="R597" s="10">
        <v>1.026</v>
      </c>
      <c r="S597" s="10">
        <v>8.7579999999999991</v>
      </c>
      <c r="T597" s="10">
        <v>118.8</v>
      </c>
      <c r="U597" s="10">
        <v>6.3990000000000002E-3</v>
      </c>
      <c r="V597" s="10">
        <v>4.3099999999999999E-2</v>
      </c>
      <c r="W597" s="10">
        <v>7.8450000000000006E-2</v>
      </c>
      <c r="X597" s="10">
        <v>2.6239999999999999E-2</v>
      </c>
      <c r="Y597" s="10">
        <v>2.0570000000000001E-2</v>
      </c>
      <c r="Z597" s="10">
        <v>6.2129999999999998E-3</v>
      </c>
      <c r="AA597" s="10">
        <v>24.29</v>
      </c>
      <c r="AB597" s="10">
        <v>29.41</v>
      </c>
      <c r="AC597" s="10">
        <v>179.1</v>
      </c>
      <c r="AD597" s="10">
        <v>1819</v>
      </c>
      <c r="AE597" s="10">
        <v>0.14069999999999999</v>
      </c>
      <c r="AF597" s="10">
        <v>0.41860000000000003</v>
      </c>
      <c r="AG597" s="10">
        <v>0.65990000000000004</v>
      </c>
      <c r="AH597" s="10">
        <v>0.25419999999999998</v>
      </c>
      <c r="AI597" s="10">
        <v>0.29289999999999999</v>
      </c>
      <c r="AJ597">
        <v>9.8729999999999998E-2</v>
      </c>
    </row>
    <row r="598" spans="3:36">
      <c r="C598" s="11" t="s">
        <v>704</v>
      </c>
      <c r="D598" s="10">
        <v>565</v>
      </c>
      <c r="E598" s="10">
        <v>926424</v>
      </c>
      <c r="F598" s="10" t="s">
        <v>0</v>
      </c>
      <c r="G598" s="10">
        <v>13.71</v>
      </c>
      <c r="H598" s="10">
        <v>22.39</v>
      </c>
      <c r="I598" s="10">
        <v>142</v>
      </c>
      <c r="J598" s="10">
        <v>1479</v>
      </c>
      <c r="K598" s="10">
        <v>0.111</v>
      </c>
      <c r="L598" s="10">
        <v>0.1159</v>
      </c>
      <c r="M598" s="10">
        <v>0.24390000000000001</v>
      </c>
      <c r="N598" s="10">
        <v>0.1389</v>
      </c>
      <c r="O598" s="10">
        <v>0.1726</v>
      </c>
      <c r="P598" s="10">
        <v>5.6230000000000002E-2</v>
      </c>
      <c r="Q598" s="10">
        <v>1.1759999999999999</v>
      </c>
      <c r="R598" s="10">
        <v>1.256</v>
      </c>
      <c r="S598" s="10">
        <v>7.673</v>
      </c>
      <c r="T598" s="10">
        <v>158.69999999999999</v>
      </c>
      <c r="U598" s="10">
        <v>1.03E-2</v>
      </c>
      <c r="V598" s="10">
        <v>2.8910000000000002E-2</v>
      </c>
      <c r="W598" s="10">
        <v>5.1979999999999998E-2</v>
      </c>
      <c r="X598" s="10">
        <v>2.4539999999999999E-2</v>
      </c>
      <c r="Y598" s="10">
        <v>1.1140000000000001E-2</v>
      </c>
      <c r="Z598" s="10">
        <v>4.2389999999999997E-3</v>
      </c>
      <c r="AA598" s="10">
        <v>25.45</v>
      </c>
      <c r="AB598" s="10">
        <v>26.4</v>
      </c>
      <c r="AC598" s="10">
        <v>166.1</v>
      </c>
      <c r="AD598" s="10">
        <v>2027</v>
      </c>
      <c r="AE598" s="10">
        <v>0.14099999999999999</v>
      </c>
      <c r="AF598" s="10">
        <v>0.21129999999999999</v>
      </c>
      <c r="AG598" s="10">
        <v>0.41070000000000001</v>
      </c>
      <c r="AH598" s="10">
        <v>0.22159999999999999</v>
      </c>
      <c r="AI598" s="10">
        <v>0.20599999999999999</v>
      </c>
      <c r="AJ598">
        <v>7.1150000000000005E-2</v>
      </c>
    </row>
    <row r="599" spans="3:36">
      <c r="C599" s="11" t="s">
        <v>705</v>
      </c>
      <c r="D599" s="10">
        <v>566</v>
      </c>
      <c r="E599" s="10">
        <v>926682</v>
      </c>
      <c r="F599" s="10" t="s">
        <v>0</v>
      </c>
      <c r="G599" s="10">
        <v>13.71</v>
      </c>
      <c r="H599" s="10">
        <v>28.25</v>
      </c>
      <c r="I599" s="10">
        <v>131.19999999999999</v>
      </c>
      <c r="J599" s="10">
        <v>1261</v>
      </c>
      <c r="K599" s="10">
        <v>9.7799999999999998E-2</v>
      </c>
      <c r="L599" s="10">
        <v>0.10340000000000001</v>
      </c>
      <c r="M599" s="10">
        <v>0.14399999999999999</v>
      </c>
      <c r="N599" s="10">
        <v>9.7909999999999997E-2</v>
      </c>
      <c r="O599" s="10">
        <v>0.17519999999999999</v>
      </c>
      <c r="P599" s="10">
        <v>5.5329999999999997E-2</v>
      </c>
      <c r="Q599" s="10">
        <v>0.76549999999999996</v>
      </c>
      <c r="R599" s="10">
        <v>2.4630000000000001</v>
      </c>
      <c r="S599" s="10">
        <v>5.2030000000000003</v>
      </c>
      <c r="T599" s="10">
        <v>99.04</v>
      </c>
      <c r="U599" s="10">
        <v>5.7689999999999998E-3</v>
      </c>
      <c r="V599" s="10">
        <v>2.4230000000000002E-2</v>
      </c>
      <c r="W599" s="10">
        <v>3.95E-2</v>
      </c>
      <c r="X599" s="10">
        <v>1.678E-2</v>
      </c>
      <c r="Y599" s="10">
        <v>1.898E-2</v>
      </c>
      <c r="Z599" s="10">
        <v>2.4979999999999998E-3</v>
      </c>
      <c r="AA599" s="10">
        <v>23.69</v>
      </c>
      <c r="AB599" s="10">
        <v>38.25</v>
      </c>
      <c r="AC599" s="10">
        <v>155</v>
      </c>
      <c r="AD599" s="10">
        <v>1731</v>
      </c>
      <c r="AE599" s="10">
        <v>0.1166</v>
      </c>
      <c r="AF599" s="10">
        <v>0.19220000000000001</v>
      </c>
      <c r="AG599" s="10">
        <v>0.32150000000000001</v>
      </c>
      <c r="AH599" s="10">
        <v>0.1628</v>
      </c>
      <c r="AI599" s="10">
        <v>0.25719999999999998</v>
      </c>
      <c r="AJ599">
        <v>6.6369999999999998E-2</v>
      </c>
    </row>
    <row r="600" spans="3:36">
      <c r="C600" s="11" t="s">
        <v>706</v>
      </c>
      <c r="D600" s="10">
        <v>567</v>
      </c>
      <c r="E600" s="10">
        <v>926954</v>
      </c>
      <c r="F600" s="10" t="s">
        <v>0</v>
      </c>
      <c r="G600" s="10">
        <v>13.71</v>
      </c>
      <c r="H600" s="10">
        <v>28.08</v>
      </c>
      <c r="I600" s="10">
        <v>108.3</v>
      </c>
      <c r="J600" s="10">
        <v>858.1</v>
      </c>
      <c r="K600" s="10">
        <v>8.455E-2</v>
      </c>
      <c r="L600" s="10">
        <v>0.1023</v>
      </c>
      <c r="M600" s="10">
        <v>9.2509999999999995E-2</v>
      </c>
      <c r="N600" s="10">
        <v>5.3019999999999998E-2</v>
      </c>
      <c r="O600" s="10">
        <v>0.159</v>
      </c>
      <c r="P600" s="10">
        <v>5.6480000000000002E-2</v>
      </c>
      <c r="Q600" s="10">
        <v>0.45639999999999997</v>
      </c>
      <c r="R600" s="10">
        <v>1.075</v>
      </c>
      <c r="S600" s="10">
        <v>3.4249999999999998</v>
      </c>
      <c r="T600" s="10">
        <v>48.55</v>
      </c>
      <c r="U600" s="10">
        <v>5.9030000000000003E-3</v>
      </c>
      <c r="V600" s="10">
        <v>3.7310000000000003E-2</v>
      </c>
      <c r="W600" s="10">
        <v>4.7300000000000002E-2</v>
      </c>
      <c r="X600" s="10">
        <v>1.5570000000000001E-2</v>
      </c>
      <c r="Y600" s="10">
        <v>1.3180000000000001E-2</v>
      </c>
      <c r="Z600" s="10">
        <v>3.8920000000000001E-3</v>
      </c>
      <c r="AA600" s="10">
        <v>18.98</v>
      </c>
      <c r="AB600" s="10">
        <v>34.119999999999997</v>
      </c>
      <c r="AC600" s="10">
        <v>126.7</v>
      </c>
      <c r="AD600" s="10">
        <v>1124</v>
      </c>
      <c r="AE600" s="10">
        <v>0.1139</v>
      </c>
      <c r="AF600" s="10">
        <v>0.30940000000000001</v>
      </c>
      <c r="AG600" s="10">
        <v>0.34029999999999999</v>
      </c>
      <c r="AH600" s="10">
        <v>0.14180000000000001</v>
      </c>
      <c r="AI600" s="10">
        <v>0.2218</v>
      </c>
      <c r="AJ600">
        <v>7.8200000000000006E-2</v>
      </c>
    </row>
    <row r="601" spans="3:36">
      <c r="C601" s="11" t="s">
        <v>707</v>
      </c>
      <c r="D601" s="10">
        <v>568</v>
      </c>
      <c r="E601" s="10">
        <v>927241</v>
      </c>
      <c r="F601" s="10" t="s">
        <v>0</v>
      </c>
      <c r="G601" s="10">
        <v>13.71</v>
      </c>
      <c r="H601" s="10">
        <v>29.33</v>
      </c>
      <c r="I601" s="10">
        <v>140.1</v>
      </c>
      <c r="J601" s="10">
        <v>1265</v>
      </c>
      <c r="K601" s="10">
        <v>0.1178</v>
      </c>
      <c r="L601" s="10">
        <v>0.27700000000000002</v>
      </c>
      <c r="M601" s="10">
        <v>0.35139999999999999</v>
      </c>
      <c r="N601" s="10">
        <v>0.152</v>
      </c>
      <c r="O601" s="10">
        <v>0.2397</v>
      </c>
      <c r="P601" s="10">
        <v>7.016E-2</v>
      </c>
      <c r="Q601" s="10">
        <v>0.72599999999999998</v>
      </c>
      <c r="R601" s="10">
        <v>1.595</v>
      </c>
      <c r="S601" s="10">
        <v>5.7720000000000002</v>
      </c>
      <c r="T601" s="10">
        <v>86.22</v>
      </c>
      <c r="U601" s="10">
        <v>6.522E-3</v>
      </c>
      <c r="V601" s="10">
        <v>6.1580000000000003E-2</v>
      </c>
      <c r="W601" s="10">
        <v>7.1169999999999997E-2</v>
      </c>
      <c r="X601" s="10">
        <v>1.6639999999999999E-2</v>
      </c>
      <c r="Y601" s="10">
        <v>2.324E-2</v>
      </c>
      <c r="Z601" s="10">
        <v>6.1850000000000004E-3</v>
      </c>
      <c r="AA601" s="10">
        <v>25.74</v>
      </c>
      <c r="AB601" s="10">
        <v>39.42</v>
      </c>
      <c r="AC601" s="10">
        <v>184.6</v>
      </c>
      <c r="AD601" s="10">
        <v>1821</v>
      </c>
      <c r="AE601" s="10">
        <v>0.16500000000000001</v>
      </c>
      <c r="AF601" s="10">
        <v>0.86809999999999998</v>
      </c>
      <c r="AG601" s="10">
        <v>0.93869999999999998</v>
      </c>
      <c r="AH601" s="10">
        <v>0.26500000000000001</v>
      </c>
      <c r="AI601" s="10">
        <v>0.40870000000000001</v>
      </c>
      <c r="AJ601">
        <v>0.124</v>
      </c>
    </row>
    <row r="602" spans="3:36">
      <c r="C602" s="11" t="s">
        <v>708</v>
      </c>
      <c r="D602" s="10">
        <v>569</v>
      </c>
      <c r="E602" s="10">
        <v>92751</v>
      </c>
      <c r="F602" s="10" t="s">
        <v>1</v>
      </c>
      <c r="G602" s="10">
        <v>13.71</v>
      </c>
      <c r="H602" s="10">
        <v>24.54</v>
      </c>
      <c r="I602" s="10">
        <v>47.92</v>
      </c>
      <c r="J602" s="10">
        <v>181</v>
      </c>
      <c r="K602" s="10">
        <v>5.2630000000000003E-2</v>
      </c>
      <c r="L602" s="10">
        <v>4.3619999999999999E-2</v>
      </c>
      <c r="M602" s="10">
        <v>0</v>
      </c>
      <c r="N602" s="10">
        <v>0</v>
      </c>
      <c r="O602" s="10">
        <v>0.15870000000000001</v>
      </c>
      <c r="P602" s="10">
        <v>5.8840000000000003E-2</v>
      </c>
      <c r="Q602" s="10">
        <v>0.38569999999999999</v>
      </c>
      <c r="R602" s="10">
        <v>1.4279999999999999</v>
      </c>
      <c r="S602" s="10">
        <v>2.548</v>
      </c>
      <c r="T602" s="10">
        <v>19.149999999999999</v>
      </c>
      <c r="U602" s="10">
        <v>7.1890000000000001E-3</v>
      </c>
      <c r="V602" s="10">
        <v>4.6600000000000001E-3</v>
      </c>
      <c r="W602" s="10">
        <v>0</v>
      </c>
      <c r="X602" s="10">
        <v>0</v>
      </c>
      <c r="Y602" s="10">
        <v>2.6759999999999999E-2</v>
      </c>
      <c r="Z602" s="10">
        <v>2.7829999999999999E-3</v>
      </c>
      <c r="AA602" s="10">
        <v>9.4559999999999995</v>
      </c>
      <c r="AB602" s="10">
        <v>30.37</v>
      </c>
      <c r="AC602" s="10">
        <v>59.16</v>
      </c>
      <c r="AD602" s="10">
        <v>268.60000000000002</v>
      </c>
      <c r="AE602" s="10">
        <v>8.9959999999999998E-2</v>
      </c>
      <c r="AF602" s="10">
        <v>6.4439999999999997E-2</v>
      </c>
      <c r="AG602" s="10">
        <v>0</v>
      </c>
      <c r="AH602" s="10">
        <v>0</v>
      </c>
      <c r="AI602" s="10">
        <v>0.28710000000000002</v>
      </c>
      <c r="AJ602">
        <v>7.0389999999999994E-2</v>
      </c>
    </row>
  </sheetData>
  <mergeCells count="27">
    <mergeCell ref="F13:I13"/>
    <mergeCell ref="F14:I14"/>
    <mergeCell ref="F15:I15"/>
    <mergeCell ref="F16:I16"/>
    <mergeCell ref="C25:E25"/>
    <mergeCell ref="C26:E26"/>
    <mergeCell ref="C27:E27"/>
    <mergeCell ref="C28:E28"/>
    <mergeCell ref="F26:AL26"/>
    <mergeCell ref="F27:AL27"/>
    <mergeCell ref="F28:AL28"/>
    <mergeCell ref="B4:C4"/>
    <mergeCell ref="D4:E4"/>
    <mergeCell ref="B3:E3"/>
    <mergeCell ref="J3:M3"/>
    <mergeCell ref="C24:E24"/>
    <mergeCell ref="C18:AL18"/>
    <mergeCell ref="C19:E19"/>
    <mergeCell ref="C20:E20"/>
    <mergeCell ref="F19:AL19"/>
    <mergeCell ref="C22:AL22"/>
    <mergeCell ref="C23:E23"/>
    <mergeCell ref="C12:I12"/>
    <mergeCell ref="C13:E13"/>
    <mergeCell ref="C14:E14"/>
    <mergeCell ref="C15:E15"/>
    <mergeCell ref="C16:E16"/>
  </mergeCells>
  <hyperlinks>
    <hyperlink ref="B4" location="'Imputation'!$B$10:$B$10" display="Inputs" xr:uid="{3EE81DF6-4AF4-4474-87DB-668F89AFB544}"/>
    <hyperlink ref="D4" location="'Imputation'!$B$31:$B$31" display="Transformed Data" xr:uid="{7B287B7B-2D58-4316-A029-CEAEF823CF1C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4245A-8FB7-479F-9A65-39D16806116C}">
  <dimension ref="B1:CV605"/>
  <sheetViews>
    <sheetView showGridLines="0" tabSelected="1" topLeftCell="A41" workbookViewId="0">
      <selection activeCell="I53" sqref="I53"/>
    </sheetView>
  </sheetViews>
  <sheetFormatPr defaultRowHeight="14.4"/>
  <cols>
    <col min="3" max="4" width="11" customWidth="1"/>
    <col min="5" max="9" width="18.109375" customWidth="1"/>
    <col min="10" max="10" width="29.109375" bestFit="1" customWidth="1"/>
    <col min="11" max="13" width="18.109375" customWidth="1"/>
    <col min="14" max="34" width="19.109375" customWidth="1"/>
  </cols>
  <sheetData>
    <row r="1" spans="2:100" ht="18">
      <c r="B1" s="8" t="s">
        <v>709</v>
      </c>
      <c r="N1" t="s">
        <v>2444</v>
      </c>
      <c r="CV1" s="15" t="s">
        <v>2445</v>
      </c>
    </row>
    <row r="3" spans="2:100" ht="15.6">
      <c r="B3" s="17" t="s">
        <v>80</v>
      </c>
      <c r="C3" s="18"/>
      <c r="D3" s="18"/>
      <c r="E3" s="18"/>
      <c r="F3" s="18"/>
      <c r="G3" s="19"/>
      <c r="J3" s="17" t="s">
        <v>103</v>
      </c>
      <c r="K3" s="18"/>
      <c r="L3" s="18"/>
      <c r="M3" s="19"/>
    </row>
    <row r="4" spans="2:100">
      <c r="B4" s="16" t="s">
        <v>81</v>
      </c>
      <c r="C4" s="16"/>
      <c r="D4" s="16" t="s">
        <v>710</v>
      </c>
      <c r="E4" s="16"/>
      <c r="F4" s="16" t="s">
        <v>721</v>
      </c>
      <c r="G4" s="16"/>
      <c r="J4" s="14" t="s">
        <v>104</v>
      </c>
      <c r="K4" s="14" t="s">
        <v>105</v>
      </c>
      <c r="L4" s="14" t="s">
        <v>106</v>
      </c>
      <c r="M4" s="14" t="s">
        <v>107</v>
      </c>
    </row>
    <row r="5" spans="2:100">
      <c r="J5" s="12">
        <v>342</v>
      </c>
      <c r="K5" s="12">
        <v>15</v>
      </c>
      <c r="L5" s="12">
        <v>22</v>
      </c>
      <c r="M5" s="12">
        <v>379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</row>
    <row r="13" spans="2:100">
      <c r="C13" s="20" t="s">
        <v>84</v>
      </c>
      <c r="D13" s="20"/>
      <c r="E13" s="21"/>
      <c r="F13" s="24" t="s">
        <v>98</v>
      </c>
      <c r="G13" s="24"/>
      <c r="H13" s="24"/>
      <c r="I13" s="24"/>
    </row>
    <row r="14" spans="2:100">
      <c r="C14" s="20" t="s">
        <v>85</v>
      </c>
      <c r="D14" s="20"/>
      <c r="E14" s="21"/>
      <c r="F14" s="24" t="s">
        <v>716</v>
      </c>
      <c r="G14" s="24"/>
      <c r="H14" s="24"/>
      <c r="I14" s="24"/>
    </row>
    <row r="15" spans="2:100">
      <c r="C15" s="20" t="s">
        <v>86</v>
      </c>
      <c r="D15" s="20"/>
      <c r="E15" s="21"/>
      <c r="F15" s="24" t="s">
        <v>717</v>
      </c>
      <c r="G15" s="24"/>
      <c r="H15" s="24"/>
      <c r="I15" s="24"/>
    </row>
    <row r="16" spans="2:100">
      <c r="C16" s="20" t="s">
        <v>87</v>
      </c>
      <c r="D16" s="20"/>
      <c r="E16" s="21"/>
      <c r="F16" s="23">
        <v>569</v>
      </c>
      <c r="G16" s="23"/>
      <c r="H16" s="23"/>
      <c r="I16" s="23"/>
    </row>
    <row r="18" spans="2:36" ht="15.6">
      <c r="C18" s="22" t="s">
        <v>88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 spans="2:36">
      <c r="C19" s="20" t="s">
        <v>89</v>
      </c>
      <c r="D19" s="20"/>
      <c r="E19" s="21"/>
      <c r="F19" s="23">
        <v>31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2:36">
      <c r="C20" s="20" t="s">
        <v>90</v>
      </c>
      <c r="D20" s="20"/>
      <c r="E20" s="21"/>
      <c r="F20" s="12" t="s">
        <v>718</v>
      </c>
      <c r="G20" s="12" t="s">
        <v>110</v>
      </c>
      <c r="H20" s="12" t="s">
        <v>111</v>
      </c>
      <c r="I20" s="12" t="s">
        <v>112</v>
      </c>
      <c r="J20" s="12" t="s">
        <v>113</v>
      </c>
      <c r="K20" s="12" t="s">
        <v>114</v>
      </c>
      <c r="L20" s="12" t="s">
        <v>115</v>
      </c>
      <c r="M20" s="12" t="s">
        <v>116</v>
      </c>
      <c r="N20" s="12" t="s">
        <v>117</v>
      </c>
      <c r="O20" s="12" t="s">
        <v>118</v>
      </c>
      <c r="P20" s="12" t="s">
        <v>119</v>
      </c>
      <c r="Q20" s="12" t="s">
        <v>120</v>
      </c>
      <c r="R20" s="12" t="s">
        <v>121</v>
      </c>
      <c r="S20" s="12" t="s">
        <v>122</v>
      </c>
      <c r="T20" s="12" t="s">
        <v>123</v>
      </c>
      <c r="U20" s="12" t="s">
        <v>124</v>
      </c>
      <c r="V20" s="12" t="s">
        <v>125</v>
      </c>
      <c r="W20" s="12" t="s">
        <v>126</v>
      </c>
      <c r="X20" s="12" t="s">
        <v>127</v>
      </c>
      <c r="Y20" s="12" t="s">
        <v>128</v>
      </c>
      <c r="Z20" s="12" t="s">
        <v>129</v>
      </c>
      <c r="AA20" s="12" t="s">
        <v>130</v>
      </c>
      <c r="AB20" s="12" t="s">
        <v>131</v>
      </c>
      <c r="AC20" s="12" t="s">
        <v>132</v>
      </c>
      <c r="AD20" s="12" t="s">
        <v>133</v>
      </c>
      <c r="AE20" s="12" t="s">
        <v>134</v>
      </c>
      <c r="AF20" s="12" t="s">
        <v>135</v>
      </c>
      <c r="AG20" s="12" t="s">
        <v>136</v>
      </c>
      <c r="AH20" s="12" t="s">
        <v>137</v>
      </c>
      <c r="AI20" s="12" t="s">
        <v>138</v>
      </c>
      <c r="AJ20" s="12" t="s">
        <v>139</v>
      </c>
    </row>
    <row r="22" spans="2:36" ht="15.6">
      <c r="C22" s="22" t="s">
        <v>711</v>
      </c>
      <c r="D22" s="22"/>
      <c r="E22" s="22"/>
      <c r="F22" s="22"/>
      <c r="G22" s="22"/>
      <c r="H22" s="22"/>
      <c r="I22" s="22"/>
    </row>
    <row r="23" spans="2:36">
      <c r="C23" s="20" t="s">
        <v>712</v>
      </c>
      <c r="D23" s="20"/>
      <c r="E23" s="21"/>
      <c r="F23" s="23" t="s">
        <v>719</v>
      </c>
      <c r="G23" s="23"/>
      <c r="H23" s="23"/>
      <c r="I23" s="23"/>
    </row>
    <row r="24" spans="2:36">
      <c r="C24" s="20" t="s">
        <v>713</v>
      </c>
      <c r="D24" s="20"/>
      <c r="E24" s="21"/>
      <c r="F24" s="23">
        <v>12345</v>
      </c>
      <c r="G24" s="23"/>
      <c r="H24" s="23"/>
      <c r="I24" s="23"/>
    </row>
    <row r="25" spans="2:36">
      <c r="C25" s="20" t="s">
        <v>714</v>
      </c>
      <c r="D25" s="20"/>
      <c r="E25" s="21"/>
      <c r="F25" s="23">
        <v>0.9</v>
      </c>
      <c r="G25" s="23"/>
      <c r="H25" s="23"/>
      <c r="I25" s="23"/>
    </row>
    <row r="26" spans="2:36">
      <c r="C26" s="20" t="s">
        <v>715</v>
      </c>
      <c r="D26" s="20"/>
      <c r="E26" s="21"/>
      <c r="F26" s="23">
        <v>0.1</v>
      </c>
      <c r="G26" s="23"/>
      <c r="H26" s="23"/>
      <c r="I26" s="23"/>
    </row>
    <row r="28" spans="2:36" ht="18">
      <c r="B28" s="9" t="s">
        <v>710</v>
      </c>
    </row>
    <row r="30" spans="2:36">
      <c r="C30" s="11" t="s">
        <v>722</v>
      </c>
      <c r="D30" t="s">
        <v>723</v>
      </c>
    </row>
    <row r="31" spans="2:36">
      <c r="C31" s="11" t="s">
        <v>724</v>
      </c>
      <c r="D31">
        <v>512</v>
      </c>
    </row>
    <row r="32" spans="2:36">
      <c r="C32" s="11" t="s">
        <v>725</v>
      </c>
      <c r="D32">
        <v>57</v>
      </c>
    </row>
    <row r="34" spans="2:34" ht="18">
      <c r="B34" s="9" t="s">
        <v>721</v>
      </c>
    </row>
    <row r="36" spans="2:34">
      <c r="C36" s="11" t="s">
        <v>109</v>
      </c>
      <c r="D36" t="s">
        <v>718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115</v>
      </c>
      <c r="K36" t="s">
        <v>116</v>
      </c>
      <c r="L36" t="s">
        <v>117</v>
      </c>
      <c r="M36" t="s">
        <v>118</v>
      </c>
      <c r="N36" t="s">
        <v>119</v>
      </c>
      <c r="O36" t="s">
        <v>120</v>
      </c>
      <c r="P36" t="s">
        <v>121</v>
      </c>
      <c r="Q36" t="s">
        <v>122</v>
      </c>
      <c r="R36" t="s">
        <v>123</v>
      </c>
      <c r="S36" t="s">
        <v>124</v>
      </c>
      <c r="T36" t="s">
        <v>125</v>
      </c>
      <c r="U36" t="s">
        <v>126</v>
      </c>
      <c r="V36" t="s">
        <v>127</v>
      </c>
      <c r="W36" t="s">
        <v>128</v>
      </c>
      <c r="X36" t="s">
        <v>129</v>
      </c>
      <c r="Y36" t="s">
        <v>130</v>
      </c>
      <c r="Z36" t="s">
        <v>131</v>
      </c>
      <c r="AA36" t="s">
        <v>132</v>
      </c>
      <c r="AB36" t="s">
        <v>133</v>
      </c>
      <c r="AC36" t="s">
        <v>134</v>
      </c>
      <c r="AD36" t="s">
        <v>135</v>
      </c>
      <c r="AE36" t="s">
        <v>136</v>
      </c>
      <c r="AF36" t="s">
        <v>137</v>
      </c>
      <c r="AG36" t="s">
        <v>138</v>
      </c>
      <c r="AH36" t="s">
        <v>139</v>
      </c>
    </row>
    <row r="37" spans="2:34">
      <c r="C37" s="11" t="s">
        <v>140</v>
      </c>
      <c r="D37" s="10" t="s">
        <v>0</v>
      </c>
      <c r="E37" s="10">
        <v>17.989999999999899</v>
      </c>
      <c r="F37" s="10">
        <v>10.38</v>
      </c>
      <c r="G37" s="10">
        <v>122.8</v>
      </c>
      <c r="H37" s="10">
        <v>1001</v>
      </c>
      <c r="I37" s="10">
        <v>0.11840000000000001</v>
      </c>
      <c r="J37" s="10">
        <v>0.27760000000000001</v>
      </c>
      <c r="K37" s="10">
        <v>0.30009999999999898</v>
      </c>
      <c r="L37" s="10">
        <v>0.14710000000000001</v>
      </c>
      <c r="M37" s="10">
        <v>0.2419</v>
      </c>
      <c r="N37" s="10">
        <v>7.8710000000000002E-2</v>
      </c>
      <c r="O37" s="10">
        <v>1.095</v>
      </c>
      <c r="P37" s="10">
        <v>0.90529999999999899</v>
      </c>
      <c r="Q37" s="10">
        <v>8.5890000000000004</v>
      </c>
      <c r="R37" s="10">
        <v>153.4</v>
      </c>
      <c r="S37" s="10">
        <v>6.3990000000000002E-3</v>
      </c>
      <c r="T37" s="10">
        <v>4.904E-2</v>
      </c>
      <c r="U37" s="10">
        <v>5.373E-2</v>
      </c>
      <c r="V37" s="10">
        <v>1.5869999999999902E-2</v>
      </c>
      <c r="W37" s="10">
        <v>3.0030000000000001E-2</v>
      </c>
      <c r="X37" s="10">
        <v>6.1929999999999902E-3</v>
      </c>
      <c r="Y37" s="10">
        <v>25.3799999999999</v>
      </c>
      <c r="Z37" s="10">
        <v>17.329999999999899</v>
      </c>
      <c r="AA37" s="10">
        <v>184.599999999999</v>
      </c>
      <c r="AB37" s="10">
        <v>2019</v>
      </c>
      <c r="AC37" s="10">
        <v>0.16220000000000001</v>
      </c>
      <c r="AD37" s="10">
        <v>0.66559999999999897</v>
      </c>
      <c r="AE37" s="10">
        <v>0.71189999999999898</v>
      </c>
      <c r="AF37" s="10">
        <v>0.26540000000000002</v>
      </c>
      <c r="AG37" s="10">
        <v>0.46010000000000001</v>
      </c>
      <c r="AH37">
        <v>0.11890000000000001</v>
      </c>
    </row>
    <row r="38" spans="2:34">
      <c r="C38" s="11" t="s">
        <v>141</v>
      </c>
      <c r="D38" s="10" t="s">
        <v>0</v>
      </c>
      <c r="E38" s="10">
        <v>20.57</v>
      </c>
      <c r="F38" s="10">
        <v>17.77</v>
      </c>
      <c r="G38" s="10">
        <v>132.9</v>
      </c>
      <c r="H38" s="10">
        <v>1326</v>
      </c>
      <c r="I38" s="10">
        <v>8.4739999999999899E-2</v>
      </c>
      <c r="J38" s="10">
        <v>7.8640000000000002E-2</v>
      </c>
      <c r="K38" s="10">
        <v>8.6900000000000005E-2</v>
      </c>
      <c r="L38" s="10">
        <v>7.0169999999999899E-2</v>
      </c>
      <c r="M38" s="10">
        <v>0.1812</v>
      </c>
      <c r="N38" s="10">
        <v>5.6669999999999901E-2</v>
      </c>
      <c r="O38" s="10">
        <v>0.54349999999999898</v>
      </c>
      <c r="P38" s="10">
        <v>0.7339</v>
      </c>
      <c r="Q38" s="10">
        <v>3.3980000000000001</v>
      </c>
      <c r="R38" s="10">
        <v>74.079999999999899</v>
      </c>
      <c r="S38" s="10">
        <v>5.2249999999999901E-3</v>
      </c>
      <c r="T38" s="10">
        <v>1.308E-2</v>
      </c>
      <c r="U38" s="10">
        <v>1.8599999999999901E-2</v>
      </c>
      <c r="V38" s="10">
        <v>1.34E-2</v>
      </c>
      <c r="W38" s="10">
        <v>1.389E-2</v>
      </c>
      <c r="X38" s="10">
        <v>3.532E-3</v>
      </c>
      <c r="Y38" s="10">
        <v>24.989999999999899</v>
      </c>
      <c r="Z38" s="10">
        <v>23.41</v>
      </c>
      <c r="AA38" s="10">
        <v>158.80000000000001</v>
      </c>
      <c r="AB38" s="10">
        <v>1956</v>
      </c>
      <c r="AC38" s="10">
        <v>0.12379999999999899</v>
      </c>
      <c r="AD38" s="10">
        <v>0.18659999999999899</v>
      </c>
      <c r="AE38" s="10">
        <v>0.24160000000000001</v>
      </c>
      <c r="AF38" s="10">
        <v>0.186</v>
      </c>
      <c r="AG38" s="10">
        <v>0.27500000000000002</v>
      </c>
      <c r="AH38">
        <v>8.9020000000000002E-2</v>
      </c>
    </row>
    <row r="39" spans="2:34">
      <c r="C39" s="11" t="s">
        <v>143</v>
      </c>
      <c r="D39" s="10" t="s">
        <v>0</v>
      </c>
      <c r="E39" s="10">
        <v>11.42</v>
      </c>
      <c r="F39" s="10">
        <v>20.3799999999999</v>
      </c>
      <c r="G39" s="10">
        <v>77.579999999999899</v>
      </c>
      <c r="H39" s="10">
        <v>386.1</v>
      </c>
      <c r="I39" s="10">
        <v>0.14249999999999899</v>
      </c>
      <c r="J39" s="10">
        <v>0.28389999999999899</v>
      </c>
      <c r="K39" s="10">
        <v>0.2414</v>
      </c>
      <c r="L39" s="10">
        <v>0.1052</v>
      </c>
      <c r="M39" s="10">
        <v>0.25969999999999899</v>
      </c>
      <c r="N39" s="10">
        <v>9.7439999999999902E-2</v>
      </c>
      <c r="O39" s="10">
        <v>0.49559999999999899</v>
      </c>
      <c r="P39" s="10">
        <v>1.1559999999999899</v>
      </c>
      <c r="Q39" s="10">
        <v>3.4449999999999901</v>
      </c>
      <c r="R39" s="10">
        <v>27.23</v>
      </c>
      <c r="S39" s="10">
        <v>9.11E-3</v>
      </c>
      <c r="T39" s="10">
        <v>7.4579999999999896E-2</v>
      </c>
      <c r="U39" s="10">
        <v>5.6610000000000001E-2</v>
      </c>
      <c r="V39" s="10">
        <v>1.8669999999999898E-2</v>
      </c>
      <c r="W39" s="10">
        <v>5.9630000000000002E-2</v>
      </c>
      <c r="X39" s="10">
        <v>9.2079999999999905E-3</v>
      </c>
      <c r="Y39" s="10">
        <v>14.91</v>
      </c>
      <c r="Z39" s="10">
        <v>26.5</v>
      </c>
      <c r="AA39" s="10">
        <v>98.87</v>
      </c>
      <c r="AB39" s="10">
        <v>567.70000000000005</v>
      </c>
      <c r="AC39" s="10">
        <v>0.20979999999999899</v>
      </c>
      <c r="AD39" s="10">
        <v>0.86629999999999896</v>
      </c>
      <c r="AE39" s="10">
        <v>0.68689999999999896</v>
      </c>
      <c r="AF39" s="10">
        <v>0.25750000000000001</v>
      </c>
      <c r="AG39" s="10">
        <v>0.66379999999999895</v>
      </c>
      <c r="AH39">
        <v>0.17299999999999899</v>
      </c>
    </row>
    <row r="40" spans="2:34">
      <c r="C40" s="11" t="s">
        <v>144</v>
      </c>
      <c r="D40" s="10" t="s">
        <v>0</v>
      </c>
      <c r="E40" s="10">
        <v>20.2899999999999</v>
      </c>
      <c r="F40" s="10">
        <v>14.34</v>
      </c>
      <c r="G40" s="10">
        <v>135.099999999999</v>
      </c>
      <c r="H40" s="10">
        <v>1297</v>
      </c>
      <c r="I40" s="10">
        <v>0.1003</v>
      </c>
      <c r="J40" s="10">
        <v>0.1328</v>
      </c>
      <c r="K40" s="10">
        <v>0.19800000000000001</v>
      </c>
      <c r="L40" s="10">
        <v>0.1043</v>
      </c>
      <c r="M40" s="10">
        <v>0.18090000000000001</v>
      </c>
      <c r="N40" s="10">
        <v>5.883E-2</v>
      </c>
      <c r="O40" s="10">
        <v>0.75719999999999898</v>
      </c>
      <c r="P40" s="10">
        <v>0.781299999999999</v>
      </c>
      <c r="Q40" s="10">
        <v>5.43799999999999</v>
      </c>
      <c r="R40" s="10">
        <v>94.439999999999898</v>
      </c>
      <c r="S40" s="10">
        <v>1.149E-2</v>
      </c>
      <c r="T40" s="10">
        <v>2.461E-2</v>
      </c>
      <c r="U40" s="10">
        <v>5.688E-2</v>
      </c>
      <c r="V40" s="10">
        <v>1.8849999999999902E-2</v>
      </c>
      <c r="W40" s="10">
        <v>1.7559999999999899E-2</v>
      </c>
      <c r="X40" s="10">
        <v>5.1149999999999902E-3</v>
      </c>
      <c r="Y40" s="10">
        <v>22.5399999999999</v>
      </c>
      <c r="Z40" s="10">
        <v>16.670000000000002</v>
      </c>
      <c r="AA40" s="10">
        <v>152.19999999999899</v>
      </c>
      <c r="AB40" s="10">
        <v>1575</v>
      </c>
      <c r="AC40" s="10">
        <v>0.137399999999999</v>
      </c>
      <c r="AD40" s="10">
        <v>0.20499999999999899</v>
      </c>
      <c r="AE40" s="10">
        <v>0.4</v>
      </c>
      <c r="AF40" s="10">
        <v>0.16250000000000001</v>
      </c>
      <c r="AG40" s="10">
        <v>0.2364</v>
      </c>
      <c r="AH40">
        <v>7.6780000000000001E-2</v>
      </c>
    </row>
    <row r="41" spans="2:34">
      <c r="C41" s="11" t="s">
        <v>145</v>
      </c>
      <c r="D41" s="10" t="s">
        <v>0</v>
      </c>
      <c r="E41" s="10">
        <v>12.4499999999999</v>
      </c>
      <c r="F41" s="10">
        <v>15.6999999999999</v>
      </c>
      <c r="G41" s="10">
        <v>82.569999999999894</v>
      </c>
      <c r="H41" s="10">
        <v>477.1</v>
      </c>
      <c r="I41" s="10">
        <v>0.1278</v>
      </c>
      <c r="J41" s="10">
        <v>0.17</v>
      </c>
      <c r="K41" s="10">
        <v>0.1578</v>
      </c>
      <c r="L41" s="10">
        <v>8.0890000000000004E-2</v>
      </c>
      <c r="M41" s="10">
        <v>0.2087</v>
      </c>
      <c r="N41" s="10">
        <v>7.6130000000000003E-2</v>
      </c>
      <c r="O41" s="10">
        <v>0.33450000000000002</v>
      </c>
      <c r="P41" s="10">
        <v>0.89019999999999899</v>
      </c>
      <c r="Q41" s="10">
        <v>2.2170000000000001</v>
      </c>
      <c r="R41" s="10">
        <v>27.19</v>
      </c>
      <c r="S41" s="10">
        <v>7.5100000000000002E-3</v>
      </c>
      <c r="T41" s="10">
        <v>3.3450000000000001E-2</v>
      </c>
      <c r="U41" s="10">
        <v>3.6720000000000003E-2</v>
      </c>
      <c r="V41" s="10">
        <v>1.137E-2</v>
      </c>
      <c r="W41" s="10">
        <v>2.1649999999999898E-2</v>
      </c>
      <c r="X41" s="10">
        <v>5.0819999999999902E-3</v>
      </c>
      <c r="Y41" s="10">
        <v>15.47</v>
      </c>
      <c r="Z41" s="10">
        <v>23.75</v>
      </c>
      <c r="AA41" s="10">
        <v>103.4</v>
      </c>
      <c r="AB41" s="10">
        <v>741.6</v>
      </c>
      <c r="AC41" s="10">
        <v>0.17910000000000001</v>
      </c>
      <c r="AD41" s="10">
        <v>0.52490000000000003</v>
      </c>
      <c r="AE41" s="10">
        <v>0.53549999999999898</v>
      </c>
      <c r="AF41" s="10">
        <v>0.1741</v>
      </c>
      <c r="AG41" s="10">
        <v>0.39850000000000002</v>
      </c>
      <c r="AH41">
        <v>0.1244</v>
      </c>
    </row>
    <row r="42" spans="2:34">
      <c r="C42" s="11" t="s">
        <v>147</v>
      </c>
      <c r="D42" s="10" t="s">
        <v>0</v>
      </c>
      <c r="E42" s="10">
        <v>13.71</v>
      </c>
      <c r="F42" s="10">
        <v>20.829999999999899</v>
      </c>
      <c r="G42" s="10">
        <v>90.2</v>
      </c>
      <c r="H42" s="10">
        <v>577.89999999999895</v>
      </c>
      <c r="I42" s="10">
        <v>0.11890000000000001</v>
      </c>
      <c r="J42" s="10">
        <v>0.16450000000000001</v>
      </c>
      <c r="K42" s="10">
        <v>9.3659999999999896E-2</v>
      </c>
      <c r="L42" s="10">
        <v>5.985E-2</v>
      </c>
      <c r="M42" s="10">
        <v>0.21959999999999899</v>
      </c>
      <c r="N42" s="10">
        <v>7.4510000000000007E-2</v>
      </c>
      <c r="O42" s="10">
        <v>0.58350000000000002</v>
      </c>
      <c r="P42" s="10">
        <v>1.377</v>
      </c>
      <c r="Q42" s="10">
        <v>3.8559999999999901</v>
      </c>
      <c r="R42" s="10">
        <v>50.96</v>
      </c>
      <c r="S42" s="10">
        <v>8.8050000000000003E-3</v>
      </c>
      <c r="T42" s="10">
        <v>3.0290000000000001E-2</v>
      </c>
      <c r="U42" s="10">
        <v>2.4879999999999899E-2</v>
      </c>
      <c r="V42" s="10">
        <v>1.448E-2</v>
      </c>
      <c r="W42" s="10">
        <v>1.486E-2</v>
      </c>
      <c r="X42" s="10">
        <v>5.4120000000000001E-3</v>
      </c>
      <c r="Y42" s="10">
        <v>17.059999999999899</v>
      </c>
      <c r="Z42" s="10">
        <v>28.14</v>
      </c>
      <c r="AA42" s="10">
        <v>110.599999999999</v>
      </c>
      <c r="AB42" s="10">
        <v>897</v>
      </c>
      <c r="AC42" s="10">
        <v>0.16539999999999899</v>
      </c>
      <c r="AD42" s="10">
        <v>0.36820000000000003</v>
      </c>
      <c r="AE42" s="10">
        <v>0.26779999999999898</v>
      </c>
      <c r="AF42" s="10">
        <v>0.15559999999999899</v>
      </c>
      <c r="AG42" s="10">
        <v>0.3196</v>
      </c>
      <c r="AH42">
        <v>0.11509999999999899</v>
      </c>
    </row>
    <row r="43" spans="2:34">
      <c r="C43" s="11" t="s">
        <v>149</v>
      </c>
      <c r="D43" s="10" t="s">
        <v>0</v>
      </c>
      <c r="E43" s="10">
        <v>13.71</v>
      </c>
      <c r="F43" s="10">
        <v>24.0399999999999</v>
      </c>
      <c r="G43" s="10">
        <v>83.969999999999899</v>
      </c>
      <c r="H43" s="10">
        <v>475.89999999999901</v>
      </c>
      <c r="I43" s="10">
        <v>0.1186</v>
      </c>
      <c r="J43" s="10">
        <v>0.23960000000000001</v>
      </c>
      <c r="K43" s="10">
        <v>0.2273</v>
      </c>
      <c r="L43" s="10">
        <v>8.5430000000000006E-2</v>
      </c>
      <c r="M43" s="10">
        <v>0.20300000000000001</v>
      </c>
      <c r="N43" s="10">
        <v>8.2430000000000003E-2</v>
      </c>
      <c r="O43" s="10">
        <v>0.29759999999999898</v>
      </c>
      <c r="P43" s="10">
        <v>1.599</v>
      </c>
      <c r="Q43" s="10">
        <v>2.0390000000000001</v>
      </c>
      <c r="R43" s="10">
        <v>23.94</v>
      </c>
      <c r="S43" s="10">
        <v>7.149E-3</v>
      </c>
      <c r="T43" s="10">
        <v>7.2169999999999901E-2</v>
      </c>
      <c r="U43" s="10">
        <v>7.7429999999999902E-2</v>
      </c>
      <c r="V43" s="10">
        <v>1.4319999999999901E-2</v>
      </c>
      <c r="W43" s="10">
        <v>1.789E-2</v>
      </c>
      <c r="X43" s="10">
        <v>1.008E-2</v>
      </c>
      <c r="Y43" s="10">
        <v>15.09</v>
      </c>
      <c r="Z43" s="10">
        <v>40.68</v>
      </c>
      <c r="AA43" s="10">
        <v>97.65</v>
      </c>
      <c r="AB43" s="10">
        <v>711.39999999999895</v>
      </c>
      <c r="AC43" s="10">
        <v>0.18529999999999899</v>
      </c>
      <c r="AD43" s="10">
        <v>1.0580000000000001</v>
      </c>
      <c r="AE43" s="10">
        <v>1.105</v>
      </c>
      <c r="AF43" s="10">
        <v>0.221</v>
      </c>
      <c r="AG43" s="10">
        <v>0.43659999999999899</v>
      </c>
      <c r="AH43">
        <v>0.20749999999999899</v>
      </c>
    </row>
    <row r="44" spans="2:34">
      <c r="C44" s="11" t="s">
        <v>150</v>
      </c>
      <c r="D44" s="10" t="s">
        <v>0</v>
      </c>
      <c r="E44" s="10">
        <v>13.71</v>
      </c>
      <c r="F44" s="10">
        <v>23.239999999999899</v>
      </c>
      <c r="G44" s="10">
        <v>102.7</v>
      </c>
      <c r="H44" s="10">
        <v>797.79999999999905</v>
      </c>
      <c r="I44" s="10">
        <v>8.2059999999999897E-2</v>
      </c>
      <c r="J44" s="10">
        <v>6.6689999999999902E-2</v>
      </c>
      <c r="K44" s="10">
        <v>3.2989999999999901E-2</v>
      </c>
      <c r="L44" s="10">
        <v>3.3230000000000003E-2</v>
      </c>
      <c r="M44" s="10">
        <v>0.15279999999999899</v>
      </c>
      <c r="N44" s="10">
        <v>5.697E-2</v>
      </c>
      <c r="O44" s="10">
        <v>0.3795</v>
      </c>
      <c r="P44" s="10">
        <v>1.1870000000000001</v>
      </c>
      <c r="Q44" s="10">
        <v>2.4660000000000002</v>
      </c>
      <c r="R44" s="10">
        <v>40.509999999999899</v>
      </c>
      <c r="S44" s="10">
        <v>4.0289999999999901E-3</v>
      </c>
      <c r="T44" s="10">
        <v>9.2689999999999908E-3</v>
      </c>
      <c r="U44" s="10">
        <v>1.1010000000000001E-2</v>
      </c>
      <c r="V44" s="10">
        <v>7.5909999999999901E-3</v>
      </c>
      <c r="W44" s="10">
        <v>1.46E-2</v>
      </c>
      <c r="X44" s="10">
        <v>3.042E-3</v>
      </c>
      <c r="Y44" s="10">
        <v>19.190000000000001</v>
      </c>
      <c r="Z44" s="10">
        <v>33.880000000000003</v>
      </c>
      <c r="AA44" s="10">
        <v>123.8</v>
      </c>
      <c r="AB44" s="10">
        <v>1150</v>
      </c>
      <c r="AC44" s="10">
        <v>0.1181</v>
      </c>
      <c r="AD44" s="10">
        <v>0.15509999999999899</v>
      </c>
      <c r="AE44" s="10">
        <v>0.1459</v>
      </c>
      <c r="AF44" s="10">
        <v>9.9750000000000005E-2</v>
      </c>
      <c r="AG44" s="10">
        <v>0.29480000000000001</v>
      </c>
      <c r="AH44">
        <v>8.4519999999999901E-2</v>
      </c>
    </row>
    <row r="45" spans="2:34">
      <c r="C45" s="11" t="s">
        <v>151</v>
      </c>
      <c r="D45" s="10" t="s">
        <v>0</v>
      </c>
      <c r="E45" s="10">
        <v>13.71</v>
      </c>
      <c r="F45" s="10">
        <v>17.89</v>
      </c>
      <c r="G45" s="10">
        <v>103.599999999999</v>
      </c>
      <c r="H45" s="10">
        <v>781</v>
      </c>
      <c r="I45" s="10">
        <v>9.7100000000000006E-2</v>
      </c>
      <c r="J45" s="10">
        <v>0.12920000000000001</v>
      </c>
      <c r="K45" s="10">
        <v>9.9540000000000003E-2</v>
      </c>
      <c r="L45" s="10">
        <v>6.6059999999999897E-2</v>
      </c>
      <c r="M45" s="10">
        <v>0.1842</v>
      </c>
      <c r="N45" s="10">
        <v>6.0819999999999902E-2</v>
      </c>
      <c r="O45" s="10">
        <v>0.50580000000000003</v>
      </c>
      <c r="P45" s="10">
        <v>0.9849</v>
      </c>
      <c r="Q45" s="10">
        <v>3.5640000000000001</v>
      </c>
      <c r="R45" s="10">
        <v>54.159999999999897</v>
      </c>
      <c r="S45" s="10">
        <v>5.7710000000000001E-3</v>
      </c>
      <c r="T45" s="10">
        <v>4.061E-2</v>
      </c>
      <c r="U45" s="10">
        <v>2.7910000000000001E-2</v>
      </c>
      <c r="V45" s="10">
        <v>1.282E-2</v>
      </c>
      <c r="W45" s="10">
        <v>2.0080000000000001E-2</v>
      </c>
      <c r="X45" s="10">
        <v>4.1440000000000001E-3</v>
      </c>
      <c r="Y45" s="10">
        <v>20.420000000000002</v>
      </c>
      <c r="Z45" s="10">
        <v>27.28</v>
      </c>
      <c r="AA45" s="10">
        <v>136.5</v>
      </c>
      <c r="AB45" s="10">
        <v>1299</v>
      </c>
      <c r="AC45" s="10">
        <v>0.1396</v>
      </c>
      <c r="AD45" s="10">
        <v>0.56089999999999895</v>
      </c>
      <c r="AE45" s="10">
        <v>0.39650000000000002</v>
      </c>
      <c r="AF45" s="10">
        <v>0.180999999999999</v>
      </c>
      <c r="AG45" s="10">
        <v>0.37919999999999898</v>
      </c>
      <c r="AH45">
        <v>0.1048</v>
      </c>
    </row>
    <row r="46" spans="2:34">
      <c r="C46" s="11" t="s">
        <v>152</v>
      </c>
      <c r="D46" s="10" t="s">
        <v>0</v>
      </c>
      <c r="E46" s="10">
        <v>13.71</v>
      </c>
      <c r="F46" s="10">
        <v>24.8</v>
      </c>
      <c r="G46" s="10">
        <v>132.4</v>
      </c>
      <c r="H46" s="10">
        <v>1123</v>
      </c>
      <c r="I46" s="10">
        <v>9.74E-2</v>
      </c>
      <c r="J46" s="10">
        <v>0.24579999999999899</v>
      </c>
      <c r="K46" s="10">
        <v>0.20649999999999899</v>
      </c>
      <c r="L46" s="10">
        <v>0.1118</v>
      </c>
      <c r="M46" s="10">
        <v>0.2397</v>
      </c>
      <c r="N46" s="10">
        <v>7.8E-2</v>
      </c>
      <c r="O46" s="10">
        <v>0.95550000000000002</v>
      </c>
      <c r="P46" s="10">
        <v>3.5680000000000001</v>
      </c>
      <c r="Q46" s="10">
        <v>11.07</v>
      </c>
      <c r="R46" s="10">
        <v>116.2</v>
      </c>
      <c r="S46" s="10">
        <v>3.1389999999999899E-3</v>
      </c>
      <c r="T46" s="10">
        <v>8.2970000000000002E-2</v>
      </c>
      <c r="U46" s="10">
        <v>8.8900000000000007E-2</v>
      </c>
      <c r="V46" s="10">
        <v>4.0899999999999902E-2</v>
      </c>
      <c r="W46" s="10">
        <v>4.4839999999999901E-2</v>
      </c>
      <c r="X46" s="10">
        <v>1.2840000000000001E-2</v>
      </c>
      <c r="Y46" s="10">
        <v>20.96</v>
      </c>
      <c r="Z46" s="10">
        <v>29.94</v>
      </c>
      <c r="AA46" s="10">
        <v>151.69999999999899</v>
      </c>
      <c r="AB46" s="10">
        <v>1332</v>
      </c>
      <c r="AC46" s="10">
        <v>0.1037</v>
      </c>
      <c r="AD46" s="10">
        <v>0.39029999999999898</v>
      </c>
      <c r="AE46" s="10">
        <v>0.3639</v>
      </c>
      <c r="AF46" s="10">
        <v>0.1767</v>
      </c>
      <c r="AG46" s="10">
        <v>0.31759999999999899</v>
      </c>
      <c r="AH46">
        <v>0.1023</v>
      </c>
    </row>
    <row r="47" spans="2:34">
      <c r="C47" s="11" t="s">
        <v>153</v>
      </c>
      <c r="D47" s="10" t="s">
        <v>0</v>
      </c>
      <c r="E47" s="10">
        <v>13.71</v>
      </c>
      <c r="F47" s="10">
        <v>23.9499999999999</v>
      </c>
      <c r="G47" s="10">
        <v>103.7</v>
      </c>
      <c r="H47" s="10">
        <v>782.7</v>
      </c>
      <c r="I47" s="10">
        <v>8.4010000000000001E-2</v>
      </c>
      <c r="J47" s="10">
        <v>0.1002</v>
      </c>
      <c r="K47" s="10">
        <v>9.9379999999999899E-2</v>
      </c>
      <c r="L47" s="10">
        <v>5.364E-2</v>
      </c>
      <c r="M47" s="10">
        <v>0.1847</v>
      </c>
      <c r="N47" s="10">
        <v>5.33799999999999E-2</v>
      </c>
      <c r="O47" s="10">
        <v>0.40329999999999899</v>
      </c>
      <c r="P47" s="10">
        <v>1.0780000000000001</v>
      </c>
      <c r="Q47" s="10">
        <v>2.903</v>
      </c>
      <c r="R47" s="10">
        <v>36.579999999999899</v>
      </c>
      <c r="S47" s="10">
        <v>9.7689999999999895E-3</v>
      </c>
      <c r="T47" s="10">
        <v>3.1260000000000003E-2</v>
      </c>
      <c r="U47" s="10">
        <v>5.0509999999999902E-2</v>
      </c>
      <c r="V47" s="10">
        <v>1.992E-2</v>
      </c>
      <c r="W47" s="10">
        <v>2.981E-2</v>
      </c>
      <c r="X47" s="10">
        <v>3.0019999999999899E-3</v>
      </c>
      <c r="Y47" s="10">
        <v>16.84</v>
      </c>
      <c r="Z47" s="10">
        <v>27.66</v>
      </c>
      <c r="AA47" s="10">
        <v>112</v>
      </c>
      <c r="AB47" s="10">
        <v>876.5</v>
      </c>
      <c r="AC47" s="10">
        <v>0.11310000000000001</v>
      </c>
      <c r="AD47" s="10">
        <v>0.19239999999999899</v>
      </c>
      <c r="AE47" s="10">
        <v>0.23219999999999899</v>
      </c>
      <c r="AF47" s="10">
        <v>0.1119</v>
      </c>
      <c r="AG47" s="10">
        <v>0.28089999999999898</v>
      </c>
      <c r="AH47">
        <v>6.2869999999999898E-2</v>
      </c>
    </row>
    <row r="48" spans="2:34">
      <c r="C48" s="11" t="s">
        <v>154</v>
      </c>
      <c r="D48" s="10" t="s">
        <v>0</v>
      </c>
      <c r="E48" s="10">
        <v>13.71</v>
      </c>
      <c r="F48" s="10">
        <v>22.6099999999999</v>
      </c>
      <c r="G48" s="10">
        <v>93.599999999999895</v>
      </c>
      <c r="H48" s="10">
        <v>578.29999999999905</v>
      </c>
      <c r="I48" s="10">
        <v>0.11310000000000001</v>
      </c>
      <c r="J48" s="10">
        <v>0.2293</v>
      </c>
      <c r="K48" s="10">
        <v>0.21279999999999899</v>
      </c>
      <c r="L48" s="10">
        <v>8.0250000000000002E-2</v>
      </c>
      <c r="M48" s="10">
        <v>0.2069</v>
      </c>
      <c r="N48" s="10">
        <v>7.6819999999999902E-2</v>
      </c>
      <c r="O48" s="10">
        <v>0.21210000000000001</v>
      </c>
      <c r="P48" s="10">
        <v>1.169</v>
      </c>
      <c r="Q48" s="10">
        <v>2.0609999999999902</v>
      </c>
      <c r="R48" s="10">
        <v>19.21</v>
      </c>
      <c r="S48" s="10">
        <v>6.4289999999999903E-3</v>
      </c>
      <c r="T48" s="10">
        <v>5.9360000000000003E-2</v>
      </c>
      <c r="U48" s="10">
        <v>5.5010000000000003E-2</v>
      </c>
      <c r="V48" s="10">
        <v>1.6279999999999899E-2</v>
      </c>
      <c r="W48" s="10">
        <v>1.9609999999999898E-2</v>
      </c>
      <c r="X48" s="10">
        <v>8.0929999999999908E-3</v>
      </c>
      <c r="Y48" s="10">
        <v>15.0299999999999</v>
      </c>
      <c r="Z48" s="10">
        <v>32.009999999999899</v>
      </c>
      <c r="AA48" s="10">
        <v>108.8</v>
      </c>
      <c r="AB48" s="10">
        <v>697.7</v>
      </c>
      <c r="AC48" s="10">
        <v>0.1651</v>
      </c>
      <c r="AD48" s="10">
        <v>0.77249999999999897</v>
      </c>
      <c r="AE48" s="10">
        <v>0.69430000000000003</v>
      </c>
      <c r="AF48" s="10">
        <v>0.2208</v>
      </c>
      <c r="AG48" s="10">
        <v>0.35959999999999898</v>
      </c>
      <c r="AH48">
        <v>0.1431</v>
      </c>
    </row>
    <row r="49" spans="3:34">
      <c r="C49" s="11" t="s">
        <v>155</v>
      </c>
      <c r="D49" s="10" t="s">
        <v>0</v>
      </c>
      <c r="E49" s="10">
        <v>13.71</v>
      </c>
      <c r="F49" s="10">
        <v>27.5399999999999</v>
      </c>
      <c r="G49" s="10">
        <v>96.73</v>
      </c>
      <c r="H49" s="10">
        <v>658.79999999999905</v>
      </c>
      <c r="I49" s="10">
        <v>0.1139</v>
      </c>
      <c r="J49" s="10">
        <v>0.1595</v>
      </c>
      <c r="K49" s="10">
        <v>0.16389999999999899</v>
      </c>
      <c r="L49" s="10">
        <v>7.36399999999999E-2</v>
      </c>
      <c r="M49" s="10">
        <v>0.2303</v>
      </c>
      <c r="N49" s="10">
        <v>7.077E-2</v>
      </c>
      <c r="O49" s="10">
        <v>0.37</v>
      </c>
      <c r="P49" s="10">
        <v>1.0329999999999899</v>
      </c>
      <c r="Q49" s="10">
        <v>2.879</v>
      </c>
      <c r="R49" s="10">
        <v>32.549999999999898</v>
      </c>
      <c r="S49" s="10">
        <v>5.607E-3</v>
      </c>
      <c r="T49" s="10">
        <v>4.24E-2</v>
      </c>
      <c r="U49" s="10">
        <v>4.7410000000000001E-2</v>
      </c>
      <c r="V49" s="10">
        <v>1.09E-2</v>
      </c>
      <c r="W49" s="10">
        <v>1.857E-2</v>
      </c>
      <c r="X49" s="10">
        <v>5.4660000000000004E-3</v>
      </c>
      <c r="Y49" s="10">
        <v>17.46</v>
      </c>
      <c r="Z49" s="10">
        <v>37.130000000000003</v>
      </c>
      <c r="AA49" s="10">
        <v>124.099999999999</v>
      </c>
      <c r="AB49" s="10">
        <v>943.2</v>
      </c>
      <c r="AC49" s="10">
        <v>0.1678</v>
      </c>
      <c r="AD49" s="10">
        <v>0.65769999999999895</v>
      </c>
      <c r="AE49" s="10">
        <v>0.7026</v>
      </c>
      <c r="AF49" s="10">
        <v>0.17119999999999899</v>
      </c>
      <c r="AG49" s="10">
        <v>0.42180000000000001</v>
      </c>
      <c r="AH49">
        <v>0.1341</v>
      </c>
    </row>
    <row r="50" spans="3:34">
      <c r="C50" s="11" t="s">
        <v>156</v>
      </c>
      <c r="D50" s="10" t="s">
        <v>0</v>
      </c>
      <c r="E50" s="10">
        <v>13.71</v>
      </c>
      <c r="F50" s="10">
        <v>20.1299999999999</v>
      </c>
      <c r="G50" s="10">
        <v>94.739999999999895</v>
      </c>
      <c r="H50" s="10">
        <v>684.5</v>
      </c>
      <c r="I50" s="10">
        <v>9.8669999999999897E-2</v>
      </c>
      <c r="J50" s="10">
        <v>7.1999999999999897E-2</v>
      </c>
      <c r="K50" s="10">
        <v>7.3950000000000002E-2</v>
      </c>
      <c r="L50" s="10">
        <v>5.2589999999999901E-2</v>
      </c>
      <c r="M50" s="10">
        <v>0.15859999999999899</v>
      </c>
      <c r="N50" s="10">
        <v>5.9220000000000002E-2</v>
      </c>
      <c r="O50" s="10">
        <v>0.47270000000000001</v>
      </c>
      <c r="P50" s="10">
        <v>1.24</v>
      </c>
      <c r="Q50" s="10">
        <v>3.1949999999999901</v>
      </c>
      <c r="R50" s="10">
        <v>45.399999999999899</v>
      </c>
      <c r="S50" s="10">
        <v>5.718E-3</v>
      </c>
      <c r="T50" s="10">
        <v>1.162E-2</v>
      </c>
      <c r="U50" s="10">
        <v>1.9980000000000001E-2</v>
      </c>
      <c r="V50" s="10">
        <v>1.10899999999999E-2</v>
      </c>
      <c r="W50" s="10">
        <v>1.41E-2</v>
      </c>
      <c r="X50" s="10">
        <v>2.085E-3</v>
      </c>
      <c r="Y50" s="10">
        <v>19.07</v>
      </c>
      <c r="Z50" s="10">
        <v>30.8799999999999</v>
      </c>
      <c r="AA50" s="10">
        <v>123.4</v>
      </c>
      <c r="AB50" s="10">
        <v>1138</v>
      </c>
      <c r="AC50" s="10">
        <v>0.1464</v>
      </c>
      <c r="AD50" s="10">
        <v>0.18709999999999899</v>
      </c>
      <c r="AE50" s="10">
        <v>0.29139999999999899</v>
      </c>
      <c r="AF50" s="10">
        <v>0.16089999999999899</v>
      </c>
      <c r="AG50" s="10">
        <v>0.3029</v>
      </c>
      <c r="AH50">
        <v>8.21599999999999E-2</v>
      </c>
    </row>
    <row r="51" spans="3:34">
      <c r="C51" s="11" t="s">
        <v>157</v>
      </c>
      <c r="D51" s="10" t="s">
        <v>0</v>
      </c>
      <c r="E51" s="10">
        <v>13.71</v>
      </c>
      <c r="F51" s="10">
        <v>20.68</v>
      </c>
      <c r="G51" s="10">
        <v>108.099999999999</v>
      </c>
      <c r="H51" s="10">
        <v>798.79999999999905</v>
      </c>
      <c r="I51" s="10">
        <v>0.11700000000000001</v>
      </c>
      <c r="J51" s="10">
        <v>0.20219999999999899</v>
      </c>
      <c r="K51" s="10">
        <v>0.17219999999999899</v>
      </c>
      <c r="L51" s="10">
        <v>0.1028</v>
      </c>
      <c r="M51" s="10">
        <v>0.21640000000000001</v>
      </c>
      <c r="N51" s="10">
        <v>7.356E-2</v>
      </c>
      <c r="O51" s="10">
        <v>0.56920000000000004</v>
      </c>
      <c r="P51" s="10">
        <v>1.073</v>
      </c>
      <c r="Q51" s="10">
        <v>3.8540000000000001</v>
      </c>
      <c r="R51" s="10">
        <v>54.18</v>
      </c>
      <c r="S51" s="10">
        <v>7.0260000000000001E-3</v>
      </c>
      <c r="T51" s="10">
        <v>2.5010000000000001E-2</v>
      </c>
      <c r="U51" s="10">
        <v>3.1879999999999901E-2</v>
      </c>
      <c r="V51" s="10">
        <v>1.2970000000000001E-2</v>
      </c>
      <c r="W51" s="10">
        <v>1.6889999999999902E-2</v>
      </c>
      <c r="X51" s="10">
        <v>4.1419999999999903E-3</v>
      </c>
      <c r="Y51" s="10">
        <v>20.96</v>
      </c>
      <c r="Z51" s="10">
        <v>31.48</v>
      </c>
      <c r="AA51" s="10">
        <v>136.80000000000001</v>
      </c>
      <c r="AB51" s="10">
        <v>1315</v>
      </c>
      <c r="AC51" s="10">
        <v>0.1789</v>
      </c>
      <c r="AD51" s="10">
        <v>0.42330000000000001</v>
      </c>
      <c r="AE51" s="10">
        <v>0.47839999999999899</v>
      </c>
      <c r="AF51" s="10">
        <v>0.20730000000000001</v>
      </c>
      <c r="AG51" s="10">
        <v>0.37059999999999899</v>
      </c>
      <c r="AH51">
        <v>0.1142</v>
      </c>
    </row>
    <row r="52" spans="3:34">
      <c r="C52" s="11" t="s">
        <v>159</v>
      </c>
      <c r="D52" s="10" t="s">
        <v>1</v>
      </c>
      <c r="E52" s="10">
        <v>13.71</v>
      </c>
      <c r="F52" s="10">
        <v>14.3599999999999</v>
      </c>
      <c r="G52" s="10">
        <v>87.459999999999894</v>
      </c>
      <c r="H52" s="10">
        <v>566.29999999999905</v>
      </c>
      <c r="I52" s="10">
        <v>9.7790000000000002E-2</v>
      </c>
      <c r="J52" s="10">
        <v>8.1290000000000001E-2</v>
      </c>
      <c r="K52" s="10">
        <v>6.6640000000000005E-2</v>
      </c>
      <c r="L52" s="10">
        <v>4.7809999999999901E-2</v>
      </c>
      <c r="M52" s="10">
        <v>0.1885</v>
      </c>
      <c r="N52" s="10">
        <v>5.7660000000000003E-2</v>
      </c>
      <c r="O52" s="10">
        <v>0.26989999999999897</v>
      </c>
      <c r="P52" s="10">
        <v>0.78859999999999897</v>
      </c>
      <c r="Q52" s="10">
        <v>2.0579999999999901</v>
      </c>
      <c r="R52" s="10">
        <v>23.559999999999899</v>
      </c>
      <c r="S52" s="10">
        <v>8.4620000000000008E-3</v>
      </c>
      <c r="T52" s="10">
        <v>1.46E-2</v>
      </c>
      <c r="U52" s="10">
        <v>2.3869999999999902E-2</v>
      </c>
      <c r="V52" s="10">
        <v>1.315E-2</v>
      </c>
      <c r="W52" s="10">
        <v>1.9800000000000002E-2</v>
      </c>
      <c r="X52" s="10">
        <v>2.3E-3</v>
      </c>
      <c r="Y52" s="10">
        <v>15.1099999999999</v>
      </c>
      <c r="Z52" s="10">
        <v>19.260000000000002</v>
      </c>
      <c r="AA52" s="10">
        <v>99.7</v>
      </c>
      <c r="AB52" s="10">
        <v>711.2</v>
      </c>
      <c r="AC52" s="10">
        <v>0.14399999999999899</v>
      </c>
      <c r="AD52" s="10">
        <v>0.17730000000000001</v>
      </c>
      <c r="AE52" s="10">
        <v>0.23899999999999899</v>
      </c>
      <c r="AF52" s="10">
        <v>0.1288</v>
      </c>
      <c r="AG52" s="10">
        <v>0.29770000000000002</v>
      </c>
      <c r="AH52">
        <v>7.2590000000000002E-2</v>
      </c>
    </row>
    <row r="53" spans="3:34">
      <c r="C53" s="11" t="s">
        <v>160</v>
      </c>
      <c r="D53" s="10" t="s">
        <v>1</v>
      </c>
      <c r="E53" s="10">
        <v>13.71</v>
      </c>
      <c r="F53" s="10">
        <v>15.71</v>
      </c>
      <c r="G53" s="10">
        <v>85.629999999999896</v>
      </c>
      <c r="H53" s="10">
        <v>520</v>
      </c>
      <c r="I53" s="10">
        <v>0.1075</v>
      </c>
      <c r="J53" s="10">
        <v>0.127</v>
      </c>
      <c r="K53" s="10">
        <v>4.5679999999999901E-2</v>
      </c>
      <c r="L53" s="10">
        <v>3.1099999999999899E-2</v>
      </c>
      <c r="M53" s="10">
        <v>0.19670000000000001</v>
      </c>
      <c r="N53" s="10">
        <v>6.8110000000000004E-2</v>
      </c>
      <c r="O53" s="10">
        <v>0.1852</v>
      </c>
      <c r="P53" s="10">
        <v>0.74770000000000003</v>
      </c>
      <c r="Q53" s="10">
        <v>1.383</v>
      </c>
      <c r="R53" s="10">
        <v>14.67</v>
      </c>
      <c r="S53" s="10">
        <v>4.0969999999999904E-3</v>
      </c>
      <c r="T53" s="10">
        <v>1.898E-2</v>
      </c>
      <c r="U53" s="10">
        <v>1.6979999999999901E-2</v>
      </c>
      <c r="V53" s="10">
        <v>6.4900000000000001E-3</v>
      </c>
      <c r="W53" s="10">
        <v>1.678E-2</v>
      </c>
      <c r="X53" s="10">
        <v>2.4250000000000001E-3</v>
      </c>
      <c r="Y53" s="10">
        <v>14.5</v>
      </c>
      <c r="Z53" s="10">
        <v>20.489999999999899</v>
      </c>
      <c r="AA53" s="10">
        <v>96.09</v>
      </c>
      <c r="AB53" s="10">
        <v>630.5</v>
      </c>
      <c r="AC53" s="10">
        <v>0.13120000000000001</v>
      </c>
      <c r="AD53" s="10">
        <v>0.27760000000000001</v>
      </c>
      <c r="AE53" s="10">
        <v>0.189</v>
      </c>
      <c r="AF53" s="10">
        <v>7.2830000000000006E-2</v>
      </c>
      <c r="AG53" s="10">
        <v>0.31840000000000002</v>
      </c>
      <c r="AH53">
        <v>8.183E-2</v>
      </c>
    </row>
    <row r="54" spans="3:34">
      <c r="C54" s="11" t="s">
        <v>161</v>
      </c>
      <c r="D54" s="10" t="s">
        <v>1</v>
      </c>
      <c r="E54" s="10">
        <v>13.71</v>
      </c>
      <c r="F54" s="10">
        <v>12.44</v>
      </c>
      <c r="G54" s="10">
        <v>60.34</v>
      </c>
      <c r="H54" s="10">
        <v>273.89999999999901</v>
      </c>
      <c r="I54" s="10">
        <v>0.1024</v>
      </c>
      <c r="J54" s="10">
        <v>6.4920000000000005E-2</v>
      </c>
      <c r="K54" s="10">
        <v>2.9559999999999899E-2</v>
      </c>
      <c r="L54" s="10">
        <v>2.0760000000000001E-2</v>
      </c>
      <c r="M54" s="10">
        <v>0.181499999999999</v>
      </c>
      <c r="N54" s="10">
        <v>6.905E-2</v>
      </c>
      <c r="O54" s="10">
        <v>0.27729999999999899</v>
      </c>
      <c r="P54" s="10">
        <v>0.9768</v>
      </c>
      <c r="Q54" s="10">
        <v>1.909</v>
      </c>
      <c r="R54" s="10">
        <v>15.6999999999999</v>
      </c>
      <c r="S54" s="10">
        <v>9.606E-3</v>
      </c>
      <c r="T54" s="10">
        <v>1.4319999999999901E-2</v>
      </c>
      <c r="U54" s="10">
        <v>1.985E-2</v>
      </c>
      <c r="V54" s="10">
        <v>1.421E-2</v>
      </c>
      <c r="W54" s="10">
        <v>2.027E-2</v>
      </c>
      <c r="X54" s="10">
        <v>2.9680000000000002E-3</v>
      </c>
      <c r="Y54" s="10">
        <v>10.23</v>
      </c>
      <c r="Z54" s="10">
        <v>15.66</v>
      </c>
      <c r="AA54" s="10">
        <v>65.129999999999896</v>
      </c>
      <c r="AB54" s="10">
        <v>314.89999999999901</v>
      </c>
      <c r="AC54" s="10">
        <v>0.13239999999999899</v>
      </c>
      <c r="AD54" s="10">
        <v>0.1148</v>
      </c>
      <c r="AE54" s="10">
        <v>8.8669999999999902E-2</v>
      </c>
      <c r="AF54" s="10">
        <v>6.2269999999999902E-2</v>
      </c>
      <c r="AG54" s="10">
        <v>0.245</v>
      </c>
      <c r="AH54">
        <v>7.7729999999999896E-2</v>
      </c>
    </row>
    <row r="55" spans="3:34">
      <c r="C55" s="11" t="s">
        <v>162</v>
      </c>
      <c r="D55" s="10" t="s">
        <v>0</v>
      </c>
      <c r="E55" s="10">
        <v>13.71</v>
      </c>
      <c r="F55" s="10">
        <v>14.26</v>
      </c>
      <c r="G55" s="10">
        <v>102.5</v>
      </c>
      <c r="H55" s="10">
        <v>704.39999999999895</v>
      </c>
      <c r="I55" s="10">
        <v>0.10730000000000001</v>
      </c>
      <c r="J55" s="10">
        <v>0.2135</v>
      </c>
      <c r="K55" s="10">
        <v>0.2077</v>
      </c>
      <c r="L55" s="10">
        <v>9.7559999999999897E-2</v>
      </c>
      <c r="M55" s="10">
        <v>0.25209999999999899</v>
      </c>
      <c r="N55" s="10">
        <v>7.0319999999999896E-2</v>
      </c>
      <c r="O55" s="10">
        <v>0.43880000000000002</v>
      </c>
      <c r="P55" s="10">
        <v>0.70960000000000001</v>
      </c>
      <c r="Q55" s="10">
        <v>3.3839999999999901</v>
      </c>
      <c r="R55" s="10">
        <v>44.909999999999897</v>
      </c>
      <c r="S55" s="10">
        <v>6.7889999999999904E-3</v>
      </c>
      <c r="T55" s="10">
        <v>5.3280000000000001E-2</v>
      </c>
      <c r="U55" s="10">
        <v>6.4460000000000003E-2</v>
      </c>
      <c r="V55" s="10">
        <v>2.2519999999999901E-2</v>
      </c>
      <c r="W55" s="10">
        <v>3.6720000000000003E-2</v>
      </c>
      <c r="X55" s="10">
        <v>4.3940000000000003E-3</v>
      </c>
      <c r="Y55" s="10">
        <v>18.07</v>
      </c>
      <c r="Z55" s="10">
        <v>19.079999999999899</v>
      </c>
      <c r="AA55" s="10">
        <v>125.099999999999</v>
      </c>
      <c r="AB55" s="10">
        <v>980.89999999999895</v>
      </c>
      <c r="AC55" s="10">
        <v>0.13900000000000001</v>
      </c>
      <c r="AD55" s="10">
        <v>0.59540000000000004</v>
      </c>
      <c r="AE55" s="10">
        <v>0.63049999999999895</v>
      </c>
      <c r="AF55" s="10">
        <v>0.23930000000000001</v>
      </c>
      <c r="AG55" s="10">
        <v>0.4667</v>
      </c>
      <c r="AH55">
        <v>9.9460000000000007E-2</v>
      </c>
    </row>
    <row r="56" spans="3:34">
      <c r="C56" s="11" t="s">
        <v>163</v>
      </c>
      <c r="D56" s="10" t="s">
        <v>0</v>
      </c>
      <c r="E56" s="10">
        <v>13.71</v>
      </c>
      <c r="F56" s="10">
        <v>23.0399999999999</v>
      </c>
      <c r="G56" s="10">
        <v>137.19999999999899</v>
      </c>
      <c r="H56" s="10">
        <v>1404</v>
      </c>
      <c r="I56" s="10">
        <v>9.4280000000000003E-2</v>
      </c>
      <c r="J56" s="10">
        <v>0.1022</v>
      </c>
      <c r="K56" s="10">
        <v>0.10970000000000001</v>
      </c>
      <c r="L56" s="10">
        <v>8.6319999999999897E-2</v>
      </c>
      <c r="M56" s="10">
        <v>0.1769</v>
      </c>
      <c r="N56" s="10">
        <v>5.2780000000000001E-2</v>
      </c>
      <c r="O56" s="10">
        <v>0.69169999999999898</v>
      </c>
      <c r="P56" s="10">
        <v>1.127</v>
      </c>
      <c r="Q56" s="10">
        <v>4.3029999999999902</v>
      </c>
      <c r="R56" s="10">
        <v>93.989999999999895</v>
      </c>
      <c r="S56" s="10">
        <v>4.7280000000000004E-3</v>
      </c>
      <c r="T56" s="10">
        <v>1.259E-2</v>
      </c>
      <c r="U56" s="10">
        <v>1.7149999999999901E-2</v>
      </c>
      <c r="V56" s="10">
        <v>1.038E-2</v>
      </c>
      <c r="W56" s="10">
        <v>1.08299999999999E-2</v>
      </c>
      <c r="X56" s="10">
        <v>1.9870000000000001E-3</v>
      </c>
      <c r="Y56" s="10">
        <v>29.17</v>
      </c>
      <c r="Z56" s="10">
        <v>35.590000000000003</v>
      </c>
      <c r="AA56" s="10">
        <v>188</v>
      </c>
      <c r="AB56" s="10">
        <v>2615</v>
      </c>
      <c r="AC56" s="10">
        <v>0.1401</v>
      </c>
      <c r="AD56" s="10">
        <v>0.26</v>
      </c>
      <c r="AE56" s="10">
        <v>0.3155</v>
      </c>
      <c r="AF56" s="10">
        <v>0.2009</v>
      </c>
      <c r="AG56" s="10">
        <v>0.28220000000000001</v>
      </c>
      <c r="AH56">
        <v>7.5259999999999896E-2</v>
      </c>
    </row>
    <row r="57" spans="3:34">
      <c r="C57" s="11" t="s">
        <v>164</v>
      </c>
      <c r="D57" s="10" t="s">
        <v>0</v>
      </c>
      <c r="E57" s="10">
        <v>13.71</v>
      </c>
      <c r="F57" s="10">
        <v>21.3799999999999</v>
      </c>
      <c r="G57" s="10">
        <v>110</v>
      </c>
      <c r="H57" s="10">
        <v>904.6</v>
      </c>
      <c r="I57" s="10">
        <v>0.11210000000000001</v>
      </c>
      <c r="J57" s="10">
        <v>0.1457</v>
      </c>
      <c r="K57" s="10">
        <v>0.1525</v>
      </c>
      <c r="L57" s="10">
        <v>9.1700000000000004E-2</v>
      </c>
      <c r="M57" s="10">
        <v>0.19950000000000001</v>
      </c>
      <c r="N57" s="10">
        <v>6.3299999999999898E-2</v>
      </c>
      <c r="O57" s="10">
        <v>0.80679999999999896</v>
      </c>
      <c r="P57" s="10">
        <v>0.90169999999999895</v>
      </c>
      <c r="Q57" s="10">
        <v>5.4550000000000001</v>
      </c>
      <c r="R57" s="10">
        <v>102.599999999999</v>
      </c>
      <c r="S57" s="10">
        <v>6.0480000000000004E-3</v>
      </c>
      <c r="T57" s="10">
        <v>1.882E-2</v>
      </c>
      <c r="U57" s="10">
        <v>2.741E-2</v>
      </c>
      <c r="V57" s="10">
        <v>1.12999999999999E-2</v>
      </c>
      <c r="W57" s="10">
        <v>1.468E-2</v>
      </c>
      <c r="X57" s="10">
        <v>2.8010000000000001E-3</v>
      </c>
      <c r="Y57" s="10">
        <v>26.46</v>
      </c>
      <c r="Z57" s="10">
        <v>31.559999999999899</v>
      </c>
      <c r="AA57" s="10">
        <v>177</v>
      </c>
      <c r="AB57" s="10">
        <v>2215</v>
      </c>
      <c r="AC57" s="10">
        <v>0.18049999999999899</v>
      </c>
      <c r="AD57" s="10">
        <v>0.35780000000000001</v>
      </c>
      <c r="AE57" s="10">
        <v>0.46949999999999897</v>
      </c>
      <c r="AF57" s="10">
        <v>0.20949999999999899</v>
      </c>
      <c r="AG57" s="10">
        <v>0.36130000000000001</v>
      </c>
      <c r="AH57">
        <v>9.5640000000000003E-2</v>
      </c>
    </row>
    <row r="58" spans="3:34">
      <c r="C58" s="11" t="s">
        <v>165</v>
      </c>
      <c r="D58" s="10" t="s">
        <v>0</v>
      </c>
      <c r="E58" s="10">
        <v>13.71</v>
      </c>
      <c r="F58" s="10">
        <v>16.399999999999899</v>
      </c>
      <c r="G58" s="10">
        <v>116</v>
      </c>
      <c r="H58" s="10">
        <v>912.7</v>
      </c>
      <c r="I58" s="10">
        <v>0.1186</v>
      </c>
      <c r="J58" s="10">
        <v>0.2276</v>
      </c>
      <c r="K58" s="10">
        <v>0.22289999999999899</v>
      </c>
      <c r="L58" s="10">
        <v>0.1401</v>
      </c>
      <c r="M58" s="10">
        <v>0.30399999999999899</v>
      </c>
      <c r="N58" s="10">
        <v>7.4130000000000001E-2</v>
      </c>
      <c r="O58" s="10">
        <v>1.046</v>
      </c>
      <c r="P58" s="10">
        <v>0.97599999999999898</v>
      </c>
      <c r="Q58" s="10">
        <v>7.27599999999999</v>
      </c>
      <c r="R58" s="10">
        <v>111.4</v>
      </c>
      <c r="S58" s="10">
        <v>8.0289999999999893E-3</v>
      </c>
      <c r="T58" s="10">
        <v>3.7990000000000003E-2</v>
      </c>
      <c r="U58" s="10">
        <v>3.7319999999999902E-2</v>
      </c>
      <c r="V58" s="10">
        <v>2.3970000000000002E-2</v>
      </c>
      <c r="W58" s="10">
        <v>2.308E-2</v>
      </c>
      <c r="X58" s="10">
        <v>7.4440000000000001E-3</v>
      </c>
      <c r="Y58" s="10">
        <v>22.25</v>
      </c>
      <c r="Z58" s="10">
        <v>21.399999999999899</v>
      </c>
      <c r="AA58" s="10">
        <v>152.4</v>
      </c>
      <c r="AB58" s="10">
        <v>1461</v>
      </c>
      <c r="AC58" s="10">
        <v>0.1545</v>
      </c>
      <c r="AD58" s="10">
        <v>0.39489999999999897</v>
      </c>
      <c r="AE58" s="10">
        <v>0.38529999999999898</v>
      </c>
      <c r="AF58" s="10">
        <v>0.255</v>
      </c>
      <c r="AG58" s="10">
        <v>0.40660000000000002</v>
      </c>
      <c r="AH58">
        <v>0.10589999999999899</v>
      </c>
    </row>
    <row r="59" spans="3:34">
      <c r="C59" s="11" t="s">
        <v>166</v>
      </c>
      <c r="D59" s="10" t="s">
        <v>0</v>
      </c>
      <c r="E59" s="10">
        <v>13.71</v>
      </c>
      <c r="F59" s="10">
        <v>21.53</v>
      </c>
      <c r="G59" s="10">
        <v>97.409999999999897</v>
      </c>
      <c r="H59" s="10">
        <v>644.79999999999905</v>
      </c>
      <c r="I59" s="10">
        <v>0.10539999999999899</v>
      </c>
      <c r="J59" s="10">
        <v>0.18679999999999899</v>
      </c>
      <c r="K59" s="10">
        <v>0.14249999999999899</v>
      </c>
      <c r="L59" s="10">
        <v>8.7830000000000005E-2</v>
      </c>
      <c r="M59" s="10">
        <v>0.22520000000000001</v>
      </c>
      <c r="N59" s="10">
        <v>6.9239999999999899E-2</v>
      </c>
      <c r="O59" s="10">
        <v>0.2545</v>
      </c>
      <c r="P59" s="10">
        <v>0.98319999999999896</v>
      </c>
      <c r="Q59" s="10">
        <v>2.1099999999999901</v>
      </c>
      <c r="R59" s="10">
        <v>21.05</v>
      </c>
      <c r="S59" s="10">
        <v>4.4520000000000002E-3</v>
      </c>
      <c r="T59" s="10">
        <v>3.0550000000000001E-2</v>
      </c>
      <c r="U59" s="10">
        <v>2.681E-2</v>
      </c>
      <c r="V59" s="10">
        <v>1.3520000000000001E-2</v>
      </c>
      <c r="W59" s="10">
        <v>1.4540000000000001E-2</v>
      </c>
      <c r="X59" s="10">
        <v>3.7109999999999899E-3</v>
      </c>
      <c r="Y59" s="10">
        <v>17.62</v>
      </c>
      <c r="Z59" s="10">
        <v>33.21</v>
      </c>
      <c r="AA59" s="10">
        <v>122.4</v>
      </c>
      <c r="AB59" s="10">
        <v>896.89999999999895</v>
      </c>
      <c r="AC59" s="10">
        <v>0.1525</v>
      </c>
      <c r="AD59" s="10">
        <v>0.6643</v>
      </c>
      <c r="AE59" s="10">
        <v>0.55389999999999895</v>
      </c>
      <c r="AF59" s="10">
        <v>0.27010000000000001</v>
      </c>
      <c r="AG59" s="10">
        <v>0.4264</v>
      </c>
      <c r="AH59">
        <v>0.1275</v>
      </c>
    </row>
    <row r="60" spans="3:34">
      <c r="C60" s="11" t="s">
        <v>167</v>
      </c>
      <c r="D60" s="10" t="s">
        <v>0</v>
      </c>
      <c r="E60" s="10">
        <v>13.71</v>
      </c>
      <c r="F60" s="10">
        <v>20.25</v>
      </c>
      <c r="G60" s="10">
        <v>122.099999999999</v>
      </c>
      <c r="H60" s="10">
        <v>1094</v>
      </c>
      <c r="I60" s="10">
        <v>9.4399999999999901E-2</v>
      </c>
      <c r="J60" s="10">
        <v>0.1066</v>
      </c>
      <c r="K60" s="10">
        <v>0.14899999999999899</v>
      </c>
      <c r="L60" s="10">
        <v>7.7310000000000004E-2</v>
      </c>
      <c r="M60" s="10">
        <v>0.16969999999999899</v>
      </c>
      <c r="N60" s="10">
        <v>5.6989999999999902E-2</v>
      </c>
      <c r="O60" s="10">
        <v>0.85289999999999899</v>
      </c>
      <c r="P60" s="10">
        <v>1.849</v>
      </c>
      <c r="Q60" s="10">
        <v>5.6319999999999899</v>
      </c>
      <c r="R60" s="10">
        <v>93.54</v>
      </c>
      <c r="S60" s="10">
        <v>1.07499999999999E-2</v>
      </c>
      <c r="T60" s="10">
        <v>2.7220000000000001E-2</v>
      </c>
      <c r="U60" s="10">
        <v>5.0810000000000001E-2</v>
      </c>
      <c r="V60" s="10">
        <v>1.9109999999999901E-2</v>
      </c>
      <c r="W60" s="10">
        <v>2.2929999999999898E-2</v>
      </c>
      <c r="X60" s="10">
        <v>4.2170000000000003E-3</v>
      </c>
      <c r="Y60" s="10">
        <v>21.309999999999899</v>
      </c>
      <c r="Z60" s="10">
        <v>27.26</v>
      </c>
      <c r="AA60" s="10">
        <v>139.9</v>
      </c>
      <c r="AB60" s="10">
        <v>1403</v>
      </c>
      <c r="AC60" s="10">
        <v>0.1338</v>
      </c>
      <c r="AD60" s="10">
        <v>0.2117</v>
      </c>
      <c r="AE60" s="10">
        <v>0.34460000000000002</v>
      </c>
      <c r="AF60" s="10">
        <v>0.14899999999999899</v>
      </c>
      <c r="AG60" s="10">
        <v>0.2341</v>
      </c>
      <c r="AH60">
        <v>7.4209999999999901E-2</v>
      </c>
    </row>
    <row r="61" spans="3:34">
      <c r="C61" s="11" t="s">
        <v>168</v>
      </c>
      <c r="D61" s="10" t="s">
        <v>0</v>
      </c>
      <c r="E61" s="10">
        <v>13.71</v>
      </c>
      <c r="F61" s="10">
        <v>25.27</v>
      </c>
      <c r="G61" s="10">
        <v>102.4</v>
      </c>
      <c r="H61" s="10">
        <v>732.39999999999895</v>
      </c>
      <c r="I61" s="10">
        <v>0.1082</v>
      </c>
      <c r="J61" s="10">
        <v>0.16969999999999899</v>
      </c>
      <c r="K61" s="10">
        <v>0.16830000000000001</v>
      </c>
      <c r="L61" s="10">
        <v>8.7510000000000004E-2</v>
      </c>
      <c r="M61" s="10">
        <v>0.19259999999999899</v>
      </c>
      <c r="N61" s="10">
        <v>6.54E-2</v>
      </c>
      <c r="O61" s="10">
        <v>0.439</v>
      </c>
      <c r="P61" s="10">
        <v>1.012</v>
      </c>
      <c r="Q61" s="10">
        <v>3.4980000000000002</v>
      </c>
      <c r="R61" s="10">
        <v>43.5</v>
      </c>
      <c r="S61" s="10">
        <v>5.2329999999999903E-3</v>
      </c>
      <c r="T61" s="10">
        <v>3.057E-2</v>
      </c>
      <c r="U61" s="10">
        <v>3.576E-2</v>
      </c>
      <c r="V61" s="10">
        <v>1.08299999999999E-2</v>
      </c>
      <c r="W61" s="10">
        <v>1.7680000000000001E-2</v>
      </c>
      <c r="X61" s="10">
        <v>2.967E-3</v>
      </c>
      <c r="Y61" s="10">
        <v>20.27</v>
      </c>
      <c r="Z61" s="10">
        <v>36.71</v>
      </c>
      <c r="AA61" s="10">
        <v>149.30000000000001</v>
      </c>
      <c r="AB61" s="10">
        <v>1269</v>
      </c>
      <c r="AC61" s="10">
        <v>0.1641</v>
      </c>
      <c r="AD61" s="10">
        <v>0.61099999999999899</v>
      </c>
      <c r="AE61" s="10">
        <v>0.63349999999999895</v>
      </c>
      <c r="AF61" s="10">
        <v>0.2024</v>
      </c>
      <c r="AG61" s="10">
        <v>0.4027</v>
      </c>
      <c r="AH61">
        <v>9.8760000000000001E-2</v>
      </c>
    </row>
    <row r="62" spans="3:34">
      <c r="C62" s="11" t="s">
        <v>170</v>
      </c>
      <c r="D62" s="10" t="s">
        <v>0</v>
      </c>
      <c r="E62" s="10">
        <v>13.71</v>
      </c>
      <c r="F62" s="10">
        <v>25.1099999999999</v>
      </c>
      <c r="G62" s="10">
        <v>124.8</v>
      </c>
      <c r="H62" s="10">
        <v>1088</v>
      </c>
      <c r="I62" s="10">
        <v>0.106399999999999</v>
      </c>
      <c r="J62" s="10">
        <v>0.18870000000000001</v>
      </c>
      <c r="K62" s="10">
        <v>0.2319</v>
      </c>
      <c r="L62" s="10">
        <v>0.1244</v>
      </c>
      <c r="M62" s="10">
        <v>0.21829999999999899</v>
      </c>
      <c r="N62" s="10">
        <v>6.19699999999999E-2</v>
      </c>
      <c r="O62" s="10">
        <v>0.83069999999999899</v>
      </c>
      <c r="P62" s="10">
        <v>1.466</v>
      </c>
      <c r="Q62" s="10">
        <v>5.5739999999999901</v>
      </c>
      <c r="R62" s="10">
        <v>105</v>
      </c>
      <c r="S62" s="10">
        <v>6.2480000000000001E-3</v>
      </c>
      <c r="T62" s="10">
        <v>3.3739999999999902E-2</v>
      </c>
      <c r="U62" s="10">
        <v>5.1959999999999902E-2</v>
      </c>
      <c r="V62" s="10">
        <v>1.158E-2</v>
      </c>
      <c r="W62" s="10">
        <v>2.0070000000000001E-2</v>
      </c>
      <c r="X62" s="10">
        <v>4.5599999999999903E-3</v>
      </c>
      <c r="Y62" s="10">
        <v>23.149999999999899</v>
      </c>
      <c r="Z62" s="10">
        <v>34.009999999999899</v>
      </c>
      <c r="AA62" s="10">
        <v>160.5</v>
      </c>
      <c r="AB62" s="10">
        <v>1670</v>
      </c>
      <c r="AC62" s="10">
        <v>0.14910000000000001</v>
      </c>
      <c r="AD62" s="10">
        <v>0.42570000000000002</v>
      </c>
      <c r="AE62" s="10">
        <v>0.61329999999999896</v>
      </c>
      <c r="AF62" s="10">
        <v>0.18479999999999899</v>
      </c>
      <c r="AG62" s="10">
        <v>0.34439999999999898</v>
      </c>
      <c r="AH62">
        <v>9.7820000000000004E-2</v>
      </c>
    </row>
    <row r="63" spans="3:34">
      <c r="C63" s="11" t="s">
        <v>171</v>
      </c>
      <c r="D63" s="10" t="s">
        <v>0</v>
      </c>
      <c r="E63" s="10">
        <v>13.71</v>
      </c>
      <c r="F63" s="10">
        <v>18.6999999999999</v>
      </c>
      <c r="G63" s="10">
        <v>77.930000000000007</v>
      </c>
      <c r="H63" s="10">
        <v>440.6</v>
      </c>
      <c r="I63" s="10">
        <v>0.1109</v>
      </c>
      <c r="J63" s="10">
        <v>0.15160000000000001</v>
      </c>
      <c r="K63" s="10">
        <v>0.12180000000000001</v>
      </c>
      <c r="L63" s="10">
        <v>5.1819999999999901E-2</v>
      </c>
      <c r="M63" s="10">
        <v>0.2301</v>
      </c>
      <c r="N63" s="10">
        <v>7.7990000000000004E-2</v>
      </c>
      <c r="O63" s="10">
        <v>0.48249999999999899</v>
      </c>
      <c r="P63" s="10">
        <v>1.03</v>
      </c>
      <c r="Q63" s="10">
        <v>3.4750000000000001</v>
      </c>
      <c r="R63" s="10">
        <v>41</v>
      </c>
      <c r="S63" s="10">
        <v>5.5510000000000004E-3</v>
      </c>
      <c r="T63" s="10">
        <v>3.41399999999999E-2</v>
      </c>
      <c r="U63" s="10">
        <v>4.20499999999999E-2</v>
      </c>
      <c r="V63" s="10">
        <v>1.044E-2</v>
      </c>
      <c r="W63" s="10">
        <v>2.273E-2</v>
      </c>
      <c r="X63" s="10">
        <v>5.6670000000000002E-3</v>
      </c>
      <c r="Y63" s="10">
        <v>16.82</v>
      </c>
      <c r="Z63" s="10">
        <v>28.12</v>
      </c>
      <c r="AA63" s="10">
        <v>119.4</v>
      </c>
      <c r="AB63" s="10">
        <v>888.7</v>
      </c>
      <c r="AC63" s="10">
        <v>0.16370000000000001</v>
      </c>
      <c r="AD63" s="10">
        <v>0.57750000000000001</v>
      </c>
      <c r="AE63" s="10">
        <v>0.6956</v>
      </c>
      <c r="AF63" s="10">
        <v>0.15459999999999899</v>
      </c>
      <c r="AG63" s="10">
        <v>0.47610000000000002</v>
      </c>
      <c r="AH63">
        <v>0.14019999999999899</v>
      </c>
    </row>
    <row r="64" spans="3:34">
      <c r="C64" s="11" t="s">
        <v>172</v>
      </c>
      <c r="D64" s="10" t="s">
        <v>0</v>
      </c>
      <c r="E64" s="10">
        <v>13.71</v>
      </c>
      <c r="F64" s="10">
        <v>23.98</v>
      </c>
      <c r="G64" s="10">
        <v>112.8</v>
      </c>
      <c r="H64" s="10">
        <v>899.29999999999905</v>
      </c>
      <c r="I64" s="10">
        <v>0.1197</v>
      </c>
      <c r="J64" s="10">
        <v>0.14960000000000001</v>
      </c>
      <c r="K64" s="10">
        <v>0.2417</v>
      </c>
      <c r="L64" s="10">
        <v>0.1203</v>
      </c>
      <c r="M64" s="10">
        <v>0.2248</v>
      </c>
      <c r="N64" s="10">
        <v>6.3820000000000002E-2</v>
      </c>
      <c r="O64" s="10">
        <v>0.60089999999999899</v>
      </c>
      <c r="P64" s="10">
        <v>1.3979999999999899</v>
      </c>
      <c r="Q64" s="10">
        <v>3.9990000000000001</v>
      </c>
      <c r="R64" s="10">
        <v>67.78</v>
      </c>
      <c r="S64" s="10">
        <v>8.2679999999999906E-3</v>
      </c>
      <c r="T64" s="10">
        <v>3.082E-2</v>
      </c>
      <c r="U64" s="10">
        <v>5.042E-2</v>
      </c>
      <c r="V64" s="10">
        <v>1.112E-2</v>
      </c>
      <c r="W64" s="10">
        <v>2.102E-2</v>
      </c>
      <c r="X64" s="10">
        <v>3.8539999999999898E-3</v>
      </c>
      <c r="Y64" s="10">
        <v>20.8799999999999</v>
      </c>
      <c r="Z64" s="10">
        <v>32.090000000000003</v>
      </c>
      <c r="AA64" s="10">
        <v>136.099999999999</v>
      </c>
      <c r="AB64" s="10">
        <v>1344</v>
      </c>
      <c r="AC64" s="10">
        <v>0.16339999999999899</v>
      </c>
      <c r="AD64" s="10">
        <v>0.35589999999999899</v>
      </c>
      <c r="AE64" s="10">
        <v>0.55879999999999896</v>
      </c>
      <c r="AF64" s="10">
        <v>0.1847</v>
      </c>
      <c r="AG64" s="10">
        <v>0.35299999999999898</v>
      </c>
      <c r="AH64">
        <v>8.4820000000000007E-2</v>
      </c>
    </row>
    <row r="65" spans="3:34">
      <c r="C65" s="11" t="s">
        <v>174</v>
      </c>
      <c r="D65" s="10" t="s">
        <v>0</v>
      </c>
      <c r="E65" s="10">
        <v>13.71</v>
      </c>
      <c r="F65" s="10">
        <v>17.8799999999999</v>
      </c>
      <c r="G65" s="10">
        <v>107</v>
      </c>
      <c r="H65" s="10">
        <v>807.2</v>
      </c>
      <c r="I65" s="10">
        <v>0.104</v>
      </c>
      <c r="J65" s="10">
        <v>0.15590000000000001</v>
      </c>
      <c r="K65" s="10">
        <v>0.13539999999999899</v>
      </c>
      <c r="L65" s="10">
        <v>7.7520000000000006E-2</v>
      </c>
      <c r="M65" s="10">
        <v>0.19980000000000001</v>
      </c>
      <c r="N65" s="10">
        <v>6.515E-2</v>
      </c>
      <c r="O65" s="10">
        <v>0.33400000000000002</v>
      </c>
      <c r="P65" s="10">
        <v>0.68569999999999898</v>
      </c>
      <c r="Q65" s="10">
        <v>2.1829999999999901</v>
      </c>
      <c r="R65" s="10">
        <v>35.03</v>
      </c>
      <c r="S65" s="10">
        <v>4.1850000000000004E-3</v>
      </c>
      <c r="T65" s="10">
        <v>2.8680000000000001E-2</v>
      </c>
      <c r="U65" s="10">
        <v>2.664E-2</v>
      </c>
      <c r="V65" s="10">
        <v>9.0670000000000004E-3</v>
      </c>
      <c r="W65" s="10">
        <v>1.703E-2</v>
      </c>
      <c r="X65" s="10">
        <v>3.8170000000000001E-3</v>
      </c>
      <c r="Y65" s="10">
        <v>20.21</v>
      </c>
      <c r="Z65" s="10">
        <v>27.26</v>
      </c>
      <c r="AA65" s="10">
        <v>132.69999999999899</v>
      </c>
      <c r="AB65" s="10">
        <v>1261</v>
      </c>
      <c r="AC65" s="10">
        <v>0.14460000000000001</v>
      </c>
      <c r="AD65" s="10">
        <v>0.58040000000000003</v>
      </c>
      <c r="AE65" s="10">
        <v>0.52739999999999898</v>
      </c>
      <c r="AF65" s="10">
        <v>0.18640000000000001</v>
      </c>
      <c r="AG65" s="10">
        <v>0.42699999999999899</v>
      </c>
      <c r="AH65">
        <v>0.12330000000000001</v>
      </c>
    </row>
    <row r="66" spans="3:34">
      <c r="C66" s="11" t="s">
        <v>175</v>
      </c>
      <c r="D66" s="10" t="s">
        <v>0</v>
      </c>
      <c r="E66" s="10">
        <v>13.71</v>
      </c>
      <c r="F66" s="10">
        <v>21.59</v>
      </c>
      <c r="G66" s="10">
        <v>110.099999999999</v>
      </c>
      <c r="H66" s="10">
        <v>869.5</v>
      </c>
      <c r="I66" s="10">
        <v>9.6100000000000005E-2</v>
      </c>
      <c r="J66" s="10">
        <v>0.1336</v>
      </c>
      <c r="K66" s="10">
        <v>0.1348</v>
      </c>
      <c r="L66" s="10">
        <v>6.01799999999999E-2</v>
      </c>
      <c r="M66" s="10">
        <v>0.18959999999999899</v>
      </c>
      <c r="N66" s="10">
        <v>5.6559999999999902E-2</v>
      </c>
      <c r="O66" s="10">
        <v>0.46150000000000002</v>
      </c>
      <c r="P66" s="10">
        <v>0.91969999999999896</v>
      </c>
      <c r="Q66" s="10">
        <v>3.008</v>
      </c>
      <c r="R66" s="10">
        <v>45.189999999999898</v>
      </c>
      <c r="S66" s="10">
        <v>5.7759999999999903E-3</v>
      </c>
      <c r="T66" s="10">
        <v>2.4989999999999901E-2</v>
      </c>
      <c r="U66" s="10">
        <v>3.69499999999999E-2</v>
      </c>
      <c r="V66" s="10">
        <v>1.1950000000000001E-2</v>
      </c>
      <c r="W66" s="10">
        <v>2.7890000000000002E-2</v>
      </c>
      <c r="X66" s="10">
        <v>2.6649999999999899E-3</v>
      </c>
      <c r="Y66" s="10">
        <v>20.010000000000002</v>
      </c>
      <c r="Z66" s="10">
        <v>29.02</v>
      </c>
      <c r="AA66" s="10">
        <v>133.5</v>
      </c>
      <c r="AB66" s="10">
        <v>1229</v>
      </c>
      <c r="AC66" s="10">
        <v>0.156299999999999</v>
      </c>
      <c r="AD66" s="10">
        <v>0.38350000000000001</v>
      </c>
      <c r="AE66" s="10">
        <v>0.54090000000000005</v>
      </c>
      <c r="AF66" s="10">
        <v>0.18129999999999899</v>
      </c>
      <c r="AG66" s="10">
        <v>0.48630000000000001</v>
      </c>
      <c r="AH66">
        <v>8.6330000000000004E-2</v>
      </c>
    </row>
    <row r="67" spans="3:34">
      <c r="C67" s="11" t="s">
        <v>176</v>
      </c>
      <c r="D67" s="10" t="s">
        <v>0</v>
      </c>
      <c r="E67" s="10">
        <v>13.71</v>
      </c>
      <c r="F67" s="10">
        <v>21.719999999999899</v>
      </c>
      <c r="G67" s="10">
        <v>93.629999999999896</v>
      </c>
      <c r="H67" s="10">
        <v>633</v>
      </c>
      <c r="I67" s="10">
        <v>9.8229999999999901E-2</v>
      </c>
      <c r="J67" s="10">
        <v>0.109799999999999</v>
      </c>
      <c r="K67" s="10">
        <v>0.13189999999999899</v>
      </c>
      <c r="L67" s="10">
        <v>5.5980000000000002E-2</v>
      </c>
      <c r="M67" s="10">
        <v>0.1885</v>
      </c>
      <c r="N67" s="10">
        <v>6.1249999999999902E-2</v>
      </c>
      <c r="O67" s="10">
        <v>0.28599999999999898</v>
      </c>
      <c r="P67" s="10">
        <v>1.0189999999999899</v>
      </c>
      <c r="Q67" s="10">
        <v>2.657</v>
      </c>
      <c r="R67" s="10">
        <v>24.91</v>
      </c>
      <c r="S67" s="10">
        <v>5.8780000000000004E-3</v>
      </c>
      <c r="T67" s="10">
        <v>2.9950000000000001E-2</v>
      </c>
      <c r="U67" s="10">
        <v>4.8149999999999901E-2</v>
      </c>
      <c r="V67" s="10">
        <v>1.1610000000000001E-2</v>
      </c>
      <c r="W67" s="10">
        <v>2.0279999999999899E-2</v>
      </c>
      <c r="X67" s="10">
        <v>4.0220000000000004E-3</v>
      </c>
      <c r="Y67" s="10">
        <v>15.89</v>
      </c>
      <c r="Z67" s="10">
        <v>30.3599999999999</v>
      </c>
      <c r="AA67" s="10">
        <v>116.2</v>
      </c>
      <c r="AB67" s="10">
        <v>799.6</v>
      </c>
      <c r="AC67" s="10">
        <v>0.14460000000000001</v>
      </c>
      <c r="AD67" s="10">
        <v>0.42380000000000001</v>
      </c>
      <c r="AE67" s="10">
        <v>0.51859999999999895</v>
      </c>
      <c r="AF67" s="10">
        <v>0.1447</v>
      </c>
      <c r="AG67" s="10">
        <v>0.35909999999999898</v>
      </c>
      <c r="AH67">
        <v>0.1014</v>
      </c>
    </row>
    <row r="68" spans="3:34">
      <c r="C68" s="11" t="s">
        <v>177</v>
      </c>
      <c r="D68" s="10" t="s">
        <v>1</v>
      </c>
      <c r="E68" s="10">
        <v>13.71</v>
      </c>
      <c r="F68" s="10">
        <v>18.420000000000002</v>
      </c>
      <c r="G68" s="10">
        <v>82.6099999999999</v>
      </c>
      <c r="H68" s="10">
        <v>523.79999999999905</v>
      </c>
      <c r="I68" s="10">
        <v>8.9829999999999896E-2</v>
      </c>
      <c r="J68" s="10">
        <v>3.7659999999999902E-2</v>
      </c>
      <c r="K68" s="10">
        <v>2.562E-2</v>
      </c>
      <c r="L68" s="10">
        <v>2.9229999999999898E-2</v>
      </c>
      <c r="M68" s="10">
        <v>0.1467</v>
      </c>
      <c r="N68" s="10">
        <v>5.8630000000000002E-2</v>
      </c>
      <c r="O68" s="10">
        <v>0.18390000000000001</v>
      </c>
      <c r="P68" s="10">
        <v>2.3420000000000001</v>
      </c>
      <c r="Q68" s="10">
        <v>1.1699999999999899</v>
      </c>
      <c r="R68" s="10">
        <v>14.16</v>
      </c>
      <c r="S68" s="10">
        <v>4.352E-3</v>
      </c>
      <c r="T68" s="10">
        <v>4.8989999999999902E-3</v>
      </c>
      <c r="U68" s="10">
        <v>1.34299999999999E-2</v>
      </c>
      <c r="V68" s="10">
        <v>1.16399999999999E-2</v>
      </c>
      <c r="W68" s="10">
        <v>2.6710000000000001E-2</v>
      </c>
      <c r="X68" s="10">
        <v>1.77699999999999E-3</v>
      </c>
      <c r="Y68" s="10">
        <v>13.3</v>
      </c>
      <c r="Z68" s="10">
        <v>22.809999999999899</v>
      </c>
      <c r="AA68" s="10">
        <v>84.459999999999894</v>
      </c>
      <c r="AB68" s="10">
        <v>545.89999999999895</v>
      </c>
      <c r="AC68" s="10">
        <v>9.7009999999999902E-2</v>
      </c>
      <c r="AD68" s="10">
        <v>4.6190000000000002E-2</v>
      </c>
      <c r="AE68" s="10">
        <v>4.8329999999999901E-2</v>
      </c>
      <c r="AF68" s="10">
        <v>5.0130000000000001E-2</v>
      </c>
      <c r="AG68" s="10">
        <v>0.19869999999999899</v>
      </c>
      <c r="AH68">
        <v>6.1690000000000002E-2</v>
      </c>
    </row>
    <row r="69" spans="3:34">
      <c r="C69" s="11" t="s">
        <v>178</v>
      </c>
      <c r="D69" s="10" t="s">
        <v>0</v>
      </c>
      <c r="E69" s="10">
        <v>13.71</v>
      </c>
      <c r="F69" s="10">
        <v>25.1999999999999</v>
      </c>
      <c r="G69" s="10">
        <v>95.54</v>
      </c>
      <c r="H69" s="10">
        <v>698.79999999999905</v>
      </c>
      <c r="I69" s="10">
        <v>9.3869999999999898E-2</v>
      </c>
      <c r="J69" s="10">
        <v>5.1310000000000001E-2</v>
      </c>
      <c r="K69" s="10">
        <v>2.3980000000000001E-2</v>
      </c>
      <c r="L69" s="10">
        <v>2.8989999999999901E-2</v>
      </c>
      <c r="M69" s="10">
        <v>0.1565</v>
      </c>
      <c r="N69" s="10">
        <v>5.5039999999999902E-2</v>
      </c>
      <c r="O69" s="10">
        <v>1.214</v>
      </c>
      <c r="P69" s="10">
        <v>2.1880000000000002</v>
      </c>
      <c r="Q69" s="10">
        <v>8.077</v>
      </c>
      <c r="R69" s="10">
        <v>106</v>
      </c>
      <c r="S69" s="10">
        <v>6.8830000000000002E-3</v>
      </c>
      <c r="T69" s="10">
        <v>1.094E-2</v>
      </c>
      <c r="U69" s="10">
        <v>1.8180000000000002E-2</v>
      </c>
      <c r="V69" s="10">
        <v>1.917E-2</v>
      </c>
      <c r="W69" s="10">
        <v>7.8820000000000001E-3</v>
      </c>
      <c r="X69" s="10">
        <v>1.7539999999999899E-3</v>
      </c>
      <c r="Y69" s="10">
        <v>14.99</v>
      </c>
      <c r="Z69" s="10">
        <v>25.1999999999999</v>
      </c>
      <c r="AA69" s="10">
        <v>95.54</v>
      </c>
      <c r="AB69" s="10">
        <v>698.79999999999905</v>
      </c>
      <c r="AC69" s="10">
        <v>9.3869999999999898E-2</v>
      </c>
      <c r="AD69" s="10">
        <v>5.1310000000000001E-2</v>
      </c>
      <c r="AE69" s="10">
        <v>2.3980000000000001E-2</v>
      </c>
      <c r="AF69" s="10">
        <v>2.8989999999999901E-2</v>
      </c>
      <c r="AG69" s="10">
        <v>0.1565</v>
      </c>
      <c r="AH69">
        <v>5.5039999999999902E-2</v>
      </c>
    </row>
    <row r="70" spans="3:34">
      <c r="C70" s="11" t="s">
        <v>180</v>
      </c>
      <c r="D70" s="10" t="s">
        <v>0</v>
      </c>
      <c r="E70" s="10">
        <v>13.71</v>
      </c>
      <c r="F70" s="10">
        <v>21.579999999999899</v>
      </c>
      <c r="G70" s="10">
        <v>86.18</v>
      </c>
      <c r="H70" s="10">
        <v>563</v>
      </c>
      <c r="I70" s="10">
        <v>8.1619999999999901E-2</v>
      </c>
      <c r="J70" s="10">
        <v>6.0310000000000002E-2</v>
      </c>
      <c r="K70" s="10">
        <v>3.1099999999999899E-2</v>
      </c>
      <c r="L70" s="10">
        <v>2.0310000000000002E-2</v>
      </c>
      <c r="M70" s="10">
        <v>0.1784</v>
      </c>
      <c r="N70" s="10">
        <v>5.5870000000000003E-2</v>
      </c>
      <c r="O70" s="10">
        <v>0.23849999999999899</v>
      </c>
      <c r="P70" s="10">
        <v>0.82650000000000001</v>
      </c>
      <c r="Q70" s="10">
        <v>1.5720000000000001</v>
      </c>
      <c r="R70" s="10">
        <v>20.53</v>
      </c>
      <c r="S70" s="10">
        <v>3.27999999999999E-3</v>
      </c>
      <c r="T70" s="10">
        <v>1.102E-2</v>
      </c>
      <c r="U70" s="10">
        <v>1.38999999999999E-2</v>
      </c>
      <c r="V70" s="10">
        <v>6.881E-3</v>
      </c>
      <c r="W70" s="10">
        <v>1.38E-2</v>
      </c>
      <c r="X70" s="10">
        <v>1.286E-3</v>
      </c>
      <c r="Y70" s="10">
        <v>15.93</v>
      </c>
      <c r="Z70" s="10">
        <v>30.25</v>
      </c>
      <c r="AA70" s="10">
        <v>102.5</v>
      </c>
      <c r="AB70" s="10">
        <v>787.89999999999895</v>
      </c>
      <c r="AC70" s="10">
        <v>0.1094</v>
      </c>
      <c r="AD70" s="10">
        <v>0.20430000000000001</v>
      </c>
      <c r="AE70" s="10">
        <v>0.20849999999999899</v>
      </c>
      <c r="AF70" s="10">
        <v>0.11119999999999899</v>
      </c>
      <c r="AG70" s="10">
        <v>0.2994</v>
      </c>
      <c r="AH70">
        <v>7.1459999999999899E-2</v>
      </c>
    </row>
    <row r="71" spans="3:34">
      <c r="C71" s="11" t="s">
        <v>181</v>
      </c>
      <c r="D71" s="10" t="s">
        <v>0</v>
      </c>
      <c r="E71" s="10">
        <v>13.71</v>
      </c>
      <c r="F71" s="10">
        <v>21.35</v>
      </c>
      <c r="G71" s="10">
        <v>71.900000000000006</v>
      </c>
      <c r="H71" s="10">
        <v>371.1</v>
      </c>
      <c r="I71" s="10">
        <v>0.1227</v>
      </c>
      <c r="J71" s="10">
        <v>0.12180000000000001</v>
      </c>
      <c r="K71" s="10">
        <v>0.10440000000000001</v>
      </c>
      <c r="L71" s="10">
        <v>5.66899999999999E-2</v>
      </c>
      <c r="M71" s="10">
        <v>0.1895</v>
      </c>
      <c r="N71" s="10">
        <v>6.86999999999999E-2</v>
      </c>
      <c r="O71" s="10">
        <v>0.2366</v>
      </c>
      <c r="P71" s="10">
        <v>1.4279999999999899</v>
      </c>
      <c r="Q71" s="10">
        <v>1.8220000000000001</v>
      </c>
      <c r="R71" s="10">
        <v>16.969999999999899</v>
      </c>
      <c r="S71" s="10">
        <v>8.064E-3</v>
      </c>
      <c r="T71" s="10">
        <v>1.7639999999999899E-2</v>
      </c>
      <c r="U71" s="10">
        <v>2.5950000000000001E-2</v>
      </c>
      <c r="V71" s="10">
        <v>1.0370000000000001E-2</v>
      </c>
      <c r="W71" s="10">
        <v>1.357E-2</v>
      </c>
      <c r="X71" s="10">
        <v>3.0400000000000002E-3</v>
      </c>
      <c r="Y71" s="10">
        <v>12.84</v>
      </c>
      <c r="Z71" s="10">
        <v>35.340000000000003</v>
      </c>
      <c r="AA71" s="10">
        <v>87.219999999999899</v>
      </c>
      <c r="AB71" s="10">
        <v>514</v>
      </c>
      <c r="AC71" s="10">
        <v>0.19089999999999899</v>
      </c>
      <c r="AD71" s="10">
        <v>0.26979999999999899</v>
      </c>
      <c r="AE71" s="10">
        <v>0.40229999999999899</v>
      </c>
      <c r="AF71" s="10">
        <v>0.1424</v>
      </c>
      <c r="AG71" s="10">
        <v>0.2964</v>
      </c>
      <c r="AH71">
        <v>9.6060000000000006E-2</v>
      </c>
    </row>
    <row r="72" spans="3:34">
      <c r="C72" s="11" t="s">
        <v>182</v>
      </c>
      <c r="D72" s="10" t="s">
        <v>0</v>
      </c>
      <c r="E72" s="10">
        <v>13.71</v>
      </c>
      <c r="F72" s="10">
        <v>24.809999999999899</v>
      </c>
      <c r="G72" s="10">
        <v>128.30000000000001</v>
      </c>
      <c r="H72" s="10">
        <v>1104</v>
      </c>
      <c r="I72" s="10">
        <v>9.0810000000000002E-2</v>
      </c>
      <c r="J72" s="10">
        <v>0.219</v>
      </c>
      <c r="K72" s="10">
        <v>0.2107</v>
      </c>
      <c r="L72" s="10">
        <v>9.9610000000000004E-2</v>
      </c>
      <c r="M72" s="10">
        <v>0.23100000000000001</v>
      </c>
      <c r="N72" s="10">
        <v>6.343E-2</v>
      </c>
      <c r="O72" s="10">
        <v>0.98109999999999897</v>
      </c>
      <c r="P72" s="10">
        <v>1.6659999999999899</v>
      </c>
      <c r="Q72" s="10">
        <v>8.83</v>
      </c>
      <c r="R72" s="10">
        <v>104.9</v>
      </c>
      <c r="S72" s="10">
        <v>6.548E-3</v>
      </c>
      <c r="T72" s="10">
        <v>0.100599999999999</v>
      </c>
      <c r="U72" s="10">
        <v>9.72299999999999E-2</v>
      </c>
      <c r="V72" s="10">
        <v>2.6380000000000001E-2</v>
      </c>
      <c r="W72" s="10">
        <v>5.3330000000000002E-2</v>
      </c>
      <c r="X72" s="10">
        <v>7.646E-3</v>
      </c>
      <c r="Y72" s="10">
        <v>24.09</v>
      </c>
      <c r="Z72" s="10">
        <v>33.17</v>
      </c>
      <c r="AA72" s="10">
        <v>177.4</v>
      </c>
      <c r="AB72" s="10">
        <v>1651</v>
      </c>
      <c r="AC72" s="10">
        <v>0.12470000000000001</v>
      </c>
      <c r="AD72" s="10">
        <v>0.74439999999999895</v>
      </c>
      <c r="AE72" s="10">
        <v>0.72419999999999896</v>
      </c>
      <c r="AF72" s="10">
        <v>0.24929999999999899</v>
      </c>
      <c r="AG72" s="10">
        <v>0.46700000000000003</v>
      </c>
      <c r="AH72">
        <v>0.1038</v>
      </c>
    </row>
    <row r="73" spans="3:34">
      <c r="C73" s="11" t="s">
        <v>184</v>
      </c>
      <c r="D73" s="10" t="s">
        <v>0</v>
      </c>
      <c r="E73" s="10">
        <v>13.71</v>
      </c>
      <c r="F73" s="10">
        <v>21.809999999999899</v>
      </c>
      <c r="G73" s="10">
        <v>85.42</v>
      </c>
      <c r="H73" s="10">
        <v>531.5</v>
      </c>
      <c r="I73" s="10">
        <v>9.7140000000000004E-2</v>
      </c>
      <c r="J73" s="10">
        <v>0.1047</v>
      </c>
      <c r="K73" s="10">
        <v>8.25899999999999E-2</v>
      </c>
      <c r="L73" s="10">
        <v>5.25199999999999E-2</v>
      </c>
      <c r="M73" s="10">
        <v>0.17460000000000001</v>
      </c>
      <c r="N73" s="10">
        <v>6.1769999999999901E-2</v>
      </c>
      <c r="O73" s="10">
        <v>0.1938</v>
      </c>
      <c r="P73" s="10">
        <v>0.61229999999999896</v>
      </c>
      <c r="Q73" s="10">
        <v>1.3340000000000001</v>
      </c>
      <c r="R73" s="10">
        <v>14.49</v>
      </c>
      <c r="S73" s="10">
        <v>3.3500000000000001E-3</v>
      </c>
      <c r="T73" s="10">
        <v>1.384E-2</v>
      </c>
      <c r="U73" s="10">
        <v>1.452E-2</v>
      </c>
      <c r="V73" s="10">
        <v>6.8529999999999902E-3</v>
      </c>
      <c r="W73" s="10">
        <v>1.11299999999999E-2</v>
      </c>
      <c r="X73" s="10">
        <v>1.72E-3</v>
      </c>
      <c r="Y73" s="10">
        <v>16.23</v>
      </c>
      <c r="Z73" s="10">
        <v>29.89</v>
      </c>
      <c r="AA73" s="10">
        <v>105.5</v>
      </c>
      <c r="AB73" s="10">
        <v>740.7</v>
      </c>
      <c r="AC73" s="10">
        <v>0.15029999999999899</v>
      </c>
      <c r="AD73" s="10">
        <v>0.39040000000000002</v>
      </c>
      <c r="AE73" s="10">
        <v>0.37280000000000002</v>
      </c>
      <c r="AF73" s="10">
        <v>0.16070000000000001</v>
      </c>
      <c r="AG73" s="10">
        <v>0.36930000000000002</v>
      </c>
      <c r="AH73">
        <v>9.6180000000000002E-2</v>
      </c>
    </row>
    <row r="74" spans="3:34">
      <c r="C74" s="11" t="s">
        <v>186</v>
      </c>
      <c r="D74" s="10" t="s">
        <v>1</v>
      </c>
      <c r="E74" s="10">
        <v>13.71</v>
      </c>
      <c r="F74" s="10">
        <v>16.84</v>
      </c>
      <c r="G74" s="10">
        <v>51.71</v>
      </c>
      <c r="H74" s="10">
        <v>201.9</v>
      </c>
      <c r="I74" s="10">
        <v>8.5999999999999896E-2</v>
      </c>
      <c r="J74" s="10">
        <v>5.94299999999999E-2</v>
      </c>
      <c r="K74" s="10">
        <v>1.5879999999999901E-2</v>
      </c>
      <c r="L74" s="10">
        <v>5.9170000000000004E-3</v>
      </c>
      <c r="M74" s="10">
        <v>0.1769</v>
      </c>
      <c r="N74" s="10">
        <v>6.5030000000000004E-2</v>
      </c>
      <c r="O74" s="10">
        <v>0.156299999999999</v>
      </c>
      <c r="P74" s="10">
        <v>0.956699999999999</v>
      </c>
      <c r="Q74" s="10">
        <v>1.0940000000000001</v>
      </c>
      <c r="R74" s="10">
        <v>8.2050000000000001</v>
      </c>
      <c r="S74" s="10">
        <v>8.9680000000000003E-3</v>
      </c>
      <c r="T74" s="10">
        <v>1.6459999999999898E-2</v>
      </c>
      <c r="U74" s="10">
        <v>1.5879999999999901E-2</v>
      </c>
      <c r="V74" s="10">
        <v>5.9170000000000004E-3</v>
      </c>
      <c r="W74" s="10">
        <v>2.5739999999999898E-2</v>
      </c>
      <c r="X74" s="10">
        <v>2.5820000000000001E-3</v>
      </c>
      <c r="Y74" s="10">
        <v>8.9640000000000004</v>
      </c>
      <c r="Z74" s="10">
        <v>21.96</v>
      </c>
      <c r="AA74" s="10">
        <v>57.259999999999899</v>
      </c>
      <c r="AB74" s="10">
        <v>242.19999999999899</v>
      </c>
      <c r="AC74" s="10">
        <v>0.12970000000000001</v>
      </c>
      <c r="AD74" s="10">
        <v>0.13569999999999899</v>
      </c>
      <c r="AE74" s="10">
        <v>6.88E-2</v>
      </c>
      <c r="AF74" s="10">
        <v>2.564E-2</v>
      </c>
      <c r="AG74" s="10">
        <v>0.3105</v>
      </c>
      <c r="AH74">
        <v>7.4090000000000003E-2</v>
      </c>
    </row>
    <row r="75" spans="3:34">
      <c r="C75" s="11" t="s">
        <v>187</v>
      </c>
      <c r="D75" s="10" t="s">
        <v>0</v>
      </c>
      <c r="E75" s="10">
        <v>13.71</v>
      </c>
      <c r="F75" s="10">
        <v>18.66</v>
      </c>
      <c r="G75" s="10">
        <v>85.98</v>
      </c>
      <c r="H75" s="10">
        <v>534.6</v>
      </c>
      <c r="I75" s="10">
        <v>0.1158</v>
      </c>
      <c r="J75" s="10">
        <v>0.1231</v>
      </c>
      <c r="K75" s="10">
        <v>0.1226</v>
      </c>
      <c r="L75" s="10">
        <v>7.3400000000000007E-2</v>
      </c>
      <c r="M75" s="10">
        <v>0.21279999999999899</v>
      </c>
      <c r="N75" s="10">
        <v>6.77699999999999E-2</v>
      </c>
      <c r="O75" s="10">
        <v>0.28710000000000002</v>
      </c>
      <c r="P75" s="10">
        <v>0.89370000000000005</v>
      </c>
      <c r="Q75" s="10">
        <v>1.897</v>
      </c>
      <c r="R75" s="10">
        <v>24.25</v>
      </c>
      <c r="S75" s="10">
        <v>6.5319999999999901E-3</v>
      </c>
      <c r="T75" s="10">
        <v>2.3359999999999902E-2</v>
      </c>
      <c r="U75" s="10">
        <v>2.9049999999999899E-2</v>
      </c>
      <c r="V75" s="10">
        <v>1.21499999999999E-2</v>
      </c>
      <c r="W75" s="10">
        <v>1.7430000000000001E-2</v>
      </c>
      <c r="X75" s="10">
        <v>3.643E-3</v>
      </c>
      <c r="Y75" s="10">
        <v>15.67</v>
      </c>
      <c r="Z75" s="10">
        <v>27.9499999999999</v>
      </c>
      <c r="AA75" s="10">
        <v>102.8</v>
      </c>
      <c r="AB75" s="10">
        <v>759.39999999999895</v>
      </c>
      <c r="AC75" s="10">
        <v>0.17860000000000001</v>
      </c>
      <c r="AD75" s="10">
        <v>0.41660000000000003</v>
      </c>
      <c r="AE75" s="10">
        <v>0.50060000000000004</v>
      </c>
      <c r="AF75" s="10">
        <v>0.20880000000000001</v>
      </c>
      <c r="AG75" s="10">
        <v>0.39</v>
      </c>
      <c r="AH75">
        <v>0.1179</v>
      </c>
    </row>
    <row r="76" spans="3:34">
      <c r="C76" s="11" t="s">
        <v>188</v>
      </c>
      <c r="D76" s="10" t="s">
        <v>1</v>
      </c>
      <c r="E76" s="10">
        <v>13.71</v>
      </c>
      <c r="F76" s="10">
        <v>14.63</v>
      </c>
      <c r="G76" s="10">
        <v>78.040000000000006</v>
      </c>
      <c r="H76" s="10">
        <v>449.3</v>
      </c>
      <c r="I76" s="10">
        <v>0.1031</v>
      </c>
      <c r="J76" s="10">
        <v>9.0920000000000001E-2</v>
      </c>
      <c r="K76" s="10">
        <v>6.5920000000000006E-2</v>
      </c>
      <c r="L76" s="10">
        <v>2.7490000000000001E-2</v>
      </c>
      <c r="M76" s="10">
        <v>0.16750000000000001</v>
      </c>
      <c r="N76" s="10">
        <v>6.04299999999999E-2</v>
      </c>
      <c r="O76" s="10">
        <v>0.2636</v>
      </c>
      <c r="P76" s="10">
        <v>0.72940000000000005</v>
      </c>
      <c r="Q76" s="10">
        <v>1.8480000000000001</v>
      </c>
      <c r="R76" s="10">
        <v>19.87</v>
      </c>
      <c r="S76" s="10">
        <v>5.4879999999999903E-3</v>
      </c>
      <c r="T76" s="10">
        <v>1.427E-2</v>
      </c>
      <c r="U76" s="10">
        <v>2.3220000000000001E-2</v>
      </c>
      <c r="V76" s="10">
        <v>5.6600000000000001E-3</v>
      </c>
      <c r="W76" s="10">
        <v>1.42799999999999E-2</v>
      </c>
      <c r="X76" s="10">
        <v>2.4220000000000001E-3</v>
      </c>
      <c r="Y76" s="10">
        <v>13.76</v>
      </c>
      <c r="Z76" s="10">
        <v>20.6999999999999</v>
      </c>
      <c r="AA76" s="10">
        <v>89.879999999999896</v>
      </c>
      <c r="AB76" s="10">
        <v>582.6</v>
      </c>
      <c r="AC76" s="10">
        <v>0.14940000000000001</v>
      </c>
      <c r="AD76" s="10">
        <v>0.21560000000000001</v>
      </c>
      <c r="AE76" s="10">
        <v>0.30499999999999899</v>
      </c>
      <c r="AF76" s="10">
        <v>6.5479999999999899E-2</v>
      </c>
      <c r="AG76" s="10">
        <v>0.2747</v>
      </c>
      <c r="AH76">
        <v>8.301E-2</v>
      </c>
    </row>
    <row r="77" spans="3:34">
      <c r="C77" s="11" t="s">
        <v>189</v>
      </c>
      <c r="D77" s="10" t="s">
        <v>1</v>
      </c>
      <c r="E77" s="10">
        <v>13.71</v>
      </c>
      <c r="F77" s="10">
        <v>22.3</v>
      </c>
      <c r="G77" s="10">
        <v>86.909999999999897</v>
      </c>
      <c r="H77" s="10">
        <v>561</v>
      </c>
      <c r="I77" s="10">
        <v>8.7520000000000001E-2</v>
      </c>
      <c r="J77" s="10">
        <v>7.6980000000000007E-2</v>
      </c>
      <c r="K77" s="10">
        <v>4.75099999999999E-2</v>
      </c>
      <c r="L77" s="10">
        <v>3.3840000000000002E-2</v>
      </c>
      <c r="M77" s="10">
        <v>0.18090000000000001</v>
      </c>
      <c r="N77" s="10">
        <v>5.7180000000000002E-2</v>
      </c>
      <c r="O77" s="10">
        <v>0.23380000000000001</v>
      </c>
      <c r="P77" s="10">
        <v>1.353</v>
      </c>
      <c r="Q77" s="10">
        <v>1.7350000000000001</v>
      </c>
      <c r="R77" s="10">
        <v>20.1999999999999</v>
      </c>
      <c r="S77" s="10">
        <v>4.4549999999999902E-3</v>
      </c>
      <c r="T77" s="10">
        <v>1.3820000000000001E-2</v>
      </c>
      <c r="U77" s="10">
        <v>2.095E-2</v>
      </c>
      <c r="V77" s="10">
        <v>1.184E-2</v>
      </c>
      <c r="W77" s="10">
        <v>1.6410000000000001E-2</v>
      </c>
      <c r="X77" s="10">
        <v>1.9559999999999899E-3</v>
      </c>
      <c r="Y77" s="10">
        <v>15.15</v>
      </c>
      <c r="Z77" s="10">
        <v>31.82</v>
      </c>
      <c r="AA77" s="10">
        <v>99</v>
      </c>
      <c r="AB77" s="10">
        <v>698.79999999999905</v>
      </c>
      <c r="AC77" s="10">
        <v>0.1162</v>
      </c>
      <c r="AD77" s="10">
        <v>0.1711</v>
      </c>
      <c r="AE77" s="10">
        <v>0.22819999999999899</v>
      </c>
      <c r="AF77" s="10">
        <v>0.12820000000000001</v>
      </c>
      <c r="AG77" s="10">
        <v>0.28710000000000002</v>
      </c>
      <c r="AH77">
        <v>6.9169999999999898E-2</v>
      </c>
    </row>
    <row r="78" spans="3:34">
      <c r="C78" s="11" t="s">
        <v>192</v>
      </c>
      <c r="D78" s="10" t="s">
        <v>1</v>
      </c>
      <c r="E78" s="10">
        <v>13.71</v>
      </c>
      <c r="F78" s="10">
        <v>18.239999999999899</v>
      </c>
      <c r="G78" s="10">
        <v>75.709999999999894</v>
      </c>
      <c r="H78" s="10">
        <v>437.6</v>
      </c>
      <c r="I78" s="10">
        <v>8.2610000000000003E-2</v>
      </c>
      <c r="J78" s="10">
        <v>4.75099999999999E-2</v>
      </c>
      <c r="K78" s="10">
        <v>1.9720000000000001E-2</v>
      </c>
      <c r="L78" s="10">
        <v>1.349E-2</v>
      </c>
      <c r="M78" s="10">
        <v>0.18679999999999899</v>
      </c>
      <c r="N78" s="10">
        <v>6.1100000000000002E-2</v>
      </c>
      <c r="O78" s="10">
        <v>0.2273</v>
      </c>
      <c r="P78" s="10">
        <v>0.63290000000000002</v>
      </c>
      <c r="Q78" s="10">
        <v>1.52</v>
      </c>
      <c r="R78" s="10">
        <v>17.469999999999899</v>
      </c>
      <c r="S78" s="10">
        <v>7.2100000000000003E-3</v>
      </c>
      <c r="T78" s="10">
        <v>8.3800000000000003E-3</v>
      </c>
      <c r="U78" s="10">
        <v>1.311E-2</v>
      </c>
      <c r="V78" s="10">
        <v>8.0000000000000002E-3</v>
      </c>
      <c r="W78" s="10">
        <v>1.9959999999999901E-2</v>
      </c>
      <c r="X78" s="10">
        <v>2.6350000000000002E-3</v>
      </c>
      <c r="Y78" s="10">
        <v>13.1</v>
      </c>
      <c r="Z78" s="10">
        <v>21.329999999999899</v>
      </c>
      <c r="AA78" s="10">
        <v>83.67</v>
      </c>
      <c r="AB78" s="10">
        <v>527.20000000000005</v>
      </c>
      <c r="AC78" s="10">
        <v>0.1144</v>
      </c>
      <c r="AD78" s="10">
        <v>8.906E-2</v>
      </c>
      <c r="AE78" s="10">
        <v>9.2030000000000001E-2</v>
      </c>
      <c r="AF78" s="10">
        <v>6.2960000000000002E-2</v>
      </c>
      <c r="AG78" s="10">
        <v>0.27850000000000003</v>
      </c>
      <c r="AH78">
        <v>7.4079999999999896E-2</v>
      </c>
    </row>
    <row r="79" spans="3:34">
      <c r="C79" s="11" t="s">
        <v>193</v>
      </c>
      <c r="D79" s="10" t="s">
        <v>0</v>
      </c>
      <c r="E79" s="10">
        <v>13.71</v>
      </c>
      <c r="F79" s="10">
        <v>18.6999999999999</v>
      </c>
      <c r="G79" s="10">
        <v>120.3</v>
      </c>
      <c r="H79" s="10">
        <v>1033</v>
      </c>
      <c r="I79" s="10">
        <v>0.1148</v>
      </c>
      <c r="J79" s="10">
        <v>0.14849999999999899</v>
      </c>
      <c r="K79" s="10">
        <v>0.1772</v>
      </c>
      <c r="L79" s="10">
        <v>0.106</v>
      </c>
      <c r="M79" s="10">
        <v>0.2092</v>
      </c>
      <c r="N79" s="10">
        <v>6.3100000000000003E-2</v>
      </c>
      <c r="O79" s="10">
        <v>0.8337</v>
      </c>
      <c r="P79" s="10">
        <v>1.593</v>
      </c>
      <c r="Q79" s="10">
        <v>4.87699999999999</v>
      </c>
      <c r="R79" s="10">
        <v>98.81</v>
      </c>
      <c r="S79" s="10">
        <v>3.8990000000000001E-3</v>
      </c>
      <c r="T79" s="10">
        <v>2.9610000000000001E-2</v>
      </c>
      <c r="U79" s="10">
        <v>2.8170000000000001E-2</v>
      </c>
      <c r="V79" s="10">
        <v>9.2219999999999906E-3</v>
      </c>
      <c r="W79" s="10">
        <v>2.674E-2</v>
      </c>
      <c r="X79" s="10">
        <v>5.1260000000000003E-3</v>
      </c>
      <c r="Y79" s="10">
        <v>20.6</v>
      </c>
      <c r="Z79" s="10">
        <v>24.1299999999999</v>
      </c>
      <c r="AA79" s="10">
        <v>135.099999999999</v>
      </c>
      <c r="AB79" s="10">
        <v>1321</v>
      </c>
      <c r="AC79" s="10">
        <v>0.128</v>
      </c>
      <c r="AD79" s="10">
        <v>0.22969999999999899</v>
      </c>
      <c r="AE79" s="10">
        <v>0.26229999999999898</v>
      </c>
      <c r="AF79" s="10">
        <v>0.13250000000000001</v>
      </c>
      <c r="AG79" s="10">
        <v>0.30209999999999898</v>
      </c>
      <c r="AH79">
        <v>7.9869999999999899E-2</v>
      </c>
    </row>
    <row r="80" spans="3:34">
      <c r="C80" s="11" t="s">
        <v>194</v>
      </c>
      <c r="D80" s="10" t="s">
        <v>0</v>
      </c>
      <c r="E80" s="10">
        <v>13.71</v>
      </c>
      <c r="F80" s="10">
        <v>22.02</v>
      </c>
      <c r="G80" s="10">
        <v>97.26</v>
      </c>
      <c r="H80" s="10">
        <v>712.79999999999905</v>
      </c>
      <c r="I80" s="10">
        <v>9.0560000000000002E-2</v>
      </c>
      <c r="J80" s="10">
        <v>7.0809999999999901E-2</v>
      </c>
      <c r="K80" s="10">
        <v>5.253E-2</v>
      </c>
      <c r="L80" s="10">
        <v>3.3340000000000002E-2</v>
      </c>
      <c r="M80" s="10">
        <v>0.16159999999999899</v>
      </c>
      <c r="N80" s="10">
        <v>5.6840000000000002E-2</v>
      </c>
      <c r="O80" s="10">
        <v>0.3105</v>
      </c>
      <c r="P80" s="10">
        <v>0.83389999999999898</v>
      </c>
      <c r="Q80" s="10">
        <v>2.097</v>
      </c>
      <c r="R80" s="10">
        <v>29.91</v>
      </c>
      <c r="S80" s="10">
        <v>4.6750000000000003E-3</v>
      </c>
      <c r="T80" s="10">
        <v>1.03E-2</v>
      </c>
      <c r="U80" s="10">
        <v>1.6029999999999898E-2</v>
      </c>
      <c r="V80" s="10">
        <v>9.2219999999999906E-3</v>
      </c>
      <c r="W80" s="10">
        <v>1.095E-2</v>
      </c>
      <c r="X80" s="10">
        <v>1.629E-3</v>
      </c>
      <c r="Y80" s="10">
        <v>18.100000000000001</v>
      </c>
      <c r="Z80" s="10">
        <v>31.69</v>
      </c>
      <c r="AA80" s="10">
        <v>117.7</v>
      </c>
      <c r="AB80" s="10">
        <v>1030</v>
      </c>
      <c r="AC80" s="10">
        <v>0.1389</v>
      </c>
      <c r="AD80" s="10">
        <v>0.20569999999999899</v>
      </c>
      <c r="AE80" s="10">
        <v>0.2712</v>
      </c>
      <c r="AF80" s="10">
        <v>0.153</v>
      </c>
      <c r="AG80" s="10">
        <v>0.26750000000000002</v>
      </c>
      <c r="AH80">
        <v>7.8729999999999897E-2</v>
      </c>
    </row>
    <row r="81" spans="3:34">
      <c r="C81" s="11" t="s">
        <v>195</v>
      </c>
      <c r="D81" s="10" t="s">
        <v>1</v>
      </c>
      <c r="E81" s="10">
        <v>13.71</v>
      </c>
      <c r="F81" s="10">
        <v>18.75</v>
      </c>
      <c r="G81" s="10">
        <v>73.34</v>
      </c>
      <c r="H81" s="10">
        <v>409</v>
      </c>
      <c r="I81" s="10">
        <v>9.5240000000000005E-2</v>
      </c>
      <c r="J81" s="10">
        <v>5.4730000000000001E-2</v>
      </c>
      <c r="K81" s="10">
        <v>3.0360000000000002E-2</v>
      </c>
      <c r="L81" s="10">
        <v>2.2780000000000002E-2</v>
      </c>
      <c r="M81" s="10">
        <v>0.192</v>
      </c>
      <c r="N81" s="10">
        <v>5.90699999999999E-2</v>
      </c>
      <c r="O81" s="10">
        <v>0.32490000000000002</v>
      </c>
      <c r="P81" s="10">
        <v>0.95909999999999895</v>
      </c>
      <c r="Q81" s="10">
        <v>2.1829999999999901</v>
      </c>
      <c r="R81" s="10">
        <v>23.469999999999899</v>
      </c>
      <c r="S81" s="10">
        <v>8.3280000000000003E-3</v>
      </c>
      <c r="T81" s="10">
        <v>8.7220000000000006E-3</v>
      </c>
      <c r="U81" s="10">
        <v>1.349E-2</v>
      </c>
      <c r="V81" s="10">
        <v>8.6700000000000006E-3</v>
      </c>
      <c r="W81" s="10">
        <v>3.218E-2</v>
      </c>
      <c r="X81" s="10">
        <v>2.3860000000000001E-3</v>
      </c>
      <c r="Y81" s="10">
        <v>12.84</v>
      </c>
      <c r="Z81" s="10">
        <v>22.469999999999899</v>
      </c>
      <c r="AA81" s="10">
        <v>81.81</v>
      </c>
      <c r="AB81" s="10">
        <v>506.19999999999902</v>
      </c>
      <c r="AC81" s="10">
        <v>0.1249</v>
      </c>
      <c r="AD81" s="10">
        <v>8.72E-2</v>
      </c>
      <c r="AE81" s="10">
        <v>9.0759999999999896E-2</v>
      </c>
      <c r="AF81" s="10">
        <v>6.3159999999999897E-2</v>
      </c>
      <c r="AG81" s="10">
        <v>0.3306</v>
      </c>
      <c r="AH81">
        <v>7.0360000000000006E-2</v>
      </c>
    </row>
    <row r="82" spans="3:34">
      <c r="C82" s="11" t="s">
        <v>196</v>
      </c>
      <c r="D82" s="10" t="s">
        <v>0</v>
      </c>
      <c r="E82" s="10">
        <v>13.71</v>
      </c>
      <c r="F82" s="10">
        <v>18.57</v>
      </c>
      <c r="G82" s="10">
        <v>125.5</v>
      </c>
      <c r="H82" s="10">
        <v>1152</v>
      </c>
      <c r="I82" s="10">
        <v>0.1053</v>
      </c>
      <c r="J82" s="10">
        <v>0.12670000000000001</v>
      </c>
      <c r="K82" s="10">
        <v>0.1323</v>
      </c>
      <c r="L82" s="10">
        <v>8.9940000000000006E-2</v>
      </c>
      <c r="M82" s="10">
        <v>0.19170000000000001</v>
      </c>
      <c r="N82" s="10">
        <v>5.9610000000000003E-2</v>
      </c>
      <c r="O82" s="10">
        <v>0.72750000000000004</v>
      </c>
      <c r="P82" s="10">
        <v>1.1930000000000001</v>
      </c>
      <c r="Q82" s="10">
        <v>4.83699999999999</v>
      </c>
      <c r="R82" s="10">
        <v>102.5</v>
      </c>
      <c r="S82" s="10">
        <v>6.4580000000000002E-3</v>
      </c>
      <c r="T82" s="10">
        <v>2.3060000000000001E-2</v>
      </c>
      <c r="U82" s="10">
        <v>2.945E-2</v>
      </c>
      <c r="V82" s="10">
        <v>1.538E-2</v>
      </c>
      <c r="W82" s="10">
        <v>1.8519999999999901E-2</v>
      </c>
      <c r="X82" s="10">
        <v>2.6080000000000001E-3</v>
      </c>
      <c r="Y82" s="10">
        <v>26.14</v>
      </c>
      <c r="Z82" s="10">
        <v>28.14</v>
      </c>
      <c r="AA82" s="10">
        <v>170.099999999999</v>
      </c>
      <c r="AB82" s="10">
        <v>2145</v>
      </c>
      <c r="AC82" s="10">
        <v>0.16239999999999899</v>
      </c>
      <c r="AD82" s="10">
        <v>0.35110000000000002</v>
      </c>
      <c r="AE82" s="10">
        <v>0.38790000000000002</v>
      </c>
      <c r="AF82" s="10">
        <v>0.20910000000000001</v>
      </c>
      <c r="AG82" s="10">
        <v>0.35370000000000001</v>
      </c>
      <c r="AH82">
        <v>8.294E-2</v>
      </c>
    </row>
    <row r="83" spans="3:34">
      <c r="C83" s="11" t="s">
        <v>198</v>
      </c>
      <c r="D83" s="10" t="s">
        <v>1</v>
      </c>
      <c r="E83" s="10">
        <v>13.71</v>
      </c>
      <c r="F83" s="10">
        <v>19.309999999999899</v>
      </c>
      <c r="G83" s="10">
        <v>82.6099999999999</v>
      </c>
      <c r="H83" s="10">
        <v>527.20000000000005</v>
      </c>
      <c r="I83" s="10">
        <v>8.0600000000000005E-2</v>
      </c>
      <c r="J83" s="10">
        <v>3.789E-2</v>
      </c>
      <c r="K83" s="10">
        <v>6.9200000000000002E-4</v>
      </c>
      <c r="L83" s="10">
        <v>4.1669999999999902E-3</v>
      </c>
      <c r="M83" s="10">
        <v>0.18190000000000001</v>
      </c>
      <c r="N83" s="10">
        <v>5.5010000000000003E-2</v>
      </c>
      <c r="O83" s="10">
        <v>0.40400000000000003</v>
      </c>
      <c r="P83" s="10">
        <v>1.214</v>
      </c>
      <c r="Q83" s="10">
        <v>2.5950000000000002</v>
      </c>
      <c r="R83" s="10">
        <v>32.96</v>
      </c>
      <c r="S83" s="10">
        <v>7.4910000000000003E-3</v>
      </c>
      <c r="T83" s="10">
        <v>8.5929999999999895E-3</v>
      </c>
      <c r="U83" s="10">
        <v>6.9200000000000002E-4</v>
      </c>
      <c r="V83" s="10">
        <v>4.1669999999999902E-3</v>
      </c>
      <c r="W83" s="10">
        <v>2.1899999999999899E-2</v>
      </c>
      <c r="X83" s="10">
        <v>2.99E-3</v>
      </c>
      <c r="Y83" s="10">
        <v>14.23</v>
      </c>
      <c r="Z83" s="10">
        <v>22.25</v>
      </c>
      <c r="AA83" s="10">
        <v>90.239999999999895</v>
      </c>
      <c r="AB83" s="10">
        <v>624.1</v>
      </c>
      <c r="AC83" s="10">
        <v>0.1021</v>
      </c>
      <c r="AD83" s="10">
        <v>6.191E-2</v>
      </c>
      <c r="AE83" s="10">
        <v>1.8450000000000001E-3</v>
      </c>
      <c r="AF83" s="10">
        <v>1.111E-2</v>
      </c>
      <c r="AG83" s="10">
        <v>0.24390000000000001</v>
      </c>
      <c r="AH83">
        <v>6.2890000000000001E-2</v>
      </c>
    </row>
    <row r="84" spans="3:34">
      <c r="C84" s="11" t="s">
        <v>199</v>
      </c>
      <c r="D84" s="10" t="s">
        <v>1</v>
      </c>
      <c r="E84" s="10">
        <v>13.71</v>
      </c>
      <c r="F84" s="10">
        <v>11.7899999999999</v>
      </c>
      <c r="G84" s="10">
        <v>54.34</v>
      </c>
      <c r="H84" s="10">
        <v>224.5</v>
      </c>
      <c r="I84" s="10">
        <v>9.7519999999999898E-2</v>
      </c>
      <c r="J84" s="10">
        <v>5.2720000000000003E-2</v>
      </c>
      <c r="K84" s="10">
        <v>2.061E-2</v>
      </c>
      <c r="L84" s="10">
        <v>7.7990000000000004E-3</v>
      </c>
      <c r="M84" s="10">
        <v>0.16830000000000001</v>
      </c>
      <c r="N84" s="10">
        <v>7.1870000000000003E-2</v>
      </c>
      <c r="O84" s="10">
        <v>0.15590000000000001</v>
      </c>
      <c r="P84" s="10">
        <v>0.5796</v>
      </c>
      <c r="Q84" s="10">
        <v>1.046</v>
      </c>
      <c r="R84" s="10">
        <v>8.3219999999999903</v>
      </c>
      <c r="S84" s="10">
        <v>1.01099999999999E-2</v>
      </c>
      <c r="T84" s="10">
        <v>1.055E-2</v>
      </c>
      <c r="U84" s="10">
        <v>1.9810000000000001E-2</v>
      </c>
      <c r="V84" s="10">
        <v>5.7419999999999902E-3</v>
      </c>
      <c r="W84" s="10">
        <v>2.0899999999999901E-2</v>
      </c>
      <c r="X84" s="10">
        <v>2.7880000000000001E-3</v>
      </c>
      <c r="Y84" s="10">
        <v>9.5069999999999908</v>
      </c>
      <c r="Z84" s="10">
        <v>15.4</v>
      </c>
      <c r="AA84" s="10">
        <v>59.899999999999899</v>
      </c>
      <c r="AB84" s="10">
        <v>274.89999999999901</v>
      </c>
      <c r="AC84" s="10">
        <v>0.17330000000000001</v>
      </c>
      <c r="AD84" s="10">
        <v>0.1239</v>
      </c>
      <c r="AE84" s="10">
        <v>0.1168</v>
      </c>
      <c r="AF84" s="10">
        <v>4.419E-2</v>
      </c>
      <c r="AG84" s="10">
        <v>0.32200000000000001</v>
      </c>
      <c r="AH84">
        <v>9.0260000000000007E-2</v>
      </c>
    </row>
    <row r="85" spans="3:34">
      <c r="C85" s="11" t="s">
        <v>200</v>
      </c>
      <c r="D85" s="10" t="s">
        <v>1</v>
      </c>
      <c r="E85" s="10">
        <v>13.71</v>
      </c>
      <c r="F85" s="10">
        <v>14.88</v>
      </c>
      <c r="G85" s="10">
        <v>64.549999999999898</v>
      </c>
      <c r="H85" s="10">
        <v>311.89999999999901</v>
      </c>
      <c r="I85" s="10">
        <v>0.1134</v>
      </c>
      <c r="J85" s="10">
        <v>8.0610000000000001E-2</v>
      </c>
      <c r="K85" s="10">
        <v>1.0840000000000001E-2</v>
      </c>
      <c r="L85" s="10">
        <v>1.29E-2</v>
      </c>
      <c r="M85" s="10">
        <v>0.27429999999999899</v>
      </c>
      <c r="N85" s="10">
        <v>6.9599999999999898E-2</v>
      </c>
      <c r="O85" s="10">
        <v>0.51580000000000004</v>
      </c>
      <c r="P85" s="10">
        <v>1.4410000000000001</v>
      </c>
      <c r="Q85" s="10">
        <v>3.3119999999999901</v>
      </c>
      <c r="R85" s="10">
        <v>34.619999999999898</v>
      </c>
      <c r="S85" s="10">
        <v>7.5139999999999903E-3</v>
      </c>
      <c r="T85" s="10">
        <v>1.099E-2</v>
      </c>
      <c r="U85" s="10">
        <v>7.6649999999999904E-3</v>
      </c>
      <c r="V85" s="10">
        <v>8.1930000000000006E-3</v>
      </c>
      <c r="W85" s="10">
        <v>4.1829999999999902E-2</v>
      </c>
      <c r="X85" s="10">
        <v>5.953E-3</v>
      </c>
      <c r="Y85" s="10">
        <v>11.02</v>
      </c>
      <c r="Z85" s="10">
        <v>17.4499999999999</v>
      </c>
      <c r="AA85" s="10">
        <v>69.8599999999999</v>
      </c>
      <c r="AB85" s="10">
        <v>368.6</v>
      </c>
      <c r="AC85" s="10">
        <v>0.1275</v>
      </c>
      <c r="AD85" s="10">
        <v>9.8659999999999901E-2</v>
      </c>
      <c r="AE85" s="10">
        <v>2.1680000000000001E-2</v>
      </c>
      <c r="AF85" s="10">
        <v>2.579E-2</v>
      </c>
      <c r="AG85" s="10">
        <v>0.35570000000000002</v>
      </c>
      <c r="AH85">
        <v>8.0199999999999896E-2</v>
      </c>
    </row>
    <row r="86" spans="3:34">
      <c r="C86" s="11" t="s">
        <v>201</v>
      </c>
      <c r="D86" s="10" t="s">
        <v>1</v>
      </c>
      <c r="E86" s="10">
        <v>13.71</v>
      </c>
      <c r="F86" s="10">
        <v>20.98</v>
      </c>
      <c r="G86" s="10">
        <v>54.659999999999897</v>
      </c>
      <c r="H86" s="10">
        <v>221.8</v>
      </c>
      <c r="I86" s="10">
        <v>0.12429999999999899</v>
      </c>
      <c r="J86" s="10">
        <v>8.9630000000000001E-2</v>
      </c>
      <c r="K86" s="10">
        <v>2.9999999999999898E-2</v>
      </c>
      <c r="L86" s="10">
        <v>9.2589999999999895E-3</v>
      </c>
      <c r="M86" s="10">
        <v>0.18279999999999899</v>
      </c>
      <c r="N86" s="10">
        <v>6.7570000000000005E-2</v>
      </c>
      <c r="O86" s="10">
        <v>0.35820000000000002</v>
      </c>
      <c r="P86" s="10">
        <v>2.0670000000000002</v>
      </c>
      <c r="Q86" s="10">
        <v>2.4929999999999901</v>
      </c>
      <c r="R86" s="10">
        <v>18.39</v>
      </c>
      <c r="S86" s="10">
        <v>1.193E-2</v>
      </c>
      <c r="T86" s="10">
        <v>3.1620000000000002E-2</v>
      </c>
      <c r="U86" s="10">
        <v>2.9999999999999898E-2</v>
      </c>
      <c r="V86" s="10">
        <v>9.2589999999999895E-3</v>
      </c>
      <c r="W86" s="10">
        <v>3.3570000000000003E-2</v>
      </c>
      <c r="X86" s="10">
        <v>3.04799999999999E-3</v>
      </c>
      <c r="Y86" s="10">
        <v>9.5649999999999906</v>
      </c>
      <c r="Z86" s="10">
        <v>27.0399999999999</v>
      </c>
      <c r="AA86" s="10">
        <v>62.06</v>
      </c>
      <c r="AB86" s="10">
        <v>273.89999999999901</v>
      </c>
      <c r="AC86" s="10">
        <v>0.16389999999999899</v>
      </c>
      <c r="AD86" s="10">
        <v>0.16980000000000001</v>
      </c>
      <c r="AE86" s="10">
        <v>9.0010000000000007E-2</v>
      </c>
      <c r="AF86" s="10">
        <v>2.7779999999999899E-2</v>
      </c>
      <c r="AG86" s="10">
        <v>0.29720000000000002</v>
      </c>
      <c r="AH86">
        <v>7.7119999999999897E-2</v>
      </c>
    </row>
    <row r="87" spans="3:34">
      <c r="C87" s="11" t="s">
        <v>203</v>
      </c>
      <c r="D87" s="10" t="s">
        <v>1</v>
      </c>
      <c r="E87" s="10">
        <v>13.71</v>
      </c>
      <c r="F87" s="10">
        <v>13.8599999999999</v>
      </c>
      <c r="G87" s="10">
        <v>59.2</v>
      </c>
      <c r="H87" s="10">
        <v>260.89999999999901</v>
      </c>
      <c r="I87" s="10">
        <v>7.7210000000000001E-2</v>
      </c>
      <c r="J87" s="10">
        <v>8.7510000000000004E-2</v>
      </c>
      <c r="K87" s="10">
        <v>5.9880000000000003E-2</v>
      </c>
      <c r="L87" s="10">
        <v>2.18E-2</v>
      </c>
      <c r="M87" s="10">
        <v>0.2341</v>
      </c>
      <c r="N87" s="10">
        <v>6.96299999999999E-2</v>
      </c>
      <c r="O87" s="10">
        <v>0.4098</v>
      </c>
      <c r="P87" s="10">
        <v>2.2650000000000001</v>
      </c>
      <c r="Q87" s="10">
        <v>2.6080000000000001</v>
      </c>
      <c r="R87" s="10">
        <v>23.52</v>
      </c>
      <c r="S87" s="10">
        <v>8.7379999999999906E-3</v>
      </c>
      <c r="T87" s="10">
        <v>3.9379999999999901E-2</v>
      </c>
      <c r="U87" s="10">
        <v>4.3119999999999901E-2</v>
      </c>
      <c r="V87" s="10">
        <v>1.55999999999999E-2</v>
      </c>
      <c r="W87" s="10">
        <v>4.1919999999999902E-2</v>
      </c>
      <c r="X87" s="10">
        <v>5.8219999999999904E-3</v>
      </c>
      <c r="Y87" s="10">
        <v>10.01</v>
      </c>
      <c r="Z87" s="10">
        <v>19.23</v>
      </c>
      <c r="AA87" s="10">
        <v>65.59</v>
      </c>
      <c r="AB87" s="10">
        <v>310.10000000000002</v>
      </c>
      <c r="AC87" s="10">
        <v>9.8360000000000003E-2</v>
      </c>
      <c r="AD87" s="10">
        <v>0.1678</v>
      </c>
      <c r="AE87" s="10">
        <v>0.13969999999999899</v>
      </c>
      <c r="AF87" s="10">
        <v>5.0869999999999901E-2</v>
      </c>
      <c r="AG87" s="10">
        <v>0.32819999999999899</v>
      </c>
      <c r="AH87">
        <v>8.4900000000000003E-2</v>
      </c>
    </row>
    <row r="88" spans="3:34">
      <c r="C88" s="11" t="s">
        <v>204</v>
      </c>
      <c r="D88" s="10" t="s">
        <v>0</v>
      </c>
      <c r="E88" s="10">
        <v>13.71</v>
      </c>
      <c r="F88" s="10">
        <v>23.84</v>
      </c>
      <c r="G88" s="10">
        <v>82.689999999999898</v>
      </c>
      <c r="H88" s="10">
        <v>499</v>
      </c>
      <c r="I88" s="10">
        <v>0.11219999999999899</v>
      </c>
      <c r="J88" s="10">
        <v>0.12620000000000001</v>
      </c>
      <c r="K88" s="10">
        <v>0.1128</v>
      </c>
      <c r="L88" s="10">
        <v>6.8729999999999902E-2</v>
      </c>
      <c r="M88" s="10">
        <v>0.1905</v>
      </c>
      <c r="N88" s="10">
        <v>6.59E-2</v>
      </c>
      <c r="O88" s="10">
        <v>0.42549999999999899</v>
      </c>
      <c r="P88" s="10">
        <v>1.1779999999999899</v>
      </c>
      <c r="Q88" s="10">
        <v>2.927</v>
      </c>
      <c r="R88" s="10">
        <v>36.46</v>
      </c>
      <c r="S88" s="10">
        <v>7.7809999999999902E-3</v>
      </c>
      <c r="T88" s="10">
        <v>2.648E-2</v>
      </c>
      <c r="U88" s="10">
        <v>2.9729999999999899E-2</v>
      </c>
      <c r="V88" s="10">
        <v>1.29E-2</v>
      </c>
      <c r="W88" s="10">
        <v>1.635E-2</v>
      </c>
      <c r="X88" s="10">
        <v>3.601E-3</v>
      </c>
      <c r="Y88" s="10">
        <v>17.09</v>
      </c>
      <c r="Z88" s="10">
        <v>33.469999999999899</v>
      </c>
      <c r="AA88" s="10">
        <v>111.8</v>
      </c>
      <c r="AB88" s="10">
        <v>888.29999999999905</v>
      </c>
      <c r="AC88" s="10">
        <v>0.18509999999999899</v>
      </c>
      <c r="AD88" s="10">
        <v>0.40610000000000002</v>
      </c>
      <c r="AE88" s="10">
        <v>0.40239999999999898</v>
      </c>
      <c r="AF88" s="10">
        <v>0.1716</v>
      </c>
      <c r="AG88" s="10">
        <v>0.33829999999999899</v>
      </c>
      <c r="AH88">
        <v>0.1031</v>
      </c>
    </row>
    <row r="89" spans="3:34">
      <c r="C89" s="11" t="s">
        <v>205</v>
      </c>
      <c r="D89" s="10" t="s">
        <v>0</v>
      </c>
      <c r="E89" s="10">
        <v>13.71</v>
      </c>
      <c r="F89" s="10">
        <v>23.94</v>
      </c>
      <c r="G89" s="10">
        <v>97.4</v>
      </c>
      <c r="H89" s="10">
        <v>668.29999999999905</v>
      </c>
      <c r="I89" s="10">
        <v>0.1172</v>
      </c>
      <c r="J89" s="10">
        <v>0.1479</v>
      </c>
      <c r="K89" s="10">
        <v>0.12670000000000001</v>
      </c>
      <c r="L89" s="10">
        <v>9.0289999999999898E-2</v>
      </c>
      <c r="M89" s="10">
        <v>0.1953</v>
      </c>
      <c r="N89" s="10">
        <v>6.6540000000000002E-2</v>
      </c>
      <c r="O89" s="10">
        <v>0.35770000000000002</v>
      </c>
      <c r="P89" s="10">
        <v>1.2809999999999899</v>
      </c>
      <c r="Q89" s="10">
        <v>2.4500000000000002</v>
      </c>
      <c r="R89" s="10">
        <v>35.24</v>
      </c>
      <c r="S89" s="10">
        <v>6.7029999999999902E-3</v>
      </c>
      <c r="T89" s="10">
        <v>2.3099999999999898E-2</v>
      </c>
      <c r="U89" s="10">
        <v>2.315E-2</v>
      </c>
      <c r="V89" s="10">
        <v>1.184E-2</v>
      </c>
      <c r="W89" s="10">
        <v>1.9E-2</v>
      </c>
      <c r="X89" s="10">
        <v>3.2239999999999899E-3</v>
      </c>
      <c r="Y89" s="10">
        <v>17.309999999999899</v>
      </c>
      <c r="Z89" s="10">
        <v>33.39</v>
      </c>
      <c r="AA89" s="10">
        <v>114.599999999999</v>
      </c>
      <c r="AB89" s="10">
        <v>925.1</v>
      </c>
      <c r="AC89" s="10">
        <v>0.1648</v>
      </c>
      <c r="AD89" s="10">
        <v>0.34160000000000001</v>
      </c>
      <c r="AE89" s="10">
        <v>0.3024</v>
      </c>
      <c r="AF89" s="10">
        <v>0.16139999999999899</v>
      </c>
      <c r="AG89" s="10">
        <v>0.33210000000000001</v>
      </c>
      <c r="AH89">
        <v>8.9109999999999898E-2</v>
      </c>
    </row>
    <row r="90" spans="3:34">
      <c r="C90" s="11" t="s">
        <v>207</v>
      </c>
      <c r="D90" s="10" t="s">
        <v>1</v>
      </c>
      <c r="E90" s="10">
        <v>13.71</v>
      </c>
      <c r="F90" s="10">
        <v>19.0399999999999</v>
      </c>
      <c r="G90" s="10">
        <v>71.799999999999898</v>
      </c>
      <c r="H90" s="10">
        <v>394.1</v>
      </c>
      <c r="I90" s="10">
        <v>8.1390000000000004E-2</v>
      </c>
      <c r="J90" s="10">
        <v>4.7010000000000003E-2</v>
      </c>
      <c r="K90" s="10">
        <v>3.7089999999999901E-2</v>
      </c>
      <c r="L90" s="10">
        <v>2.23E-2</v>
      </c>
      <c r="M90" s="10">
        <v>0.15160000000000001</v>
      </c>
      <c r="N90" s="10">
        <v>5.6669999999999901E-2</v>
      </c>
      <c r="O90" s="10">
        <v>0.2727</v>
      </c>
      <c r="P90" s="10">
        <v>0.94289999999999896</v>
      </c>
      <c r="Q90" s="10">
        <v>1.831</v>
      </c>
      <c r="R90" s="10">
        <v>18.149999999999899</v>
      </c>
      <c r="S90" s="10">
        <v>9.2820000000000003E-3</v>
      </c>
      <c r="T90" s="10">
        <v>9.2160000000000002E-3</v>
      </c>
      <c r="U90" s="10">
        <v>2.0629999999999898E-2</v>
      </c>
      <c r="V90" s="10">
        <v>8.9650000000000007E-3</v>
      </c>
      <c r="W90" s="10">
        <v>2.1829999999999902E-2</v>
      </c>
      <c r="X90" s="10">
        <v>2.1459999999999899E-3</v>
      </c>
      <c r="Y90" s="10">
        <v>12.33</v>
      </c>
      <c r="Z90" s="10">
        <v>23.84</v>
      </c>
      <c r="AA90" s="10">
        <v>78</v>
      </c>
      <c r="AB90" s="10">
        <v>466.69999999999902</v>
      </c>
      <c r="AC90" s="10">
        <v>0.129</v>
      </c>
      <c r="AD90" s="10">
        <v>9.1480000000000006E-2</v>
      </c>
      <c r="AE90" s="10">
        <v>0.1444</v>
      </c>
      <c r="AF90" s="10">
        <v>6.9610000000000005E-2</v>
      </c>
      <c r="AG90" s="10">
        <v>0.23999999999999899</v>
      </c>
      <c r="AH90">
        <v>6.64099999999999E-2</v>
      </c>
    </row>
    <row r="91" spans="3:34">
      <c r="C91" s="11" t="s">
        <v>209</v>
      </c>
      <c r="D91" s="10" t="s">
        <v>1</v>
      </c>
      <c r="E91" s="10">
        <v>13.71</v>
      </c>
      <c r="F91" s="10">
        <v>16.489999999999899</v>
      </c>
      <c r="G91" s="10">
        <v>81.37</v>
      </c>
      <c r="H91" s="10">
        <v>502.5</v>
      </c>
      <c r="I91" s="10">
        <v>9.8309999999999897E-2</v>
      </c>
      <c r="J91" s="10">
        <v>5.23399999999999E-2</v>
      </c>
      <c r="K91" s="10">
        <v>3.653E-2</v>
      </c>
      <c r="L91" s="10">
        <v>2.8639999999999902E-2</v>
      </c>
      <c r="M91" s="10">
        <v>0.159</v>
      </c>
      <c r="N91" s="10">
        <v>5.65299999999999E-2</v>
      </c>
      <c r="O91" s="10">
        <v>0.23680000000000001</v>
      </c>
      <c r="P91" s="10">
        <v>0.87319999999999898</v>
      </c>
      <c r="Q91" s="10">
        <v>1.4710000000000001</v>
      </c>
      <c r="R91" s="10">
        <v>18.329999999999899</v>
      </c>
      <c r="S91" s="10">
        <v>7.9620000000000003E-3</v>
      </c>
      <c r="T91" s="10">
        <v>5.6119999999999903E-3</v>
      </c>
      <c r="U91" s="10">
        <v>1.585E-2</v>
      </c>
      <c r="V91" s="10">
        <v>8.6619999999999892E-3</v>
      </c>
      <c r="W91" s="10">
        <v>2.2540000000000001E-2</v>
      </c>
      <c r="X91" s="10">
        <v>1.90599999999999E-3</v>
      </c>
      <c r="Y91" s="10">
        <v>13.46</v>
      </c>
      <c r="Z91" s="10">
        <v>19.760000000000002</v>
      </c>
      <c r="AA91" s="10">
        <v>85.67</v>
      </c>
      <c r="AB91" s="10">
        <v>554.89999999999895</v>
      </c>
      <c r="AC91" s="10">
        <v>0.12959999999999899</v>
      </c>
      <c r="AD91" s="10">
        <v>7.0610000000000006E-2</v>
      </c>
      <c r="AE91" s="10">
        <v>0.10390000000000001</v>
      </c>
      <c r="AF91" s="10">
        <v>5.88199999999999E-2</v>
      </c>
      <c r="AG91" s="10">
        <v>0.23830000000000001</v>
      </c>
      <c r="AH91">
        <v>6.4100000000000004E-2</v>
      </c>
    </row>
    <row r="92" spans="3:34">
      <c r="C92" s="11" t="s">
        <v>210</v>
      </c>
      <c r="D92" s="10" t="s">
        <v>0</v>
      </c>
      <c r="E92" s="10">
        <v>13.71</v>
      </c>
      <c r="F92" s="10">
        <v>21.309999999999899</v>
      </c>
      <c r="G92" s="10">
        <v>123.599999999999</v>
      </c>
      <c r="H92" s="10">
        <v>1130</v>
      </c>
      <c r="I92" s="10">
        <v>9.0090000000000003E-2</v>
      </c>
      <c r="J92" s="10">
        <v>0.10290000000000001</v>
      </c>
      <c r="K92" s="10">
        <v>0.108</v>
      </c>
      <c r="L92" s="10">
        <v>7.95099999999999E-2</v>
      </c>
      <c r="M92" s="10">
        <v>0.15820000000000001</v>
      </c>
      <c r="N92" s="10">
        <v>5.4609999999999902E-2</v>
      </c>
      <c r="O92" s="10">
        <v>0.78879999999999895</v>
      </c>
      <c r="P92" s="10">
        <v>0.79749999999999899</v>
      </c>
      <c r="Q92" s="10">
        <v>5.48599999999999</v>
      </c>
      <c r="R92" s="10">
        <v>96.049999999999898</v>
      </c>
      <c r="S92" s="10">
        <v>4.444E-3</v>
      </c>
      <c r="T92" s="10">
        <v>1.652E-2</v>
      </c>
      <c r="U92" s="10">
        <v>2.2689999999999901E-2</v>
      </c>
      <c r="V92" s="10">
        <v>1.37E-2</v>
      </c>
      <c r="W92" s="10">
        <v>1.3860000000000001E-2</v>
      </c>
      <c r="X92" s="10">
        <v>1.6980000000000001E-3</v>
      </c>
      <c r="Y92" s="10">
        <v>24.8599999999999</v>
      </c>
      <c r="Z92" s="10">
        <v>26.579999999999899</v>
      </c>
      <c r="AA92" s="10">
        <v>165.9</v>
      </c>
      <c r="AB92" s="10">
        <v>1866</v>
      </c>
      <c r="AC92" s="10">
        <v>0.1193</v>
      </c>
      <c r="AD92" s="10">
        <v>0.2336</v>
      </c>
      <c r="AE92" s="10">
        <v>0.268699999999999</v>
      </c>
      <c r="AF92" s="10">
        <v>0.1789</v>
      </c>
      <c r="AG92" s="10">
        <v>0.25509999999999899</v>
      </c>
      <c r="AH92">
        <v>6.5890000000000004E-2</v>
      </c>
    </row>
    <row r="93" spans="3:34">
      <c r="C93" s="11" t="s">
        <v>211</v>
      </c>
      <c r="D93" s="10" t="s">
        <v>1</v>
      </c>
      <c r="E93" s="10">
        <v>13.71</v>
      </c>
      <c r="F93" s="10">
        <v>14.64</v>
      </c>
      <c r="G93" s="10">
        <v>58.7899999999999</v>
      </c>
      <c r="H93" s="10">
        <v>244</v>
      </c>
      <c r="I93" s="10">
        <v>9.783E-2</v>
      </c>
      <c r="J93" s="10">
        <v>0.15310000000000001</v>
      </c>
      <c r="K93" s="10">
        <v>8.60599999999999E-2</v>
      </c>
      <c r="L93" s="10">
        <v>2.8719999999999898E-2</v>
      </c>
      <c r="M93" s="10">
        <v>0.19020000000000001</v>
      </c>
      <c r="N93" s="10">
        <v>8.9800000000000005E-2</v>
      </c>
      <c r="O93" s="10">
        <v>0.5262</v>
      </c>
      <c r="P93" s="10">
        <v>0.85219999999999896</v>
      </c>
      <c r="Q93" s="10">
        <v>3.1680000000000001</v>
      </c>
      <c r="R93" s="10">
        <v>25.44</v>
      </c>
      <c r="S93" s="10">
        <v>1.721E-2</v>
      </c>
      <c r="T93" s="10">
        <v>9.3679999999999902E-2</v>
      </c>
      <c r="U93" s="10">
        <v>5.6710000000000003E-2</v>
      </c>
      <c r="V93" s="10">
        <v>1.7659999999999901E-2</v>
      </c>
      <c r="W93" s="10">
        <v>2.5409999999999901E-2</v>
      </c>
      <c r="X93" s="10">
        <v>2.1930000000000002E-2</v>
      </c>
      <c r="Y93" s="10">
        <v>9.7330000000000005</v>
      </c>
      <c r="Z93" s="10">
        <v>15.67</v>
      </c>
      <c r="AA93" s="10">
        <v>62.56</v>
      </c>
      <c r="AB93" s="10">
        <v>284.39999999999901</v>
      </c>
      <c r="AC93" s="10">
        <v>0.1207</v>
      </c>
      <c r="AD93" s="10">
        <v>0.24360000000000001</v>
      </c>
      <c r="AE93" s="10">
        <v>0.1434</v>
      </c>
      <c r="AF93" s="10">
        <v>4.786E-2</v>
      </c>
      <c r="AG93" s="10">
        <v>0.22539999999999899</v>
      </c>
      <c r="AH93">
        <v>0.1084</v>
      </c>
    </row>
    <row r="94" spans="3:34">
      <c r="C94" s="11" t="s">
        <v>212</v>
      </c>
      <c r="D94" s="10" t="s">
        <v>0</v>
      </c>
      <c r="E94" s="10">
        <v>13.71</v>
      </c>
      <c r="F94" s="10">
        <v>24.52</v>
      </c>
      <c r="G94" s="10">
        <v>114.2</v>
      </c>
      <c r="H94" s="10">
        <v>929.39999999999895</v>
      </c>
      <c r="I94" s="10">
        <v>0.1071</v>
      </c>
      <c r="J94" s="10">
        <v>0.183</v>
      </c>
      <c r="K94" s="10">
        <v>0.16919999999999899</v>
      </c>
      <c r="L94" s="10">
        <v>7.94399999999999E-2</v>
      </c>
      <c r="M94" s="10">
        <v>0.19270000000000001</v>
      </c>
      <c r="N94" s="10">
        <v>6.48699999999999E-2</v>
      </c>
      <c r="O94" s="10">
        <v>0.5907</v>
      </c>
      <c r="P94" s="10">
        <v>1.0409999999999899</v>
      </c>
      <c r="Q94" s="10">
        <v>3.7050000000000001</v>
      </c>
      <c r="R94" s="10">
        <v>69.469999999999899</v>
      </c>
      <c r="S94" s="10">
        <v>5.8199999999999901E-3</v>
      </c>
      <c r="T94" s="10">
        <v>5.6160000000000002E-2</v>
      </c>
      <c r="U94" s="10">
        <v>4.2520000000000002E-2</v>
      </c>
      <c r="V94" s="10">
        <v>1.1270000000000001E-2</v>
      </c>
      <c r="W94" s="10">
        <v>1.5270000000000001E-2</v>
      </c>
      <c r="X94" s="10">
        <v>6.2989999999999904E-3</v>
      </c>
      <c r="Y94" s="10">
        <v>23.32</v>
      </c>
      <c r="Z94" s="10">
        <v>33.82</v>
      </c>
      <c r="AA94" s="10">
        <v>151.599999999999</v>
      </c>
      <c r="AB94" s="10">
        <v>1681</v>
      </c>
      <c r="AC94" s="10">
        <v>0.1585</v>
      </c>
      <c r="AD94" s="10">
        <v>0.73939999999999895</v>
      </c>
      <c r="AE94" s="10">
        <v>0.65659999999999896</v>
      </c>
      <c r="AF94" s="10">
        <v>0.18990000000000001</v>
      </c>
      <c r="AG94" s="10">
        <v>0.33129999999999898</v>
      </c>
      <c r="AH94">
        <v>0.13389999999999899</v>
      </c>
    </row>
    <row r="95" spans="3:34">
      <c r="C95" s="11" t="s">
        <v>215</v>
      </c>
      <c r="D95" s="10" t="s">
        <v>0</v>
      </c>
      <c r="E95" s="10">
        <v>13.71</v>
      </c>
      <c r="F95" s="10">
        <v>19.649999999999899</v>
      </c>
      <c r="G95" s="10">
        <v>104.099999999999</v>
      </c>
      <c r="H95" s="10">
        <v>817.7</v>
      </c>
      <c r="I95" s="10">
        <v>9.16799999999999E-2</v>
      </c>
      <c r="J95" s="10">
        <v>8.4239999999999898E-2</v>
      </c>
      <c r="K95" s="10">
        <v>9.7689999999999902E-2</v>
      </c>
      <c r="L95" s="10">
        <v>6.6379999999999897E-2</v>
      </c>
      <c r="M95" s="10">
        <v>0.17979999999999899</v>
      </c>
      <c r="N95" s="10">
        <v>5.391E-2</v>
      </c>
      <c r="O95" s="10">
        <v>0.74739999999999895</v>
      </c>
      <c r="P95" s="10">
        <v>1.016</v>
      </c>
      <c r="Q95" s="10">
        <v>5.0289999999999901</v>
      </c>
      <c r="R95" s="10">
        <v>79.25</v>
      </c>
      <c r="S95" s="10">
        <v>1.082E-2</v>
      </c>
      <c r="T95" s="10">
        <v>2.2030000000000001E-2</v>
      </c>
      <c r="U95" s="10">
        <v>3.5000000000000003E-2</v>
      </c>
      <c r="V95" s="10">
        <v>1.8089999999999901E-2</v>
      </c>
      <c r="W95" s="10">
        <v>1.55E-2</v>
      </c>
      <c r="X95" s="10">
        <v>1.9480000000000001E-3</v>
      </c>
      <c r="Y95" s="10">
        <v>19.77</v>
      </c>
      <c r="Z95" s="10">
        <v>24.559999999999899</v>
      </c>
      <c r="AA95" s="10">
        <v>128.80000000000001</v>
      </c>
      <c r="AB95" s="10">
        <v>1223</v>
      </c>
      <c r="AC95" s="10">
        <v>0.149999999999999</v>
      </c>
      <c r="AD95" s="10">
        <v>0.20449999999999899</v>
      </c>
      <c r="AE95" s="10">
        <v>0.28289999999999899</v>
      </c>
      <c r="AF95" s="10">
        <v>0.152</v>
      </c>
      <c r="AG95" s="10">
        <v>0.26500000000000001</v>
      </c>
      <c r="AH95">
        <v>6.3869999999999899E-2</v>
      </c>
    </row>
    <row r="96" spans="3:34">
      <c r="C96" s="11" t="s">
        <v>216</v>
      </c>
      <c r="D96" s="10" t="s">
        <v>1</v>
      </c>
      <c r="E96" s="10">
        <v>13.71</v>
      </c>
      <c r="F96" s="10">
        <v>10.94</v>
      </c>
      <c r="G96" s="10">
        <v>87.909999999999897</v>
      </c>
      <c r="H96" s="10">
        <v>559.20000000000005</v>
      </c>
      <c r="I96" s="10">
        <v>0.12909999999999899</v>
      </c>
      <c r="J96" s="10">
        <v>0.1047</v>
      </c>
      <c r="K96" s="10">
        <v>6.8769999999999901E-2</v>
      </c>
      <c r="L96" s="10">
        <v>6.5559999999999896E-2</v>
      </c>
      <c r="M96" s="10">
        <v>0.24030000000000001</v>
      </c>
      <c r="N96" s="10">
        <v>6.64099999999999E-2</v>
      </c>
      <c r="O96" s="10">
        <v>0.41010000000000002</v>
      </c>
      <c r="P96" s="10">
        <v>1.014</v>
      </c>
      <c r="Q96" s="10">
        <v>2.6520000000000001</v>
      </c>
      <c r="R96" s="10">
        <v>32.649999999999899</v>
      </c>
      <c r="S96" s="10">
        <v>1.34E-2</v>
      </c>
      <c r="T96" s="10">
        <v>2.8389999999999901E-2</v>
      </c>
      <c r="U96" s="10">
        <v>1.162E-2</v>
      </c>
      <c r="V96" s="10">
        <v>8.2389999999999894E-3</v>
      </c>
      <c r="W96" s="10">
        <v>2.572E-2</v>
      </c>
      <c r="X96" s="10">
        <v>6.1640000000000002E-3</v>
      </c>
      <c r="Y96" s="10">
        <v>14.08</v>
      </c>
      <c r="Z96" s="10">
        <v>12.49</v>
      </c>
      <c r="AA96" s="10">
        <v>91.3599999999999</v>
      </c>
      <c r="AB96" s="10">
        <v>605.5</v>
      </c>
      <c r="AC96" s="10">
        <v>0.14510000000000001</v>
      </c>
      <c r="AD96" s="10">
        <v>0.137899999999999</v>
      </c>
      <c r="AE96" s="10">
        <v>8.5389999999999897E-2</v>
      </c>
      <c r="AF96" s="10">
        <v>7.40699999999999E-2</v>
      </c>
      <c r="AG96" s="10">
        <v>0.27100000000000002</v>
      </c>
      <c r="AH96">
        <v>7.1910000000000002E-2</v>
      </c>
    </row>
    <row r="97" spans="3:34">
      <c r="C97" s="11" t="s">
        <v>217</v>
      </c>
      <c r="D97" s="10" t="s">
        <v>0</v>
      </c>
      <c r="E97" s="10">
        <v>13.71</v>
      </c>
      <c r="F97" s="10">
        <v>16.149999999999899</v>
      </c>
      <c r="G97" s="10">
        <v>120.2</v>
      </c>
      <c r="H97" s="10">
        <v>1006</v>
      </c>
      <c r="I97" s="10">
        <v>0.1065</v>
      </c>
      <c r="J97" s="10">
        <v>0.21460000000000001</v>
      </c>
      <c r="K97" s="10">
        <v>0.16839999999999899</v>
      </c>
      <c r="L97" s="10">
        <v>0.108</v>
      </c>
      <c r="M97" s="10">
        <v>0.2152</v>
      </c>
      <c r="N97" s="10">
        <v>6.6729999999999901E-2</v>
      </c>
      <c r="O97" s="10">
        <v>0.98060000000000003</v>
      </c>
      <c r="P97" s="10">
        <v>0.55049999999999899</v>
      </c>
      <c r="Q97" s="10">
        <v>6.3109999999999902</v>
      </c>
      <c r="R97" s="10">
        <v>134.80000000000001</v>
      </c>
      <c r="S97" s="10">
        <v>7.9399999999999905E-3</v>
      </c>
      <c r="T97" s="10">
        <v>5.83899999999999E-2</v>
      </c>
      <c r="U97" s="10">
        <v>4.6580000000000003E-2</v>
      </c>
      <c r="V97" s="10">
        <v>2.07E-2</v>
      </c>
      <c r="W97" s="10">
        <v>2.5909999999999898E-2</v>
      </c>
      <c r="X97" s="10">
        <v>7.0540000000000004E-3</v>
      </c>
      <c r="Y97" s="10">
        <v>22.39</v>
      </c>
      <c r="Z97" s="10">
        <v>18.91</v>
      </c>
      <c r="AA97" s="10">
        <v>150.099999999999</v>
      </c>
      <c r="AB97" s="10">
        <v>1610</v>
      </c>
      <c r="AC97" s="10">
        <v>0.14779999999999899</v>
      </c>
      <c r="AD97" s="10">
        <v>0.56340000000000001</v>
      </c>
      <c r="AE97" s="10">
        <v>0.37859999999999899</v>
      </c>
      <c r="AF97" s="10">
        <v>0.2102</v>
      </c>
      <c r="AG97" s="10">
        <v>0.37509999999999899</v>
      </c>
      <c r="AH97">
        <v>0.1108</v>
      </c>
    </row>
    <row r="98" spans="3:34">
      <c r="C98" s="11" t="s">
        <v>219</v>
      </c>
      <c r="D98" s="10" t="s">
        <v>1</v>
      </c>
      <c r="E98" s="10">
        <v>13.71</v>
      </c>
      <c r="F98" s="10">
        <v>18</v>
      </c>
      <c r="G98" s="10">
        <v>83.189999999999898</v>
      </c>
      <c r="H98" s="10">
        <v>506.3</v>
      </c>
      <c r="I98" s="10">
        <v>9.9339999999999901E-2</v>
      </c>
      <c r="J98" s="10">
        <v>9.5460000000000003E-2</v>
      </c>
      <c r="K98" s="10">
        <v>3.8890000000000001E-2</v>
      </c>
      <c r="L98" s="10">
        <v>2.315E-2</v>
      </c>
      <c r="M98" s="10">
        <v>0.17180000000000001</v>
      </c>
      <c r="N98" s="10">
        <v>5.9970000000000002E-2</v>
      </c>
      <c r="O98" s="10">
        <v>0.26550000000000001</v>
      </c>
      <c r="P98" s="10">
        <v>1.095</v>
      </c>
      <c r="Q98" s="10">
        <v>1.778</v>
      </c>
      <c r="R98" s="10">
        <v>20.350000000000001</v>
      </c>
      <c r="S98" s="10">
        <v>5.293E-3</v>
      </c>
      <c r="T98" s="10">
        <v>1.661E-2</v>
      </c>
      <c r="U98" s="10">
        <v>2.0709999999999899E-2</v>
      </c>
      <c r="V98" s="10">
        <v>8.1790000000000005E-3</v>
      </c>
      <c r="W98" s="10">
        <v>1.7479999999999898E-2</v>
      </c>
      <c r="X98" s="10">
        <v>2.8479999999999899E-3</v>
      </c>
      <c r="Y98" s="10">
        <v>14.24</v>
      </c>
      <c r="Z98" s="10">
        <v>24.82</v>
      </c>
      <c r="AA98" s="10">
        <v>91.879999999999896</v>
      </c>
      <c r="AB98" s="10">
        <v>622.1</v>
      </c>
      <c r="AC98" s="10">
        <v>0.12889999999999899</v>
      </c>
      <c r="AD98" s="10">
        <v>0.21410000000000001</v>
      </c>
      <c r="AE98" s="10">
        <v>0.1731</v>
      </c>
      <c r="AF98" s="10">
        <v>7.92599999999999E-2</v>
      </c>
      <c r="AG98" s="10">
        <v>0.27789999999999898</v>
      </c>
      <c r="AH98">
        <v>7.918E-2</v>
      </c>
    </row>
    <row r="99" spans="3:34">
      <c r="C99" s="11" t="s">
        <v>220</v>
      </c>
      <c r="D99" s="10" t="s">
        <v>1</v>
      </c>
      <c r="E99" s="10">
        <v>13.71</v>
      </c>
      <c r="F99" s="10">
        <v>20.969999999999899</v>
      </c>
      <c r="G99" s="10">
        <v>73.81</v>
      </c>
      <c r="H99" s="10">
        <v>401.5</v>
      </c>
      <c r="I99" s="10">
        <v>0.11020000000000001</v>
      </c>
      <c r="J99" s="10">
        <v>9.3619999999999898E-2</v>
      </c>
      <c r="K99" s="10">
        <v>4.5909999999999902E-2</v>
      </c>
      <c r="L99" s="10">
        <v>2.2329999999999899E-2</v>
      </c>
      <c r="M99" s="10">
        <v>0.1842</v>
      </c>
      <c r="N99" s="10">
        <v>7.0050000000000001E-2</v>
      </c>
      <c r="O99" s="10">
        <v>0.3251</v>
      </c>
      <c r="P99" s="10">
        <v>2.1739999999999902</v>
      </c>
      <c r="Q99" s="10">
        <v>2.077</v>
      </c>
      <c r="R99" s="10">
        <v>24.62</v>
      </c>
      <c r="S99" s="10">
        <v>1.0370000000000001E-2</v>
      </c>
      <c r="T99" s="10">
        <v>1.7059999999999902E-2</v>
      </c>
      <c r="U99" s="10">
        <v>2.5860000000000001E-2</v>
      </c>
      <c r="V99" s="10">
        <v>7.5059999999999901E-3</v>
      </c>
      <c r="W99" s="10">
        <v>1.8159999999999898E-2</v>
      </c>
      <c r="X99" s="10">
        <v>3.9760000000000004E-3</v>
      </c>
      <c r="Y99" s="10">
        <v>13.1099999999999</v>
      </c>
      <c r="Z99" s="10">
        <v>32.159999999999897</v>
      </c>
      <c r="AA99" s="10">
        <v>84.53</v>
      </c>
      <c r="AB99" s="10">
        <v>525.1</v>
      </c>
      <c r="AC99" s="10">
        <v>0.15570000000000001</v>
      </c>
      <c r="AD99" s="10">
        <v>0.1676</v>
      </c>
      <c r="AE99" s="10">
        <v>0.17549999999999899</v>
      </c>
      <c r="AF99" s="10">
        <v>6.1269999999999901E-2</v>
      </c>
      <c r="AG99" s="10">
        <v>0.2762</v>
      </c>
      <c r="AH99">
        <v>8.8510000000000005E-2</v>
      </c>
    </row>
    <row r="100" spans="3:34">
      <c r="C100" s="11" t="s">
        <v>221</v>
      </c>
      <c r="D100" s="10" t="s">
        <v>1</v>
      </c>
      <c r="E100" s="10">
        <v>13.71</v>
      </c>
      <c r="F100" s="10">
        <v>15.8599999999999</v>
      </c>
      <c r="G100" s="10">
        <v>86.489999999999895</v>
      </c>
      <c r="H100" s="10">
        <v>520</v>
      </c>
      <c r="I100" s="10">
        <v>0.10780000000000001</v>
      </c>
      <c r="J100" s="10">
        <v>0.1535</v>
      </c>
      <c r="K100" s="10">
        <v>0.1169</v>
      </c>
      <c r="L100" s="10">
        <v>6.9870000000000002E-2</v>
      </c>
      <c r="M100" s="10">
        <v>0.19420000000000001</v>
      </c>
      <c r="N100" s="10">
        <v>6.9019999999999901E-2</v>
      </c>
      <c r="O100" s="10">
        <v>0.28599999999999898</v>
      </c>
      <c r="P100" s="10">
        <v>1.016</v>
      </c>
      <c r="Q100" s="10">
        <v>1.5349999999999899</v>
      </c>
      <c r="R100" s="10">
        <v>12.96</v>
      </c>
      <c r="S100" s="10">
        <v>6.7939999999999902E-3</v>
      </c>
      <c r="T100" s="10">
        <v>3.57499999999999E-2</v>
      </c>
      <c r="U100" s="10">
        <v>3.9800000000000002E-2</v>
      </c>
      <c r="V100" s="10">
        <v>1.383E-2</v>
      </c>
      <c r="W100" s="10">
        <v>2.1340000000000001E-2</v>
      </c>
      <c r="X100" s="10">
        <v>4.6030000000000003E-3</v>
      </c>
      <c r="Y100" s="10">
        <v>15.5299999999999</v>
      </c>
      <c r="Z100" s="10">
        <v>23.19</v>
      </c>
      <c r="AA100" s="10">
        <v>96.659999999999897</v>
      </c>
      <c r="AB100" s="10">
        <v>614.89999999999895</v>
      </c>
      <c r="AC100" s="10">
        <v>0.15359999999999899</v>
      </c>
      <c r="AD100" s="10">
        <v>0.47910000000000003</v>
      </c>
      <c r="AE100" s="10">
        <v>0.48580000000000001</v>
      </c>
      <c r="AF100" s="10">
        <v>0.17080000000000001</v>
      </c>
      <c r="AG100" s="10">
        <v>0.35270000000000001</v>
      </c>
      <c r="AH100">
        <v>0.1016</v>
      </c>
    </row>
    <row r="101" spans="3:34">
      <c r="C101" s="11" t="s">
        <v>222</v>
      </c>
      <c r="D101" s="10" t="s">
        <v>0</v>
      </c>
      <c r="E101" s="10">
        <v>13.71</v>
      </c>
      <c r="F101" s="10">
        <v>24.91</v>
      </c>
      <c r="G101" s="10">
        <v>171.5</v>
      </c>
      <c r="H101" s="10">
        <v>1878</v>
      </c>
      <c r="I101" s="10">
        <v>0.10630000000000001</v>
      </c>
      <c r="J101" s="10">
        <v>0.26650000000000001</v>
      </c>
      <c r="K101" s="10">
        <v>0.33389999999999898</v>
      </c>
      <c r="L101" s="10">
        <v>0.1845</v>
      </c>
      <c r="M101" s="10">
        <v>0.18290000000000001</v>
      </c>
      <c r="N101" s="10">
        <v>6.7820000000000005E-2</v>
      </c>
      <c r="O101" s="10">
        <v>0.89729999999999899</v>
      </c>
      <c r="P101" s="10">
        <v>1.474</v>
      </c>
      <c r="Q101" s="10">
        <v>7.3819999999999899</v>
      </c>
      <c r="R101" s="10">
        <v>120</v>
      </c>
      <c r="S101" s="10">
        <v>8.1659999999999892E-3</v>
      </c>
      <c r="T101" s="10">
        <v>5.6930000000000001E-2</v>
      </c>
      <c r="U101" s="10">
        <v>5.72999999999999E-2</v>
      </c>
      <c r="V101" s="10">
        <v>2.0299999999999901E-2</v>
      </c>
      <c r="W101" s="10">
        <v>1.065E-2</v>
      </c>
      <c r="X101" s="10">
        <v>5.8929999999999903E-3</v>
      </c>
      <c r="Y101" s="10">
        <v>30</v>
      </c>
      <c r="Z101" s="10">
        <v>33.619999999999898</v>
      </c>
      <c r="AA101" s="10">
        <v>211.69999999999899</v>
      </c>
      <c r="AB101" s="10">
        <v>2562</v>
      </c>
      <c r="AC101" s="10">
        <v>0.1573</v>
      </c>
      <c r="AD101" s="10">
        <v>0.60760000000000003</v>
      </c>
      <c r="AE101" s="10">
        <v>0.64759999999999895</v>
      </c>
      <c r="AF101" s="10">
        <v>0.28670000000000001</v>
      </c>
      <c r="AG101" s="10">
        <v>0.23549999999999899</v>
      </c>
      <c r="AH101">
        <v>0.1051</v>
      </c>
    </row>
    <row r="102" spans="3:34">
      <c r="C102" s="11" t="s">
        <v>223</v>
      </c>
      <c r="D102" s="10" t="s">
        <v>0</v>
      </c>
      <c r="E102" s="10">
        <v>13.71</v>
      </c>
      <c r="F102" s="10">
        <v>26.2899999999999</v>
      </c>
      <c r="G102" s="10">
        <v>129.099999999999</v>
      </c>
      <c r="H102" s="10">
        <v>1132</v>
      </c>
      <c r="I102" s="10">
        <v>0.1215</v>
      </c>
      <c r="J102" s="10">
        <v>0.17910000000000001</v>
      </c>
      <c r="K102" s="10">
        <v>0.19370000000000001</v>
      </c>
      <c r="L102" s="10">
        <v>0.1469</v>
      </c>
      <c r="M102" s="10">
        <v>0.16339999999999899</v>
      </c>
      <c r="N102" s="10">
        <v>7.2239999999999902E-2</v>
      </c>
      <c r="O102" s="10">
        <v>0.51900000000000002</v>
      </c>
      <c r="P102" s="10">
        <v>2.91</v>
      </c>
      <c r="Q102" s="10">
        <v>5.8010000000000002</v>
      </c>
      <c r="R102" s="10">
        <v>67.099999999999895</v>
      </c>
      <c r="S102" s="10">
        <v>7.5449999999999901E-3</v>
      </c>
      <c r="T102" s="10">
        <v>6.0499999999999901E-2</v>
      </c>
      <c r="U102" s="10">
        <v>2.1340000000000001E-2</v>
      </c>
      <c r="V102" s="10">
        <v>1.8429999999999901E-2</v>
      </c>
      <c r="W102" s="10">
        <v>3.056E-2</v>
      </c>
      <c r="X102" s="10">
        <v>1.039E-2</v>
      </c>
      <c r="Y102" s="10">
        <v>20.329999999999899</v>
      </c>
      <c r="Z102" s="10">
        <v>32.719999999999899</v>
      </c>
      <c r="AA102" s="10">
        <v>141.30000000000001</v>
      </c>
      <c r="AB102" s="10">
        <v>1298</v>
      </c>
      <c r="AC102" s="10">
        <v>0.13919999999999899</v>
      </c>
      <c r="AD102" s="10">
        <v>0.28170000000000001</v>
      </c>
      <c r="AE102" s="10">
        <v>0.2432</v>
      </c>
      <c r="AF102" s="10">
        <v>0.18410000000000001</v>
      </c>
      <c r="AG102" s="10">
        <v>0.2311</v>
      </c>
      <c r="AH102">
        <v>9.2030000000000001E-2</v>
      </c>
    </row>
    <row r="103" spans="3:34">
      <c r="C103" s="11" t="s">
        <v>227</v>
      </c>
      <c r="D103" s="10" t="s">
        <v>0</v>
      </c>
      <c r="E103" s="10">
        <v>13.71</v>
      </c>
      <c r="F103" s="10">
        <v>24.59</v>
      </c>
      <c r="G103" s="10">
        <v>122</v>
      </c>
      <c r="H103" s="10">
        <v>1076</v>
      </c>
      <c r="I103" s="10">
        <v>9.0289999999999898E-2</v>
      </c>
      <c r="J103" s="10">
        <v>0.1206</v>
      </c>
      <c r="K103" s="10">
        <v>0.14680000000000001</v>
      </c>
      <c r="L103" s="10">
        <v>8.2710000000000006E-2</v>
      </c>
      <c r="M103" s="10">
        <v>0.1953</v>
      </c>
      <c r="N103" s="10">
        <v>5.629E-2</v>
      </c>
      <c r="O103" s="10">
        <v>0.54949999999999899</v>
      </c>
      <c r="P103" s="10">
        <v>0.66359999999999897</v>
      </c>
      <c r="Q103" s="10">
        <v>3.0550000000000002</v>
      </c>
      <c r="R103" s="10">
        <v>57.649999999999899</v>
      </c>
      <c r="S103" s="10">
        <v>3.872E-3</v>
      </c>
      <c r="T103" s="10">
        <v>1.8419999999999902E-2</v>
      </c>
      <c r="U103" s="10">
        <v>3.7100000000000001E-2</v>
      </c>
      <c r="V103" s="10">
        <v>1.2E-2</v>
      </c>
      <c r="W103" s="10">
        <v>1.9640000000000001E-2</v>
      </c>
      <c r="X103" s="10">
        <v>3.3370000000000001E-3</v>
      </c>
      <c r="Y103" s="10">
        <v>24.559999999999899</v>
      </c>
      <c r="Z103" s="10">
        <v>30.41</v>
      </c>
      <c r="AA103" s="10">
        <v>152.9</v>
      </c>
      <c r="AB103" s="10">
        <v>1623</v>
      </c>
      <c r="AC103" s="10">
        <v>0.1249</v>
      </c>
      <c r="AD103" s="10">
        <v>0.3206</v>
      </c>
      <c r="AE103" s="10">
        <v>0.57550000000000001</v>
      </c>
      <c r="AF103" s="10">
        <v>0.1956</v>
      </c>
      <c r="AG103" s="10">
        <v>0.39560000000000001</v>
      </c>
      <c r="AH103">
        <v>9.2880000000000004E-2</v>
      </c>
    </row>
    <row r="104" spans="3:34">
      <c r="C104" s="11" t="s">
        <v>228</v>
      </c>
      <c r="D104" s="10" t="s">
        <v>1</v>
      </c>
      <c r="E104" s="10">
        <v>13.71</v>
      </c>
      <c r="F104" s="10">
        <v>21.8</v>
      </c>
      <c r="G104" s="10">
        <v>79.78</v>
      </c>
      <c r="H104" s="10">
        <v>466.1</v>
      </c>
      <c r="I104" s="10">
        <v>8.7720000000000006E-2</v>
      </c>
      <c r="J104" s="10">
        <v>9.4450000000000006E-2</v>
      </c>
      <c r="K104" s="10">
        <v>6.0150000000000002E-2</v>
      </c>
      <c r="L104" s="10">
        <v>3.74499999999999E-2</v>
      </c>
      <c r="M104" s="10">
        <v>0.193</v>
      </c>
      <c r="N104" s="10">
        <v>6.404E-2</v>
      </c>
      <c r="O104" s="10">
        <v>0.29780000000000001</v>
      </c>
      <c r="P104" s="10">
        <v>1.502</v>
      </c>
      <c r="Q104" s="10">
        <v>2.2029999999999901</v>
      </c>
      <c r="R104" s="10">
        <v>20.9499999999999</v>
      </c>
      <c r="S104" s="10">
        <v>7.1120000000000003E-3</v>
      </c>
      <c r="T104" s="10">
        <v>2.4930000000000001E-2</v>
      </c>
      <c r="U104" s="10">
        <v>2.7029999999999901E-2</v>
      </c>
      <c r="V104" s="10">
        <v>1.2930000000000001E-2</v>
      </c>
      <c r="W104" s="10">
        <v>1.958E-2</v>
      </c>
      <c r="X104" s="10">
        <v>4.463E-3</v>
      </c>
      <c r="Y104" s="10">
        <v>13.83</v>
      </c>
      <c r="Z104" s="10">
        <v>30.5</v>
      </c>
      <c r="AA104" s="10">
        <v>91.459999999999894</v>
      </c>
      <c r="AB104" s="10">
        <v>574.70000000000005</v>
      </c>
      <c r="AC104" s="10">
        <v>0.13039999999999899</v>
      </c>
      <c r="AD104" s="10">
        <v>0.24629999999999899</v>
      </c>
      <c r="AE104" s="10">
        <v>0.24340000000000001</v>
      </c>
      <c r="AF104" s="10">
        <v>0.1205</v>
      </c>
      <c r="AG104" s="10">
        <v>0.29720000000000002</v>
      </c>
      <c r="AH104">
        <v>9.2609999999999901E-2</v>
      </c>
    </row>
    <row r="105" spans="3:34">
      <c r="C105" s="11" t="s">
        <v>230</v>
      </c>
      <c r="D105" s="10" t="s">
        <v>1</v>
      </c>
      <c r="E105" s="10">
        <v>13.71</v>
      </c>
      <c r="F105" s="10">
        <v>24.02</v>
      </c>
      <c r="G105" s="10">
        <v>94.569999999999894</v>
      </c>
      <c r="H105" s="10">
        <v>662.7</v>
      </c>
      <c r="I105" s="10">
        <v>8.974E-2</v>
      </c>
      <c r="J105" s="10">
        <v>8.60599999999999E-2</v>
      </c>
      <c r="K105" s="10">
        <v>3.1019999999999898E-2</v>
      </c>
      <c r="L105" s="10">
        <v>2.9569999999999898E-2</v>
      </c>
      <c r="M105" s="10">
        <v>0.16850000000000001</v>
      </c>
      <c r="N105" s="10">
        <v>5.86599999999999E-2</v>
      </c>
      <c r="O105" s="10">
        <v>0.37209999999999899</v>
      </c>
      <c r="P105" s="10">
        <v>1.111</v>
      </c>
      <c r="Q105" s="10">
        <v>2.2789999999999901</v>
      </c>
      <c r="R105" s="10">
        <v>33.759999999999899</v>
      </c>
      <c r="S105" s="10">
        <v>4.8679999999999904E-3</v>
      </c>
      <c r="T105" s="10">
        <v>1.8180000000000002E-2</v>
      </c>
      <c r="U105" s="10">
        <v>1.1209999999999901E-2</v>
      </c>
      <c r="V105" s="10">
        <v>8.6060000000000008E-3</v>
      </c>
      <c r="W105" s="10">
        <v>2.085E-2</v>
      </c>
      <c r="X105" s="10">
        <v>2.8930000000000002E-3</v>
      </c>
      <c r="Y105" s="10">
        <v>16.1099999999999</v>
      </c>
      <c r="Z105" s="10">
        <v>29.1099999999999</v>
      </c>
      <c r="AA105" s="10">
        <v>102.9</v>
      </c>
      <c r="AB105" s="10">
        <v>803.7</v>
      </c>
      <c r="AC105" s="10">
        <v>0.1115</v>
      </c>
      <c r="AD105" s="10">
        <v>0.17660000000000001</v>
      </c>
      <c r="AE105" s="10">
        <v>9.1889999999999902E-2</v>
      </c>
      <c r="AF105" s="10">
        <v>6.9459999999999897E-2</v>
      </c>
      <c r="AG105" s="10">
        <v>0.25219999999999898</v>
      </c>
      <c r="AH105">
        <v>7.2459999999999899E-2</v>
      </c>
    </row>
    <row r="106" spans="3:34">
      <c r="C106" s="11" t="s">
        <v>231</v>
      </c>
      <c r="D106" s="10" t="s">
        <v>0</v>
      </c>
      <c r="E106" s="10">
        <v>13.71</v>
      </c>
      <c r="F106" s="10">
        <v>22.76</v>
      </c>
      <c r="G106" s="10">
        <v>100.2</v>
      </c>
      <c r="H106" s="10">
        <v>728.2</v>
      </c>
      <c r="I106" s="10">
        <v>9.1999999999999901E-2</v>
      </c>
      <c r="J106" s="10">
        <v>0.1036</v>
      </c>
      <c r="K106" s="10">
        <v>0.11219999999999899</v>
      </c>
      <c r="L106" s="10">
        <v>7.4829999999999897E-2</v>
      </c>
      <c r="M106" s="10">
        <v>0.17169999999999899</v>
      </c>
      <c r="N106" s="10">
        <v>6.0970000000000003E-2</v>
      </c>
      <c r="O106" s="10">
        <v>0.31290000000000001</v>
      </c>
      <c r="P106" s="10">
        <v>0.84130000000000005</v>
      </c>
      <c r="Q106" s="10">
        <v>2.0750000000000002</v>
      </c>
      <c r="R106" s="10">
        <v>29.44</v>
      </c>
      <c r="S106" s="10">
        <v>9.8820000000000002E-3</v>
      </c>
      <c r="T106" s="10">
        <v>2.444E-2</v>
      </c>
      <c r="U106" s="10">
        <v>4.5310000000000003E-2</v>
      </c>
      <c r="V106" s="10">
        <v>1.763E-2</v>
      </c>
      <c r="W106" s="10">
        <v>2.4709999999999899E-2</v>
      </c>
      <c r="X106" s="10">
        <v>2.1419999999999898E-3</v>
      </c>
      <c r="Y106" s="10">
        <v>16.43</v>
      </c>
      <c r="Z106" s="10">
        <v>25.84</v>
      </c>
      <c r="AA106" s="10">
        <v>107.5</v>
      </c>
      <c r="AB106" s="10">
        <v>830.89999999999895</v>
      </c>
      <c r="AC106" s="10">
        <v>0.12570000000000001</v>
      </c>
      <c r="AD106" s="10">
        <v>0.19969999999999899</v>
      </c>
      <c r="AE106" s="10">
        <v>0.28460000000000002</v>
      </c>
      <c r="AF106" s="10">
        <v>0.14760000000000001</v>
      </c>
      <c r="AG106" s="10">
        <v>0.25559999999999899</v>
      </c>
      <c r="AH106">
        <v>6.8279999999999896E-2</v>
      </c>
    </row>
    <row r="107" spans="3:34">
      <c r="C107" s="11" t="s">
        <v>233</v>
      </c>
      <c r="D107" s="10" t="s">
        <v>1</v>
      </c>
      <c r="E107" s="10">
        <v>13.71</v>
      </c>
      <c r="F107" s="10">
        <v>18.3</v>
      </c>
      <c r="G107" s="10">
        <v>86.599999999999895</v>
      </c>
      <c r="H107" s="10">
        <v>555.1</v>
      </c>
      <c r="I107" s="10">
        <v>0.1022</v>
      </c>
      <c r="J107" s="10">
        <v>8.165E-2</v>
      </c>
      <c r="K107" s="10">
        <v>3.97399999999999E-2</v>
      </c>
      <c r="L107" s="10">
        <v>2.7799999999999901E-2</v>
      </c>
      <c r="M107" s="10">
        <v>0.1638</v>
      </c>
      <c r="N107" s="10">
        <v>5.7099999999999901E-2</v>
      </c>
      <c r="O107" s="10">
        <v>0.29499999999999899</v>
      </c>
      <c r="P107" s="10">
        <v>1.373</v>
      </c>
      <c r="Q107" s="10">
        <v>2.0990000000000002</v>
      </c>
      <c r="R107" s="10">
        <v>25.219999999999899</v>
      </c>
      <c r="S107" s="10">
        <v>5.8840000000000003E-3</v>
      </c>
      <c r="T107" s="10">
        <v>1.491E-2</v>
      </c>
      <c r="U107" s="10">
        <v>1.8720000000000001E-2</v>
      </c>
      <c r="V107" s="10">
        <v>9.3659999999999907E-3</v>
      </c>
      <c r="W107" s="10">
        <v>1.8839999999999898E-2</v>
      </c>
      <c r="X107" s="10">
        <v>1.817E-3</v>
      </c>
      <c r="Y107" s="10">
        <v>15.1</v>
      </c>
      <c r="Z107" s="10">
        <v>25.94</v>
      </c>
      <c r="AA107" s="10">
        <v>97.59</v>
      </c>
      <c r="AB107" s="10">
        <v>699.39999999999895</v>
      </c>
      <c r="AC107" s="10">
        <v>0.13389999999999899</v>
      </c>
      <c r="AD107" s="10">
        <v>0.17510000000000001</v>
      </c>
      <c r="AE107" s="10">
        <v>0.1381</v>
      </c>
      <c r="AF107" s="10">
        <v>7.911E-2</v>
      </c>
      <c r="AG107" s="10">
        <v>0.26779999999999898</v>
      </c>
      <c r="AH107">
        <v>6.6030000000000005E-2</v>
      </c>
    </row>
    <row r="108" spans="3:34">
      <c r="C108" s="11" t="s">
        <v>234</v>
      </c>
      <c r="D108" s="10" t="s">
        <v>0</v>
      </c>
      <c r="E108" s="10">
        <v>13.71</v>
      </c>
      <c r="F108" s="10">
        <v>19.829999999999899</v>
      </c>
      <c r="G108" s="10">
        <v>100.3</v>
      </c>
      <c r="H108" s="10">
        <v>705.6</v>
      </c>
      <c r="I108" s="10">
        <v>0.10390000000000001</v>
      </c>
      <c r="J108" s="10">
        <v>0.15529999999999899</v>
      </c>
      <c r="K108" s="10">
        <v>0.17</v>
      </c>
      <c r="L108" s="10">
        <v>8.8150000000000006E-2</v>
      </c>
      <c r="M108" s="10">
        <v>0.1855</v>
      </c>
      <c r="N108" s="10">
        <v>6.2839999999999896E-2</v>
      </c>
      <c r="O108" s="10">
        <v>0.4768</v>
      </c>
      <c r="P108" s="10">
        <v>0.96440000000000003</v>
      </c>
      <c r="Q108" s="10">
        <v>3.706</v>
      </c>
      <c r="R108" s="10">
        <v>47.14</v>
      </c>
      <c r="S108" s="10">
        <v>9.2499999999999891E-3</v>
      </c>
      <c r="T108" s="10">
        <v>3.7150000000000002E-2</v>
      </c>
      <c r="U108" s="10">
        <v>4.8669999999999901E-2</v>
      </c>
      <c r="V108" s="10">
        <v>1.8509999999999902E-2</v>
      </c>
      <c r="W108" s="10">
        <v>1.498E-2</v>
      </c>
      <c r="X108" s="10">
        <v>3.5200000000000001E-3</v>
      </c>
      <c r="Y108" s="10">
        <v>18.23</v>
      </c>
      <c r="Z108" s="10">
        <v>24.23</v>
      </c>
      <c r="AA108" s="10">
        <v>123.5</v>
      </c>
      <c r="AB108" s="10">
        <v>1025</v>
      </c>
      <c r="AC108" s="10">
        <v>0.15509999999999899</v>
      </c>
      <c r="AD108" s="10">
        <v>0.42030000000000001</v>
      </c>
      <c r="AE108" s="10">
        <v>0.52029999999999899</v>
      </c>
      <c r="AF108" s="10">
        <v>0.21149999999999899</v>
      </c>
      <c r="AG108" s="10">
        <v>0.28339999999999899</v>
      </c>
      <c r="AH108">
        <v>8.2339999999999899E-2</v>
      </c>
    </row>
    <row r="109" spans="3:34">
      <c r="C109" s="11" t="s">
        <v>236</v>
      </c>
      <c r="D109" s="10" t="s">
        <v>1</v>
      </c>
      <c r="E109" s="10">
        <v>13.71</v>
      </c>
      <c r="F109" s="10">
        <v>17.84</v>
      </c>
      <c r="G109" s="10">
        <v>77.790000000000006</v>
      </c>
      <c r="H109" s="10">
        <v>451.1</v>
      </c>
      <c r="I109" s="10">
        <v>0.1045</v>
      </c>
      <c r="J109" s="10">
        <v>7.0569999999999897E-2</v>
      </c>
      <c r="K109" s="10">
        <v>2.4899999999999901E-2</v>
      </c>
      <c r="L109" s="10">
        <v>2.9409999999999901E-2</v>
      </c>
      <c r="M109" s="10">
        <v>0.19</v>
      </c>
      <c r="N109" s="10">
        <v>6.6350000000000006E-2</v>
      </c>
      <c r="O109" s="10">
        <v>0.36609999999999898</v>
      </c>
      <c r="P109" s="10">
        <v>1.5109999999999899</v>
      </c>
      <c r="Q109" s="10">
        <v>2.41</v>
      </c>
      <c r="R109" s="10">
        <v>24.44</v>
      </c>
      <c r="S109" s="10">
        <v>5.4330000000000003E-3</v>
      </c>
      <c r="T109" s="10">
        <v>1.179E-2</v>
      </c>
      <c r="U109" s="10">
        <v>1.1310000000000001E-2</v>
      </c>
      <c r="V109" s="10">
        <v>1.519E-2</v>
      </c>
      <c r="W109" s="10">
        <v>2.2200000000000001E-2</v>
      </c>
      <c r="X109" s="10">
        <v>3.408E-3</v>
      </c>
      <c r="Y109" s="10">
        <v>12.83</v>
      </c>
      <c r="Z109" s="10">
        <v>20.92</v>
      </c>
      <c r="AA109" s="10">
        <v>82.14</v>
      </c>
      <c r="AB109" s="10">
        <v>495.19999999999902</v>
      </c>
      <c r="AC109" s="10">
        <v>0.114</v>
      </c>
      <c r="AD109" s="10">
        <v>9.3579999999999899E-2</v>
      </c>
      <c r="AE109" s="10">
        <v>4.97999999999999E-2</v>
      </c>
      <c r="AF109" s="10">
        <v>5.88199999999999E-2</v>
      </c>
      <c r="AG109" s="10">
        <v>0.22270000000000001</v>
      </c>
      <c r="AH109">
        <v>7.3760000000000006E-2</v>
      </c>
    </row>
    <row r="110" spans="3:34">
      <c r="C110" s="11" t="s">
        <v>237</v>
      </c>
      <c r="D110" s="10" t="s">
        <v>1</v>
      </c>
      <c r="E110" s="10">
        <v>13.71</v>
      </c>
      <c r="F110" s="10">
        <v>19.940000000000001</v>
      </c>
      <c r="G110" s="10">
        <v>62.1099999999999</v>
      </c>
      <c r="H110" s="10">
        <v>294.5</v>
      </c>
      <c r="I110" s="10">
        <v>0.1024</v>
      </c>
      <c r="J110" s="10">
        <v>5.3010000000000002E-2</v>
      </c>
      <c r="K110" s="10">
        <v>6.829E-3</v>
      </c>
      <c r="L110" s="10">
        <v>7.9369999999999892E-3</v>
      </c>
      <c r="M110" s="10">
        <v>0.13500000000000001</v>
      </c>
      <c r="N110" s="10">
        <v>6.8900000000000003E-2</v>
      </c>
      <c r="O110" s="10">
        <v>0.33500000000000002</v>
      </c>
      <c r="P110" s="10">
        <v>2.0430000000000001</v>
      </c>
      <c r="Q110" s="10">
        <v>2.1320000000000001</v>
      </c>
      <c r="R110" s="10">
        <v>20.05</v>
      </c>
      <c r="S110" s="10">
        <v>1.11299999999999E-2</v>
      </c>
      <c r="T110" s="10">
        <v>1.4630000000000001E-2</v>
      </c>
      <c r="U110" s="10">
        <v>5.3080000000000002E-3</v>
      </c>
      <c r="V110" s="10">
        <v>5.2500000000000003E-3</v>
      </c>
      <c r="W110" s="10">
        <v>1.8010000000000002E-2</v>
      </c>
      <c r="X110" s="10">
        <v>5.6670000000000002E-3</v>
      </c>
      <c r="Y110" s="10">
        <v>10.92</v>
      </c>
      <c r="Z110" s="10">
        <v>26.2899999999999</v>
      </c>
      <c r="AA110" s="10">
        <v>68.81</v>
      </c>
      <c r="AB110" s="10">
        <v>366.1</v>
      </c>
      <c r="AC110" s="10">
        <v>0.131599999999999</v>
      </c>
      <c r="AD110" s="10">
        <v>9.4729999999999898E-2</v>
      </c>
      <c r="AE110" s="10">
        <v>2.0490000000000001E-2</v>
      </c>
      <c r="AF110" s="10">
        <v>2.3810000000000001E-2</v>
      </c>
      <c r="AG110" s="10">
        <v>0.19339999999999899</v>
      </c>
      <c r="AH110">
        <v>8.9880000000000002E-2</v>
      </c>
    </row>
    <row r="111" spans="3:34">
      <c r="C111" s="11" t="s">
        <v>238</v>
      </c>
      <c r="D111" s="10" t="s">
        <v>1</v>
      </c>
      <c r="E111" s="10">
        <v>13.71</v>
      </c>
      <c r="F111" s="10">
        <v>12.84</v>
      </c>
      <c r="G111" s="10">
        <v>74.34</v>
      </c>
      <c r="H111" s="10">
        <v>412.6</v>
      </c>
      <c r="I111" s="10">
        <v>8.9829999999999896E-2</v>
      </c>
      <c r="J111" s="10">
        <v>7.52499999999999E-2</v>
      </c>
      <c r="K111" s="10">
        <v>4.19599999999999E-2</v>
      </c>
      <c r="L111" s="10">
        <v>3.3500000000000002E-2</v>
      </c>
      <c r="M111" s="10">
        <v>0.16200000000000001</v>
      </c>
      <c r="N111" s="10">
        <v>6.5820000000000004E-2</v>
      </c>
      <c r="O111" s="10">
        <v>0.23150000000000001</v>
      </c>
      <c r="P111" s="10">
        <v>0.53910000000000002</v>
      </c>
      <c r="Q111" s="10">
        <v>1.4750000000000001</v>
      </c>
      <c r="R111" s="10">
        <v>15.75</v>
      </c>
      <c r="S111" s="10">
        <v>6.1529999999999901E-3</v>
      </c>
      <c r="T111" s="10">
        <v>1.32999999999999E-2</v>
      </c>
      <c r="U111" s="10">
        <v>1.6930000000000001E-2</v>
      </c>
      <c r="V111" s="10">
        <v>6.8840000000000004E-3</v>
      </c>
      <c r="W111" s="10">
        <v>1.651E-2</v>
      </c>
      <c r="X111" s="10">
        <v>2.5509999999999899E-3</v>
      </c>
      <c r="Y111" s="10">
        <v>13.06</v>
      </c>
      <c r="Z111" s="10">
        <v>17.16</v>
      </c>
      <c r="AA111" s="10">
        <v>82.959999999999894</v>
      </c>
      <c r="AB111" s="10">
        <v>512.5</v>
      </c>
      <c r="AC111" s="10">
        <v>0.1431</v>
      </c>
      <c r="AD111" s="10">
        <v>0.18509999999999899</v>
      </c>
      <c r="AE111" s="10">
        <v>0.19220000000000001</v>
      </c>
      <c r="AF111" s="10">
        <v>8.4489999999999899E-2</v>
      </c>
      <c r="AG111" s="10">
        <v>0.2772</v>
      </c>
      <c r="AH111">
        <v>8.7559999999999902E-2</v>
      </c>
    </row>
    <row r="112" spans="3:34">
      <c r="C112" s="11" t="s">
        <v>239</v>
      </c>
      <c r="D112" s="10" t="s">
        <v>0</v>
      </c>
      <c r="E112" s="10">
        <v>13.71</v>
      </c>
      <c r="F112" s="10">
        <v>19.77</v>
      </c>
      <c r="G112" s="10">
        <v>94.48</v>
      </c>
      <c r="H112" s="10">
        <v>642.5</v>
      </c>
      <c r="I112" s="10">
        <v>9.7519999999999898E-2</v>
      </c>
      <c r="J112" s="10">
        <v>0.11409999999999899</v>
      </c>
      <c r="K112" s="10">
        <v>9.3880000000000005E-2</v>
      </c>
      <c r="L112" s="10">
        <v>5.83899999999999E-2</v>
      </c>
      <c r="M112" s="10">
        <v>0.18790000000000001</v>
      </c>
      <c r="N112" s="10">
        <v>6.3899999999999901E-2</v>
      </c>
      <c r="O112" s="10">
        <v>0.28949999999999898</v>
      </c>
      <c r="P112" s="10">
        <v>1.851</v>
      </c>
      <c r="Q112" s="10">
        <v>2.3759999999999901</v>
      </c>
      <c r="R112" s="10">
        <v>26.85</v>
      </c>
      <c r="S112" s="10">
        <v>8.005E-3</v>
      </c>
      <c r="T112" s="10">
        <v>2.895E-2</v>
      </c>
      <c r="U112" s="10">
        <v>3.3210000000000003E-2</v>
      </c>
      <c r="V112" s="10">
        <v>1.42399999999999E-2</v>
      </c>
      <c r="W112" s="10">
        <v>1.46199999999999E-2</v>
      </c>
      <c r="X112" s="10">
        <v>4.4520000000000002E-3</v>
      </c>
      <c r="Y112" s="10">
        <v>16.329999999999899</v>
      </c>
      <c r="Z112" s="10">
        <v>30.8599999999999</v>
      </c>
      <c r="AA112" s="10">
        <v>109.5</v>
      </c>
      <c r="AB112" s="10">
        <v>826.39999999999895</v>
      </c>
      <c r="AC112" s="10">
        <v>0.1431</v>
      </c>
      <c r="AD112" s="10">
        <v>0.30259999999999898</v>
      </c>
      <c r="AE112" s="10">
        <v>0.31940000000000002</v>
      </c>
      <c r="AF112" s="10">
        <v>0.1565</v>
      </c>
      <c r="AG112" s="10">
        <v>0.27179999999999899</v>
      </c>
      <c r="AH112">
        <v>9.3530000000000002E-2</v>
      </c>
    </row>
    <row r="113" spans="3:34">
      <c r="C113" s="11" t="s">
        <v>243</v>
      </c>
      <c r="D113" s="10" t="s">
        <v>1</v>
      </c>
      <c r="E113" s="10">
        <v>13.71</v>
      </c>
      <c r="F113" s="10">
        <v>19.399999999999899</v>
      </c>
      <c r="G113" s="10">
        <v>63.95</v>
      </c>
      <c r="H113" s="10">
        <v>298.3</v>
      </c>
      <c r="I113" s="10">
        <v>0.10050000000000001</v>
      </c>
      <c r="J113" s="10">
        <v>9.6970000000000001E-2</v>
      </c>
      <c r="K113" s="10">
        <v>6.15399999999999E-2</v>
      </c>
      <c r="L113" s="10">
        <v>3.0290000000000001E-2</v>
      </c>
      <c r="M113" s="10">
        <v>0.19450000000000001</v>
      </c>
      <c r="N113" s="10">
        <v>6.3219999999999901E-2</v>
      </c>
      <c r="O113" s="10">
        <v>0.18029999999999899</v>
      </c>
      <c r="P113" s="10">
        <v>1.222</v>
      </c>
      <c r="Q113" s="10">
        <v>1.528</v>
      </c>
      <c r="R113" s="10">
        <v>11.77</v>
      </c>
      <c r="S113" s="10">
        <v>9.0580000000000001E-3</v>
      </c>
      <c r="T113" s="10">
        <v>2.196E-2</v>
      </c>
      <c r="U113" s="10">
        <v>3.0290000000000001E-2</v>
      </c>
      <c r="V113" s="10">
        <v>1.112E-2</v>
      </c>
      <c r="W113" s="10">
        <v>1.609E-2</v>
      </c>
      <c r="X113" s="10">
        <v>3.5699999999999898E-3</v>
      </c>
      <c r="Y113" s="10">
        <v>10.76</v>
      </c>
      <c r="Z113" s="10">
        <v>26.829999999999899</v>
      </c>
      <c r="AA113" s="10">
        <v>72.219999999999899</v>
      </c>
      <c r="AB113" s="10">
        <v>361.19999999999902</v>
      </c>
      <c r="AC113" s="10">
        <v>0.15590000000000001</v>
      </c>
      <c r="AD113" s="10">
        <v>0.23019999999999899</v>
      </c>
      <c r="AE113" s="10">
        <v>0.26440000000000002</v>
      </c>
      <c r="AF113" s="10">
        <v>9.7489999999999896E-2</v>
      </c>
      <c r="AG113" s="10">
        <v>0.26219999999999899</v>
      </c>
      <c r="AH113">
        <v>8.4900000000000003E-2</v>
      </c>
    </row>
    <row r="114" spans="3:34">
      <c r="C114" s="11" t="s">
        <v>244</v>
      </c>
      <c r="D114" s="10" t="s">
        <v>1</v>
      </c>
      <c r="E114" s="10">
        <v>13.71</v>
      </c>
      <c r="F114" s="10">
        <v>19.2899999999999</v>
      </c>
      <c r="G114" s="10">
        <v>67.409999999999897</v>
      </c>
      <c r="H114" s="10">
        <v>336.1</v>
      </c>
      <c r="I114" s="10">
        <v>9.9890000000000007E-2</v>
      </c>
      <c r="J114" s="10">
        <v>8.5779999999999898E-2</v>
      </c>
      <c r="K114" s="10">
        <v>2.9950000000000001E-2</v>
      </c>
      <c r="L114" s="10">
        <v>1.201E-2</v>
      </c>
      <c r="M114" s="10">
        <v>0.22170000000000001</v>
      </c>
      <c r="N114" s="10">
        <v>6.4810000000000006E-2</v>
      </c>
      <c r="O114" s="10">
        <v>0.35499999999999898</v>
      </c>
      <c r="P114" s="10">
        <v>1.534</v>
      </c>
      <c r="Q114" s="10">
        <v>2.302</v>
      </c>
      <c r="R114" s="10">
        <v>23.1299999999999</v>
      </c>
      <c r="S114" s="10">
        <v>7.5950000000000002E-3</v>
      </c>
      <c r="T114" s="10">
        <v>2.2190000000000001E-2</v>
      </c>
      <c r="U114" s="10">
        <v>2.8799999999999899E-2</v>
      </c>
      <c r="V114" s="10">
        <v>8.6140000000000001E-3</v>
      </c>
      <c r="W114" s="10">
        <v>2.7099999999999898E-2</v>
      </c>
      <c r="X114" s="10">
        <v>3.4510000000000001E-3</v>
      </c>
      <c r="Y114" s="10">
        <v>11.5399999999999</v>
      </c>
      <c r="Z114" s="10">
        <v>23.309999999999899</v>
      </c>
      <c r="AA114" s="10">
        <v>74.219999999999899</v>
      </c>
      <c r="AB114" s="10">
        <v>402.8</v>
      </c>
      <c r="AC114" s="10">
        <v>0.121899999999999</v>
      </c>
      <c r="AD114" s="10">
        <v>0.14860000000000001</v>
      </c>
      <c r="AE114" s="10">
        <v>7.9869999999999899E-2</v>
      </c>
      <c r="AF114" s="10">
        <v>3.2030000000000003E-2</v>
      </c>
      <c r="AG114" s="10">
        <v>0.28260000000000002</v>
      </c>
      <c r="AH114">
        <v>7.5520000000000004E-2</v>
      </c>
    </row>
    <row r="115" spans="3:34">
      <c r="C115" s="11" t="s">
        <v>245</v>
      </c>
      <c r="D115" s="10" t="s">
        <v>0</v>
      </c>
      <c r="E115" s="10">
        <v>13.71</v>
      </c>
      <c r="F115" s="10">
        <v>15.56</v>
      </c>
      <c r="G115" s="10">
        <v>87.209999999999894</v>
      </c>
      <c r="H115" s="10">
        <v>530.20000000000005</v>
      </c>
      <c r="I115" s="10">
        <v>0.13980000000000001</v>
      </c>
      <c r="J115" s="10">
        <v>0.17649999999999899</v>
      </c>
      <c r="K115" s="10">
        <v>0.20710000000000001</v>
      </c>
      <c r="L115" s="10">
        <v>9.6009999999999901E-2</v>
      </c>
      <c r="M115" s="10">
        <v>0.1925</v>
      </c>
      <c r="N115" s="10">
        <v>7.6920000000000002E-2</v>
      </c>
      <c r="O115" s="10">
        <v>0.39079999999999898</v>
      </c>
      <c r="P115" s="10">
        <v>0.92379999999999896</v>
      </c>
      <c r="Q115" s="10">
        <v>2.41</v>
      </c>
      <c r="R115" s="10">
        <v>34.659999999999897</v>
      </c>
      <c r="S115" s="10">
        <v>7.162E-3</v>
      </c>
      <c r="T115" s="10">
        <v>2.912E-2</v>
      </c>
      <c r="U115" s="10">
        <v>5.4730000000000001E-2</v>
      </c>
      <c r="V115" s="10">
        <v>1.388E-2</v>
      </c>
      <c r="W115" s="10">
        <v>1.54699999999999E-2</v>
      </c>
      <c r="X115" s="10">
        <v>7.0980000000000001E-3</v>
      </c>
      <c r="Y115" s="10">
        <v>16.309999999999899</v>
      </c>
      <c r="Z115" s="10">
        <v>22.399999999999899</v>
      </c>
      <c r="AA115" s="10">
        <v>106.4</v>
      </c>
      <c r="AB115" s="10">
        <v>827.2</v>
      </c>
      <c r="AC115" s="10">
        <v>0.1862</v>
      </c>
      <c r="AD115" s="10">
        <v>0.40989999999999899</v>
      </c>
      <c r="AE115" s="10">
        <v>0.63759999999999895</v>
      </c>
      <c r="AF115" s="10">
        <v>0.1986</v>
      </c>
      <c r="AG115" s="10">
        <v>0.31469999999999898</v>
      </c>
      <c r="AH115">
        <v>0.14050000000000001</v>
      </c>
    </row>
    <row r="116" spans="3:34">
      <c r="C116" s="11" t="s">
        <v>246</v>
      </c>
      <c r="D116" s="10" t="s">
        <v>1</v>
      </c>
      <c r="E116" s="10">
        <v>13.71</v>
      </c>
      <c r="F116" s="10">
        <v>18.329999999999899</v>
      </c>
      <c r="G116" s="10">
        <v>75.17</v>
      </c>
      <c r="H116" s="10">
        <v>412.5</v>
      </c>
      <c r="I116" s="10">
        <v>0.1142</v>
      </c>
      <c r="J116" s="10">
        <v>0.1017</v>
      </c>
      <c r="K116" s="10">
        <v>7.0699999999999902E-2</v>
      </c>
      <c r="L116" s="10">
        <v>3.4849999999999902E-2</v>
      </c>
      <c r="M116" s="10">
        <v>0.18010000000000001</v>
      </c>
      <c r="N116" s="10">
        <v>6.5199999999999897E-2</v>
      </c>
      <c r="O116" s="10">
        <v>0.305999999999999</v>
      </c>
      <c r="P116" s="10">
        <v>1.657</v>
      </c>
      <c r="Q116" s="10">
        <v>2.15499999999999</v>
      </c>
      <c r="R116" s="10">
        <v>20.62</v>
      </c>
      <c r="S116" s="10">
        <v>8.5400000000000007E-3</v>
      </c>
      <c r="T116" s="10">
        <v>2.3099999999999898E-2</v>
      </c>
      <c r="U116" s="10">
        <v>2.945E-2</v>
      </c>
      <c r="V116" s="10">
        <v>1.39799999999999E-2</v>
      </c>
      <c r="W116" s="10">
        <v>1.5650000000000001E-2</v>
      </c>
      <c r="X116" s="10">
        <v>3.8400000000000001E-3</v>
      </c>
      <c r="Y116" s="10">
        <v>13.14</v>
      </c>
      <c r="Z116" s="10">
        <v>29.26</v>
      </c>
      <c r="AA116" s="10">
        <v>85.51</v>
      </c>
      <c r="AB116" s="10">
        <v>521.70000000000005</v>
      </c>
      <c r="AC116" s="10">
        <v>0.16880000000000001</v>
      </c>
      <c r="AD116" s="10">
        <v>0.26600000000000001</v>
      </c>
      <c r="AE116" s="10">
        <v>0.2873</v>
      </c>
      <c r="AF116" s="10">
        <v>0.12180000000000001</v>
      </c>
      <c r="AG116" s="10">
        <v>0.28060000000000002</v>
      </c>
      <c r="AH116">
        <v>9.0969999999999898E-2</v>
      </c>
    </row>
    <row r="117" spans="3:34">
      <c r="C117" s="11" t="s">
        <v>247</v>
      </c>
      <c r="D117" s="10" t="s">
        <v>1</v>
      </c>
      <c r="E117" s="10">
        <v>13.71</v>
      </c>
      <c r="F117" s="10">
        <v>18.5399999999999</v>
      </c>
      <c r="G117" s="10">
        <v>79.010000000000005</v>
      </c>
      <c r="H117" s="10">
        <v>466.69999999999902</v>
      </c>
      <c r="I117" s="10">
        <v>8.4769999999999901E-2</v>
      </c>
      <c r="J117" s="10">
        <v>6.8150000000000002E-2</v>
      </c>
      <c r="K117" s="10">
        <v>2.6429999999999901E-2</v>
      </c>
      <c r="L117" s="10">
        <v>1.9210000000000001E-2</v>
      </c>
      <c r="M117" s="10">
        <v>0.16020000000000001</v>
      </c>
      <c r="N117" s="10">
        <v>6.0659999999999901E-2</v>
      </c>
      <c r="O117" s="10">
        <v>0.11990000000000001</v>
      </c>
      <c r="P117" s="10">
        <v>0.89439999999999897</v>
      </c>
      <c r="Q117" s="10">
        <v>0.84840000000000004</v>
      </c>
      <c r="R117" s="10">
        <v>9.2270000000000003</v>
      </c>
      <c r="S117" s="10">
        <v>3.457E-3</v>
      </c>
      <c r="T117" s="10">
        <v>1.047E-2</v>
      </c>
      <c r="U117" s="10">
        <v>1.167E-2</v>
      </c>
      <c r="V117" s="10">
        <v>5.55799999999999E-3</v>
      </c>
      <c r="W117" s="10">
        <v>1.251E-2</v>
      </c>
      <c r="X117" s="10">
        <v>1.356E-3</v>
      </c>
      <c r="Y117" s="10">
        <v>13.2899999999999</v>
      </c>
      <c r="Z117" s="10">
        <v>27.489999999999899</v>
      </c>
      <c r="AA117" s="10">
        <v>85.56</v>
      </c>
      <c r="AB117" s="10">
        <v>544.1</v>
      </c>
      <c r="AC117" s="10">
        <v>0.11840000000000001</v>
      </c>
      <c r="AD117" s="10">
        <v>0.1963</v>
      </c>
      <c r="AE117" s="10">
        <v>0.19370000000000001</v>
      </c>
      <c r="AF117" s="10">
        <v>8.4419999999999898E-2</v>
      </c>
      <c r="AG117" s="10">
        <v>0.29830000000000001</v>
      </c>
      <c r="AH117">
        <v>7.18499999999999E-2</v>
      </c>
    </row>
    <row r="118" spans="3:34">
      <c r="C118" s="11" t="s">
        <v>248</v>
      </c>
      <c r="D118" s="10" t="s">
        <v>0</v>
      </c>
      <c r="E118" s="10">
        <v>13.71</v>
      </c>
      <c r="F118" s="10">
        <v>19.670000000000002</v>
      </c>
      <c r="G118" s="10">
        <v>152.80000000000001</v>
      </c>
      <c r="H118" s="10">
        <v>1509</v>
      </c>
      <c r="I118" s="10">
        <v>0.1326</v>
      </c>
      <c r="J118" s="10">
        <v>0.27679999999999899</v>
      </c>
      <c r="K118" s="10">
        <v>0.4264</v>
      </c>
      <c r="L118" s="10">
        <v>0.18229999999999899</v>
      </c>
      <c r="M118" s="10">
        <v>0.25559999999999899</v>
      </c>
      <c r="N118" s="10">
        <v>7.0389999999999897E-2</v>
      </c>
      <c r="O118" s="10">
        <v>1.2150000000000001</v>
      </c>
      <c r="P118" s="10">
        <v>1.5449999999999899</v>
      </c>
      <c r="Q118" s="10">
        <v>10.050000000000001</v>
      </c>
      <c r="R118" s="10">
        <v>170</v>
      </c>
      <c r="S118" s="10">
        <v>6.515E-3</v>
      </c>
      <c r="T118" s="10">
        <v>8.6679999999999896E-2</v>
      </c>
      <c r="U118" s="10">
        <v>0.104</v>
      </c>
      <c r="V118" s="10">
        <v>2.4799999999999899E-2</v>
      </c>
      <c r="W118" s="10">
        <v>3.1119999999999901E-2</v>
      </c>
      <c r="X118" s="10">
        <v>5.0369999999999903E-3</v>
      </c>
      <c r="Y118" s="10">
        <v>28.399999999999899</v>
      </c>
      <c r="Z118" s="10">
        <v>28.01</v>
      </c>
      <c r="AA118" s="10">
        <v>206.8</v>
      </c>
      <c r="AB118" s="10">
        <v>2360</v>
      </c>
      <c r="AC118" s="10">
        <v>0.1701</v>
      </c>
      <c r="AD118" s="10">
        <v>0.69969999999999899</v>
      </c>
      <c r="AE118" s="10">
        <v>0.96079999999999899</v>
      </c>
      <c r="AF118" s="10">
        <v>0.29099999999999898</v>
      </c>
      <c r="AG118" s="10">
        <v>0.40550000000000003</v>
      </c>
      <c r="AH118">
        <v>9.7890000000000005E-2</v>
      </c>
    </row>
    <row r="119" spans="3:34">
      <c r="C119" s="11" t="s">
        <v>249</v>
      </c>
      <c r="D119" s="10" t="s">
        <v>1</v>
      </c>
      <c r="E119" s="10">
        <v>13.71</v>
      </c>
      <c r="F119" s="10">
        <v>21.26</v>
      </c>
      <c r="G119" s="10">
        <v>72.48</v>
      </c>
      <c r="H119" s="10">
        <v>396.5</v>
      </c>
      <c r="I119" s="10">
        <v>8.7590000000000001E-2</v>
      </c>
      <c r="J119" s="10">
        <v>6.5750000000000003E-2</v>
      </c>
      <c r="K119" s="10">
        <v>5.1330000000000001E-2</v>
      </c>
      <c r="L119" s="10">
        <v>1.899E-2</v>
      </c>
      <c r="M119" s="10">
        <v>0.1487</v>
      </c>
      <c r="N119" s="10">
        <v>6.5290000000000001E-2</v>
      </c>
      <c r="O119" s="10">
        <v>0.2344</v>
      </c>
      <c r="P119" s="10">
        <v>0.98609999999999898</v>
      </c>
      <c r="Q119" s="10">
        <v>1.597</v>
      </c>
      <c r="R119" s="10">
        <v>16.41</v>
      </c>
      <c r="S119" s="10">
        <v>9.1129999999999892E-3</v>
      </c>
      <c r="T119" s="10">
        <v>1.5570000000000001E-2</v>
      </c>
      <c r="U119" s="10">
        <v>2.443E-2</v>
      </c>
      <c r="V119" s="10">
        <v>6.4349999999999902E-3</v>
      </c>
      <c r="W119" s="10">
        <v>1.5679999999999899E-2</v>
      </c>
      <c r="X119" s="10">
        <v>2.477E-3</v>
      </c>
      <c r="Y119" s="10">
        <v>13.01</v>
      </c>
      <c r="Z119" s="10">
        <v>29.149999999999899</v>
      </c>
      <c r="AA119" s="10">
        <v>83.989999999999895</v>
      </c>
      <c r="AB119" s="10">
        <v>518.1</v>
      </c>
      <c r="AC119" s="10">
        <v>0.1699</v>
      </c>
      <c r="AD119" s="10">
        <v>0.21959999999999899</v>
      </c>
      <c r="AE119" s="10">
        <v>0.312</v>
      </c>
      <c r="AF119" s="10">
        <v>8.2780000000000006E-2</v>
      </c>
      <c r="AG119" s="10">
        <v>0.28289999999999899</v>
      </c>
      <c r="AH119">
        <v>8.8319999999999899E-2</v>
      </c>
    </row>
    <row r="120" spans="3:34">
      <c r="C120" s="11" t="s">
        <v>251</v>
      </c>
      <c r="D120" s="10" t="s">
        <v>1</v>
      </c>
      <c r="E120" s="10">
        <v>13.71</v>
      </c>
      <c r="F120" s="10">
        <v>20.76</v>
      </c>
      <c r="G120" s="10">
        <v>82.15</v>
      </c>
      <c r="H120" s="10">
        <v>480.39999999999901</v>
      </c>
      <c r="I120" s="10">
        <v>9.9330000000000002E-2</v>
      </c>
      <c r="J120" s="10">
        <v>0.12089999999999899</v>
      </c>
      <c r="K120" s="10">
        <v>0.1065</v>
      </c>
      <c r="L120" s="10">
        <v>6.021E-2</v>
      </c>
      <c r="M120" s="10">
        <v>0.17349999999999899</v>
      </c>
      <c r="N120" s="10">
        <v>7.0699999999999902E-2</v>
      </c>
      <c r="O120" s="10">
        <v>0.34239999999999898</v>
      </c>
      <c r="P120" s="10">
        <v>1.8029999999999899</v>
      </c>
      <c r="Q120" s="10">
        <v>2.7109999999999901</v>
      </c>
      <c r="R120" s="10">
        <v>20.48</v>
      </c>
      <c r="S120" s="10">
        <v>1.291E-2</v>
      </c>
      <c r="T120" s="10">
        <v>4.04199999999999E-2</v>
      </c>
      <c r="U120" s="10">
        <v>5.101E-2</v>
      </c>
      <c r="V120" s="10">
        <v>2.2950000000000002E-2</v>
      </c>
      <c r="W120" s="10">
        <v>2.1440000000000001E-2</v>
      </c>
      <c r="X120" s="10">
        <v>5.8910000000000004E-3</v>
      </c>
      <c r="Y120" s="10">
        <v>13.33</v>
      </c>
      <c r="Z120" s="10">
        <v>25.469999999999899</v>
      </c>
      <c r="AA120" s="10">
        <v>89</v>
      </c>
      <c r="AB120" s="10">
        <v>527.39999999999895</v>
      </c>
      <c r="AC120" s="10">
        <v>0.12870000000000001</v>
      </c>
      <c r="AD120" s="10">
        <v>0.22500000000000001</v>
      </c>
      <c r="AE120" s="10">
        <v>0.22159999999999899</v>
      </c>
      <c r="AF120" s="10">
        <v>0.1105</v>
      </c>
      <c r="AG120" s="10">
        <v>0.22259999999999899</v>
      </c>
      <c r="AH120">
        <v>8.4860000000000005E-2</v>
      </c>
    </row>
    <row r="121" spans="3:34">
      <c r="C121" s="11" t="s">
        <v>252</v>
      </c>
      <c r="D121" s="10" t="s">
        <v>1</v>
      </c>
      <c r="E121" s="10">
        <v>13.71</v>
      </c>
      <c r="F121" s="10">
        <v>19.649999999999899</v>
      </c>
      <c r="G121" s="10">
        <v>97.829999999999899</v>
      </c>
      <c r="H121" s="10">
        <v>629.89999999999895</v>
      </c>
      <c r="I121" s="10">
        <v>7.8369999999999898E-2</v>
      </c>
      <c r="J121" s="10">
        <v>0.2233</v>
      </c>
      <c r="K121" s="10">
        <v>0.30030000000000001</v>
      </c>
      <c r="L121" s="10">
        <v>7.7979999999999897E-2</v>
      </c>
      <c r="M121" s="10">
        <v>0.1704</v>
      </c>
      <c r="N121" s="10">
        <v>7.7689999999999898E-2</v>
      </c>
      <c r="O121" s="10">
        <v>0.36280000000000001</v>
      </c>
      <c r="P121" s="10">
        <v>1.49</v>
      </c>
      <c r="Q121" s="10">
        <v>3.399</v>
      </c>
      <c r="R121" s="10">
        <v>29.25</v>
      </c>
      <c r="S121" s="10">
        <v>5.2979999999999902E-3</v>
      </c>
      <c r="T121" s="10">
        <v>7.4459999999999901E-2</v>
      </c>
      <c r="U121" s="10">
        <v>0.14349999999999899</v>
      </c>
      <c r="V121" s="10">
        <v>2.2919999999999899E-2</v>
      </c>
      <c r="W121" s="10">
        <v>2.5659999999999902E-2</v>
      </c>
      <c r="X121" s="10">
        <v>1.298E-2</v>
      </c>
      <c r="Y121" s="10">
        <v>15.3</v>
      </c>
      <c r="Z121" s="10">
        <v>23.73</v>
      </c>
      <c r="AA121" s="10">
        <v>107</v>
      </c>
      <c r="AB121" s="10">
        <v>709</v>
      </c>
      <c r="AC121" s="10">
        <v>8.949E-2</v>
      </c>
      <c r="AD121" s="10">
        <v>0.41930000000000001</v>
      </c>
      <c r="AE121" s="10">
        <v>0.67830000000000001</v>
      </c>
      <c r="AF121" s="10">
        <v>0.150499999999999</v>
      </c>
      <c r="AG121" s="10">
        <v>0.23980000000000001</v>
      </c>
      <c r="AH121">
        <v>0.1082</v>
      </c>
    </row>
    <row r="122" spans="3:34">
      <c r="C122" s="11" t="s">
        <v>253</v>
      </c>
      <c r="D122" s="10" t="s">
        <v>1</v>
      </c>
      <c r="E122" s="10">
        <v>13.71</v>
      </c>
      <c r="F122" s="10">
        <v>20.190000000000001</v>
      </c>
      <c r="G122" s="10">
        <v>68.64</v>
      </c>
      <c r="H122" s="10">
        <v>334.19999999999902</v>
      </c>
      <c r="I122" s="10">
        <v>0.11219999999999899</v>
      </c>
      <c r="J122" s="10">
        <v>0.1303</v>
      </c>
      <c r="K122" s="10">
        <v>6.4759999999999901E-2</v>
      </c>
      <c r="L122" s="10">
        <v>3.0679999999999898E-2</v>
      </c>
      <c r="M122" s="10">
        <v>0.19220000000000001</v>
      </c>
      <c r="N122" s="10">
        <v>7.782E-2</v>
      </c>
      <c r="O122" s="10">
        <v>0.33360000000000001</v>
      </c>
      <c r="P122" s="10">
        <v>1.86</v>
      </c>
      <c r="Q122" s="10">
        <v>2.0409999999999902</v>
      </c>
      <c r="R122" s="10">
        <v>19.91</v>
      </c>
      <c r="S122" s="10">
        <v>1.188E-2</v>
      </c>
      <c r="T122" s="10">
        <v>3.7470000000000003E-2</v>
      </c>
      <c r="U122" s="10">
        <v>4.5909999999999902E-2</v>
      </c>
      <c r="V122" s="10">
        <v>1.5440000000000001E-2</v>
      </c>
      <c r="W122" s="10">
        <v>2.2870000000000001E-2</v>
      </c>
      <c r="X122" s="10">
        <v>6.7920000000000003E-3</v>
      </c>
      <c r="Y122" s="10">
        <v>11.16</v>
      </c>
      <c r="Z122" s="10">
        <v>22.75</v>
      </c>
      <c r="AA122" s="10">
        <v>72.62</v>
      </c>
      <c r="AB122" s="10">
        <v>374.39999999999901</v>
      </c>
      <c r="AC122" s="10">
        <v>0.13</v>
      </c>
      <c r="AD122" s="10">
        <v>0.2049</v>
      </c>
      <c r="AE122" s="10">
        <v>0.1295</v>
      </c>
      <c r="AF122" s="10">
        <v>6.1359999999999901E-2</v>
      </c>
      <c r="AG122" s="10">
        <v>0.23830000000000001</v>
      </c>
      <c r="AH122">
        <v>9.0260000000000007E-2</v>
      </c>
    </row>
    <row r="123" spans="3:34">
      <c r="C123" s="11" t="s">
        <v>254</v>
      </c>
      <c r="D123" s="10" t="s">
        <v>1</v>
      </c>
      <c r="E123" s="10">
        <v>13.71</v>
      </c>
      <c r="F123" s="10">
        <v>15.83</v>
      </c>
      <c r="G123" s="10">
        <v>55.84</v>
      </c>
      <c r="H123" s="10">
        <v>230.9</v>
      </c>
      <c r="I123" s="10">
        <v>0.115</v>
      </c>
      <c r="J123" s="10">
        <v>8.201E-2</v>
      </c>
      <c r="K123" s="10">
        <v>4.1320000000000003E-2</v>
      </c>
      <c r="L123" s="10">
        <v>1.924E-2</v>
      </c>
      <c r="M123" s="10">
        <v>0.16489999999999899</v>
      </c>
      <c r="N123" s="10">
        <v>7.6329999999999898E-2</v>
      </c>
      <c r="O123" s="10">
        <v>0.16650000000000001</v>
      </c>
      <c r="P123" s="10">
        <v>0.58640000000000003</v>
      </c>
      <c r="Q123" s="10">
        <v>1.3540000000000001</v>
      </c>
      <c r="R123" s="10">
        <v>8.9659999999999904</v>
      </c>
      <c r="S123" s="10">
        <v>8.2609999999999906E-3</v>
      </c>
      <c r="T123" s="10">
        <v>2.213E-2</v>
      </c>
      <c r="U123" s="10">
        <v>3.2590000000000001E-2</v>
      </c>
      <c r="V123" s="10">
        <v>1.04E-2</v>
      </c>
      <c r="W123" s="10">
        <v>1.7080000000000001E-2</v>
      </c>
      <c r="X123" s="10">
        <v>3.8059999999999899E-3</v>
      </c>
      <c r="Y123" s="10">
        <v>9.6280000000000001</v>
      </c>
      <c r="Z123" s="10">
        <v>19.62</v>
      </c>
      <c r="AA123" s="10">
        <v>64.48</v>
      </c>
      <c r="AB123" s="10">
        <v>284.39999999999901</v>
      </c>
      <c r="AC123" s="10">
        <v>0.1724</v>
      </c>
      <c r="AD123" s="10">
        <v>0.2364</v>
      </c>
      <c r="AE123" s="10">
        <v>0.24560000000000001</v>
      </c>
      <c r="AF123" s="10">
        <v>0.105</v>
      </c>
      <c r="AG123" s="10">
        <v>0.29260000000000003</v>
      </c>
      <c r="AH123">
        <v>0.1017</v>
      </c>
    </row>
    <row r="124" spans="3:34">
      <c r="C124" s="11" t="s">
        <v>255</v>
      </c>
      <c r="D124" s="10" t="s">
        <v>1</v>
      </c>
      <c r="E124" s="10">
        <v>13.71</v>
      </c>
      <c r="F124" s="10">
        <v>21.53</v>
      </c>
      <c r="G124" s="10">
        <v>76.53</v>
      </c>
      <c r="H124" s="10">
        <v>438.6</v>
      </c>
      <c r="I124" s="10">
        <v>9.7680000000000003E-2</v>
      </c>
      <c r="J124" s="10">
        <v>7.8490000000000004E-2</v>
      </c>
      <c r="K124" s="10">
        <v>3.32799999999999E-2</v>
      </c>
      <c r="L124" s="10">
        <v>2.0080000000000001E-2</v>
      </c>
      <c r="M124" s="10">
        <v>0.16880000000000001</v>
      </c>
      <c r="N124" s="10">
        <v>6.1940000000000002E-2</v>
      </c>
      <c r="O124" s="10">
        <v>0.31180000000000002</v>
      </c>
      <c r="P124" s="10">
        <v>0.92269999999999897</v>
      </c>
      <c r="Q124" s="10">
        <v>2</v>
      </c>
      <c r="R124" s="10">
        <v>24.7899999999999</v>
      </c>
      <c r="S124" s="10">
        <v>7.803E-3</v>
      </c>
      <c r="T124" s="10">
        <v>2.5069999999999901E-2</v>
      </c>
      <c r="U124" s="10">
        <v>1.8350000000000002E-2</v>
      </c>
      <c r="V124" s="10">
        <v>7.711E-3</v>
      </c>
      <c r="W124" s="10">
        <v>1.278E-2</v>
      </c>
      <c r="X124" s="10">
        <v>3.8560000000000001E-3</v>
      </c>
      <c r="Y124" s="10">
        <v>13.67</v>
      </c>
      <c r="Z124" s="10">
        <v>26.149999999999899</v>
      </c>
      <c r="AA124" s="10">
        <v>87.54</v>
      </c>
      <c r="AB124" s="10">
        <v>583</v>
      </c>
      <c r="AC124" s="10">
        <v>0.149999999999999</v>
      </c>
      <c r="AD124" s="10">
        <v>0.2399</v>
      </c>
      <c r="AE124" s="10">
        <v>0.15029999999999899</v>
      </c>
      <c r="AF124" s="10">
        <v>7.2470000000000007E-2</v>
      </c>
      <c r="AG124" s="10">
        <v>0.24379999999999899</v>
      </c>
      <c r="AH124">
        <v>8.541E-2</v>
      </c>
    </row>
    <row r="125" spans="3:34">
      <c r="C125" s="11" t="s">
        <v>256</v>
      </c>
      <c r="D125" s="10" t="s">
        <v>1</v>
      </c>
      <c r="E125" s="10">
        <v>13.71</v>
      </c>
      <c r="F125" s="10">
        <v>15.76</v>
      </c>
      <c r="G125" s="10">
        <v>58.74</v>
      </c>
      <c r="H125" s="10">
        <v>245.19999999999899</v>
      </c>
      <c r="I125" s="10">
        <v>9.4619999999999899E-2</v>
      </c>
      <c r="J125" s="10">
        <v>0.12429999999999899</v>
      </c>
      <c r="K125" s="10">
        <v>9.2630000000000004E-2</v>
      </c>
      <c r="L125" s="10">
        <v>2.308E-2</v>
      </c>
      <c r="M125" s="10">
        <v>0.1305</v>
      </c>
      <c r="N125" s="10">
        <v>7.1629999999999902E-2</v>
      </c>
      <c r="O125" s="10">
        <v>0.31319999999999898</v>
      </c>
      <c r="P125" s="10">
        <v>0.97889999999999899</v>
      </c>
      <c r="Q125" s="10">
        <v>3.27999999999999</v>
      </c>
      <c r="R125" s="10">
        <v>16.940000000000001</v>
      </c>
      <c r="S125" s="10">
        <v>1.8350000000000002E-2</v>
      </c>
      <c r="T125" s="10">
        <v>6.7599999999999896E-2</v>
      </c>
      <c r="U125" s="10">
        <v>9.2630000000000004E-2</v>
      </c>
      <c r="V125" s="10">
        <v>2.308E-2</v>
      </c>
      <c r="W125" s="10">
        <v>2.384E-2</v>
      </c>
      <c r="X125" s="10">
        <v>5.6010000000000001E-3</v>
      </c>
      <c r="Y125" s="10">
        <v>9.4139999999999908</v>
      </c>
      <c r="Z125" s="10">
        <v>17.07</v>
      </c>
      <c r="AA125" s="10">
        <v>63.34</v>
      </c>
      <c r="AB125" s="10">
        <v>270</v>
      </c>
      <c r="AC125" s="10">
        <v>0.1179</v>
      </c>
      <c r="AD125" s="10">
        <v>0.18790000000000001</v>
      </c>
      <c r="AE125" s="10">
        <v>0.15440000000000001</v>
      </c>
      <c r="AF125" s="10">
        <v>3.8460000000000001E-2</v>
      </c>
      <c r="AG125" s="10">
        <v>0.16520000000000001</v>
      </c>
      <c r="AH125">
        <v>7.72199999999999E-2</v>
      </c>
    </row>
    <row r="126" spans="3:34">
      <c r="C126" s="11" t="s">
        <v>257</v>
      </c>
      <c r="D126" s="10" t="s">
        <v>0</v>
      </c>
      <c r="E126" s="10">
        <v>13.71</v>
      </c>
      <c r="F126" s="10">
        <v>16.670000000000002</v>
      </c>
      <c r="G126" s="10">
        <v>98.64</v>
      </c>
      <c r="H126" s="10">
        <v>682.5</v>
      </c>
      <c r="I126" s="10">
        <v>0.1162</v>
      </c>
      <c r="J126" s="10">
        <v>0.16489999999999899</v>
      </c>
      <c r="K126" s="10">
        <v>0.16900000000000001</v>
      </c>
      <c r="L126" s="10">
        <v>8.9230000000000004E-2</v>
      </c>
      <c r="M126" s="10">
        <v>0.2157</v>
      </c>
      <c r="N126" s="10">
        <v>6.7680000000000004E-2</v>
      </c>
      <c r="O126" s="10">
        <v>0.42659999999999898</v>
      </c>
      <c r="P126" s="10">
        <v>0.94889999999999897</v>
      </c>
      <c r="Q126" s="10">
        <v>2.9889999999999901</v>
      </c>
      <c r="R126" s="10">
        <v>41.18</v>
      </c>
      <c r="S126" s="10">
        <v>6.9849999999999903E-3</v>
      </c>
      <c r="T126" s="10">
        <v>2.563E-2</v>
      </c>
      <c r="U126" s="10">
        <v>3.0110000000000001E-2</v>
      </c>
      <c r="V126" s="10">
        <v>1.2710000000000001E-2</v>
      </c>
      <c r="W126" s="10">
        <v>1.602E-2</v>
      </c>
      <c r="X126" s="10">
        <v>3.8839999999999899E-3</v>
      </c>
      <c r="Y126" s="10">
        <v>18.809999999999899</v>
      </c>
      <c r="Z126" s="10">
        <v>27.37</v>
      </c>
      <c r="AA126" s="10">
        <v>127.099999999999</v>
      </c>
      <c r="AB126" s="10">
        <v>1095</v>
      </c>
      <c r="AC126" s="10">
        <v>0.187799999999999</v>
      </c>
      <c r="AD126" s="10">
        <v>0.44800000000000001</v>
      </c>
      <c r="AE126" s="10">
        <v>0.47039999999999899</v>
      </c>
      <c r="AF126" s="10">
        <v>0.20269999999999899</v>
      </c>
      <c r="AG126" s="10">
        <v>0.35849999999999899</v>
      </c>
      <c r="AH126">
        <v>0.1065</v>
      </c>
    </row>
    <row r="127" spans="3:34">
      <c r="C127" s="11" t="s">
        <v>258</v>
      </c>
      <c r="D127" s="10" t="s">
        <v>0</v>
      </c>
      <c r="E127" s="10">
        <v>13.71</v>
      </c>
      <c r="F127" s="10">
        <v>22.91</v>
      </c>
      <c r="G127" s="10">
        <v>105.7</v>
      </c>
      <c r="H127" s="10">
        <v>782.6</v>
      </c>
      <c r="I127" s="10">
        <v>0.11550000000000001</v>
      </c>
      <c r="J127" s="10">
        <v>0.175199999999999</v>
      </c>
      <c r="K127" s="10">
        <v>0.21329999999999899</v>
      </c>
      <c r="L127" s="10">
        <v>9.4789999999999902E-2</v>
      </c>
      <c r="M127" s="10">
        <v>0.20960000000000001</v>
      </c>
      <c r="N127" s="10">
        <v>7.331E-2</v>
      </c>
      <c r="O127" s="10">
        <v>0.55200000000000005</v>
      </c>
      <c r="P127" s="10">
        <v>1.0720000000000001</v>
      </c>
      <c r="Q127" s="10">
        <v>3.5979999999999901</v>
      </c>
      <c r="R127" s="10">
        <v>58.63</v>
      </c>
      <c r="S127" s="10">
        <v>8.6990000000000001E-3</v>
      </c>
      <c r="T127" s="10">
        <v>3.97599999999999E-2</v>
      </c>
      <c r="U127" s="10">
        <v>5.94999999999999E-2</v>
      </c>
      <c r="V127" s="10">
        <v>1.38999999999999E-2</v>
      </c>
      <c r="W127" s="10">
        <v>1.495E-2</v>
      </c>
      <c r="X127" s="10">
        <v>5.9839999999999902E-3</v>
      </c>
      <c r="Y127" s="10">
        <v>20.190000000000001</v>
      </c>
      <c r="Z127" s="10">
        <v>30.5</v>
      </c>
      <c r="AA127" s="10">
        <v>130.30000000000001</v>
      </c>
      <c r="AB127" s="10">
        <v>1272</v>
      </c>
      <c r="AC127" s="10">
        <v>0.1855</v>
      </c>
      <c r="AD127" s="10">
        <v>0.49249999999999899</v>
      </c>
      <c r="AE127" s="10">
        <v>0.73560000000000003</v>
      </c>
      <c r="AF127" s="10">
        <v>0.2034</v>
      </c>
      <c r="AG127" s="10">
        <v>0.32740000000000002</v>
      </c>
      <c r="AH127">
        <v>0.12520000000000001</v>
      </c>
    </row>
    <row r="128" spans="3:34">
      <c r="C128" s="11" t="s">
        <v>259</v>
      </c>
      <c r="D128" s="10" t="s">
        <v>0</v>
      </c>
      <c r="E128" s="10">
        <v>13.71</v>
      </c>
      <c r="F128" s="10">
        <v>20.010000000000002</v>
      </c>
      <c r="G128" s="10">
        <v>114.2</v>
      </c>
      <c r="H128" s="10">
        <v>982</v>
      </c>
      <c r="I128" s="10">
        <v>8.40199999999999E-2</v>
      </c>
      <c r="J128" s="10">
        <v>6.7220000000000002E-2</v>
      </c>
      <c r="K128" s="10">
        <v>7.2929999999999898E-2</v>
      </c>
      <c r="L128" s="10">
        <v>5.5960000000000003E-2</v>
      </c>
      <c r="M128" s="10">
        <v>0.21290000000000001</v>
      </c>
      <c r="N128" s="10">
        <v>5.0250000000000003E-2</v>
      </c>
      <c r="O128" s="10">
        <v>0.55059999999999898</v>
      </c>
      <c r="P128" s="10">
        <v>1.214</v>
      </c>
      <c r="Q128" s="10">
        <v>3.3570000000000002</v>
      </c>
      <c r="R128" s="10">
        <v>54.0399999999999</v>
      </c>
      <c r="S128" s="10">
        <v>4.0239999999999903E-3</v>
      </c>
      <c r="T128" s="10">
        <v>8.4220000000000007E-3</v>
      </c>
      <c r="U128" s="10">
        <v>2.291E-2</v>
      </c>
      <c r="V128" s="10">
        <v>9.8630000000000002E-3</v>
      </c>
      <c r="W128" s="10">
        <v>5.01399999999999E-2</v>
      </c>
      <c r="X128" s="10">
        <v>1.902E-3</v>
      </c>
      <c r="Y128" s="10">
        <v>20.579999999999899</v>
      </c>
      <c r="Z128" s="10">
        <v>27.829999999999899</v>
      </c>
      <c r="AA128" s="10">
        <v>129.19999999999899</v>
      </c>
      <c r="AB128" s="10">
        <v>1261</v>
      </c>
      <c r="AC128" s="10">
        <v>0.1072</v>
      </c>
      <c r="AD128" s="10">
        <v>0.1202</v>
      </c>
      <c r="AE128" s="10">
        <v>0.22489999999999899</v>
      </c>
      <c r="AF128" s="10">
        <v>0.118499999999999</v>
      </c>
      <c r="AG128" s="10">
        <v>0.48820000000000002</v>
      </c>
      <c r="AH128">
        <v>6.1109999999999901E-2</v>
      </c>
    </row>
    <row r="129" spans="3:34">
      <c r="C129" s="11" t="s">
        <v>261</v>
      </c>
      <c r="D129" s="10" t="s">
        <v>0</v>
      </c>
      <c r="E129" s="10">
        <v>13.71</v>
      </c>
      <c r="F129" s="10">
        <v>17.12</v>
      </c>
      <c r="G129" s="10">
        <v>121.4</v>
      </c>
      <c r="H129" s="10">
        <v>1077</v>
      </c>
      <c r="I129" s="10">
        <v>0.10539999999999899</v>
      </c>
      <c r="J129" s="10">
        <v>0.11</v>
      </c>
      <c r="K129" s="10">
        <v>0.1457</v>
      </c>
      <c r="L129" s="10">
        <v>8.6650000000000005E-2</v>
      </c>
      <c r="M129" s="10">
        <v>0.1966</v>
      </c>
      <c r="N129" s="10">
        <v>6.2129999999999901E-2</v>
      </c>
      <c r="O129" s="10">
        <v>0.71279999999999899</v>
      </c>
      <c r="P129" s="10">
        <v>1.581</v>
      </c>
      <c r="Q129" s="10">
        <v>4.8949999999999898</v>
      </c>
      <c r="R129" s="10">
        <v>90.469999999999899</v>
      </c>
      <c r="S129" s="10">
        <v>8.1019999999999894E-3</v>
      </c>
      <c r="T129" s="10">
        <v>2.1010000000000001E-2</v>
      </c>
      <c r="U129" s="10">
        <v>3.3419999999999901E-2</v>
      </c>
      <c r="V129" s="10">
        <v>1.601E-2</v>
      </c>
      <c r="W129" s="10">
        <v>2.0449999999999899E-2</v>
      </c>
      <c r="X129" s="10">
        <v>4.5700000000000003E-3</v>
      </c>
      <c r="Y129" s="10">
        <v>22.25</v>
      </c>
      <c r="Z129" s="10">
        <v>24.899999999999899</v>
      </c>
      <c r="AA129" s="10">
        <v>145.4</v>
      </c>
      <c r="AB129" s="10">
        <v>1549</v>
      </c>
      <c r="AC129" s="10">
        <v>0.15029999999999899</v>
      </c>
      <c r="AD129" s="10">
        <v>0.2291</v>
      </c>
      <c r="AE129" s="10">
        <v>0.32719999999999899</v>
      </c>
      <c r="AF129" s="10">
        <v>0.16739999999999899</v>
      </c>
      <c r="AG129" s="10">
        <v>0.28939999999999899</v>
      </c>
      <c r="AH129">
        <v>8.4559999999999899E-2</v>
      </c>
    </row>
    <row r="130" spans="3:34">
      <c r="C130" s="11" t="s">
        <v>262</v>
      </c>
      <c r="D130" s="10" t="s">
        <v>0</v>
      </c>
      <c r="E130" s="10">
        <v>13.71</v>
      </c>
      <c r="F130" s="10">
        <v>20.1999999999999</v>
      </c>
      <c r="G130" s="10">
        <v>166.19999999999899</v>
      </c>
      <c r="H130" s="10">
        <v>1761</v>
      </c>
      <c r="I130" s="10">
        <v>0.1447</v>
      </c>
      <c r="J130" s="10">
        <v>0.28670000000000001</v>
      </c>
      <c r="K130" s="10">
        <v>0.42680000000000001</v>
      </c>
      <c r="L130" s="10">
        <v>0.20119999999999899</v>
      </c>
      <c r="M130" s="10">
        <v>0.26550000000000001</v>
      </c>
      <c r="N130" s="10">
        <v>6.8769999999999901E-2</v>
      </c>
      <c r="O130" s="10">
        <v>1.5089999999999899</v>
      </c>
      <c r="P130" s="10">
        <v>3.12</v>
      </c>
      <c r="Q130" s="10">
        <v>9.8070000000000004</v>
      </c>
      <c r="R130" s="10">
        <v>233</v>
      </c>
      <c r="S130" s="10">
        <v>2.333E-2</v>
      </c>
      <c r="T130" s="10">
        <v>9.8059999999999897E-2</v>
      </c>
      <c r="U130" s="10">
        <v>0.1278</v>
      </c>
      <c r="V130" s="10">
        <v>1.822E-2</v>
      </c>
      <c r="W130" s="10">
        <v>4.5469999999999899E-2</v>
      </c>
      <c r="X130" s="10">
        <v>9.8750000000000001E-3</v>
      </c>
      <c r="Y130" s="10">
        <v>26.02</v>
      </c>
      <c r="Z130" s="10">
        <v>23.989999999999899</v>
      </c>
      <c r="AA130" s="10">
        <v>180.9</v>
      </c>
      <c r="AB130" s="10">
        <v>2073</v>
      </c>
      <c r="AC130" s="10">
        <v>0.1696</v>
      </c>
      <c r="AD130" s="10">
        <v>0.4244</v>
      </c>
      <c r="AE130" s="10">
        <v>0.58030000000000004</v>
      </c>
      <c r="AF130" s="10">
        <v>0.2248</v>
      </c>
      <c r="AG130" s="10">
        <v>0.32219999999999899</v>
      </c>
      <c r="AH130">
        <v>8.0089999999999897E-2</v>
      </c>
    </row>
    <row r="131" spans="3:34">
      <c r="C131" s="11" t="s">
        <v>264</v>
      </c>
      <c r="D131" s="10" t="s">
        <v>1</v>
      </c>
      <c r="E131" s="10">
        <v>13.71</v>
      </c>
      <c r="F131" s="10">
        <v>16.39</v>
      </c>
      <c r="G131" s="10">
        <v>86.099999999999895</v>
      </c>
      <c r="H131" s="10">
        <v>553.5</v>
      </c>
      <c r="I131" s="10">
        <v>7.1150000000000005E-2</v>
      </c>
      <c r="J131" s="10">
        <v>7.3249999999999899E-2</v>
      </c>
      <c r="K131" s="10">
        <v>8.0920000000000006E-2</v>
      </c>
      <c r="L131" s="10">
        <v>2.8000000000000001E-2</v>
      </c>
      <c r="M131" s="10">
        <v>0.14219999999999899</v>
      </c>
      <c r="N131" s="10">
        <v>5.82299999999999E-2</v>
      </c>
      <c r="O131" s="10">
        <v>0.16389999999999899</v>
      </c>
      <c r="P131" s="10">
        <v>1.1399999999999899</v>
      </c>
      <c r="Q131" s="10">
        <v>1.2230000000000001</v>
      </c>
      <c r="R131" s="10">
        <v>14.66</v>
      </c>
      <c r="S131" s="10">
        <v>5.9189999999999902E-3</v>
      </c>
      <c r="T131" s="10">
        <v>3.27E-2</v>
      </c>
      <c r="U131" s="10">
        <v>4.9570000000000003E-2</v>
      </c>
      <c r="V131" s="10">
        <v>1.038E-2</v>
      </c>
      <c r="W131" s="10">
        <v>1.208E-2</v>
      </c>
      <c r="X131" s="10">
        <v>4.0759999999999902E-3</v>
      </c>
      <c r="Y131" s="10">
        <v>14.26</v>
      </c>
      <c r="Z131" s="10">
        <v>22.75</v>
      </c>
      <c r="AA131" s="10">
        <v>91.989999999999895</v>
      </c>
      <c r="AB131" s="10">
        <v>632.1</v>
      </c>
      <c r="AC131" s="10">
        <v>0.10249999999999899</v>
      </c>
      <c r="AD131" s="10">
        <v>0.25309999999999899</v>
      </c>
      <c r="AE131" s="10">
        <v>0.33079999999999898</v>
      </c>
      <c r="AF131" s="10">
        <v>8.9779999999999902E-2</v>
      </c>
      <c r="AG131" s="10">
        <v>0.20480000000000001</v>
      </c>
      <c r="AH131">
        <v>7.6280000000000001E-2</v>
      </c>
    </row>
    <row r="132" spans="3:34">
      <c r="C132" s="11" t="s">
        <v>265</v>
      </c>
      <c r="D132" s="10" t="s">
        <v>1</v>
      </c>
      <c r="E132" s="10">
        <v>13.71</v>
      </c>
      <c r="F132" s="10">
        <v>17.21</v>
      </c>
      <c r="G132" s="10">
        <v>88.439999999999898</v>
      </c>
      <c r="H132" s="10">
        <v>588.70000000000005</v>
      </c>
      <c r="I132" s="10">
        <v>8.78499999999999E-2</v>
      </c>
      <c r="J132" s="10">
        <v>6.1359999999999901E-2</v>
      </c>
      <c r="K132" s="10">
        <v>1.4200000000000001E-2</v>
      </c>
      <c r="L132" s="10">
        <v>1.141E-2</v>
      </c>
      <c r="M132" s="10">
        <v>0.16139999999999899</v>
      </c>
      <c r="N132" s="10">
        <v>5.8900000000000001E-2</v>
      </c>
      <c r="O132" s="10">
        <v>0.2185</v>
      </c>
      <c r="P132" s="10">
        <v>0.85609999999999897</v>
      </c>
      <c r="Q132" s="10">
        <v>1.4950000000000001</v>
      </c>
      <c r="R132" s="10">
        <v>17.91</v>
      </c>
      <c r="S132" s="10">
        <v>4.5989999999999902E-3</v>
      </c>
      <c r="T132" s="10">
        <v>9.1690000000000001E-3</v>
      </c>
      <c r="U132" s="10">
        <v>9.1269999999999893E-3</v>
      </c>
      <c r="V132" s="10">
        <v>4.8139999999999902E-3</v>
      </c>
      <c r="W132" s="10">
        <v>1.247E-2</v>
      </c>
      <c r="X132" s="10">
        <v>1.7080000000000001E-3</v>
      </c>
      <c r="Y132" s="10">
        <v>15.49</v>
      </c>
      <c r="Z132" s="10">
        <v>23.579999999999899</v>
      </c>
      <c r="AA132" s="10">
        <v>100.3</v>
      </c>
      <c r="AB132" s="10">
        <v>725.89999999999895</v>
      </c>
      <c r="AC132" s="10">
        <v>0.1157</v>
      </c>
      <c r="AD132" s="10">
        <v>0.13500000000000001</v>
      </c>
      <c r="AE132" s="10">
        <v>8.115E-2</v>
      </c>
      <c r="AF132" s="10">
        <v>5.1040000000000002E-2</v>
      </c>
      <c r="AG132" s="10">
        <v>0.2364</v>
      </c>
      <c r="AH132">
        <v>7.1819999999999898E-2</v>
      </c>
    </row>
    <row r="133" spans="3:34">
      <c r="C133" s="11" t="s">
        <v>267</v>
      </c>
      <c r="D133" s="10" t="s">
        <v>0</v>
      </c>
      <c r="E133" s="10">
        <v>13.71</v>
      </c>
      <c r="F133" s="10">
        <v>18.91</v>
      </c>
      <c r="G133" s="10">
        <v>123.4</v>
      </c>
      <c r="H133" s="10">
        <v>1138</v>
      </c>
      <c r="I133" s="10">
        <v>8.2170000000000007E-2</v>
      </c>
      <c r="J133" s="10">
        <v>8.0280000000000004E-2</v>
      </c>
      <c r="K133" s="10">
        <v>9.2710000000000001E-2</v>
      </c>
      <c r="L133" s="10">
        <v>5.6270000000000001E-2</v>
      </c>
      <c r="M133" s="10">
        <v>0.1946</v>
      </c>
      <c r="N133" s="10">
        <v>5.0439999999999902E-2</v>
      </c>
      <c r="O133" s="10">
        <v>0.68959999999999899</v>
      </c>
      <c r="P133" s="10">
        <v>1.3420000000000001</v>
      </c>
      <c r="Q133" s="10">
        <v>5.2160000000000002</v>
      </c>
      <c r="R133" s="10">
        <v>81.23</v>
      </c>
      <c r="S133" s="10">
        <v>4.4279999999999901E-3</v>
      </c>
      <c r="T133" s="10">
        <v>2.7310000000000001E-2</v>
      </c>
      <c r="U133" s="10">
        <v>4.0399999999999901E-2</v>
      </c>
      <c r="V133" s="10">
        <v>1.3610000000000001E-2</v>
      </c>
      <c r="W133" s="10">
        <v>2.0299999999999901E-2</v>
      </c>
      <c r="X133" s="10">
        <v>2.686E-3</v>
      </c>
      <c r="Y133" s="10">
        <v>22.32</v>
      </c>
      <c r="Z133" s="10">
        <v>25.73</v>
      </c>
      <c r="AA133" s="10">
        <v>148.19999999999899</v>
      </c>
      <c r="AB133" s="10">
        <v>1538</v>
      </c>
      <c r="AC133" s="10">
        <v>0.1021</v>
      </c>
      <c r="AD133" s="10">
        <v>0.22639999999999899</v>
      </c>
      <c r="AE133" s="10">
        <v>0.32069999999999899</v>
      </c>
      <c r="AF133" s="10">
        <v>0.12180000000000001</v>
      </c>
      <c r="AG133" s="10">
        <v>0.28410000000000002</v>
      </c>
      <c r="AH133">
        <v>6.5409999999999899E-2</v>
      </c>
    </row>
    <row r="134" spans="3:34">
      <c r="C134" s="11" t="s">
        <v>268</v>
      </c>
      <c r="D134" s="10" t="s">
        <v>1</v>
      </c>
      <c r="E134" s="10">
        <v>13.71</v>
      </c>
      <c r="F134" s="10">
        <v>16.39</v>
      </c>
      <c r="G134" s="10">
        <v>99.579999999999899</v>
      </c>
      <c r="H134" s="10">
        <v>674.5</v>
      </c>
      <c r="I134" s="10">
        <v>0.115</v>
      </c>
      <c r="J134" s="10">
        <v>0.1807</v>
      </c>
      <c r="K134" s="10">
        <v>0.1138</v>
      </c>
      <c r="L134" s="10">
        <v>8.5339999999999902E-2</v>
      </c>
      <c r="M134" s="10">
        <v>0.2001</v>
      </c>
      <c r="N134" s="10">
        <v>6.4670000000000005E-2</v>
      </c>
      <c r="O134" s="10">
        <v>0.43090000000000001</v>
      </c>
      <c r="P134" s="10">
        <v>1.0680000000000001</v>
      </c>
      <c r="Q134" s="10">
        <v>2.79599999999999</v>
      </c>
      <c r="R134" s="10">
        <v>39.840000000000003</v>
      </c>
      <c r="S134" s="10">
        <v>9.0060000000000001E-3</v>
      </c>
      <c r="T134" s="10">
        <v>4.1849999999999901E-2</v>
      </c>
      <c r="U134" s="10">
        <v>3.2039999999999902E-2</v>
      </c>
      <c r="V134" s="10">
        <v>2.2579999999999899E-2</v>
      </c>
      <c r="W134" s="10">
        <v>2.3529999999999902E-2</v>
      </c>
      <c r="X134" s="10">
        <v>4.9839999999999902E-3</v>
      </c>
      <c r="Y134" s="10">
        <v>16.1099999999999</v>
      </c>
      <c r="Z134" s="10">
        <v>18.329999999999899</v>
      </c>
      <c r="AA134" s="10">
        <v>105.9</v>
      </c>
      <c r="AB134" s="10">
        <v>762.6</v>
      </c>
      <c r="AC134" s="10">
        <v>0.1386</v>
      </c>
      <c r="AD134" s="10">
        <v>0.2883</v>
      </c>
      <c r="AE134" s="10">
        <v>0.19600000000000001</v>
      </c>
      <c r="AF134" s="10">
        <v>0.14230000000000001</v>
      </c>
      <c r="AG134" s="10">
        <v>0.25900000000000001</v>
      </c>
      <c r="AH134">
        <v>7.7789999999999901E-2</v>
      </c>
    </row>
    <row r="135" spans="3:34">
      <c r="C135" s="11" t="s">
        <v>269</v>
      </c>
      <c r="D135" s="10" t="s">
        <v>0</v>
      </c>
      <c r="E135" s="10">
        <v>13.71</v>
      </c>
      <c r="F135" s="10">
        <v>25.12</v>
      </c>
      <c r="G135" s="10">
        <v>130.4</v>
      </c>
      <c r="H135" s="10">
        <v>1192</v>
      </c>
      <c r="I135" s="10">
        <v>0.10150000000000001</v>
      </c>
      <c r="J135" s="10">
        <v>0.15890000000000001</v>
      </c>
      <c r="K135" s="10">
        <v>0.2545</v>
      </c>
      <c r="L135" s="10">
        <v>0.1149</v>
      </c>
      <c r="M135" s="10">
        <v>0.22020000000000001</v>
      </c>
      <c r="N135" s="10">
        <v>6.11299999999999E-2</v>
      </c>
      <c r="O135" s="10">
        <v>0.49530000000000002</v>
      </c>
      <c r="P135" s="10">
        <v>1.1990000000000001</v>
      </c>
      <c r="Q135" s="10">
        <v>2.7650000000000001</v>
      </c>
      <c r="R135" s="10">
        <v>63.329999999999899</v>
      </c>
      <c r="S135" s="10">
        <v>5.0330000000000001E-3</v>
      </c>
      <c r="T135" s="10">
        <v>3.1789999999999902E-2</v>
      </c>
      <c r="U135" s="10">
        <v>4.7550000000000002E-2</v>
      </c>
      <c r="V135" s="10">
        <v>1.043E-2</v>
      </c>
      <c r="W135" s="10">
        <v>1.5779999999999898E-2</v>
      </c>
      <c r="X135" s="10">
        <v>3.2239999999999899E-3</v>
      </c>
      <c r="Y135" s="10">
        <v>22.6299999999999</v>
      </c>
      <c r="Z135" s="10">
        <v>33.579999999999899</v>
      </c>
      <c r="AA135" s="10">
        <v>148.69999999999899</v>
      </c>
      <c r="AB135" s="10">
        <v>1589</v>
      </c>
      <c r="AC135" s="10">
        <v>0.1275</v>
      </c>
      <c r="AD135" s="10">
        <v>0.3861</v>
      </c>
      <c r="AE135" s="10">
        <v>0.56730000000000003</v>
      </c>
      <c r="AF135" s="10">
        <v>0.17319999999999899</v>
      </c>
      <c r="AG135" s="10">
        <v>0.33050000000000002</v>
      </c>
      <c r="AH135">
        <v>8.4650000000000003E-2</v>
      </c>
    </row>
    <row r="136" spans="3:34">
      <c r="C136" s="11" t="s">
        <v>271</v>
      </c>
      <c r="D136" s="10" t="s">
        <v>0</v>
      </c>
      <c r="E136" s="10">
        <v>13.71</v>
      </c>
      <c r="F136" s="10">
        <v>19.48</v>
      </c>
      <c r="G136" s="10">
        <v>101.7</v>
      </c>
      <c r="H136" s="10">
        <v>748.89999999999895</v>
      </c>
      <c r="I136" s="10">
        <v>0.10920000000000001</v>
      </c>
      <c r="J136" s="10">
        <v>0.12230000000000001</v>
      </c>
      <c r="K136" s="10">
        <v>0.14660000000000001</v>
      </c>
      <c r="L136" s="10">
        <v>8.08699999999999E-2</v>
      </c>
      <c r="M136" s="10">
        <v>0.19309999999999899</v>
      </c>
      <c r="N136" s="10">
        <v>5.79599999999999E-2</v>
      </c>
      <c r="O136" s="10">
        <v>0.4743</v>
      </c>
      <c r="P136" s="10">
        <v>0.78590000000000004</v>
      </c>
      <c r="Q136" s="10">
        <v>3.0939999999999901</v>
      </c>
      <c r="R136" s="10">
        <v>48.31</v>
      </c>
      <c r="S136" s="10">
        <v>6.2399999999999903E-3</v>
      </c>
      <c r="T136" s="10">
        <v>1.4840000000000001E-2</v>
      </c>
      <c r="U136" s="10">
        <v>2.8129999999999902E-2</v>
      </c>
      <c r="V136" s="10">
        <v>1.093E-2</v>
      </c>
      <c r="W136" s="10">
        <v>1.397E-2</v>
      </c>
      <c r="X136" s="10">
        <v>2.4610000000000001E-3</v>
      </c>
      <c r="Y136" s="10">
        <v>19.260000000000002</v>
      </c>
      <c r="Z136" s="10">
        <v>26</v>
      </c>
      <c r="AA136" s="10">
        <v>124.9</v>
      </c>
      <c r="AB136" s="10">
        <v>1156</v>
      </c>
      <c r="AC136" s="10">
        <v>0.15459999999999899</v>
      </c>
      <c r="AD136" s="10">
        <v>0.2394</v>
      </c>
      <c r="AE136" s="10">
        <v>0.37909999999999899</v>
      </c>
      <c r="AF136" s="10">
        <v>0.15140000000000001</v>
      </c>
      <c r="AG136" s="10">
        <v>0.28370000000000001</v>
      </c>
      <c r="AH136">
        <v>8.01899999999999E-2</v>
      </c>
    </row>
    <row r="137" spans="3:34">
      <c r="C137" s="11" t="s">
        <v>272</v>
      </c>
      <c r="D137" s="10" t="s">
        <v>0</v>
      </c>
      <c r="E137" s="10">
        <v>13.71</v>
      </c>
      <c r="F137" s="10">
        <v>21.5399999999999</v>
      </c>
      <c r="G137" s="10">
        <v>106.2</v>
      </c>
      <c r="H137" s="10">
        <v>809.79999999999905</v>
      </c>
      <c r="I137" s="10">
        <v>0.1008</v>
      </c>
      <c r="J137" s="10">
        <v>0.12839999999999899</v>
      </c>
      <c r="K137" s="10">
        <v>0.1043</v>
      </c>
      <c r="L137" s="10">
        <v>5.6129999999999902E-2</v>
      </c>
      <c r="M137" s="10">
        <v>0.216</v>
      </c>
      <c r="N137" s="10">
        <v>5.89099999999999E-2</v>
      </c>
      <c r="O137" s="10">
        <v>0.43319999999999897</v>
      </c>
      <c r="P137" s="10">
        <v>1.2649999999999899</v>
      </c>
      <c r="Q137" s="10">
        <v>2.8439999999999901</v>
      </c>
      <c r="R137" s="10">
        <v>43.68</v>
      </c>
      <c r="S137" s="10">
        <v>4.8770000000000003E-3</v>
      </c>
      <c r="T137" s="10">
        <v>1.9519999999999899E-2</v>
      </c>
      <c r="U137" s="10">
        <v>2.2190000000000001E-2</v>
      </c>
      <c r="V137" s="10">
        <v>9.2309999999999892E-3</v>
      </c>
      <c r="W137" s="10">
        <v>1.5350000000000001E-2</v>
      </c>
      <c r="X137" s="10">
        <v>2.3730000000000001E-3</v>
      </c>
      <c r="Y137" s="10">
        <v>19.469999999999899</v>
      </c>
      <c r="Z137" s="10">
        <v>31.68</v>
      </c>
      <c r="AA137" s="10">
        <v>129.69999999999899</v>
      </c>
      <c r="AB137" s="10">
        <v>1175</v>
      </c>
      <c r="AC137" s="10">
        <v>0.13950000000000001</v>
      </c>
      <c r="AD137" s="10">
        <v>0.30549999999999899</v>
      </c>
      <c r="AE137" s="10">
        <v>0.29920000000000002</v>
      </c>
      <c r="AF137" s="10">
        <v>0.13120000000000001</v>
      </c>
      <c r="AG137" s="10">
        <v>0.34799999999999898</v>
      </c>
      <c r="AH137">
        <v>7.6189999999999897E-2</v>
      </c>
    </row>
    <row r="138" spans="3:34">
      <c r="C138" s="11" t="s">
        <v>273</v>
      </c>
      <c r="D138" s="10" t="s">
        <v>1</v>
      </c>
      <c r="E138" s="10">
        <v>13.71</v>
      </c>
      <c r="F138" s="10">
        <v>13.93</v>
      </c>
      <c r="G138" s="10">
        <v>102</v>
      </c>
      <c r="H138" s="10">
        <v>761.7</v>
      </c>
      <c r="I138" s="10">
        <v>9.4619999999999899E-2</v>
      </c>
      <c r="J138" s="10">
        <v>9.4619999999999899E-2</v>
      </c>
      <c r="K138" s="10">
        <v>7.13499999999999E-2</v>
      </c>
      <c r="L138" s="10">
        <v>5.9330000000000001E-2</v>
      </c>
      <c r="M138" s="10">
        <v>0.18160000000000001</v>
      </c>
      <c r="N138" s="10">
        <v>5.7230000000000003E-2</v>
      </c>
      <c r="O138" s="10">
        <v>0.31169999999999898</v>
      </c>
      <c r="P138" s="10">
        <v>0.8155</v>
      </c>
      <c r="Q138" s="10">
        <v>1.972</v>
      </c>
      <c r="R138" s="10">
        <v>27.94</v>
      </c>
      <c r="S138" s="10">
        <v>5.2170000000000003E-3</v>
      </c>
      <c r="T138" s="10">
        <v>1.515E-2</v>
      </c>
      <c r="U138" s="10">
        <v>1.678E-2</v>
      </c>
      <c r="V138" s="10">
        <v>1.268E-2</v>
      </c>
      <c r="W138" s="10">
        <v>1.669E-2</v>
      </c>
      <c r="X138" s="10">
        <v>2.33E-3</v>
      </c>
      <c r="Y138" s="10">
        <v>17.5</v>
      </c>
      <c r="Z138" s="10">
        <v>19.25</v>
      </c>
      <c r="AA138" s="10">
        <v>114.3</v>
      </c>
      <c r="AB138" s="10">
        <v>922.79999999999905</v>
      </c>
      <c r="AC138" s="10">
        <v>0.12230000000000001</v>
      </c>
      <c r="AD138" s="10">
        <v>0.19489999999999899</v>
      </c>
      <c r="AE138" s="10">
        <v>0.1709</v>
      </c>
      <c r="AF138" s="10">
        <v>0.137399999999999</v>
      </c>
      <c r="AG138" s="10">
        <v>0.27229999999999899</v>
      </c>
      <c r="AH138">
        <v>7.0709999999999898E-2</v>
      </c>
    </row>
    <row r="139" spans="3:34">
      <c r="C139" s="11" t="s">
        <v>275</v>
      </c>
      <c r="D139" s="10" t="s">
        <v>0</v>
      </c>
      <c r="E139" s="10">
        <v>13.71</v>
      </c>
      <c r="F139" s="10">
        <v>22.469999999999899</v>
      </c>
      <c r="G139" s="10">
        <v>81.719999999999899</v>
      </c>
      <c r="H139" s="10">
        <v>506.3</v>
      </c>
      <c r="I139" s="10">
        <v>9.0550000000000005E-2</v>
      </c>
      <c r="J139" s="10">
        <v>5.7610000000000001E-2</v>
      </c>
      <c r="K139" s="10">
        <v>4.7109999999999902E-2</v>
      </c>
      <c r="L139" s="10">
        <v>2.7040000000000002E-2</v>
      </c>
      <c r="M139" s="10">
        <v>0.1585</v>
      </c>
      <c r="N139" s="10">
        <v>6.0650000000000003E-2</v>
      </c>
      <c r="O139" s="10">
        <v>0.23669999999999899</v>
      </c>
      <c r="P139" s="10">
        <v>1.3799999999999899</v>
      </c>
      <c r="Q139" s="10">
        <v>1.4570000000000001</v>
      </c>
      <c r="R139" s="10">
        <v>19.87</v>
      </c>
      <c r="S139" s="10">
        <v>7.49899999999999E-3</v>
      </c>
      <c r="T139" s="10">
        <v>1.2019999999999901E-2</v>
      </c>
      <c r="U139" s="10">
        <v>2.332E-2</v>
      </c>
      <c r="V139" s="10">
        <v>8.9200000000000008E-3</v>
      </c>
      <c r="W139" s="10">
        <v>1.6469999999999901E-2</v>
      </c>
      <c r="X139" s="10">
        <v>2.6289999999999899E-3</v>
      </c>
      <c r="Y139" s="10">
        <v>14.49</v>
      </c>
      <c r="Z139" s="10">
        <v>33.369999999999898</v>
      </c>
      <c r="AA139" s="10">
        <v>92.04</v>
      </c>
      <c r="AB139" s="10">
        <v>653.6</v>
      </c>
      <c r="AC139" s="10">
        <v>0.1419</v>
      </c>
      <c r="AD139" s="10">
        <v>0.15229999999999899</v>
      </c>
      <c r="AE139" s="10">
        <v>0.2177</v>
      </c>
      <c r="AF139" s="10">
        <v>9.3310000000000004E-2</v>
      </c>
      <c r="AG139" s="10">
        <v>0.28289999999999899</v>
      </c>
      <c r="AH139">
        <v>8.0670000000000006E-2</v>
      </c>
    </row>
    <row r="140" spans="3:34">
      <c r="C140" s="11" t="s">
        <v>277</v>
      </c>
      <c r="D140" s="10" t="s">
        <v>1</v>
      </c>
      <c r="E140" s="10">
        <v>13.71</v>
      </c>
      <c r="F140" s="10">
        <v>15.39</v>
      </c>
      <c r="G140" s="10">
        <v>73.06</v>
      </c>
      <c r="H140" s="10">
        <v>399.8</v>
      </c>
      <c r="I140" s="10">
        <v>9.6390000000000003E-2</v>
      </c>
      <c r="J140" s="10">
        <v>6.8890000000000007E-2</v>
      </c>
      <c r="K140" s="10">
        <v>3.5029999999999901E-2</v>
      </c>
      <c r="L140" s="10">
        <v>2.8750000000000001E-2</v>
      </c>
      <c r="M140" s="10">
        <v>0.1734</v>
      </c>
      <c r="N140" s="10">
        <v>5.8650000000000001E-2</v>
      </c>
      <c r="O140" s="10">
        <v>0.1759</v>
      </c>
      <c r="P140" s="10">
        <v>0.99380000000000002</v>
      </c>
      <c r="Q140" s="10">
        <v>1.143</v>
      </c>
      <c r="R140" s="10">
        <v>12.67</v>
      </c>
      <c r="S140" s="10">
        <v>5.1330000000000004E-3</v>
      </c>
      <c r="T140" s="10">
        <v>1.521E-2</v>
      </c>
      <c r="U140" s="10">
        <v>1.434E-2</v>
      </c>
      <c r="V140" s="10">
        <v>8.6020000000000003E-3</v>
      </c>
      <c r="W140" s="10">
        <v>1.5010000000000001E-2</v>
      </c>
      <c r="X140" s="10">
        <v>1.588E-3</v>
      </c>
      <c r="Y140" s="10">
        <v>12.32</v>
      </c>
      <c r="Z140" s="10">
        <v>22.02</v>
      </c>
      <c r="AA140" s="10">
        <v>79.930000000000007</v>
      </c>
      <c r="AB140" s="10">
        <v>462</v>
      </c>
      <c r="AC140" s="10">
        <v>0.118999999999999</v>
      </c>
      <c r="AD140" s="10">
        <v>0.1648</v>
      </c>
      <c r="AE140" s="10">
        <v>0.1399</v>
      </c>
      <c r="AF140" s="10">
        <v>8.4760000000000002E-2</v>
      </c>
      <c r="AG140" s="10">
        <v>0.2676</v>
      </c>
      <c r="AH140">
        <v>6.7650000000000002E-2</v>
      </c>
    </row>
    <row r="141" spans="3:34">
      <c r="C141" s="11" t="s">
        <v>278</v>
      </c>
      <c r="D141" s="10" t="s">
        <v>0</v>
      </c>
      <c r="E141" s="10">
        <v>13.71</v>
      </c>
      <c r="F141" s="10">
        <v>17.57</v>
      </c>
      <c r="G141" s="10">
        <v>96.849999999999895</v>
      </c>
      <c r="H141" s="10">
        <v>678.1</v>
      </c>
      <c r="I141" s="10">
        <v>0.1167</v>
      </c>
      <c r="J141" s="10">
        <v>0.1305</v>
      </c>
      <c r="K141" s="10">
        <v>0.15390000000000001</v>
      </c>
      <c r="L141" s="10">
        <v>8.62399999999999E-2</v>
      </c>
      <c r="M141" s="10">
        <v>0.19570000000000001</v>
      </c>
      <c r="N141" s="10">
        <v>6.216E-2</v>
      </c>
      <c r="O141" s="10">
        <v>1.296</v>
      </c>
      <c r="P141" s="10">
        <v>1.452</v>
      </c>
      <c r="Q141" s="10">
        <v>8.4190000000000005</v>
      </c>
      <c r="R141" s="10">
        <v>101.9</v>
      </c>
      <c r="S141" s="10">
        <v>0.01</v>
      </c>
      <c r="T141" s="10">
        <v>3.47999999999999E-2</v>
      </c>
      <c r="U141" s="10">
        <v>6.5769999999999898E-2</v>
      </c>
      <c r="V141" s="10">
        <v>2.801E-2</v>
      </c>
      <c r="W141" s="10">
        <v>5.16799999999999E-2</v>
      </c>
      <c r="X141" s="10">
        <v>2.8869999999999898E-3</v>
      </c>
      <c r="Y141" s="10">
        <v>18.55</v>
      </c>
      <c r="Z141" s="10">
        <v>21.43</v>
      </c>
      <c r="AA141" s="10">
        <v>121.4</v>
      </c>
      <c r="AB141" s="10">
        <v>971.39999999999895</v>
      </c>
      <c r="AC141" s="10">
        <v>0.1411</v>
      </c>
      <c r="AD141" s="10">
        <v>0.21640000000000001</v>
      </c>
      <c r="AE141" s="10">
        <v>0.33550000000000002</v>
      </c>
      <c r="AF141" s="10">
        <v>0.16669999999999899</v>
      </c>
      <c r="AG141" s="10">
        <v>0.34139999999999898</v>
      </c>
      <c r="AH141">
        <v>7.1470000000000006E-2</v>
      </c>
    </row>
    <row r="142" spans="3:34">
      <c r="C142" s="11" t="s">
        <v>280</v>
      </c>
      <c r="D142" s="10" t="s">
        <v>1</v>
      </c>
      <c r="E142" s="10">
        <v>13.71</v>
      </c>
      <c r="F142" s="10">
        <v>11.97</v>
      </c>
      <c r="G142" s="10">
        <v>61.24</v>
      </c>
      <c r="H142" s="10">
        <v>288.5</v>
      </c>
      <c r="I142" s="10">
        <v>9.2499999999999902E-2</v>
      </c>
      <c r="J142" s="10">
        <v>4.1020000000000001E-2</v>
      </c>
      <c r="K142" s="10">
        <v>0</v>
      </c>
      <c r="L142" s="10">
        <v>0</v>
      </c>
      <c r="M142" s="10">
        <v>0.1903</v>
      </c>
      <c r="N142" s="10">
        <v>6.4219999999999902E-2</v>
      </c>
      <c r="O142" s="10">
        <v>0.1988</v>
      </c>
      <c r="P142" s="10">
        <v>0.496</v>
      </c>
      <c r="Q142" s="10">
        <v>1.218</v>
      </c>
      <c r="R142" s="10">
        <v>12.26</v>
      </c>
      <c r="S142" s="10">
        <v>6.0400000000000002E-3</v>
      </c>
      <c r="T142" s="10">
        <v>5.65599999999999E-3</v>
      </c>
      <c r="U142" s="10">
        <v>0</v>
      </c>
      <c r="V142" s="10">
        <v>0</v>
      </c>
      <c r="W142" s="10">
        <v>2.2769999999999901E-2</v>
      </c>
      <c r="X142" s="10">
        <v>3.2200000000000002E-3</v>
      </c>
      <c r="Y142" s="10">
        <v>10.6199999999999</v>
      </c>
      <c r="Z142" s="10">
        <v>14.1</v>
      </c>
      <c r="AA142" s="10">
        <v>66.53</v>
      </c>
      <c r="AB142" s="10">
        <v>342.89999999999901</v>
      </c>
      <c r="AC142" s="10">
        <v>0.1234</v>
      </c>
      <c r="AD142" s="10">
        <v>7.2040000000000007E-2</v>
      </c>
      <c r="AE142" s="10">
        <v>0</v>
      </c>
      <c r="AF142" s="10">
        <v>0</v>
      </c>
      <c r="AG142" s="10">
        <v>0.3105</v>
      </c>
      <c r="AH142">
        <v>8.1509999999999902E-2</v>
      </c>
    </row>
    <row r="143" spans="3:34">
      <c r="C143" s="11" t="s">
        <v>281</v>
      </c>
      <c r="D143" s="10" t="s">
        <v>0</v>
      </c>
      <c r="E143" s="10">
        <v>13.71</v>
      </c>
      <c r="F143" s="10">
        <v>18.05</v>
      </c>
      <c r="G143" s="10">
        <v>105.099999999999</v>
      </c>
      <c r="H143" s="10">
        <v>813</v>
      </c>
      <c r="I143" s="10">
        <v>9.7210000000000005E-2</v>
      </c>
      <c r="J143" s="10">
        <v>0.1137</v>
      </c>
      <c r="K143" s="10">
        <v>9.4469999999999901E-2</v>
      </c>
      <c r="L143" s="10">
        <v>5.94299999999999E-2</v>
      </c>
      <c r="M143" s="10">
        <v>0.18609999999999899</v>
      </c>
      <c r="N143" s="10">
        <v>6.2480000000000001E-2</v>
      </c>
      <c r="O143" s="10">
        <v>0.70489999999999897</v>
      </c>
      <c r="P143" s="10">
        <v>1.3320000000000001</v>
      </c>
      <c r="Q143" s="10">
        <v>4.5330000000000004</v>
      </c>
      <c r="R143" s="10">
        <v>74.079999999999899</v>
      </c>
      <c r="S143" s="10">
        <v>6.77E-3</v>
      </c>
      <c r="T143" s="10">
        <v>1.9380000000000001E-2</v>
      </c>
      <c r="U143" s="10">
        <v>3.0669999999999899E-2</v>
      </c>
      <c r="V143" s="10">
        <v>1.167E-2</v>
      </c>
      <c r="W143" s="10">
        <v>1.8749999999999899E-2</v>
      </c>
      <c r="X143" s="10">
        <v>3.434E-3</v>
      </c>
      <c r="Y143" s="10">
        <v>19.920000000000002</v>
      </c>
      <c r="Z143" s="10">
        <v>25.27</v>
      </c>
      <c r="AA143" s="10">
        <v>129</v>
      </c>
      <c r="AB143" s="10">
        <v>1233</v>
      </c>
      <c r="AC143" s="10">
        <v>0.13139999999999899</v>
      </c>
      <c r="AD143" s="10">
        <v>0.22359999999999899</v>
      </c>
      <c r="AE143" s="10">
        <v>0.2802</v>
      </c>
      <c r="AF143" s="10">
        <v>0.1216</v>
      </c>
      <c r="AG143" s="10">
        <v>0.2792</v>
      </c>
      <c r="AH143">
        <v>8.158E-2</v>
      </c>
    </row>
    <row r="144" spans="3:34">
      <c r="C144" s="11" t="s">
        <v>282</v>
      </c>
      <c r="D144" s="10" t="s">
        <v>1</v>
      </c>
      <c r="E144" s="10">
        <v>13.71</v>
      </c>
      <c r="F144" s="10">
        <v>17.309999999999899</v>
      </c>
      <c r="G144" s="10">
        <v>73.659999999999897</v>
      </c>
      <c r="H144" s="10">
        <v>398</v>
      </c>
      <c r="I144" s="10">
        <v>0.10920000000000001</v>
      </c>
      <c r="J144" s="10">
        <v>9.486E-2</v>
      </c>
      <c r="K144" s="10">
        <v>2.0310000000000002E-2</v>
      </c>
      <c r="L144" s="10">
        <v>1.8610000000000002E-2</v>
      </c>
      <c r="M144" s="10">
        <v>0.16450000000000001</v>
      </c>
      <c r="N144" s="10">
        <v>6.5619999999999901E-2</v>
      </c>
      <c r="O144" s="10">
        <v>0.2843</v>
      </c>
      <c r="P144" s="10">
        <v>1.9079999999999899</v>
      </c>
      <c r="Q144" s="10">
        <v>1.9370000000000001</v>
      </c>
      <c r="R144" s="10">
        <v>21.3799999999999</v>
      </c>
      <c r="S144" s="10">
        <v>6.6639999999999902E-3</v>
      </c>
      <c r="T144" s="10">
        <v>1.7350000000000001E-2</v>
      </c>
      <c r="U144" s="10">
        <v>1.158E-2</v>
      </c>
      <c r="V144" s="10">
        <v>9.5200000000000007E-3</v>
      </c>
      <c r="W144" s="10">
        <v>2.282E-2</v>
      </c>
      <c r="X144" s="10">
        <v>3.5260000000000001E-3</v>
      </c>
      <c r="Y144" s="10">
        <v>12.7799999999999</v>
      </c>
      <c r="Z144" s="10">
        <v>26.76</v>
      </c>
      <c r="AA144" s="10">
        <v>82.659999999999897</v>
      </c>
      <c r="AB144" s="10">
        <v>503</v>
      </c>
      <c r="AC144" s="10">
        <v>0.14130000000000001</v>
      </c>
      <c r="AD144" s="10">
        <v>0.1792</v>
      </c>
      <c r="AE144" s="10">
        <v>7.7079999999999899E-2</v>
      </c>
      <c r="AF144" s="10">
        <v>6.4019999999999896E-2</v>
      </c>
      <c r="AG144" s="10">
        <v>0.25840000000000002</v>
      </c>
      <c r="AH144">
        <v>8.0960000000000004E-2</v>
      </c>
    </row>
    <row r="145" spans="3:34">
      <c r="C145" s="11" t="s">
        <v>283</v>
      </c>
      <c r="D145" s="10" t="s">
        <v>1</v>
      </c>
      <c r="E145" s="10">
        <v>13.71</v>
      </c>
      <c r="F145" s="10">
        <v>15.92</v>
      </c>
      <c r="G145" s="10">
        <v>83.739999999999895</v>
      </c>
      <c r="H145" s="10">
        <v>512.20000000000005</v>
      </c>
      <c r="I145" s="10">
        <v>8.677E-2</v>
      </c>
      <c r="J145" s="10">
        <v>9.5089999999999897E-2</v>
      </c>
      <c r="K145" s="10">
        <v>4.89399999999999E-2</v>
      </c>
      <c r="L145" s="10">
        <v>3.0880000000000001E-2</v>
      </c>
      <c r="M145" s="10">
        <v>0.17780000000000001</v>
      </c>
      <c r="N145" s="10">
        <v>6.2350000000000003E-2</v>
      </c>
      <c r="O145" s="10">
        <v>0.21429999999999899</v>
      </c>
      <c r="P145" s="10">
        <v>0.7712</v>
      </c>
      <c r="Q145" s="10">
        <v>1.6890000000000001</v>
      </c>
      <c r="R145" s="10">
        <v>16.64</v>
      </c>
      <c r="S145" s="10">
        <v>5.3239999999999902E-3</v>
      </c>
      <c r="T145" s="10">
        <v>1.5630000000000002E-2</v>
      </c>
      <c r="U145" s="10">
        <v>1.5100000000000001E-2</v>
      </c>
      <c r="V145" s="10">
        <v>7.5839999999999901E-3</v>
      </c>
      <c r="W145" s="10">
        <v>2.104E-2</v>
      </c>
      <c r="X145" s="10">
        <v>1.887E-3</v>
      </c>
      <c r="Y145" s="10">
        <v>14.48</v>
      </c>
      <c r="Z145" s="10">
        <v>21.82</v>
      </c>
      <c r="AA145" s="10">
        <v>97.17</v>
      </c>
      <c r="AB145" s="10">
        <v>643.79999999999905</v>
      </c>
      <c r="AC145" s="10">
        <v>0.13120000000000001</v>
      </c>
      <c r="AD145" s="10">
        <v>0.25480000000000003</v>
      </c>
      <c r="AE145" s="10">
        <v>0.20899999999999899</v>
      </c>
      <c r="AF145" s="10">
        <v>0.1012</v>
      </c>
      <c r="AG145" s="10">
        <v>0.35489999999999899</v>
      </c>
      <c r="AH145">
        <v>8.1180000000000002E-2</v>
      </c>
    </row>
    <row r="146" spans="3:34">
      <c r="C146" s="11" t="s">
        <v>284</v>
      </c>
      <c r="D146" s="10" t="s">
        <v>1</v>
      </c>
      <c r="E146" s="10">
        <v>13.71</v>
      </c>
      <c r="F146" s="10">
        <v>14.97</v>
      </c>
      <c r="G146" s="10">
        <v>68.260000000000005</v>
      </c>
      <c r="H146" s="10">
        <v>355.3</v>
      </c>
      <c r="I146" s="10">
        <v>7.7929999999999902E-2</v>
      </c>
      <c r="J146" s="10">
        <v>5.1389999999999901E-2</v>
      </c>
      <c r="K146" s="10">
        <v>2.2509999999999902E-2</v>
      </c>
      <c r="L146" s="10">
        <v>7.8750000000000001E-3</v>
      </c>
      <c r="M146" s="10">
        <v>0.1399</v>
      </c>
      <c r="N146" s="10">
        <v>5.688E-2</v>
      </c>
      <c r="O146" s="10">
        <v>0.2525</v>
      </c>
      <c r="P146" s="10">
        <v>1.2390000000000001</v>
      </c>
      <c r="Q146" s="10">
        <v>1.806</v>
      </c>
      <c r="R146" s="10">
        <v>17.739999999999899</v>
      </c>
      <c r="S146" s="10">
        <v>6.5469999999999903E-3</v>
      </c>
      <c r="T146" s="10">
        <v>1.7809999999999899E-2</v>
      </c>
      <c r="U146" s="10">
        <v>2.018E-2</v>
      </c>
      <c r="V146" s="10">
        <v>5.6119999999999903E-3</v>
      </c>
      <c r="W146" s="10">
        <v>1.6709999999999899E-2</v>
      </c>
      <c r="X146" s="10">
        <v>2.3600000000000001E-3</v>
      </c>
      <c r="Y146" s="10">
        <v>11.9499999999999</v>
      </c>
      <c r="Z146" s="10">
        <v>20.719999999999899</v>
      </c>
      <c r="AA146" s="10">
        <v>77.790000000000006</v>
      </c>
      <c r="AB146" s="10">
        <v>441.19999999999902</v>
      </c>
      <c r="AC146" s="10">
        <v>0.1076</v>
      </c>
      <c r="AD146" s="10">
        <v>0.12230000000000001</v>
      </c>
      <c r="AE146" s="10">
        <v>9.7549999999999901E-2</v>
      </c>
      <c r="AF146" s="10">
        <v>3.4130000000000001E-2</v>
      </c>
      <c r="AG146" s="10">
        <v>0.23</v>
      </c>
      <c r="AH146">
        <v>6.769E-2</v>
      </c>
    </row>
    <row r="147" spans="3:34">
      <c r="C147" s="11" t="s">
        <v>285</v>
      </c>
      <c r="D147" s="10" t="s">
        <v>1</v>
      </c>
      <c r="E147" s="10">
        <v>13.71</v>
      </c>
      <c r="F147" s="10">
        <v>14.65</v>
      </c>
      <c r="G147" s="10">
        <v>78.1099999999999</v>
      </c>
      <c r="H147" s="10">
        <v>432.8</v>
      </c>
      <c r="I147" s="10">
        <v>0.1152</v>
      </c>
      <c r="J147" s="10">
        <v>0.12959999999999899</v>
      </c>
      <c r="K147" s="10">
        <v>3.7100000000000001E-2</v>
      </c>
      <c r="L147" s="10">
        <v>3.0030000000000001E-2</v>
      </c>
      <c r="M147" s="10">
        <v>0.19950000000000001</v>
      </c>
      <c r="N147" s="10">
        <v>7.8390000000000001E-2</v>
      </c>
      <c r="O147" s="10">
        <v>0.3962</v>
      </c>
      <c r="P147" s="10">
        <v>0.65380000000000005</v>
      </c>
      <c r="Q147" s="10">
        <v>3.0209999999999901</v>
      </c>
      <c r="R147" s="10">
        <v>25.03</v>
      </c>
      <c r="S147" s="10">
        <v>1.017E-2</v>
      </c>
      <c r="T147" s="10">
        <v>4.7410000000000001E-2</v>
      </c>
      <c r="U147" s="10">
        <v>2.7890000000000002E-2</v>
      </c>
      <c r="V147" s="10">
        <v>1.11E-2</v>
      </c>
      <c r="W147" s="10">
        <v>3.1269999999999902E-2</v>
      </c>
      <c r="X147" s="10">
        <v>9.4230000000000008E-3</v>
      </c>
      <c r="Y147" s="10">
        <v>13.15</v>
      </c>
      <c r="Z147" s="10">
        <v>16.510000000000002</v>
      </c>
      <c r="AA147" s="10">
        <v>86.26</v>
      </c>
      <c r="AB147" s="10">
        <v>509.6</v>
      </c>
      <c r="AC147" s="10">
        <v>0.1424</v>
      </c>
      <c r="AD147" s="10">
        <v>0.25169999999999898</v>
      </c>
      <c r="AE147" s="10">
        <v>9.4200000000000006E-2</v>
      </c>
      <c r="AF147" s="10">
        <v>6.0420000000000001E-2</v>
      </c>
      <c r="AG147" s="10">
        <v>0.2727</v>
      </c>
      <c r="AH147">
        <v>0.1036</v>
      </c>
    </row>
    <row r="148" spans="3:34">
      <c r="C148" s="11" t="s">
        <v>287</v>
      </c>
      <c r="D148" s="10" t="s">
        <v>1</v>
      </c>
      <c r="E148" s="10">
        <v>13.71</v>
      </c>
      <c r="F148" s="10">
        <v>18.77</v>
      </c>
      <c r="G148" s="10">
        <v>97.84</v>
      </c>
      <c r="H148" s="10">
        <v>689.5</v>
      </c>
      <c r="I148" s="10">
        <v>8.1379999999999897E-2</v>
      </c>
      <c r="J148" s="10">
        <v>0.1167</v>
      </c>
      <c r="K148" s="10">
        <v>9.04999999999999E-2</v>
      </c>
      <c r="L148" s="10">
        <v>3.5619999999999902E-2</v>
      </c>
      <c r="M148" s="10">
        <v>0.1744</v>
      </c>
      <c r="N148" s="10">
        <v>6.4930000000000002E-2</v>
      </c>
      <c r="O148" s="10">
        <v>0.42199999999999899</v>
      </c>
      <c r="P148" s="10">
        <v>1.909</v>
      </c>
      <c r="Q148" s="10">
        <v>3.2709999999999901</v>
      </c>
      <c r="R148" s="10">
        <v>39.43</v>
      </c>
      <c r="S148" s="10">
        <v>5.79E-3</v>
      </c>
      <c r="T148" s="10">
        <v>4.8770000000000001E-2</v>
      </c>
      <c r="U148" s="10">
        <v>5.3030000000000001E-2</v>
      </c>
      <c r="V148" s="10">
        <v>1.5270000000000001E-2</v>
      </c>
      <c r="W148" s="10">
        <v>3.356E-2</v>
      </c>
      <c r="X148" s="10">
        <v>9.3679999999999892E-3</v>
      </c>
      <c r="Y148" s="10">
        <v>16.25</v>
      </c>
      <c r="Z148" s="10">
        <v>25.469999999999899</v>
      </c>
      <c r="AA148" s="10">
        <v>107.099999999999</v>
      </c>
      <c r="AB148" s="10">
        <v>809.7</v>
      </c>
      <c r="AC148" s="10">
        <v>9.96999999999999E-2</v>
      </c>
      <c r="AD148" s="10">
        <v>0.25209999999999899</v>
      </c>
      <c r="AE148" s="10">
        <v>0.25</v>
      </c>
      <c r="AF148" s="10">
        <v>8.405E-2</v>
      </c>
      <c r="AG148" s="10">
        <v>0.28520000000000001</v>
      </c>
      <c r="AH148">
        <v>9.2179999999999901E-2</v>
      </c>
    </row>
    <row r="149" spans="3:34">
      <c r="C149" s="11" t="s">
        <v>289</v>
      </c>
      <c r="D149" s="10" t="s">
        <v>1</v>
      </c>
      <c r="E149" s="10">
        <v>13.71</v>
      </c>
      <c r="F149" s="10">
        <v>17.91</v>
      </c>
      <c r="G149" s="10">
        <v>88.12</v>
      </c>
      <c r="H149" s="10">
        <v>585</v>
      </c>
      <c r="I149" s="10">
        <v>7.94399999999999E-2</v>
      </c>
      <c r="J149" s="10">
        <v>6.37599999999999E-2</v>
      </c>
      <c r="K149" s="10">
        <v>2.8809999999999902E-2</v>
      </c>
      <c r="L149" s="10">
        <v>1.329E-2</v>
      </c>
      <c r="M149" s="10">
        <v>0.14729999999999899</v>
      </c>
      <c r="N149" s="10">
        <v>5.5800000000000002E-2</v>
      </c>
      <c r="O149" s="10">
        <v>0.25</v>
      </c>
      <c r="P149" s="10">
        <v>0.75739999999999896</v>
      </c>
      <c r="Q149" s="10">
        <v>1.573</v>
      </c>
      <c r="R149" s="10">
        <v>21.469999999999899</v>
      </c>
      <c r="S149" s="10">
        <v>2.8379999999999898E-3</v>
      </c>
      <c r="T149" s="10">
        <v>1.592E-2</v>
      </c>
      <c r="U149" s="10">
        <v>1.78E-2</v>
      </c>
      <c r="V149" s="10">
        <v>5.8279999999999903E-3</v>
      </c>
      <c r="W149" s="10">
        <v>1.329E-2</v>
      </c>
      <c r="X149" s="10">
        <v>1.9759999999999899E-3</v>
      </c>
      <c r="Y149" s="10">
        <v>15.34</v>
      </c>
      <c r="Z149" s="10">
        <v>22.46</v>
      </c>
      <c r="AA149" s="10">
        <v>97.189999999999898</v>
      </c>
      <c r="AB149" s="10">
        <v>725.89999999999895</v>
      </c>
      <c r="AC149" s="10">
        <v>9.7110000000000002E-2</v>
      </c>
      <c r="AD149" s="10">
        <v>0.18240000000000001</v>
      </c>
      <c r="AE149" s="10">
        <v>0.15640000000000001</v>
      </c>
      <c r="AF149" s="10">
        <v>6.019E-2</v>
      </c>
      <c r="AG149" s="10">
        <v>0.23499999999999899</v>
      </c>
      <c r="AH149">
        <v>7.0139999999999897E-2</v>
      </c>
    </row>
    <row r="150" spans="3:34">
      <c r="C150" s="11" t="s">
        <v>292</v>
      </c>
      <c r="D150" s="10" t="s">
        <v>1</v>
      </c>
      <c r="E150" s="10">
        <v>13.71</v>
      </c>
      <c r="F150" s="10">
        <v>15.34</v>
      </c>
      <c r="G150" s="10">
        <v>63.78</v>
      </c>
      <c r="H150" s="10">
        <v>300.19999999999902</v>
      </c>
      <c r="I150" s="10">
        <v>0.1072</v>
      </c>
      <c r="J150" s="10">
        <v>0.15989999999999899</v>
      </c>
      <c r="K150" s="10">
        <v>0.4108</v>
      </c>
      <c r="L150" s="10">
        <v>7.8570000000000001E-2</v>
      </c>
      <c r="M150" s="10">
        <v>0.25480000000000003</v>
      </c>
      <c r="N150" s="10">
        <v>9.2960000000000001E-2</v>
      </c>
      <c r="O150" s="10">
        <v>0.82450000000000001</v>
      </c>
      <c r="P150" s="10">
        <v>2.6640000000000001</v>
      </c>
      <c r="Q150" s="10">
        <v>4.0730000000000004</v>
      </c>
      <c r="R150" s="10">
        <v>49.85</v>
      </c>
      <c r="S150" s="10">
        <v>1.0970000000000001E-2</v>
      </c>
      <c r="T150" s="10">
        <v>9.5860000000000001E-2</v>
      </c>
      <c r="U150" s="10">
        <v>0.39600000000000002</v>
      </c>
      <c r="V150" s="10">
        <v>5.27899999999999E-2</v>
      </c>
      <c r="W150" s="10">
        <v>3.5459999999999901E-2</v>
      </c>
      <c r="X150" s="10">
        <v>2.9839999999999901E-2</v>
      </c>
      <c r="Y150" s="10">
        <v>11.02</v>
      </c>
      <c r="Z150" s="10">
        <v>19.489999999999899</v>
      </c>
      <c r="AA150" s="10">
        <v>71.040000000000006</v>
      </c>
      <c r="AB150" s="10">
        <v>380.5</v>
      </c>
      <c r="AC150" s="10">
        <v>0.12920000000000001</v>
      </c>
      <c r="AD150" s="10">
        <v>0.2772</v>
      </c>
      <c r="AE150" s="10">
        <v>0.8216</v>
      </c>
      <c r="AF150" s="10">
        <v>0.15709999999999899</v>
      </c>
      <c r="AG150" s="10">
        <v>0.31080000000000002</v>
      </c>
      <c r="AH150">
        <v>0.12590000000000001</v>
      </c>
    </row>
    <row r="151" spans="3:34">
      <c r="C151" s="11" t="s">
        <v>293</v>
      </c>
      <c r="D151" s="10" t="s">
        <v>1</v>
      </c>
      <c r="E151" s="10">
        <v>13.71</v>
      </c>
      <c r="F151" s="10">
        <v>13.08</v>
      </c>
      <c r="G151" s="10">
        <v>70.87</v>
      </c>
      <c r="H151" s="10">
        <v>381.89999999999901</v>
      </c>
      <c r="I151" s="10">
        <v>9.7540000000000002E-2</v>
      </c>
      <c r="J151" s="10">
        <v>5.1130000000000002E-2</v>
      </c>
      <c r="K151" s="10">
        <v>1.9820000000000001E-2</v>
      </c>
      <c r="L151" s="10">
        <v>1.7860000000000001E-2</v>
      </c>
      <c r="M151" s="10">
        <v>0.183</v>
      </c>
      <c r="N151" s="10">
        <v>6.105E-2</v>
      </c>
      <c r="O151" s="10">
        <v>0.225099999999999</v>
      </c>
      <c r="P151" s="10">
        <v>0.78149999999999897</v>
      </c>
      <c r="Q151" s="10">
        <v>1.429</v>
      </c>
      <c r="R151" s="10">
        <v>15.48</v>
      </c>
      <c r="S151" s="10">
        <v>9.0189999999999906E-3</v>
      </c>
      <c r="T151" s="10">
        <v>8.9849999999999895E-3</v>
      </c>
      <c r="U151" s="10">
        <v>1.196E-2</v>
      </c>
      <c r="V151" s="10">
        <v>8.2319999999999893E-3</v>
      </c>
      <c r="W151" s="10">
        <v>2.3879999999999901E-2</v>
      </c>
      <c r="X151" s="10">
        <v>1.619E-3</v>
      </c>
      <c r="Y151" s="10">
        <v>11.99</v>
      </c>
      <c r="Z151" s="10">
        <v>16.3</v>
      </c>
      <c r="AA151" s="10">
        <v>76.25</v>
      </c>
      <c r="AB151" s="10">
        <v>440.8</v>
      </c>
      <c r="AC151" s="10">
        <v>0.1341</v>
      </c>
      <c r="AD151" s="10">
        <v>8.9709999999999901E-2</v>
      </c>
      <c r="AE151" s="10">
        <v>7.1160000000000001E-2</v>
      </c>
      <c r="AF151" s="10">
        <v>5.5059999999999901E-2</v>
      </c>
      <c r="AG151" s="10">
        <v>0.28589999999999899</v>
      </c>
      <c r="AH151">
        <v>6.7720000000000002E-2</v>
      </c>
    </row>
    <row r="152" spans="3:34">
      <c r="C152" s="11" t="s">
        <v>295</v>
      </c>
      <c r="D152" s="10" t="s">
        <v>1</v>
      </c>
      <c r="E152" s="10">
        <v>13.71</v>
      </c>
      <c r="F152" s="10">
        <v>17.940000000000001</v>
      </c>
      <c r="G152" s="10">
        <v>78.269999999999897</v>
      </c>
      <c r="H152" s="10">
        <v>460.3</v>
      </c>
      <c r="I152" s="10">
        <v>8.6540000000000006E-2</v>
      </c>
      <c r="J152" s="10">
        <v>6.6790000000000002E-2</v>
      </c>
      <c r="K152" s="10">
        <v>3.8850000000000003E-2</v>
      </c>
      <c r="L152" s="10">
        <v>2.3310000000000001E-2</v>
      </c>
      <c r="M152" s="10">
        <v>0.19700000000000001</v>
      </c>
      <c r="N152" s="10">
        <v>6.2280000000000002E-2</v>
      </c>
      <c r="O152" s="10">
        <v>0.22</v>
      </c>
      <c r="P152" s="10">
        <v>0.98229999999999895</v>
      </c>
      <c r="Q152" s="10">
        <v>1.484</v>
      </c>
      <c r="R152" s="10">
        <v>16.510000000000002</v>
      </c>
      <c r="S152" s="10">
        <v>5.5180000000000003E-3</v>
      </c>
      <c r="T152" s="10">
        <v>1.562E-2</v>
      </c>
      <c r="U152" s="10">
        <v>1.9939999999999899E-2</v>
      </c>
      <c r="V152" s="10">
        <v>7.9240000000000005E-3</v>
      </c>
      <c r="W152" s="10">
        <v>1.7989999999999898E-2</v>
      </c>
      <c r="X152" s="10">
        <v>2.4840000000000001E-3</v>
      </c>
      <c r="Y152" s="10">
        <v>13.59</v>
      </c>
      <c r="Z152" s="10">
        <v>25.219999999999899</v>
      </c>
      <c r="AA152" s="10">
        <v>86.599999999999895</v>
      </c>
      <c r="AB152" s="10">
        <v>564.20000000000005</v>
      </c>
      <c r="AC152" s="10">
        <v>0.1217</v>
      </c>
      <c r="AD152" s="10">
        <v>0.17879999999999899</v>
      </c>
      <c r="AE152" s="10">
        <v>0.1943</v>
      </c>
      <c r="AF152" s="10">
        <v>8.2110000000000002E-2</v>
      </c>
      <c r="AG152" s="10">
        <v>0.31130000000000002</v>
      </c>
      <c r="AH152">
        <v>8.1320000000000003E-2</v>
      </c>
    </row>
    <row r="153" spans="3:34">
      <c r="C153" s="11" t="s">
        <v>296</v>
      </c>
      <c r="D153" s="10" t="s">
        <v>0</v>
      </c>
      <c r="E153" s="10">
        <v>13.71</v>
      </c>
      <c r="F153" s="10">
        <v>20.739999999999899</v>
      </c>
      <c r="G153" s="10">
        <v>117.4</v>
      </c>
      <c r="H153" s="10">
        <v>963.7</v>
      </c>
      <c r="I153" s="10">
        <v>0.1115</v>
      </c>
      <c r="J153" s="10">
        <v>0.16650000000000001</v>
      </c>
      <c r="K153" s="10">
        <v>0.1855</v>
      </c>
      <c r="L153" s="10">
        <v>0.10539999999999899</v>
      </c>
      <c r="M153" s="10">
        <v>0.1971</v>
      </c>
      <c r="N153" s="10">
        <v>6.166E-2</v>
      </c>
      <c r="O153" s="10">
        <v>0.81130000000000002</v>
      </c>
      <c r="P153" s="10">
        <v>1.3999999999999899</v>
      </c>
      <c r="Q153" s="10">
        <v>5.54</v>
      </c>
      <c r="R153" s="10">
        <v>93.909999999999897</v>
      </c>
      <c r="S153" s="10">
        <v>9.0369999999999895E-3</v>
      </c>
      <c r="T153" s="10">
        <v>4.9540000000000001E-2</v>
      </c>
      <c r="U153" s="10">
        <v>5.2060000000000002E-2</v>
      </c>
      <c r="V153" s="10">
        <v>1.8409999999999899E-2</v>
      </c>
      <c r="W153" s="10">
        <v>1.7780000000000001E-2</v>
      </c>
      <c r="X153" s="10">
        <v>4.9680000000000002E-3</v>
      </c>
      <c r="Y153" s="10">
        <v>20.469999999999899</v>
      </c>
      <c r="Z153" s="10">
        <v>25.1099999999999</v>
      </c>
      <c r="AA153" s="10">
        <v>132.9</v>
      </c>
      <c r="AB153" s="10">
        <v>1302</v>
      </c>
      <c r="AC153" s="10">
        <v>0.14180000000000001</v>
      </c>
      <c r="AD153" s="10">
        <v>0.3498</v>
      </c>
      <c r="AE153" s="10">
        <v>0.35830000000000001</v>
      </c>
      <c r="AF153" s="10">
        <v>0.1515</v>
      </c>
      <c r="AG153" s="10">
        <v>0.24629999999999899</v>
      </c>
      <c r="AH153">
        <v>7.7380000000000004E-2</v>
      </c>
    </row>
    <row r="154" spans="3:34">
      <c r="C154" s="11" t="s">
        <v>297</v>
      </c>
      <c r="D154" s="10" t="s">
        <v>1</v>
      </c>
      <c r="E154" s="10">
        <v>13.71</v>
      </c>
      <c r="F154" s="10">
        <v>19.46</v>
      </c>
      <c r="G154" s="10">
        <v>108.4</v>
      </c>
      <c r="H154" s="10">
        <v>880.2</v>
      </c>
      <c r="I154" s="10">
        <v>7.4450000000000002E-2</v>
      </c>
      <c r="J154" s="10">
        <v>7.2230000000000003E-2</v>
      </c>
      <c r="K154" s="10">
        <v>5.14999999999999E-2</v>
      </c>
      <c r="L154" s="10">
        <v>2.7709999999999901E-2</v>
      </c>
      <c r="M154" s="10">
        <v>0.18440000000000001</v>
      </c>
      <c r="N154" s="10">
        <v>5.2679999999999901E-2</v>
      </c>
      <c r="O154" s="10">
        <v>0.47889999999999899</v>
      </c>
      <c r="P154" s="10">
        <v>2.06</v>
      </c>
      <c r="Q154" s="10">
        <v>3.4790000000000001</v>
      </c>
      <c r="R154" s="10">
        <v>46.6099999999999</v>
      </c>
      <c r="S154" s="10">
        <v>3.4429999999999899E-3</v>
      </c>
      <c r="T154" s="10">
        <v>2.6610000000000002E-2</v>
      </c>
      <c r="U154" s="10">
        <v>3.056E-2</v>
      </c>
      <c r="V154" s="10">
        <v>1.11E-2</v>
      </c>
      <c r="W154" s="10">
        <v>1.52E-2</v>
      </c>
      <c r="X154" s="10">
        <v>1.519E-3</v>
      </c>
      <c r="Y154" s="10">
        <v>18.219999999999899</v>
      </c>
      <c r="Z154" s="10">
        <v>28.07</v>
      </c>
      <c r="AA154" s="10">
        <v>120.3</v>
      </c>
      <c r="AB154" s="10">
        <v>1032</v>
      </c>
      <c r="AC154" s="10">
        <v>8.7739999999999901E-2</v>
      </c>
      <c r="AD154" s="10">
        <v>0.17100000000000001</v>
      </c>
      <c r="AE154" s="10">
        <v>0.18820000000000001</v>
      </c>
      <c r="AF154" s="10">
        <v>8.4360000000000004E-2</v>
      </c>
      <c r="AG154" s="10">
        <v>0.25269999999999898</v>
      </c>
      <c r="AH154">
        <v>5.9720000000000002E-2</v>
      </c>
    </row>
    <row r="155" spans="3:34">
      <c r="C155" s="11" t="s">
        <v>298</v>
      </c>
      <c r="D155" s="10" t="s">
        <v>1</v>
      </c>
      <c r="E155" s="10">
        <v>13.71</v>
      </c>
      <c r="F155" s="10">
        <v>12.74</v>
      </c>
      <c r="G155" s="10">
        <v>76.84</v>
      </c>
      <c r="H155" s="10">
        <v>448.6</v>
      </c>
      <c r="I155" s="10">
        <v>9.3109999999999901E-2</v>
      </c>
      <c r="J155" s="10">
        <v>5.2409999999999901E-2</v>
      </c>
      <c r="K155" s="10">
        <v>1.9720000000000001E-2</v>
      </c>
      <c r="L155" s="10">
        <v>1.9630000000000002E-2</v>
      </c>
      <c r="M155" s="10">
        <v>0.159</v>
      </c>
      <c r="N155" s="10">
        <v>5.90699999999999E-2</v>
      </c>
      <c r="O155" s="10">
        <v>0.1822</v>
      </c>
      <c r="P155" s="10">
        <v>0.72850000000000004</v>
      </c>
      <c r="Q155" s="10">
        <v>1.171</v>
      </c>
      <c r="R155" s="10">
        <v>13.25</v>
      </c>
      <c r="S155" s="10">
        <v>5.5279999999999904E-3</v>
      </c>
      <c r="T155" s="10">
        <v>9.7890000000000008E-3</v>
      </c>
      <c r="U155" s="10">
        <v>8.3420000000000005E-3</v>
      </c>
      <c r="V155" s="10">
        <v>6.2729999999999904E-3</v>
      </c>
      <c r="W155" s="10">
        <v>1.465E-2</v>
      </c>
      <c r="X155" s="10">
        <v>2.5300000000000001E-3</v>
      </c>
      <c r="Y155" s="10">
        <v>13.14</v>
      </c>
      <c r="Z155" s="10">
        <v>18.41</v>
      </c>
      <c r="AA155" s="10">
        <v>84.079999999999899</v>
      </c>
      <c r="AB155" s="10">
        <v>532.79999999999905</v>
      </c>
      <c r="AC155" s="10">
        <v>0.1275</v>
      </c>
      <c r="AD155" s="10">
        <v>0.1232</v>
      </c>
      <c r="AE155" s="10">
        <v>8.6360000000000006E-2</v>
      </c>
      <c r="AF155" s="10">
        <v>7.0250000000000007E-2</v>
      </c>
      <c r="AG155" s="10">
        <v>0.25140000000000001</v>
      </c>
      <c r="AH155">
        <v>7.8979999999999898E-2</v>
      </c>
    </row>
    <row r="156" spans="3:34">
      <c r="C156" s="11" t="s">
        <v>300</v>
      </c>
      <c r="D156" s="10" t="s">
        <v>1</v>
      </c>
      <c r="E156" s="10">
        <v>13.71</v>
      </c>
      <c r="F156" s="10">
        <v>20.18</v>
      </c>
      <c r="G156" s="10">
        <v>76.099999999999895</v>
      </c>
      <c r="H156" s="10">
        <v>419.8</v>
      </c>
      <c r="I156" s="10">
        <v>0.1089</v>
      </c>
      <c r="J156" s="10">
        <v>0.11409999999999899</v>
      </c>
      <c r="K156" s="10">
        <v>6.8430000000000005E-2</v>
      </c>
      <c r="L156" s="10">
        <v>3.7379999999999899E-2</v>
      </c>
      <c r="M156" s="10">
        <v>0.1993</v>
      </c>
      <c r="N156" s="10">
        <v>6.4530000000000004E-2</v>
      </c>
      <c r="O156" s="10">
        <v>0.50180000000000002</v>
      </c>
      <c r="P156" s="10">
        <v>1.6930000000000001</v>
      </c>
      <c r="Q156" s="10">
        <v>3.9260000000000002</v>
      </c>
      <c r="R156" s="10">
        <v>38.340000000000003</v>
      </c>
      <c r="S156" s="10">
        <v>9.4330000000000004E-3</v>
      </c>
      <c r="T156" s="10">
        <v>2.4049999999999901E-2</v>
      </c>
      <c r="U156" s="10">
        <v>4.1669999999999902E-2</v>
      </c>
      <c r="V156" s="10">
        <v>1.1520000000000001E-2</v>
      </c>
      <c r="W156" s="10">
        <v>3.397E-2</v>
      </c>
      <c r="X156" s="10">
        <v>5.0610000000000004E-3</v>
      </c>
      <c r="Y156" s="10">
        <v>13.32</v>
      </c>
      <c r="Z156" s="10">
        <v>26.21</v>
      </c>
      <c r="AA156" s="10">
        <v>88.909999999999897</v>
      </c>
      <c r="AB156" s="10">
        <v>543.89999999999895</v>
      </c>
      <c r="AC156" s="10">
        <v>0.1358</v>
      </c>
      <c r="AD156" s="10">
        <v>0.18920000000000001</v>
      </c>
      <c r="AE156" s="10">
        <v>0.1956</v>
      </c>
      <c r="AF156" s="10">
        <v>7.9089999999999896E-2</v>
      </c>
      <c r="AG156" s="10">
        <v>0.31680000000000003</v>
      </c>
      <c r="AH156">
        <v>7.9869999999999899E-2</v>
      </c>
    </row>
    <row r="157" spans="3:34">
      <c r="C157" s="11" t="s">
        <v>302</v>
      </c>
      <c r="D157" s="10" t="s">
        <v>0</v>
      </c>
      <c r="E157" s="10">
        <v>13.71</v>
      </c>
      <c r="F157" s="10">
        <v>18.149999999999899</v>
      </c>
      <c r="G157" s="10">
        <v>130.69999999999899</v>
      </c>
      <c r="H157" s="10">
        <v>1214</v>
      </c>
      <c r="I157" s="10">
        <v>0.112</v>
      </c>
      <c r="J157" s="10">
        <v>0.1666</v>
      </c>
      <c r="K157" s="10">
        <v>0.25080000000000002</v>
      </c>
      <c r="L157" s="10">
        <v>0.12859999999999899</v>
      </c>
      <c r="M157" s="10">
        <v>0.20269999999999899</v>
      </c>
      <c r="N157" s="10">
        <v>6.0819999999999902E-2</v>
      </c>
      <c r="O157" s="10">
        <v>0.73640000000000005</v>
      </c>
      <c r="P157" s="10">
        <v>1.048</v>
      </c>
      <c r="Q157" s="10">
        <v>4.79199999999999</v>
      </c>
      <c r="R157" s="10">
        <v>97.069999999999894</v>
      </c>
      <c r="S157" s="10">
        <v>4.0569999999999903E-3</v>
      </c>
      <c r="T157" s="10">
        <v>2.2769999999999901E-2</v>
      </c>
      <c r="U157" s="10">
        <v>4.0289999999999902E-2</v>
      </c>
      <c r="V157" s="10">
        <v>1.303E-2</v>
      </c>
      <c r="W157" s="10">
        <v>1.686E-2</v>
      </c>
      <c r="X157" s="10">
        <v>3.3180000000000002E-3</v>
      </c>
      <c r="Y157" s="10">
        <v>26.73</v>
      </c>
      <c r="Z157" s="10">
        <v>26.39</v>
      </c>
      <c r="AA157" s="10">
        <v>174.9</v>
      </c>
      <c r="AB157" s="10">
        <v>2232</v>
      </c>
      <c r="AC157" s="10">
        <v>0.14380000000000001</v>
      </c>
      <c r="AD157" s="10">
        <v>0.3846</v>
      </c>
      <c r="AE157" s="10">
        <v>0.68100000000000005</v>
      </c>
      <c r="AF157" s="10">
        <v>0.22470000000000001</v>
      </c>
      <c r="AG157" s="10">
        <v>0.36430000000000001</v>
      </c>
      <c r="AH157">
        <v>9.2230000000000006E-2</v>
      </c>
    </row>
    <row r="158" spans="3:34">
      <c r="C158" s="11" t="s">
        <v>303</v>
      </c>
      <c r="D158" s="10" t="s">
        <v>1</v>
      </c>
      <c r="E158" s="10">
        <v>13.71</v>
      </c>
      <c r="F158" s="10">
        <v>22.219999999999899</v>
      </c>
      <c r="G158" s="10">
        <v>79.849999999999895</v>
      </c>
      <c r="H158" s="10">
        <v>464.5</v>
      </c>
      <c r="I158" s="10">
        <v>0.1012</v>
      </c>
      <c r="J158" s="10">
        <v>0.10150000000000001</v>
      </c>
      <c r="K158" s="10">
        <v>5.3699999999999901E-2</v>
      </c>
      <c r="L158" s="10">
        <v>2.8219999999999901E-2</v>
      </c>
      <c r="M158" s="10">
        <v>0.15509999999999899</v>
      </c>
      <c r="N158" s="10">
        <v>6.7610000000000003E-2</v>
      </c>
      <c r="O158" s="10">
        <v>0.2949</v>
      </c>
      <c r="P158" s="10">
        <v>1.6559999999999899</v>
      </c>
      <c r="Q158" s="10">
        <v>1.9550000000000001</v>
      </c>
      <c r="R158" s="10">
        <v>21.55</v>
      </c>
      <c r="S158" s="10">
        <v>1.1339999999999901E-2</v>
      </c>
      <c r="T158" s="10">
        <v>3.175E-2</v>
      </c>
      <c r="U158" s="10">
        <v>3.125E-2</v>
      </c>
      <c r="V158" s="10">
        <v>1.1350000000000001E-2</v>
      </c>
      <c r="W158" s="10">
        <v>1.8790000000000001E-2</v>
      </c>
      <c r="X158" s="10">
        <v>5.3480000000000003E-3</v>
      </c>
      <c r="Y158" s="10">
        <v>13.58</v>
      </c>
      <c r="Z158" s="10">
        <v>28.68</v>
      </c>
      <c r="AA158" s="10">
        <v>87.3599999999999</v>
      </c>
      <c r="AB158" s="10">
        <v>553</v>
      </c>
      <c r="AC158" s="10">
        <v>0.1452</v>
      </c>
      <c r="AD158" s="10">
        <v>0.23380000000000001</v>
      </c>
      <c r="AE158" s="10">
        <v>0.16880000000000001</v>
      </c>
      <c r="AF158" s="10">
        <v>8.1939999999999902E-2</v>
      </c>
      <c r="AG158" s="10">
        <v>0.2268</v>
      </c>
      <c r="AH158">
        <v>9.0819999999999901E-2</v>
      </c>
    </row>
    <row r="159" spans="3:34">
      <c r="C159" s="11" t="s">
        <v>304</v>
      </c>
      <c r="D159" s="10" t="s">
        <v>0</v>
      </c>
      <c r="E159" s="10">
        <v>13.71</v>
      </c>
      <c r="F159" s="10">
        <v>22.0399999999999</v>
      </c>
      <c r="G159" s="10">
        <v>152.099999999999</v>
      </c>
      <c r="H159" s="10">
        <v>1686</v>
      </c>
      <c r="I159" s="10">
        <v>8.4390000000000007E-2</v>
      </c>
      <c r="J159" s="10">
        <v>0.1145</v>
      </c>
      <c r="K159" s="10">
        <v>0.13239999999999899</v>
      </c>
      <c r="L159" s="10">
        <v>9.7019999999999898E-2</v>
      </c>
      <c r="M159" s="10">
        <v>0.18010000000000001</v>
      </c>
      <c r="N159" s="10">
        <v>5.5530000000000003E-2</v>
      </c>
      <c r="O159" s="10">
        <v>0.66420000000000001</v>
      </c>
      <c r="P159" s="10">
        <v>0.85609999999999897</v>
      </c>
      <c r="Q159" s="10">
        <v>4.60299999999999</v>
      </c>
      <c r="R159" s="10">
        <v>97.849999999999895</v>
      </c>
      <c r="S159" s="10">
        <v>4.9100000000000003E-3</v>
      </c>
      <c r="T159" s="10">
        <v>2.5440000000000001E-2</v>
      </c>
      <c r="U159" s="10">
        <v>2.8219999999999901E-2</v>
      </c>
      <c r="V159" s="10">
        <v>1.6230000000000001E-2</v>
      </c>
      <c r="W159" s="10">
        <v>1.9560000000000001E-2</v>
      </c>
      <c r="X159" s="10">
        <v>3.7399999999999899E-3</v>
      </c>
      <c r="Y159" s="10">
        <v>28.01</v>
      </c>
      <c r="Z159" s="10">
        <v>28.219999999999899</v>
      </c>
      <c r="AA159" s="10">
        <v>184.19999999999899</v>
      </c>
      <c r="AB159" s="10">
        <v>2403</v>
      </c>
      <c r="AC159" s="10">
        <v>0.12280000000000001</v>
      </c>
      <c r="AD159" s="10">
        <v>0.35830000000000001</v>
      </c>
      <c r="AE159" s="10">
        <v>0.39479999999999899</v>
      </c>
      <c r="AF159" s="10">
        <v>0.2346</v>
      </c>
      <c r="AG159" s="10">
        <v>0.3589</v>
      </c>
      <c r="AH159">
        <v>9.1869999999999896E-2</v>
      </c>
    </row>
    <row r="160" spans="3:34">
      <c r="C160" s="11" t="s">
        <v>305</v>
      </c>
      <c r="D160" s="10" t="s">
        <v>1</v>
      </c>
      <c r="E160" s="10">
        <v>13.71</v>
      </c>
      <c r="F160" s="10">
        <v>19.760000000000002</v>
      </c>
      <c r="G160" s="10">
        <v>95.5</v>
      </c>
      <c r="H160" s="10">
        <v>690.2</v>
      </c>
      <c r="I160" s="10">
        <v>8.4209999999999896E-2</v>
      </c>
      <c r="J160" s="10">
        <v>5.3519999999999901E-2</v>
      </c>
      <c r="K160" s="10">
        <v>1.9470000000000001E-2</v>
      </c>
      <c r="L160" s="10">
        <v>1.9390000000000001E-2</v>
      </c>
      <c r="M160" s="10">
        <v>0.1515</v>
      </c>
      <c r="N160" s="10">
        <v>5.2659999999999901E-2</v>
      </c>
      <c r="O160" s="10">
        <v>0.184</v>
      </c>
      <c r="P160" s="10">
        <v>1.06499999999999</v>
      </c>
      <c r="Q160" s="10">
        <v>1.286</v>
      </c>
      <c r="R160" s="10">
        <v>16.64</v>
      </c>
      <c r="S160" s="10">
        <v>3.6340000000000001E-3</v>
      </c>
      <c r="T160" s="10">
        <v>7.9830000000000005E-3</v>
      </c>
      <c r="U160" s="10">
        <v>8.2679999999999906E-3</v>
      </c>
      <c r="V160" s="10">
        <v>6.4320000000000002E-3</v>
      </c>
      <c r="W160" s="10">
        <v>1.924E-2</v>
      </c>
      <c r="X160" s="10">
        <v>1.5200000000000001E-3</v>
      </c>
      <c r="Y160" s="10">
        <v>15.98</v>
      </c>
      <c r="Z160" s="10">
        <v>25.82</v>
      </c>
      <c r="AA160" s="10">
        <v>102.3</v>
      </c>
      <c r="AB160" s="10">
        <v>782.1</v>
      </c>
      <c r="AC160" s="10">
        <v>0.1045</v>
      </c>
      <c r="AD160" s="10">
        <v>9.99499999999999E-2</v>
      </c>
      <c r="AE160" s="10">
        <v>7.7499999999999902E-2</v>
      </c>
      <c r="AF160" s="10">
        <v>5.7540000000000001E-2</v>
      </c>
      <c r="AG160" s="10">
        <v>0.2646</v>
      </c>
      <c r="AH160">
        <v>6.0850000000000001E-2</v>
      </c>
    </row>
    <row r="161" spans="3:34">
      <c r="C161" s="11" t="s">
        <v>306</v>
      </c>
      <c r="D161" s="10" t="s">
        <v>1</v>
      </c>
      <c r="E161" s="10">
        <v>13.71</v>
      </c>
      <c r="F161" s="10">
        <v>9.7100000000000009</v>
      </c>
      <c r="G161" s="10">
        <v>68.769999999999897</v>
      </c>
      <c r="H161" s="10">
        <v>357.6</v>
      </c>
      <c r="I161" s="10">
        <v>9.59399999999999E-2</v>
      </c>
      <c r="J161" s="10">
        <v>5.7360000000000001E-2</v>
      </c>
      <c r="K161" s="10">
        <v>2.5309999999999899E-2</v>
      </c>
      <c r="L161" s="10">
        <v>1.6979999999999901E-2</v>
      </c>
      <c r="M161" s="10">
        <v>0.1381</v>
      </c>
      <c r="N161" s="10">
        <v>6.4000000000000001E-2</v>
      </c>
      <c r="O161" s="10">
        <v>0.17280000000000001</v>
      </c>
      <c r="P161" s="10">
        <v>0.40639999999999898</v>
      </c>
      <c r="Q161" s="10">
        <v>1.1259999999999899</v>
      </c>
      <c r="R161" s="10">
        <v>11.48</v>
      </c>
      <c r="S161" s="10">
        <v>7.809E-3</v>
      </c>
      <c r="T161" s="10">
        <v>9.8160000000000001E-3</v>
      </c>
      <c r="U161" s="10">
        <v>1.099E-2</v>
      </c>
      <c r="V161" s="10">
        <v>5.3439999999999903E-3</v>
      </c>
      <c r="W161" s="10">
        <v>1.2540000000000001E-2</v>
      </c>
      <c r="X161" s="10">
        <v>2.1199999999999899E-3</v>
      </c>
      <c r="Y161" s="10">
        <v>11.6</v>
      </c>
      <c r="Z161" s="10">
        <v>12.02</v>
      </c>
      <c r="AA161" s="10">
        <v>73.659999999999897</v>
      </c>
      <c r="AB161" s="10">
        <v>414</v>
      </c>
      <c r="AC161" s="10">
        <v>0.14360000000000001</v>
      </c>
      <c r="AD161" s="10">
        <v>0.12570000000000001</v>
      </c>
      <c r="AE161" s="10">
        <v>0.1047</v>
      </c>
      <c r="AF161" s="10">
        <v>4.6030000000000001E-2</v>
      </c>
      <c r="AG161" s="10">
        <v>0.20899999999999899</v>
      </c>
      <c r="AH161">
        <v>7.6990000000000003E-2</v>
      </c>
    </row>
    <row r="162" spans="3:34">
      <c r="C162" s="11" t="s">
        <v>307</v>
      </c>
      <c r="D162" s="10" t="s">
        <v>0</v>
      </c>
      <c r="E162" s="10">
        <v>13.71</v>
      </c>
      <c r="F162" s="10">
        <v>18.8</v>
      </c>
      <c r="G162" s="10">
        <v>109.3</v>
      </c>
      <c r="H162" s="10">
        <v>886.29999999999905</v>
      </c>
      <c r="I162" s="10">
        <v>8.8650000000000007E-2</v>
      </c>
      <c r="J162" s="10">
        <v>9.1819999999999902E-2</v>
      </c>
      <c r="K162" s="10">
        <v>8.4220000000000003E-2</v>
      </c>
      <c r="L162" s="10">
        <v>6.5759999999999902E-2</v>
      </c>
      <c r="M162" s="10">
        <v>0.1893</v>
      </c>
      <c r="N162" s="10">
        <v>5.534E-2</v>
      </c>
      <c r="O162" s="10">
        <v>0.59899999999999898</v>
      </c>
      <c r="P162" s="10">
        <v>1.391</v>
      </c>
      <c r="Q162" s="10">
        <v>4.1289999999999898</v>
      </c>
      <c r="R162" s="10">
        <v>67.34</v>
      </c>
      <c r="S162" s="10">
        <v>6.123E-3</v>
      </c>
      <c r="T162" s="10">
        <v>2.47E-2</v>
      </c>
      <c r="U162" s="10">
        <v>2.6259999999999901E-2</v>
      </c>
      <c r="V162" s="10">
        <v>1.6039999999999902E-2</v>
      </c>
      <c r="W162" s="10">
        <v>2.0910000000000002E-2</v>
      </c>
      <c r="X162" s="10">
        <v>3.493E-3</v>
      </c>
      <c r="Y162" s="10">
        <v>20.05</v>
      </c>
      <c r="Z162" s="10">
        <v>26.3</v>
      </c>
      <c r="AA162" s="10">
        <v>130.69999999999899</v>
      </c>
      <c r="AB162" s="10">
        <v>1260</v>
      </c>
      <c r="AC162" s="10">
        <v>0.1168</v>
      </c>
      <c r="AD162" s="10">
        <v>0.21190000000000001</v>
      </c>
      <c r="AE162" s="10">
        <v>0.23180000000000001</v>
      </c>
      <c r="AF162" s="10">
        <v>0.1474</v>
      </c>
      <c r="AG162" s="10">
        <v>0.28100000000000003</v>
      </c>
      <c r="AH162">
        <v>7.22799999999999E-2</v>
      </c>
    </row>
    <row r="163" spans="3:34">
      <c r="C163" s="11" t="s">
        <v>308</v>
      </c>
      <c r="D163" s="10" t="s">
        <v>0</v>
      </c>
      <c r="E163" s="10">
        <v>13.71</v>
      </c>
      <c r="F163" s="10">
        <v>24.68</v>
      </c>
      <c r="G163" s="10">
        <v>116.099999999999</v>
      </c>
      <c r="H163" s="10">
        <v>984.6</v>
      </c>
      <c r="I163" s="10">
        <v>0.10489999999999899</v>
      </c>
      <c r="J163" s="10">
        <v>0.1603</v>
      </c>
      <c r="K163" s="10">
        <v>0.21590000000000001</v>
      </c>
      <c r="L163" s="10">
        <v>0.1043</v>
      </c>
      <c r="M163" s="10">
        <v>0.15379999999999899</v>
      </c>
      <c r="N163" s="10">
        <v>6.3649999999999901E-2</v>
      </c>
      <c r="O163" s="10">
        <v>1.0880000000000001</v>
      </c>
      <c r="P163" s="10">
        <v>1.4099999999999899</v>
      </c>
      <c r="Q163" s="10">
        <v>7.33699999999999</v>
      </c>
      <c r="R163" s="10">
        <v>122.3</v>
      </c>
      <c r="S163" s="10">
        <v>6.1739999999999903E-3</v>
      </c>
      <c r="T163" s="10">
        <v>3.63399999999999E-2</v>
      </c>
      <c r="U163" s="10">
        <v>4.6440000000000002E-2</v>
      </c>
      <c r="V163" s="10">
        <v>1.5689999999999898E-2</v>
      </c>
      <c r="W163" s="10">
        <v>1.145E-2</v>
      </c>
      <c r="X163" s="10">
        <v>5.1200000000000004E-3</v>
      </c>
      <c r="Y163" s="10">
        <v>23.14</v>
      </c>
      <c r="Z163" s="10">
        <v>32.329999999999899</v>
      </c>
      <c r="AA163" s="10">
        <v>155.30000000000001</v>
      </c>
      <c r="AB163" s="10">
        <v>1660</v>
      </c>
      <c r="AC163" s="10">
        <v>0.1376</v>
      </c>
      <c r="AD163" s="10">
        <v>0.38300000000000001</v>
      </c>
      <c r="AE163" s="10">
        <v>0.48899999999999899</v>
      </c>
      <c r="AF163" s="10">
        <v>0.1721</v>
      </c>
      <c r="AG163" s="10">
        <v>0.216</v>
      </c>
      <c r="AH163">
        <v>9.2999999999999902E-2</v>
      </c>
    </row>
    <row r="164" spans="3:34">
      <c r="C164" s="11" t="s">
        <v>309</v>
      </c>
      <c r="D164" s="10" t="s">
        <v>1</v>
      </c>
      <c r="E164" s="10">
        <v>13.71</v>
      </c>
      <c r="F164" s="10">
        <v>16.9499999999999</v>
      </c>
      <c r="G164" s="10">
        <v>96.219999999999899</v>
      </c>
      <c r="H164" s="10">
        <v>685.89999999999895</v>
      </c>
      <c r="I164" s="10">
        <v>9.8549999999999902E-2</v>
      </c>
      <c r="J164" s="10">
        <v>7.8850000000000003E-2</v>
      </c>
      <c r="K164" s="10">
        <v>2.6020000000000001E-2</v>
      </c>
      <c r="L164" s="10">
        <v>3.7810000000000003E-2</v>
      </c>
      <c r="M164" s="10">
        <v>0.17799999999999899</v>
      </c>
      <c r="N164" s="10">
        <v>5.6500000000000002E-2</v>
      </c>
      <c r="O164" s="10">
        <v>0.27129999999999899</v>
      </c>
      <c r="P164" s="10">
        <v>1.2170000000000001</v>
      </c>
      <c r="Q164" s="10">
        <v>1.893</v>
      </c>
      <c r="R164" s="10">
        <v>24.28</v>
      </c>
      <c r="S164" s="10">
        <v>5.0800000000000003E-3</v>
      </c>
      <c r="T164" s="10">
        <v>1.37E-2</v>
      </c>
      <c r="U164" s="10">
        <v>7.2760000000000003E-3</v>
      </c>
      <c r="V164" s="10">
        <v>9.0729999999999908E-3</v>
      </c>
      <c r="W164" s="10">
        <v>1.35E-2</v>
      </c>
      <c r="X164" s="10">
        <v>1.7060000000000001E-3</v>
      </c>
      <c r="Y164" s="10">
        <v>16.1099999999999</v>
      </c>
      <c r="Z164" s="10">
        <v>23</v>
      </c>
      <c r="AA164" s="10">
        <v>104.599999999999</v>
      </c>
      <c r="AB164" s="10">
        <v>793.7</v>
      </c>
      <c r="AC164" s="10">
        <v>0.1216</v>
      </c>
      <c r="AD164" s="10">
        <v>0.16370000000000001</v>
      </c>
      <c r="AE164" s="10">
        <v>6.64799999999999E-2</v>
      </c>
      <c r="AF164" s="10">
        <v>8.4849999999999898E-2</v>
      </c>
      <c r="AG164" s="10">
        <v>0.2404</v>
      </c>
      <c r="AH164">
        <v>6.4280000000000004E-2</v>
      </c>
    </row>
    <row r="165" spans="3:34">
      <c r="C165" s="11" t="s">
        <v>310</v>
      </c>
      <c r="D165" s="10" t="s">
        <v>1</v>
      </c>
      <c r="E165" s="10">
        <v>13.71</v>
      </c>
      <c r="F165" s="10">
        <v>12.39</v>
      </c>
      <c r="G165" s="10">
        <v>78.849999999999895</v>
      </c>
      <c r="H165" s="10">
        <v>464.1</v>
      </c>
      <c r="I165" s="10">
        <v>0.1028</v>
      </c>
      <c r="J165" s="10">
        <v>6.98099999999999E-2</v>
      </c>
      <c r="K165" s="10">
        <v>3.9870000000000003E-2</v>
      </c>
      <c r="L165" s="10">
        <v>3.6999999999999901E-2</v>
      </c>
      <c r="M165" s="10">
        <v>0.19589999999999899</v>
      </c>
      <c r="N165" s="10">
        <v>5.9549999999999902E-2</v>
      </c>
      <c r="O165" s="10">
        <v>0.23599999999999899</v>
      </c>
      <c r="P165" s="10">
        <v>0.66559999999999897</v>
      </c>
      <c r="Q165" s="10">
        <v>1.6699999999999899</v>
      </c>
      <c r="R165" s="10">
        <v>17.43</v>
      </c>
      <c r="S165" s="10">
        <v>8.0450000000000001E-3</v>
      </c>
      <c r="T165" s="10">
        <v>1.18E-2</v>
      </c>
      <c r="U165" s="10">
        <v>1.6830000000000001E-2</v>
      </c>
      <c r="V165" s="10">
        <v>1.24099999999999E-2</v>
      </c>
      <c r="W165" s="10">
        <v>1.924E-2</v>
      </c>
      <c r="X165" s="10">
        <v>2.248E-3</v>
      </c>
      <c r="Y165" s="10">
        <v>13.5</v>
      </c>
      <c r="Z165" s="10">
        <v>15.64</v>
      </c>
      <c r="AA165" s="10">
        <v>86.969999999999899</v>
      </c>
      <c r="AB165" s="10">
        <v>549.1</v>
      </c>
      <c r="AC165" s="10">
        <v>0.13850000000000001</v>
      </c>
      <c r="AD165" s="10">
        <v>0.12659999999999899</v>
      </c>
      <c r="AE165" s="10">
        <v>0.1242</v>
      </c>
      <c r="AF165" s="10">
        <v>9.3909999999999896E-2</v>
      </c>
      <c r="AG165" s="10">
        <v>0.28270000000000001</v>
      </c>
      <c r="AH165">
        <v>6.7710000000000006E-2</v>
      </c>
    </row>
    <row r="166" spans="3:34">
      <c r="C166" s="11" t="s">
        <v>313</v>
      </c>
      <c r="D166" s="10" t="s">
        <v>1</v>
      </c>
      <c r="E166" s="10">
        <v>13.71</v>
      </c>
      <c r="F166" s="10">
        <v>14.71</v>
      </c>
      <c r="G166" s="10">
        <v>70.209999999999894</v>
      </c>
      <c r="H166" s="10">
        <v>372.69999999999902</v>
      </c>
      <c r="I166" s="10">
        <v>0.100599999999999</v>
      </c>
      <c r="J166" s="10">
        <v>5.7430000000000002E-2</v>
      </c>
      <c r="K166" s="10">
        <v>2.3630000000000002E-2</v>
      </c>
      <c r="L166" s="10">
        <v>2.5829999999999902E-2</v>
      </c>
      <c r="M166" s="10">
        <v>0.15659999999999899</v>
      </c>
      <c r="N166" s="10">
        <v>6.6689999999999902E-2</v>
      </c>
      <c r="O166" s="10">
        <v>0.20730000000000001</v>
      </c>
      <c r="P166" s="10">
        <v>1.8049999999999899</v>
      </c>
      <c r="Q166" s="10">
        <v>1.377</v>
      </c>
      <c r="R166" s="10">
        <v>19.079999999999899</v>
      </c>
      <c r="S166" s="10">
        <v>1.49599999999999E-2</v>
      </c>
      <c r="T166" s="10">
        <v>2.121E-2</v>
      </c>
      <c r="U166" s="10">
        <v>1.453E-2</v>
      </c>
      <c r="V166" s="10">
        <v>1.583E-2</v>
      </c>
      <c r="W166" s="10">
        <v>3.082E-2</v>
      </c>
      <c r="X166" s="10">
        <v>4.7850000000000002E-3</v>
      </c>
      <c r="Y166" s="10">
        <v>11.35</v>
      </c>
      <c r="Z166" s="10">
        <v>16.82</v>
      </c>
      <c r="AA166" s="10">
        <v>72.010000000000005</v>
      </c>
      <c r="AB166" s="10">
        <v>396.5</v>
      </c>
      <c r="AC166" s="10">
        <v>0.1216</v>
      </c>
      <c r="AD166" s="10">
        <v>8.2400000000000001E-2</v>
      </c>
      <c r="AE166" s="10">
        <v>3.9379999999999901E-2</v>
      </c>
      <c r="AF166" s="10">
        <v>4.3060000000000001E-2</v>
      </c>
      <c r="AG166" s="10">
        <v>0.19020000000000001</v>
      </c>
      <c r="AH166">
        <v>7.3130000000000001E-2</v>
      </c>
    </row>
    <row r="167" spans="3:34">
      <c r="C167" s="11" t="s">
        <v>318</v>
      </c>
      <c r="D167" s="10" t="s">
        <v>1</v>
      </c>
      <c r="E167" s="10">
        <v>13.71</v>
      </c>
      <c r="F167" s="10">
        <v>22.219999999999899</v>
      </c>
      <c r="G167" s="10">
        <v>82.01</v>
      </c>
      <c r="H167" s="10">
        <v>526.39999999999895</v>
      </c>
      <c r="I167" s="10">
        <v>6.2509999999999899E-2</v>
      </c>
      <c r="J167" s="10">
        <v>1.9380000000000001E-2</v>
      </c>
      <c r="K167" s="10">
        <v>1.5950000000000001E-3</v>
      </c>
      <c r="L167" s="10">
        <v>1.8519999999999899E-3</v>
      </c>
      <c r="M167" s="10">
        <v>0.13950000000000001</v>
      </c>
      <c r="N167" s="10">
        <v>5.23399999999999E-2</v>
      </c>
      <c r="O167" s="10">
        <v>0.1731</v>
      </c>
      <c r="P167" s="10">
        <v>1.1419999999999899</v>
      </c>
      <c r="Q167" s="10">
        <v>1.101</v>
      </c>
      <c r="R167" s="10">
        <v>14.34</v>
      </c>
      <c r="S167" s="10">
        <v>3.418E-3</v>
      </c>
      <c r="T167" s="10">
        <v>2.2520000000000001E-3</v>
      </c>
      <c r="U167" s="10">
        <v>1.5950000000000001E-3</v>
      </c>
      <c r="V167" s="10">
        <v>1.8519999999999899E-3</v>
      </c>
      <c r="W167" s="10">
        <v>1.6129999999999901E-2</v>
      </c>
      <c r="X167" s="10">
        <v>9.6829999999999898E-4</v>
      </c>
      <c r="Y167" s="10">
        <v>14</v>
      </c>
      <c r="Z167" s="10">
        <v>29.02</v>
      </c>
      <c r="AA167" s="10">
        <v>88.18</v>
      </c>
      <c r="AB167" s="10">
        <v>608.79999999999905</v>
      </c>
      <c r="AC167" s="10">
        <v>8.1250000000000003E-2</v>
      </c>
      <c r="AD167" s="10">
        <v>3.4320000000000003E-2</v>
      </c>
      <c r="AE167" s="10">
        <v>7.9769999999999893E-3</v>
      </c>
      <c r="AF167" s="10">
        <v>9.2589999999999895E-3</v>
      </c>
      <c r="AG167" s="10">
        <v>0.22950000000000001</v>
      </c>
      <c r="AH167">
        <v>5.8430000000000003E-2</v>
      </c>
    </row>
    <row r="168" spans="3:34">
      <c r="C168" s="11" t="s">
        <v>320</v>
      </c>
      <c r="D168" s="10" t="s">
        <v>0</v>
      </c>
      <c r="E168" s="10">
        <v>13.71</v>
      </c>
      <c r="F168" s="10">
        <v>21.87</v>
      </c>
      <c r="G168" s="10">
        <v>182.099999999999</v>
      </c>
      <c r="H168" s="10">
        <v>2250</v>
      </c>
      <c r="I168" s="10">
        <v>0.1094</v>
      </c>
      <c r="J168" s="10">
        <v>0.19139999999999899</v>
      </c>
      <c r="K168" s="10">
        <v>0.28710000000000002</v>
      </c>
      <c r="L168" s="10">
        <v>0.187799999999999</v>
      </c>
      <c r="M168" s="10">
        <v>0.17999999999999899</v>
      </c>
      <c r="N168" s="10">
        <v>5.7700000000000001E-2</v>
      </c>
      <c r="O168" s="10">
        <v>0.83609999999999896</v>
      </c>
      <c r="P168" s="10">
        <v>1.4810000000000001</v>
      </c>
      <c r="Q168" s="10">
        <v>5.82</v>
      </c>
      <c r="R168" s="10">
        <v>128.69999999999899</v>
      </c>
      <c r="S168" s="10">
        <v>4.6309999999999902E-3</v>
      </c>
      <c r="T168" s="10">
        <v>2.537E-2</v>
      </c>
      <c r="U168" s="10">
        <v>3.109E-2</v>
      </c>
      <c r="V168" s="10">
        <v>1.24099999999999E-2</v>
      </c>
      <c r="W168" s="10">
        <v>1.575E-2</v>
      </c>
      <c r="X168" s="10">
        <v>2.7469999999999899E-3</v>
      </c>
      <c r="Y168" s="10">
        <v>33.119999999999898</v>
      </c>
      <c r="Z168" s="10">
        <v>32.85</v>
      </c>
      <c r="AA168" s="10">
        <v>220.8</v>
      </c>
      <c r="AB168" s="10">
        <v>3216</v>
      </c>
      <c r="AC168" s="10">
        <v>0.1472</v>
      </c>
      <c r="AD168" s="10">
        <v>0.40339999999999898</v>
      </c>
      <c r="AE168" s="10">
        <v>0.53400000000000003</v>
      </c>
      <c r="AF168" s="10">
        <v>0.26879999999999898</v>
      </c>
      <c r="AG168" s="10">
        <v>0.28560000000000002</v>
      </c>
      <c r="AH168">
        <v>8.0820000000000003E-2</v>
      </c>
    </row>
    <row r="169" spans="3:34">
      <c r="C169" s="11" t="s">
        <v>321</v>
      </c>
      <c r="D169" s="10" t="s">
        <v>0</v>
      </c>
      <c r="E169" s="10">
        <v>13.71</v>
      </c>
      <c r="F169" s="10">
        <v>26.57</v>
      </c>
      <c r="G169" s="10">
        <v>142.69999999999899</v>
      </c>
      <c r="H169" s="10">
        <v>1311</v>
      </c>
      <c r="I169" s="10">
        <v>0.11409999999999899</v>
      </c>
      <c r="J169" s="10">
        <v>0.28320000000000001</v>
      </c>
      <c r="K169" s="10">
        <v>0.2487</v>
      </c>
      <c r="L169" s="10">
        <v>0.14960000000000001</v>
      </c>
      <c r="M169" s="10">
        <v>0.23949999999999899</v>
      </c>
      <c r="N169" s="10">
        <v>7.3980000000000004E-2</v>
      </c>
      <c r="O169" s="10">
        <v>0.62980000000000003</v>
      </c>
      <c r="P169" s="10">
        <v>0.76290000000000002</v>
      </c>
      <c r="Q169" s="10">
        <v>4.4139999999999899</v>
      </c>
      <c r="R169" s="10">
        <v>81.459999999999894</v>
      </c>
      <c r="S169" s="10">
        <v>4.2529999999999903E-3</v>
      </c>
      <c r="T169" s="10">
        <v>4.759E-2</v>
      </c>
      <c r="U169" s="10">
        <v>3.87199999999999E-2</v>
      </c>
      <c r="V169" s="10">
        <v>1.567E-2</v>
      </c>
      <c r="W169" s="10">
        <v>1.7979999999999899E-2</v>
      </c>
      <c r="X169" s="10">
        <v>5.2950000000000002E-3</v>
      </c>
      <c r="Y169" s="10">
        <v>26.68</v>
      </c>
      <c r="Z169" s="10">
        <v>33.479999999999897</v>
      </c>
      <c r="AA169" s="10">
        <v>176.5</v>
      </c>
      <c r="AB169" s="10">
        <v>2089</v>
      </c>
      <c r="AC169" s="10">
        <v>0.14910000000000001</v>
      </c>
      <c r="AD169" s="10">
        <v>0.75839999999999896</v>
      </c>
      <c r="AE169" s="10">
        <v>0.67800000000000005</v>
      </c>
      <c r="AF169" s="10">
        <v>0.2903</v>
      </c>
      <c r="AG169" s="10">
        <v>0.4098</v>
      </c>
      <c r="AH169">
        <v>0.12839999999999899</v>
      </c>
    </row>
    <row r="170" spans="3:34">
      <c r="C170" s="11" t="s">
        <v>322</v>
      </c>
      <c r="D170" s="10" t="s">
        <v>0</v>
      </c>
      <c r="E170" s="10">
        <v>13.71</v>
      </c>
      <c r="F170" s="10">
        <v>20.309999999999899</v>
      </c>
      <c r="G170" s="10">
        <v>101.2</v>
      </c>
      <c r="H170" s="10">
        <v>766.6</v>
      </c>
      <c r="I170" s="10">
        <v>9.597E-2</v>
      </c>
      <c r="J170" s="10">
        <v>8.7989999999999902E-2</v>
      </c>
      <c r="K170" s="10">
        <v>6.5930000000000002E-2</v>
      </c>
      <c r="L170" s="10">
        <v>5.1889999999999901E-2</v>
      </c>
      <c r="M170" s="10">
        <v>0.1618</v>
      </c>
      <c r="N170" s="10">
        <v>5.5489999999999901E-2</v>
      </c>
      <c r="O170" s="10">
        <v>0.36990000000000001</v>
      </c>
      <c r="P170" s="10">
        <v>1.1499999999999899</v>
      </c>
      <c r="Q170" s="10">
        <v>2.4060000000000001</v>
      </c>
      <c r="R170" s="10">
        <v>40.979999999999897</v>
      </c>
      <c r="S170" s="10">
        <v>4.6259999999999904E-3</v>
      </c>
      <c r="T170" s="10">
        <v>2.2630000000000001E-2</v>
      </c>
      <c r="U170" s="10">
        <v>1.9539999999999901E-2</v>
      </c>
      <c r="V170" s="10">
        <v>9.7669999999999892E-3</v>
      </c>
      <c r="W170" s="10">
        <v>1.54699999999999E-2</v>
      </c>
      <c r="X170" s="10">
        <v>2.4299999999999899E-3</v>
      </c>
      <c r="Y170" s="10">
        <v>20.1099999999999</v>
      </c>
      <c r="Z170" s="10">
        <v>32.82</v>
      </c>
      <c r="AA170" s="10">
        <v>129.30000000000001</v>
      </c>
      <c r="AB170" s="10">
        <v>1269</v>
      </c>
      <c r="AC170" s="10">
        <v>0.1414</v>
      </c>
      <c r="AD170" s="10">
        <v>0.35470000000000002</v>
      </c>
      <c r="AE170" s="10">
        <v>0.29020000000000001</v>
      </c>
      <c r="AF170" s="10">
        <v>0.15409999999999899</v>
      </c>
      <c r="AG170" s="10">
        <v>0.34370000000000001</v>
      </c>
      <c r="AH170">
        <v>8.6309999999999901E-2</v>
      </c>
    </row>
    <row r="171" spans="3:34">
      <c r="C171" s="11" t="s">
        <v>323</v>
      </c>
      <c r="D171" s="10" t="s">
        <v>1</v>
      </c>
      <c r="E171" s="10">
        <v>13.71</v>
      </c>
      <c r="F171" s="10">
        <v>14.92</v>
      </c>
      <c r="G171" s="10">
        <v>73.53</v>
      </c>
      <c r="H171" s="10">
        <v>402</v>
      </c>
      <c r="I171" s="10">
        <v>9.0590000000000004E-2</v>
      </c>
      <c r="J171" s="10">
        <v>8.15499999999999E-2</v>
      </c>
      <c r="K171" s="10">
        <v>6.18099999999999E-2</v>
      </c>
      <c r="L171" s="10">
        <v>2.3609999999999898E-2</v>
      </c>
      <c r="M171" s="10">
        <v>0.1167</v>
      </c>
      <c r="N171" s="10">
        <v>6.2170000000000003E-2</v>
      </c>
      <c r="O171" s="10">
        <v>0.33439999999999898</v>
      </c>
      <c r="P171" s="10">
        <v>1.1080000000000001</v>
      </c>
      <c r="Q171" s="10">
        <v>1.9019999999999899</v>
      </c>
      <c r="R171" s="10">
        <v>22.77</v>
      </c>
      <c r="S171" s="10">
        <v>7.3559999999999902E-3</v>
      </c>
      <c r="T171" s="10">
        <v>3.7280000000000001E-2</v>
      </c>
      <c r="U171" s="10">
        <v>5.9150000000000001E-2</v>
      </c>
      <c r="V171" s="10">
        <v>1.712E-2</v>
      </c>
      <c r="W171" s="10">
        <v>2.1649999999999898E-2</v>
      </c>
      <c r="X171" s="10">
        <v>4.7840000000000001E-3</v>
      </c>
      <c r="Y171" s="10">
        <v>12.3699999999999</v>
      </c>
      <c r="Z171" s="10">
        <v>17.6999999999999</v>
      </c>
      <c r="AA171" s="10">
        <v>79.12</v>
      </c>
      <c r="AB171" s="10">
        <v>467.19999999999902</v>
      </c>
      <c r="AC171" s="10">
        <v>0.11210000000000001</v>
      </c>
      <c r="AD171" s="10">
        <v>0.161</v>
      </c>
      <c r="AE171" s="10">
        <v>0.1648</v>
      </c>
      <c r="AF171" s="10">
        <v>6.2960000000000002E-2</v>
      </c>
      <c r="AG171" s="10">
        <v>0.18110000000000001</v>
      </c>
      <c r="AH171">
        <v>7.4270000000000003E-2</v>
      </c>
    </row>
    <row r="172" spans="3:34">
      <c r="C172" s="11" t="s">
        <v>324</v>
      </c>
      <c r="D172" s="10" t="s">
        <v>0</v>
      </c>
      <c r="E172" s="10">
        <v>13.71</v>
      </c>
      <c r="F172" s="10">
        <v>22.41</v>
      </c>
      <c r="G172" s="10">
        <v>98.92</v>
      </c>
      <c r="H172" s="10">
        <v>710.6</v>
      </c>
      <c r="I172" s="10">
        <v>9.0569999999999901E-2</v>
      </c>
      <c r="J172" s="10">
        <v>0.1052</v>
      </c>
      <c r="K172" s="10">
        <v>5.3749999999999902E-2</v>
      </c>
      <c r="L172" s="10">
        <v>3.2629999999999902E-2</v>
      </c>
      <c r="M172" s="10">
        <v>0.17269999999999899</v>
      </c>
      <c r="N172" s="10">
        <v>6.3170000000000004E-2</v>
      </c>
      <c r="O172" s="10">
        <v>0.2054</v>
      </c>
      <c r="P172" s="10">
        <v>0.49559999999999899</v>
      </c>
      <c r="Q172" s="10">
        <v>1.3440000000000001</v>
      </c>
      <c r="R172" s="10">
        <v>19.53</v>
      </c>
      <c r="S172" s="10">
        <v>3.29E-3</v>
      </c>
      <c r="T172" s="10">
        <v>1.3950000000000001E-2</v>
      </c>
      <c r="U172" s="10">
        <v>1.7739999999999902E-2</v>
      </c>
      <c r="V172" s="10">
        <v>6.00899999999999E-3</v>
      </c>
      <c r="W172" s="10">
        <v>1.172E-2</v>
      </c>
      <c r="X172" s="10">
        <v>2.575E-3</v>
      </c>
      <c r="Y172" s="10">
        <v>17.8</v>
      </c>
      <c r="Z172" s="10">
        <v>28.03</v>
      </c>
      <c r="AA172" s="10">
        <v>113.8</v>
      </c>
      <c r="AB172" s="10">
        <v>973.1</v>
      </c>
      <c r="AC172" s="10">
        <v>0.13009999999999899</v>
      </c>
      <c r="AD172" s="10">
        <v>0.32990000000000003</v>
      </c>
      <c r="AE172" s="10">
        <v>0.36299999999999899</v>
      </c>
      <c r="AF172" s="10">
        <v>0.1226</v>
      </c>
      <c r="AG172" s="10">
        <v>0.3175</v>
      </c>
      <c r="AH172">
        <v>9.7720000000000001E-2</v>
      </c>
    </row>
    <row r="173" spans="3:34">
      <c r="C173" s="11" t="s">
        <v>325</v>
      </c>
      <c r="D173" s="10" t="s">
        <v>1</v>
      </c>
      <c r="E173" s="10">
        <v>13.71</v>
      </c>
      <c r="F173" s="10">
        <v>15.1099999999999</v>
      </c>
      <c r="G173" s="10">
        <v>63.759999999999899</v>
      </c>
      <c r="H173" s="10">
        <v>317.5</v>
      </c>
      <c r="I173" s="10">
        <v>9.2670000000000002E-2</v>
      </c>
      <c r="J173" s="10">
        <v>4.6949999999999902E-2</v>
      </c>
      <c r="K173" s="10">
        <v>1.5969999999999899E-3</v>
      </c>
      <c r="L173" s="10">
        <v>2.4039999999999899E-3</v>
      </c>
      <c r="M173" s="10">
        <v>0.17030000000000001</v>
      </c>
      <c r="N173" s="10">
        <v>6.0479999999999902E-2</v>
      </c>
      <c r="O173" s="10">
        <v>0.42449999999999899</v>
      </c>
      <c r="P173" s="10">
        <v>1.268</v>
      </c>
      <c r="Q173" s="10">
        <v>2.68</v>
      </c>
      <c r="R173" s="10">
        <v>26.43</v>
      </c>
      <c r="S173" s="10">
        <v>1.439E-2</v>
      </c>
      <c r="T173" s="10">
        <v>1.2E-2</v>
      </c>
      <c r="U173" s="10">
        <v>1.5969999999999899E-3</v>
      </c>
      <c r="V173" s="10">
        <v>2.4039999999999899E-3</v>
      </c>
      <c r="W173" s="10">
        <v>2.538E-2</v>
      </c>
      <c r="X173" s="10">
        <v>3.47E-3</v>
      </c>
      <c r="Y173" s="10">
        <v>11.8699999999999</v>
      </c>
      <c r="Z173" s="10">
        <v>21.18</v>
      </c>
      <c r="AA173" s="10">
        <v>75.39</v>
      </c>
      <c r="AB173" s="10">
        <v>437</v>
      </c>
      <c r="AC173" s="10">
        <v>0.15210000000000001</v>
      </c>
      <c r="AD173" s="10">
        <v>0.1019</v>
      </c>
      <c r="AE173" s="10">
        <v>6.9199999999999904E-3</v>
      </c>
      <c r="AF173" s="10">
        <v>1.042E-2</v>
      </c>
      <c r="AG173" s="10">
        <v>0.29330000000000001</v>
      </c>
      <c r="AH173">
        <v>7.69699999999999E-2</v>
      </c>
    </row>
    <row r="174" spans="3:34">
      <c r="C174" s="11" t="s">
        <v>326</v>
      </c>
      <c r="D174" s="10" t="s">
        <v>0</v>
      </c>
      <c r="E174" s="10">
        <v>13.71</v>
      </c>
      <c r="F174" s="10">
        <v>18.579999999999899</v>
      </c>
      <c r="G174" s="10">
        <v>118.599999999999</v>
      </c>
      <c r="H174" s="10">
        <v>1041</v>
      </c>
      <c r="I174" s="10">
        <v>8.5879999999999901E-2</v>
      </c>
      <c r="J174" s="10">
        <v>8.4680000000000005E-2</v>
      </c>
      <c r="K174" s="10">
        <v>8.1689999999999902E-2</v>
      </c>
      <c r="L174" s="10">
        <v>5.81399999999999E-2</v>
      </c>
      <c r="M174" s="10">
        <v>0.16209999999999899</v>
      </c>
      <c r="N174" s="10">
        <v>5.425E-2</v>
      </c>
      <c r="O174" s="10">
        <v>0.25769999999999899</v>
      </c>
      <c r="P174" s="10">
        <v>0.47570000000000001</v>
      </c>
      <c r="Q174" s="10">
        <v>1.81699999999999</v>
      </c>
      <c r="R174" s="10">
        <v>28.92</v>
      </c>
      <c r="S174" s="10">
        <v>2.8660000000000001E-3</v>
      </c>
      <c r="T174" s="10">
        <v>9.1809999999999895E-3</v>
      </c>
      <c r="U174" s="10">
        <v>1.4120000000000001E-2</v>
      </c>
      <c r="V174" s="10">
        <v>6.7190000000000001E-3</v>
      </c>
      <c r="W174" s="10">
        <v>1.069E-2</v>
      </c>
      <c r="X174" s="10">
        <v>1.0870000000000001E-3</v>
      </c>
      <c r="Y174" s="10">
        <v>21.309999999999899</v>
      </c>
      <c r="Z174" s="10">
        <v>26.3599999999999</v>
      </c>
      <c r="AA174" s="10">
        <v>139.19999999999899</v>
      </c>
      <c r="AB174" s="10">
        <v>1410</v>
      </c>
      <c r="AC174" s="10">
        <v>0.1234</v>
      </c>
      <c r="AD174" s="10">
        <v>0.2445</v>
      </c>
      <c r="AE174" s="10">
        <v>0.3538</v>
      </c>
      <c r="AF174" s="10">
        <v>0.15709999999999899</v>
      </c>
      <c r="AG174" s="10">
        <v>0.3206</v>
      </c>
      <c r="AH174">
        <v>6.93799999999999E-2</v>
      </c>
    </row>
    <row r="175" spans="3:34">
      <c r="C175" s="11" t="s">
        <v>327</v>
      </c>
      <c r="D175" s="10" t="s">
        <v>1</v>
      </c>
      <c r="E175" s="10">
        <v>13.71</v>
      </c>
      <c r="F175" s="10">
        <v>17.190000000000001</v>
      </c>
      <c r="G175" s="10">
        <v>74.680000000000007</v>
      </c>
      <c r="H175" s="10">
        <v>420.3</v>
      </c>
      <c r="I175" s="10">
        <v>9.7739999999999896E-2</v>
      </c>
      <c r="J175" s="10">
        <v>6.1409999999999902E-2</v>
      </c>
      <c r="K175" s="10">
        <v>3.8089999999999902E-2</v>
      </c>
      <c r="L175" s="10">
        <v>3.2390000000000002E-2</v>
      </c>
      <c r="M175" s="10">
        <v>0.15160000000000001</v>
      </c>
      <c r="N175" s="10">
        <v>6.09499999999999E-2</v>
      </c>
      <c r="O175" s="10">
        <v>0.24510000000000001</v>
      </c>
      <c r="P175" s="10">
        <v>0.76549999999999896</v>
      </c>
      <c r="Q175" s="10">
        <v>1.742</v>
      </c>
      <c r="R175" s="10">
        <v>17.8599999999999</v>
      </c>
      <c r="S175" s="10">
        <v>6.9049999999999901E-3</v>
      </c>
      <c r="T175" s="10">
        <v>8.7039999999999895E-3</v>
      </c>
      <c r="U175" s="10">
        <v>1.9779999999999898E-2</v>
      </c>
      <c r="V175" s="10">
        <v>1.1849999999999901E-2</v>
      </c>
      <c r="W175" s="10">
        <v>1.8970000000000001E-2</v>
      </c>
      <c r="X175" s="10">
        <v>1.671E-3</v>
      </c>
      <c r="Y175" s="10">
        <v>13.01</v>
      </c>
      <c r="Z175" s="10">
        <v>21.39</v>
      </c>
      <c r="AA175" s="10">
        <v>84.42</v>
      </c>
      <c r="AB175" s="10">
        <v>521.5</v>
      </c>
      <c r="AC175" s="10">
        <v>0.1323</v>
      </c>
      <c r="AD175" s="10">
        <v>0.104</v>
      </c>
      <c r="AE175" s="10">
        <v>0.15210000000000001</v>
      </c>
      <c r="AF175" s="10">
        <v>0.1099</v>
      </c>
      <c r="AG175" s="10">
        <v>0.25719999999999898</v>
      </c>
      <c r="AH175">
        <v>7.0970000000000005E-2</v>
      </c>
    </row>
    <row r="176" spans="3:34">
      <c r="C176" s="11" t="s">
        <v>328</v>
      </c>
      <c r="D176" s="10" t="s">
        <v>1</v>
      </c>
      <c r="E176" s="10">
        <v>13.71</v>
      </c>
      <c r="F176" s="10">
        <v>17.39</v>
      </c>
      <c r="G176" s="10">
        <v>75.269999999999897</v>
      </c>
      <c r="H176" s="10">
        <v>428.89999999999901</v>
      </c>
      <c r="I176" s="10">
        <v>0.1007</v>
      </c>
      <c r="J176" s="10">
        <v>5.5620000000000003E-2</v>
      </c>
      <c r="K176" s="10">
        <v>2.3529999999999902E-2</v>
      </c>
      <c r="L176" s="10">
        <v>1.553E-2</v>
      </c>
      <c r="M176" s="10">
        <v>0.17180000000000001</v>
      </c>
      <c r="N176" s="10">
        <v>5.77999999999999E-2</v>
      </c>
      <c r="O176" s="10">
        <v>0.18590000000000001</v>
      </c>
      <c r="P176" s="10">
        <v>1.9259999999999899</v>
      </c>
      <c r="Q176" s="10">
        <v>1.0109999999999899</v>
      </c>
      <c r="R176" s="10">
        <v>14.47</v>
      </c>
      <c r="S176" s="10">
        <v>7.8309999999999907E-3</v>
      </c>
      <c r="T176" s="10">
        <v>8.7760000000000008E-3</v>
      </c>
      <c r="U176" s="10">
        <v>1.55599999999999E-2</v>
      </c>
      <c r="V176" s="10">
        <v>6.2399999999999903E-3</v>
      </c>
      <c r="W176" s="10">
        <v>3.1390000000000001E-2</v>
      </c>
      <c r="X176" s="10">
        <v>1.9880000000000002E-3</v>
      </c>
      <c r="Y176" s="10">
        <v>12.57</v>
      </c>
      <c r="Z176" s="10">
        <v>26.48</v>
      </c>
      <c r="AA176" s="10">
        <v>79.569999999999894</v>
      </c>
      <c r="AB176" s="10">
        <v>489.5</v>
      </c>
      <c r="AC176" s="10">
        <v>0.1356</v>
      </c>
      <c r="AD176" s="10">
        <v>0.1</v>
      </c>
      <c r="AE176" s="10">
        <v>8.80299999999999E-2</v>
      </c>
      <c r="AF176" s="10">
        <v>4.3060000000000001E-2</v>
      </c>
      <c r="AG176" s="10">
        <v>0.32</v>
      </c>
      <c r="AH176">
        <v>6.5759999999999902E-2</v>
      </c>
    </row>
    <row r="177" spans="3:34">
      <c r="C177" s="11" t="s">
        <v>329</v>
      </c>
      <c r="D177" s="10" t="s">
        <v>1</v>
      </c>
      <c r="E177" s="10">
        <v>13.71</v>
      </c>
      <c r="F177" s="10">
        <v>15.9</v>
      </c>
      <c r="G177" s="10">
        <v>78.829999999999899</v>
      </c>
      <c r="H177" s="10">
        <v>463.69999999999902</v>
      </c>
      <c r="I177" s="10">
        <v>8.07999999999999E-2</v>
      </c>
      <c r="J177" s="10">
        <v>7.25299999999999E-2</v>
      </c>
      <c r="K177" s="10">
        <v>3.8440000000000002E-2</v>
      </c>
      <c r="L177" s="10">
        <v>1.6539999999999899E-2</v>
      </c>
      <c r="M177" s="10">
        <v>0.16669999999999899</v>
      </c>
      <c r="N177" s="10">
        <v>5.47399999999999E-2</v>
      </c>
      <c r="O177" s="10">
        <v>0.2382</v>
      </c>
      <c r="P177" s="10">
        <v>0.83550000000000002</v>
      </c>
      <c r="Q177" s="10">
        <v>1.6870000000000001</v>
      </c>
      <c r="R177" s="10">
        <v>18.32</v>
      </c>
      <c r="S177" s="10">
        <v>5.9959999999999901E-3</v>
      </c>
      <c r="T177" s="10">
        <v>2.2120000000000001E-2</v>
      </c>
      <c r="U177" s="10">
        <v>2.1170000000000001E-2</v>
      </c>
      <c r="V177" s="10">
        <v>6.4330000000000003E-3</v>
      </c>
      <c r="W177" s="10">
        <v>2.0250000000000001E-2</v>
      </c>
      <c r="X177" s="10">
        <v>1.725E-3</v>
      </c>
      <c r="Y177" s="10">
        <v>13.35</v>
      </c>
      <c r="Z177" s="10">
        <v>19.59</v>
      </c>
      <c r="AA177" s="10">
        <v>86.65</v>
      </c>
      <c r="AB177" s="10">
        <v>546.70000000000005</v>
      </c>
      <c r="AC177" s="10">
        <v>0.1096</v>
      </c>
      <c r="AD177" s="10">
        <v>0.16500000000000001</v>
      </c>
      <c r="AE177" s="10">
        <v>0.14230000000000001</v>
      </c>
      <c r="AF177" s="10">
        <v>4.8149999999999901E-2</v>
      </c>
      <c r="AG177" s="10">
        <v>0.2482</v>
      </c>
      <c r="AH177">
        <v>6.3060000000000005E-2</v>
      </c>
    </row>
    <row r="178" spans="3:34">
      <c r="C178" s="11" t="s">
        <v>331</v>
      </c>
      <c r="D178" s="10" t="s">
        <v>1</v>
      </c>
      <c r="E178" s="10">
        <v>13.71</v>
      </c>
      <c r="F178" s="10">
        <v>21.41</v>
      </c>
      <c r="G178" s="10">
        <v>82.019999999999897</v>
      </c>
      <c r="H178" s="10">
        <v>507.39999999999901</v>
      </c>
      <c r="I178" s="10">
        <v>8.7489999999999901E-2</v>
      </c>
      <c r="J178" s="10">
        <v>6.6009999999999902E-2</v>
      </c>
      <c r="K178" s="10">
        <v>3.1119999999999901E-2</v>
      </c>
      <c r="L178" s="10">
        <v>2.8639999999999902E-2</v>
      </c>
      <c r="M178" s="10">
        <v>0.1694</v>
      </c>
      <c r="N178" s="10">
        <v>6.2869999999999898E-2</v>
      </c>
      <c r="O178" s="10">
        <v>0.73109999999999897</v>
      </c>
      <c r="P178" s="10">
        <v>1.748</v>
      </c>
      <c r="Q178" s="10">
        <v>5.1180000000000003</v>
      </c>
      <c r="R178" s="10">
        <v>53.649999999999899</v>
      </c>
      <c r="S178" s="10">
        <v>4.5710000000000004E-3</v>
      </c>
      <c r="T178" s="10">
        <v>1.7899999999999899E-2</v>
      </c>
      <c r="U178" s="10">
        <v>2.1760000000000002E-2</v>
      </c>
      <c r="V178" s="10">
        <v>1.7569999999999902E-2</v>
      </c>
      <c r="W178" s="10">
        <v>3.3730000000000003E-2</v>
      </c>
      <c r="X178" s="10">
        <v>5.875E-3</v>
      </c>
      <c r="Y178" s="10">
        <v>13.75</v>
      </c>
      <c r="Z178" s="10">
        <v>23.5</v>
      </c>
      <c r="AA178" s="10">
        <v>89.04</v>
      </c>
      <c r="AB178" s="10">
        <v>579.5</v>
      </c>
      <c r="AC178" s="10">
        <v>9.3880000000000005E-2</v>
      </c>
      <c r="AD178" s="10">
        <v>8.9779999999999902E-2</v>
      </c>
      <c r="AE178" s="10">
        <v>5.1860000000000003E-2</v>
      </c>
      <c r="AF178" s="10">
        <v>4.7730000000000002E-2</v>
      </c>
      <c r="AG178" s="10">
        <v>0.21790000000000001</v>
      </c>
      <c r="AH178">
        <v>6.8709999999999896E-2</v>
      </c>
    </row>
    <row r="179" spans="3:34">
      <c r="C179" s="11" t="s">
        <v>332</v>
      </c>
      <c r="D179" s="10" t="s">
        <v>1</v>
      </c>
      <c r="E179" s="10">
        <v>13.71</v>
      </c>
      <c r="F179" s="10">
        <v>18.219999999999899</v>
      </c>
      <c r="G179" s="10">
        <v>60.729999999999897</v>
      </c>
      <c r="H179" s="10">
        <v>288.10000000000002</v>
      </c>
      <c r="I179" s="10">
        <v>6.9500000000000006E-2</v>
      </c>
      <c r="J179" s="10">
        <v>2.3439999999999898E-2</v>
      </c>
      <c r="K179" s="10">
        <v>0</v>
      </c>
      <c r="L179" s="10">
        <v>0</v>
      </c>
      <c r="M179" s="10">
        <v>0.1653</v>
      </c>
      <c r="N179" s="10">
        <v>6.447E-2</v>
      </c>
      <c r="O179" s="10">
        <v>0.35389999999999899</v>
      </c>
      <c r="P179" s="10">
        <v>4.88499999999999</v>
      </c>
      <c r="Q179" s="10">
        <v>2.23</v>
      </c>
      <c r="R179" s="10">
        <v>21.69</v>
      </c>
      <c r="S179" s="10">
        <v>1.7129999999999899E-3</v>
      </c>
      <c r="T179" s="10">
        <v>6.7359999999999903E-3</v>
      </c>
      <c r="U179" s="10">
        <v>0</v>
      </c>
      <c r="V179" s="10">
        <v>0</v>
      </c>
      <c r="W179" s="10">
        <v>3.7990000000000003E-2</v>
      </c>
      <c r="X179" s="10">
        <v>1.688E-3</v>
      </c>
      <c r="Y179" s="10">
        <v>9.968</v>
      </c>
      <c r="Z179" s="10">
        <v>20.829999999999899</v>
      </c>
      <c r="AA179" s="10">
        <v>62.25</v>
      </c>
      <c r="AB179" s="10">
        <v>303.8</v>
      </c>
      <c r="AC179" s="10">
        <v>7.11699999999999E-2</v>
      </c>
      <c r="AD179" s="10">
        <v>2.7289999999999901E-2</v>
      </c>
      <c r="AE179" s="10">
        <v>0</v>
      </c>
      <c r="AF179" s="10">
        <v>0</v>
      </c>
      <c r="AG179" s="10">
        <v>0.19089999999999899</v>
      </c>
      <c r="AH179">
        <v>6.5589999999999898E-2</v>
      </c>
    </row>
    <row r="180" spans="3:34">
      <c r="C180" s="11" t="s">
        <v>333</v>
      </c>
      <c r="D180" s="10" t="s">
        <v>0</v>
      </c>
      <c r="E180" s="10">
        <v>13.71</v>
      </c>
      <c r="F180" s="10">
        <v>26.8599999999999</v>
      </c>
      <c r="G180" s="10">
        <v>81.150000000000006</v>
      </c>
      <c r="H180" s="10">
        <v>477.39999999999901</v>
      </c>
      <c r="I180" s="10">
        <v>0.10340000000000001</v>
      </c>
      <c r="J180" s="10">
        <v>0.1353</v>
      </c>
      <c r="K180" s="10">
        <v>0.1085</v>
      </c>
      <c r="L180" s="10">
        <v>4.5620000000000001E-2</v>
      </c>
      <c r="M180" s="10">
        <v>0.1943</v>
      </c>
      <c r="N180" s="10">
        <v>6.9370000000000001E-2</v>
      </c>
      <c r="O180" s="10">
        <v>0.40529999999999899</v>
      </c>
      <c r="P180" s="10">
        <v>1.8089999999999899</v>
      </c>
      <c r="Q180" s="10">
        <v>2.6419999999999901</v>
      </c>
      <c r="R180" s="10">
        <v>34.439999999999898</v>
      </c>
      <c r="S180" s="10">
        <v>9.0980000000000002E-3</v>
      </c>
      <c r="T180" s="10">
        <v>3.8449999999999901E-2</v>
      </c>
      <c r="U180" s="10">
        <v>3.76299999999999E-2</v>
      </c>
      <c r="V180" s="10">
        <v>1.321E-2</v>
      </c>
      <c r="W180" s="10">
        <v>1.8780000000000002E-2</v>
      </c>
      <c r="X180" s="10">
        <v>5.672E-3</v>
      </c>
      <c r="Y180" s="10">
        <v>15.65</v>
      </c>
      <c r="Z180" s="10">
        <v>39.340000000000003</v>
      </c>
      <c r="AA180" s="10">
        <v>101.7</v>
      </c>
      <c r="AB180" s="10">
        <v>768.89999999999895</v>
      </c>
      <c r="AC180" s="10">
        <v>0.17849999999999899</v>
      </c>
      <c r="AD180" s="10">
        <v>0.47060000000000002</v>
      </c>
      <c r="AE180" s="10">
        <v>0.4425</v>
      </c>
      <c r="AF180" s="10">
        <v>0.1459</v>
      </c>
      <c r="AG180" s="10">
        <v>0.32150000000000001</v>
      </c>
      <c r="AH180">
        <v>0.1205</v>
      </c>
    </row>
    <row r="181" spans="3:34">
      <c r="C181" s="11" t="s">
        <v>334</v>
      </c>
      <c r="D181" s="10" t="s">
        <v>0</v>
      </c>
      <c r="E181" s="10">
        <v>13.71</v>
      </c>
      <c r="F181" s="10">
        <v>23.21</v>
      </c>
      <c r="G181" s="10">
        <v>100.4</v>
      </c>
      <c r="H181" s="10">
        <v>671.39999999999895</v>
      </c>
      <c r="I181" s="10">
        <v>0.10440000000000001</v>
      </c>
      <c r="J181" s="10">
        <v>0.19800000000000001</v>
      </c>
      <c r="K181" s="10">
        <v>0.16969999999999899</v>
      </c>
      <c r="L181" s="10">
        <v>8.8779999999999901E-2</v>
      </c>
      <c r="M181" s="10">
        <v>0.17369999999999899</v>
      </c>
      <c r="N181" s="10">
        <v>6.6720000000000002E-2</v>
      </c>
      <c r="O181" s="10">
        <v>0.27960000000000002</v>
      </c>
      <c r="P181" s="10">
        <v>0.96220000000000006</v>
      </c>
      <c r="Q181" s="10">
        <v>3.5910000000000002</v>
      </c>
      <c r="R181" s="10">
        <v>25.1999999999999</v>
      </c>
      <c r="S181" s="10">
        <v>8.0809999999999892E-3</v>
      </c>
      <c r="T181" s="10">
        <v>5.1220000000000002E-2</v>
      </c>
      <c r="U181" s="10">
        <v>5.55099999999999E-2</v>
      </c>
      <c r="V181" s="10">
        <v>1.883E-2</v>
      </c>
      <c r="W181" s="10">
        <v>2.545E-2</v>
      </c>
      <c r="X181" s="10">
        <v>4.3119999999999903E-3</v>
      </c>
      <c r="Y181" s="10">
        <v>16.079999999999899</v>
      </c>
      <c r="Z181" s="10">
        <v>27.78</v>
      </c>
      <c r="AA181" s="10">
        <v>118.599999999999</v>
      </c>
      <c r="AB181" s="10">
        <v>784.7</v>
      </c>
      <c r="AC181" s="10">
        <v>0.131599999999999</v>
      </c>
      <c r="AD181" s="10">
        <v>0.46479999999999899</v>
      </c>
      <c r="AE181" s="10">
        <v>0.45889999999999898</v>
      </c>
      <c r="AF181" s="10">
        <v>0.17269999999999899</v>
      </c>
      <c r="AG181" s="10">
        <v>0.29999999999999899</v>
      </c>
      <c r="AH181">
        <v>8.7010000000000004E-2</v>
      </c>
    </row>
    <row r="182" spans="3:34">
      <c r="C182" s="11" t="s">
        <v>335</v>
      </c>
      <c r="D182" s="10" t="s">
        <v>1</v>
      </c>
      <c r="E182" s="10">
        <v>13.71</v>
      </c>
      <c r="F182" s="10">
        <v>16.329999999999899</v>
      </c>
      <c r="G182" s="10">
        <v>82.53</v>
      </c>
      <c r="H182" s="10">
        <v>516.39999999999895</v>
      </c>
      <c r="I182" s="10">
        <v>7.9409999999999897E-2</v>
      </c>
      <c r="J182" s="10">
        <v>5.3659999999999902E-2</v>
      </c>
      <c r="K182" s="10">
        <v>3.8730000000000001E-2</v>
      </c>
      <c r="L182" s="10">
        <v>2.3769999999999899E-2</v>
      </c>
      <c r="M182" s="10">
        <v>0.18290000000000001</v>
      </c>
      <c r="N182" s="10">
        <v>5.6669999999999901E-2</v>
      </c>
      <c r="O182" s="10">
        <v>0.19420000000000001</v>
      </c>
      <c r="P182" s="10">
        <v>0.90859999999999896</v>
      </c>
      <c r="Q182" s="10">
        <v>1.4930000000000001</v>
      </c>
      <c r="R182" s="10">
        <v>15.75</v>
      </c>
      <c r="S182" s="10">
        <v>5.2979999999999902E-3</v>
      </c>
      <c r="T182" s="10">
        <v>1.5869999999999902E-2</v>
      </c>
      <c r="U182" s="10">
        <v>2.3210000000000001E-2</v>
      </c>
      <c r="V182" s="10">
        <v>8.4200000000000004E-3</v>
      </c>
      <c r="W182" s="10">
        <v>1.8530000000000001E-2</v>
      </c>
      <c r="X182" s="10">
        <v>2.1519999999999899E-3</v>
      </c>
      <c r="Y182" s="10">
        <v>13.88</v>
      </c>
      <c r="Z182" s="10">
        <v>22</v>
      </c>
      <c r="AA182" s="10">
        <v>90.81</v>
      </c>
      <c r="AB182" s="10">
        <v>600.6</v>
      </c>
      <c r="AC182" s="10">
        <v>0.10970000000000001</v>
      </c>
      <c r="AD182" s="10">
        <v>0.15060000000000001</v>
      </c>
      <c r="AE182" s="10">
        <v>0.1764</v>
      </c>
      <c r="AF182" s="10">
        <v>8.2350000000000007E-2</v>
      </c>
      <c r="AG182" s="10">
        <v>0.3024</v>
      </c>
      <c r="AH182">
        <v>6.9489999999999899E-2</v>
      </c>
    </row>
    <row r="183" spans="3:34">
      <c r="C183" s="11" t="s">
        <v>339</v>
      </c>
      <c r="D183" s="10" t="s">
        <v>0</v>
      </c>
      <c r="E183" s="10">
        <v>13.71</v>
      </c>
      <c r="F183" s="10">
        <v>20.219999999999899</v>
      </c>
      <c r="G183" s="10">
        <v>94.489999999999895</v>
      </c>
      <c r="H183" s="10">
        <v>642.70000000000005</v>
      </c>
      <c r="I183" s="10">
        <v>9.8720000000000002E-2</v>
      </c>
      <c r="J183" s="10">
        <v>0.1206</v>
      </c>
      <c r="K183" s="10">
        <v>0.11799999999999899</v>
      </c>
      <c r="L183" s="10">
        <v>5.9799999999999902E-2</v>
      </c>
      <c r="M183" s="10">
        <v>0.19500000000000001</v>
      </c>
      <c r="N183" s="10">
        <v>6.4659999999999898E-2</v>
      </c>
      <c r="O183" s="10">
        <v>0.2092</v>
      </c>
      <c r="P183" s="10">
        <v>0.65090000000000003</v>
      </c>
      <c r="Q183" s="10">
        <v>1.446</v>
      </c>
      <c r="R183" s="10">
        <v>19.420000000000002</v>
      </c>
      <c r="S183" s="10">
        <v>4.0439999999999903E-3</v>
      </c>
      <c r="T183" s="10">
        <v>1.5970000000000002E-2</v>
      </c>
      <c r="U183" s="10">
        <v>0.02</v>
      </c>
      <c r="V183" s="10">
        <v>7.3029999999999901E-3</v>
      </c>
      <c r="W183" s="10">
        <v>1.52199999999999E-2</v>
      </c>
      <c r="X183" s="10">
        <v>1.9759999999999899E-3</v>
      </c>
      <c r="Y183" s="10">
        <v>18.329999999999899</v>
      </c>
      <c r="Z183" s="10">
        <v>30.12</v>
      </c>
      <c r="AA183" s="10">
        <v>117.9</v>
      </c>
      <c r="AB183" s="10">
        <v>1044</v>
      </c>
      <c r="AC183" s="10">
        <v>0.1552</v>
      </c>
      <c r="AD183" s="10">
        <v>0.40560000000000002</v>
      </c>
      <c r="AE183" s="10">
        <v>0.49669999999999898</v>
      </c>
      <c r="AF183" s="10">
        <v>0.18379999999999899</v>
      </c>
      <c r="AG183" s="10">
        <v>0.4753</v>
      </c>
      <c r="AH183">
        <v>0.1013</v>
      </c>
    </row>
    <row r="184" spans="3:34">
      <c r="C184" s="11" t="s">
        <v>340</v>
      </c>
      <c r="D184" s="10" t="s">
        <v>1</v>
      </c>
      <c r="E184" s="10">
        <v>13.71</v>
      </c>
      <c r="F184" s="10">
        <v>19.559999999999899</v>
      </c>
      <c r="G184" s="10">
        <v>78.540000000000006</v>
      </c>
      <c r="H184" s="10">
        <v>461</v>
      </c>
      <c r="I184" s="10">
        <v>9.5860000000000001E-2</v>
      </c>
      <c r="J184" s="10">
        <v>8.08699999999999E-2</v>
      </c>
      <c r="K184" s="10">
        <v>4.18699999999999E-2</v>
      </c>
      <c r="L184" s="10">
        <v>4.1070000000000002E-2</v>
      </c>
      <c r="M184" s="10">
        <v>0.19789999999999899</v>
      </c>
      <c r="N184" s="10">
        <v>6.0130000000000003E-2</v>
      </c>
      <c r="O184" s="10">
        <v>0.35339999999999899</v>
      </c>
      <c r="P184" s="10">
        <v>1.3260000000000001</v>
      </c>
      <c r="Q184" s="10">
        <v>2.3079999999999901</v>
      </c>
      <c r="R184" s="10">
        <v>27.239999999999899</v>
      </c>
      <c r="S184" s="10">
        <v>7.5139999999999903E-3</v>
      </c>
      <c r="T184" s="10">
        <v>1.779E-2</v>
      </c>
      <c r="U184" s="10">
        <v>1.401E-2</v>
      </c>
      <c r="V184" s="10">
        <v>1.14E-2</v>
      </c>
      <c r="W184" s="10">
        <v>1.503E-2</v>
      </c>
      <c r="X184" s="10">
        <v>3.3379999999999898E-3</v>
      </c>
      <c r="Y184" s="10">
        <v>14.44</v>
      </c>
      <c r="Z184" s="10">
        <v>28.3599999999999</v>
      </c>
      <c r="AA184" s="10">
        <v>92.15</v>
      </c>
      <c r="AB184" s="10">
        <v>638.39999999999895</v>
      </c>
      <c r="AC184" s="10">
        <v>0.1429</v>
      </c>
      <c r="AD184" s="10">
        <v>0.20419999999999899</v>
      </c>
      <c r="AE184" s="10">
        <v>0.13769999999999899</v>
      </c>
      <c r="AF184" s="10">
        <v>0.108</v>
      </c>
      <c r="AG184" s="10">
        <v>0.26679999999999898</v>
      </c>
      <c r="AH184">
        <v>8.1739999999999896E-2</v>
      </c>
    </row>
    <row r="185" spans="3:34">
      <c r="C185" s="11" t="s">
        <v>341</v>
      </c>
      <c r="D185" s="10" t="s">
        <v>0</v>
      </c>
      <c r="E185" s="10">
        <v>13.71</v>
      </c>
      <c r="F185" s="10">
        <v>19.32</v>
      </c>
      <c r="G185" s="10">
        <v>115.099999999999</v>
      </c>
      <c r="H185" s="10">
        <v>951.6</v>
      </c>
      <c r="I185" s="10">
        <v>8.9679999999999899E-2</v>
      </c>
      <c r="J185" s="10">
        <v>0.1198</v>
      </c>
      <c r="K185" s="10">
        <v>0.1036</v>
      </c>
      <c r="L185" s="10">
        <v>7.4880000000000002E-2</v>
      </c>
      <c r="M185" s="10">
        <v>0.15060000000000001</v>
      </c>
      <c r="N185" s="10">
        <v>5.491E-2</v>
      </c>
      <c r="O185" s="10">
        <v>0.39710000000000001</v>
      </c>
      <c r="P185" s="10">
        <v>0.82820000000000005</v>
      </c>
      <c r="Q185" s="10">
        <v>3.0880000000000001</v>
      </c>
      <c r="R185" s="10">
        <v>40.729999999999897</v>
      </c>
      <c r="S185" s="10">
        <v>6.0899999999999904E-3</v>
      </c>
      <c r="T185" s="10">
        <v>2.5690000000000001E-2</v>
      </c>
      <c r="U185" s="10">
        <v>2.7130000000000001E-2</v>
      </c>
      <c r="V185" s="10">
        <v>1.345E-2</v>
      </c>
      <c r="W185" s="10">
        <v>1.5939999999999899E-2</v>
      </c>
      <c r="X185" s="10">
        <v>2.6580000000000002E-3</v>
      </c>
      <c r="Y185" s="10">
        <v>20.420000000000002</v>
      </c>
      <c r="Z185" s="10">
        <v>25.84</v>
      </c>
      <c r="AA185" s="10">
        <v>139.5</v>
      </c>
      <c r="AB185" s="10">
        <v>1239</v>
      </c>
      <c r="AC185" s="10">
        <v>0.1381</v>
      </c>
      <c r="AD185" s="10">
        <v>0.34200000000000003</v>
      </c>
      <c r="AE185" s="10">
        <v>0.3508</v>
      </c>
      <c r="AF185" s="10">
        <v>0.19389999999999899</v>
      </c>
      <c r="AG185" s="10">
        <v>0.2928</v>
      </c>
      <c r="AH185">
        <v>7.8670000000000004E-2</v>
      </c>
    </row>
    <row r="186" spans="3:34">
      <c r="C186" s="11" t="s">
        <v>343</v>
      </c>
      <c r="D186" s="10" t="s">
        <v>0</v>
      </c>
      <c r="E186" s="10">
        <v>13.71</v>
      </c>
      <c r="F186" s="10">
        <v>23.75</v>
      </c>
      <c r="G186" s="10">
        <v>91.56</v>
      </c>
      <c r="H186" s="10">
        <v>597.79999999999905</v>
      </c>
      <c r="I186" s="10">
        <v>0.1323</v>
      </c>
      <c r="J186" s="10">
        <v>0.17680000000000001</v>
      </c>
      <c r="K186" s="10">
        <v>0.15579999999999899</v>
      </c>
      <c r="L186" s="10">
        <v>9.1759999999999897E-2</v>
      </c>
      <c r="M186" s="10">
        <v>0.225099999999999</v>
      </c>
      <c r="N186" s="10">
        <v>7.4209999999999901E-2</v>
      </c>
      <c r="O186" s="10">
        <v>0.56479999999999897</v>
      </c>
      <c r="P186" s="10">
        <v>1.9299999999999899</v>
      </c>
      <c r="Q186" s="10">
        <v>3.90899999999999</v>
      </c>
      <c r="R186" s="10">
        <v>52.719999999999899</v>
      </c>
      <c r="S186" s="10">
        <v>8.8240000000000002E-3</v>
      </c>
      <c r="T186" s="10">
        <v>3.108E-2</v>
      </c>
      <c r="U186" s="10">
        <v>3.1119999999999901E-2</v>
      </c>
      <c r="V186" s="10">
        <v>1.291E-2</v>
      </c>
      <c r="W186" s="10">
        <v>1.9980000000000001E-2</v>
      </c>
      <c r="X186" s="10">
        <v>4.50599999999999E-3</v>
      </c>
      <c r="Y186" s="10">
        <v>19.1999999999999</v>
      </c>
      <c r="Z186" s="10">
        <v>41.85</v>
      </c>
      <c r="AA186" s="10">
        <v>128.5</v>
      </c>
      <c r="AB186" s="10">
        <v>1153</v>
      </c>
      <c r="AC186" s="10">
        <v>0.22259999999999899</v>
      </c>
      <c r="AD186" s="10">
        <v>0.52090000000000003</v>
      </c>
      <c r="AE186" s="10">
        <v>0.46460000000000001</v>
      </c>
      <c r="AF186" s="10">
        <v>0.20130000000000001</v>
      </c>
      <c r="AG186" s="10">
        <v>0.44319999999999898</v>
      </c>
      <c r="AH186">
        <v>0.1086</v>
      </c>
    </row>
    <row r="187" spans="3:34">
      <c r="C187" s="11" t="s">
        <v>344</v>
      </c>
      <c r="D187" s="10" t="s">
        <v>1</v>
      </c>
      <c r="E187" s="10">
        <v>13.71</v>
      </c>
      <c r="F187" s="10">
        <v>18.600000000000001</v>
      </c>
      <c r="G187" s="10">
        <v>81.09</v>
      </c>
      <c r="H187" s="10">
        <v>481.89999999999901</v>
      </c>
      <c r="I187" s="10">
        <v>9.9650000000000002E-2</v>
      </c>
      <c r="J187" s="10">
        <v>0.10580000000000001</v>
      </c>
      <c r="K187" s="10">
        <v>8.0049999999999899E-2</v>
      </c>
      <c r="L187" s="10">
        <v>3.8210000000000001E-2</v>
      </c>
      <c r="M187" s="10">
        <v>0.1925</v>
      </c>
      <c r="N187" s="10">
        <v>6.3729999999999898E-2</v>
      </c>
      <c r="O187" s="10">
        <v>0.39610000000000001</v>
      </c>
      <c r="P187" s="10">
        <v>1.044</v>
      </c>
      <c r="Q187" s="10">
        <v>2.4969999999999901</v>
      </c>
      <c r="R187" s="10">
        <v>30.2899999999999</v>
      </c>
      <c r="S187" s="10">
        <v>6.953E-3</v>
      </c>
      <c r="T187" s="10">
        <v>1.9109999999999901E-2</v>
      </c>
      <c r="U187" s="10">
        <v>2.7009999999999899E-2</v>
      </c>
      <c r="V187" s="10">
        <v>1.0370000000000001E-2</v>
      </c>
      <c r="W187" s="10">
        <v>1.7819999999999898E-2</v>
      </c>
      <c r="X187" s="10">
        <v>3.5860000000000002E-3</v>
      </c>
      <c r="Y187" s="10">
        <v>14.97</v>
      </c>
      <c r="Z187" s="10">
        <v>24.64</v>
      </c>
      <c r="AA187" s="10">
        <v>96.049999999999898</v>
      </c>
      <c r="AB187" s="10">
        <v>677.89999999999895</v>
      </c>
      <c r="AC187" s="10">
        <v>0.1426</v>
      </c>
      <c r="AD187" s="10">
        <v>0.23780000000000001</v>
      </c>
      <c r="AE187" s="10">
        <v>0.2671</v>
      </c>
      <c r="AF187" s="10">
        <v>0.10150000000000001</v>
      </c>
      <c r="AG187" s="10">
        <v>0.3014</v>
      </c>
      <c r="AH187">
        <v>8.7499999999999897E-2</v>
      </c>
    </row>
    <row r="188" spans="3:34">
      <c r="C188" s="11" t="s">
        <v>346</v>
      </c>
      <c r="D188" s="10" t="s">
        <v>1</v>
      </c>
      <c r="E188" s="10">
        <v>13.71</v>
      </c>
      <c r="F188" s="10">
        <v>17.27</v>
      </c>
      <c r="G188" s="10">
        <v>62.92</v>
      </c>
      <c r="H188" s="10">
        <v>295.39999999999901</v>
      </c>
      <c r="I188" s="10">
        <v>0.1089</v>
      </c>
      <c r="J188" s="10">
        <v>7.2319999999999898E-2</v>
      </c>
      <c r="K188" s="10">
        <v>1.7559999999999899E-2</v>
      </c>
      <c r="L188" s="10">
        <v>1.9519999999999899E-2</v>
      </c>
      <c r="M188" s="10">
        <v>0.19339999999999899</v>
      </c>
      <c r="N188" s="10">
        <v>6.2850000000000003E-2</v>
      </c>
      <c r="O188" s="10">
        <v>0.2137</v>
      </c>
      <c r="P188" s="10">
        <v>1.3420000000000001</v>
      </c>
      <c r="Q188" s="10">
        <v>1.5169999999999899</v>
      </c>
      <c r="R188" s="10">
        <v>12.33</v>
      </c>
      <c r="S188" s="10">
        <v>9.7190000000000002E-3</v>
      </c>
      <c r="T188" s="10">
        <v>1.24899999999999E-2</v>
      </c>
      <c r="U188" s="10">
        <v>7.9749999999999908E-3</v>
      </c>
      <c r="V188" s="10">
        <v>7.5269999999999903E-3</v>
      </c>
      <c r="W188" s="10">
        <v>2.2100000000000002E-2</v>
      </c>
      <c r="X188" s="10">
        <v>2.4719999999999898E-3</v>
      </c>
      <c r="Y188" s="10">
        <v>10.42</v>
      </c>
      <c r="Z188" s="10">
        <v>23.219999999999899</v>
      </c>
      <c r="AA188" s="10">
        <v>67.079999999999899</v>
      </c>
      <c r="AB188" s="10">
        <v>331.6</v>
      </c>
      <c r="AC188" s="10">
        <v>0.14149999999999899</v>
      </c>
      <c r="AD188" s="10">
        <v>0.12470000000000001</v>
      </c>
      <c r="AE188" s="10">
        <v>6.2129999999999901E-2</v>
      </c>
      <c r="AF188" s="10">
        <v>5.5879999999999902E-2</v>
      </c>
      <c r="AG188" s="10">
        <v>0.2989</v>
      </c>
      <c r="AH188">
        <v>7.3800000000000004E-2</v>
      </c>
    </row>
    <row r="189" spans="3:34">
      <c r="C189" s="11" t="s">
        <v>347</v>
      </c>
      <c r="D189" s="10" t="s">
        <v>0</v>
      </c>
      <c r="E189" s="10">
        <v>13.71</v>
      </c>
      <c r="F189" s="10">
        <v>20.260000000000002</v>
      </c>
      <c r="G189" s="10">
        <v>109.7</v>
      </c>
      <c r="H189" s="10">
        <v>904.29999999999905</v>
      </c>
      <c r="I189" s="10">
        <v>8.7720000000000006E-2</v>
      </c>
      <c r="J189" s="10">
        <v>7.3039999999999897E-2</v>
      </c>
      <c r="K189" s="10">
        <v>6.9500000000000006E-2</v>
      </c>
      <c r="L189" s="10">
        <v>5.3900000000000003E-2</v>
      </c>
      <c r="M189" s="10">
        <v>0.2026</v>
      </c>
      <c r="N189" s="10">
        <v>5.2229999999999902E-2</v>
      </c>
      <c r="O189" s="10">
        <v>0.58579999999999899</v>
      </c>
      <c r="P189" s="10">
        <v>0.85540000000000005</v>
      </c>
      <c r="Q189" s="10">
        <v>4.1059999999999901</v>
      </c>
      <c r="R189" s="10">
        <v>68.459999999999894</v>
      </c>
      <c r="S189" s="10">
        <v>5.0379999999999904E-3</v>
      </c>
      <c r="T189" s="10">
        <v>1.503E-2</v>
      </c>
      <c r="U189" s="10">
        <v>1.9460000000000002E-2</v>
      </c>
      <c r="V189" s="10">
        <v>1.123E-2</v>
      </c>
      <c r="W189" s="10">
        <v>2.2939999999999901E-2</v>
      </c>
      <c r="X189" s="10">
        <v>2.581E-3</v>
      </c>
      <c r="Y189" s="10">
        <v>19.8</v>
      </c>
      <c r="Z189" s="10">
        <v>25.05</v>
      </c>
      <c r="AA189" s="10">
        <v>130</v>
      </c>
      <c r="AB189" s="10">
        <v>1210</v>
      </c>
      <c r="AC189" s="10">
        <v>0.1111</v>
      </c>
      <c r="AD189" s="10">
        <v>0.14860000000000001</v>
      </c>
      <c r="AE189" s="10">
        <v>0.19320000000000001</v>
      </c>
      <c r="AF189" s="10">
        <v>0.1096</v>
      </c>
      <c r="AG189" s="10">
        <v>0.32750000000000001</v>
      </c>
      <c r="AH189">
        <v>6.46899999999999E-2</v>
      </c>
    </row>
    <row r="190" spans="3:34">
      <c r="C190" s="11" t="s">
        <v>348</v>
      </c>
      <c r="D190" s="10" t="s">
        <v>1</v>
      </c>
      <c r="E190" s="10">
        <v>13.71</v>
      </c>
      <c r="F190" s="10">
        <v>22.5399999999999</v>
      </c>
      <c r="G190" s="10">
        <v>87.019999999999897</v>
      </c>
      <c r="H190" s="10">
        <v>529.39999999999895</v>
      </c>
      <c r="I190" s="10">
        <v>0.1002</v>
      </c>
      <c r="J190" s="10">
        <v>0.14829999999999899</v>
      </c>
      <c r="K190" s="10">
        <v>8.7050000000000002E-2</v>
      </c>
      <c r="L190" s="10">
        <v>5.1020000000000003E-2</v>
      </c>
      <c r="M190" s="10">
        <v>0.185</v>
      </c>
      <c r="N190" s="10">
        <v>7.3099999999999901E-2</v>
      </c>
      <c r="O190" s="10">
        <v>0.19309999999999899</v>
      </c>
      <c r="P190" s="10">
        <v>0.92230000000000001</v>
      </c>
      <c r="Q190" s="10">
        <v>1.4910000000000001</v>
      </c>
      <c r="R190" s="10">
        <v>15.09</v>
      </c>
      <c r="S190" s="10">
        <v>5.2509999999999901E-3</v>
      </c>
      <c r="T190" s="10">
        <v>3.041E-2</v>
      </c>
      <c r="U190" s="10">
        <v>2.5260000000000001E-2</v>
      </c>
      <c r="V190" s="10">
        <v>8.3040000000000006E-3</v>
      </c>
      <c r="W190" s="10">
        <v>2.5139999999999899E-2</v>
      </c>
      <c r="X190" s="10">
        <v>4.1980000000000003E-3</v>
      </c>
      <c r="Y190" s="10">
        <v>14.55</v>
      </c>
      <c r="Z190" s="10">
        <v>29.16</v>
      </c>
      <c r="AA190" s="10">
        <v>99.48</v>
      </c>
      <c r="AB190" s="10">
        <v>639.29999999999905</v>
      </c>
      <c r="AC190" s="10">
        <v>0.13489999999999899</v>
      </c>
      <c r="AD190" s="10">
        <v>0.44019999999999898</v>
      </c>
      <c r="AE190" s="10">
        <v>0.31619999999999898</v>
      </c>
      <c r="AF190" s="10">
        <v>0.11260000000000001</v>
      </c>
      <c r="AG190" s="10">
        <v>0.4128</v>
      </c>
      <c r="AH190">
        <v>0.1076</v>
      </c>
    </row>
    <row r="191" spans="3:34">
      <c r="C191" s="11" t="s">
        <v>349</v>
      </c>
      <c r="D191" s="10" t="s">
        <v>1</v>
      </c>
      <c r="E191" s="10">
        <v>13.71</v>
      </c>
      <c r="F191" s="10">
        <v>12.91</v>
      </c>
      <c r="G191" s="10">
        <v>98.17</v>
      </c>
      <c r="H191" s="10">
        <v>725.5</v>
      </c>
      <c r="I191" s="10">
        <v>8.1820000000000004E-2</v>
      </c>
      <c r="J191" s="10">
        <v>6.2300000000000001E-2</v>
      </c>
      <c r="K191" s="10">
        <v>5.892E-2</v>
      </c>
      <c r="L191" s="10">
        <v>3.1570000000000001E-2</v>
      </c>
      <c r="M191" s="10">
        <v>0.13589999999999899</v>
      </c>
      <c r="N191" s="10">
        <v>5.5259999999999899E-2</v>
      </c>
      <c r="O191" s="10">
        <v>0.21340000000000001</v>
      </c>
      <c r="P191" s="10">
        <v>0.36280000000000001</v>
      </c>
      <c r="Q191" s="10">
        <v>1.5249999999999899</v>
      </c>
      <c r="R191" s="10">
        <v>20</v>
      </c>
      <c r="S191" s="10">
        <v>4.2909999999999901E-3</v>
      </c>
      <c r="T191" s="10">
        <v>1.2359999999999901E-2</v>
      </c>
      <c r="U191" s="10">
        <v>1.8409999999999899E-2</v>
      </c>
      <c r="V191" s="10">
        <v>7.3730000000000002E-3</v>
      </c>
      <c r="W191" s="10">
        <v>9.5390000000000006E-3</v>
      </c>
      <c r="X191" s="10">
        <v>1.6559999999999899E-3</v>
      </c>
      <c r="Y191" s="10">
        <v>17.3799999999999</v>
      </c>
      <c r="Z191" s="10">
        <v>15.92</v>
      </c>
      <c r="AA191" s="10">
        <v>113.7</v>
      </c>
      <c r="AB191" s="10">
        <v>932.7</v>
      </c>
      <c r="AC191" s="10">
        <v>0.1222</v>
      </c>
      <c r="AD191" s="10">
        <v>0.21859999999999899</v>
      </c>
      <c r="AE191" s="10">
        <v>0.29620000000000002</v>
      </c>
      <c r="AF191" s="10">
        <v>0.103499999999999</v>
      </c>
      <c r="AG191" s="10">
        <v>0.23200000000000001</v>
      </c>
      <c r="AH191">
        <v>7.4740000000000001E-2</v>
      </c>
    </row>
    <row r="192" spans="3:34">
      <c r="C192" s="11" t="s">
        <v>350</v>
      </c>
      <c r="D192" s="10" t="s">
        <v>0</v>
      </c>
      <c r="E192" s="10">
        <v>13.71</v>
      </c>
      <c r="F192" s="10">
        <v>22.14</v>
      </c>
      <c r="G192" s="10">
        <v>134.69999999999899</v>
      </c>
      <c r="H192" s="10">
        <v>1290</v>
      </c>
      <c r="I192" s="10">
        <v>9.0899999999999898E-2</v>
      </c>
      <c r="J192" s="10">
        <v>0.1348</v>
      </c>
      <c r="K192" s="10">
        <v>0.16400000000000001</v>
      </c>
      <c r="L192" s="10">
        <v>9.5610000000000001E-2</v>
      </c>
      <c r="M192" s="10">
        <v>0.17649999999999899</v>
      </c>
      <c r="N192" s="10">
        <v>5.024E-2</v>
      </c>
      <c r="O192" s="10">
        <v>0.86009999999999898</v>
      </c>
      <c r="P192" s="10">
        <v>1.48</v>
      </c>
      <c r="Q192" s="10">
        <v>7.0289999999999901</v>
      </c>
      <c r="R192" s="10">
        <v>111.7</v>
      </c>
      <c r="S192" s="10">
        <v>8.1239999999999906E-3</v>
      </c>
      <c r="T192" s="10">
        <v>3.6110000000000003E-2</v>
      </c>
      <c r="U192" s="10">
        <v>5.4890000000000001E-2</v>
      </c>
      <c r="V192" s="10">
        <v>2.7650000000000001E-2</v>
      </c>
      <c r="W192" s="10">
        <v>3.1759999999999899E-2</v>
      </c>
      <c r="X192" s="10">
        <v>2.3649999999999899E-3</v>
      </c>
      <c r="Y192" s="10">
        <v>23.239999999999899</v>
      </c>
      <c r="Z192" s="10">
        <v>27.84</v>
      </c>
      <c r="AA192" s="10">
        <v>158.30000000000001</v>
      </c>
      <c r="AB192" s="10">
        <v>1656</v>
      </c>
      <c r="AC192" s="10">
        <v>0.1178</v>
      </c>
      <c r="AD192" s="10">
        <v>0.29199999999999898</v>
      </c>
      <c r="AE192" s="10">
        <v>0.3861</v>
      </c>
      <c r="AF192" s="10">
        <v>0.192</v>
      </c>
      <c r="AG192" s="10">
        <v>0.29089999999999899</v>
      </c>
      <c r="AH192">
        <v>5.8650000000000001E-2</v>
      </c>
    </row>
    <row r="193" spans="3:34">
      <c r="C193" s="11" t="s">
        <v>351</v>
      </c>
      <c r="D193" s="10" t="s">
        <v>1</v>
      </c>
      <c r="E193" s="10">
        <v>13.71</v>
      </c>
      <c r="F193" s="10">
        <v>18.940000000000001</v>
      </c>
      <c r="G193" s="10">
        <v>75.510000000000005</v>
      </c>
      <c r="H193" s="10">
        <v>428</v>
      </c>
      <c r="I193" s="10">
        <v>8.87099999999999E-2</v>
      </c>
      <c r="J193" s="10">
        <v>6.9000000000000006E-2</v>
      </c>
      <c r="K193" s="10">
        <v>2.6689999999999901E-2</v>
      </c>
      <c r="L193" s="10">
        <v>1.393E-2</v>
      </c>
      <c r="M193" s="10">
        <v>0.15329999999999899</v>
      </c>
      <c r="N193" s="10">
        <v>6.0569999999999902E-2</v>
      </c>
      <c r="O193" s="10">
        <v>0.22220000000000001</v>
      </c>
      <c r="P193" s="10">
        <v>0.86519999999999897</v>
      </c>
      <c r="Q193" s="10">
        <v>1.444</v>
      </c>
      <c r="R193" s="10">
        <v>17.12</v>
      </c>
      <c r="S193" s="10">
        <v>5.5170000000000002E-3</v>
      </c>
      <c r="T193" s="10">
        <v>1.7270000000000001E-2</v>
      </c>
      <c r="U193" s="10">
        <v>2.0449999999999899E-2</v>
      </c>
      <c r="V193" s="10">
        <v>6.7470000000000004E-3</v>
      </c>
      <c r="W193" s="10">
        <v>1.6160000000000001E-2</v>
      </c>
      <c r="X193" s="10">
        <v>2.9220000000000001E-3</v>
      </c>
      <c r="Y193" s="10">
        <v>13.3</v>
      </c>
      <c r="Z193" s="10">
        <v>24.989999999999899</v>
      </c>
      <c r="AA193" s="10">
        <v>85.219999999999899</v>
      </c>
      <c r="AB193" s="10">
        <v>546.29999999999905</v>
      </c>
      <c r="AC193" s="10">
        <v>0.128</v>
      </c>
      <c r="AD193" s="10">
        <v>0.188</v>
      </c>
      <c r="AE193" s="10">
        <v>0.14710000000000001</v>
      </c>
      <c r="AF193" s="10">
        <v>6.91299999999999E-2</v>
      </c>
      <c r="AG193" s="10">
        <v>0.2535</v>
      </c>
      <c r="AH193">
        <v>7.9930000000000001E-2</v>
      </c>
    </row>
    <row r="194" spans="3:34">
      <c r="C194" s="11" t="s">
        <v>353</v>
      </c>
      <c r="D194" s="10" t="s">
        <v>0</v>
      </c>
      <c r="E194" s="10">
        <v>13.71</v>
      </c>
      <c r="F194" s="10">
        <v>25.559999999999899</v>
      </c>
      <c r="G194" s="10">
        <v>114.5</v>
      </c>
      <c r="H194" s="10">
        <v>948</v>
      </c>
      <c r="I194" s="10">
        <v>0.100599999999999</v>
      </c>
      <c r="J194" s="10">
        <v>0.11459999999999899</v>
      </c>
      <c r="K194" s="10">
        <v>0.16819999999999899</v>
      </c>
      <c r="L194" s="10">
        <v>6.5970000000000001E-2</v>
      </c>
      <c r="M194" s="10">
        <v>0.1308</v>
      </c>
      <c r="N194" s="10">
        <v>5.86599999999999E-2</v>
      </c>
      <c r="O194" s="10">
        <v>0.52959999999999896</v>
      </c>
      <c r="P194" s="10">
        <v>1.667</v>
      </c>
      <c r="Q194" s="10">
        <v>3.7669999999999901</v>
      </c>
      <c r="R194" s="10">
        <v>58.53</v>
      </c>
      <c r="S194" s="10">
        <v>3.1130000000000001E-2</v>
      </c>
      <c r="T194" s="10">
        <v>8.5550000000000001E-2</v>
      </c>
      <c r="U194" s="10">
        <v>0.14380000000000001</v>
      </c>
      <c r="V194" s="10">
        <v>3.9269999999999902E-2</v>
      </c>
      <c r="W194" s="10">
        <v>2.1749999999999901E-2</v>
      </c>
      <c r="X194" s="10">
        <v>1.256E-2</v>
      </c>
      <c r="Y194" s="10">
        <v>18.07</v>
      </c>
      <c r="Z194" s="10">
        <v>28.07</v>
      </c>
      <c r="AA194" s="10">
        <v>120.4</v>
      </c>
      <c r="AB194" s="10">
        <v>1021</v>
      </c>
      <c r="AC194" s="10">
        <v>0.12429999999999899</v>
      </c>
      <c r="AD194" s="10">
        <v>0.17929999999999899</v>
      </c>
      <c r="AE194" s="10">
        <v>0.28029999999999899</v>
      </c>
      <c r="AF194" s="10">
        <v>0.1099</v>
      </c>
      <c r="AG194" s="10">
        <v>0.1603</v>
      </c>
      <c r="AH194">
        <v>6.8180000000000004E-2</v>
      </c>
    </row>
    <row r="195" spans="3:34">
      <c r="C195" s="11" t="s">
        <v>354</v>
      </c>
      <c r="D195" s="10" t="s">
        <v>0</v>
      </c>
      <c r="E195" s="10">
        <v>13.71</v>
      </c>
      <c r="F195" s="10">
        <v>23.809999999999899</v>
      </c>
      <c r="G195" s="10">
        <v>92.87</v>
      </c>
      <c r="H195" s="10">
        <v>610.70000000000005</v>
      </c>
      <c r="I195" s="10">
        <v>9.4630000000000006E-2</v>
      </c>
      <c r="J195" s="10">
        <v>0.13059999999999899</v>
      </c>
      <c r="K195" s="10">
        <v>0.1115</v>
      </c>
      <c r="L195" s="10">
        <v>6.46199999999999E-2</v>
      </c>
      <c r="M195" s="10">
        <v>0.2235</v>
      </c>
      <c r="N195" s="10">
        <v>6.4329999999999901E-2</v>
      </c>
      <c r="O195" s="10">
        <v>0.42070000000000002</v>
      </c>
      <c r="P195" s="10">
        <v>1.845</v>
      </c>
      <c r="Q195" s="10">
        <v>3.53399999999999</v>
      </c>
      <c r="R195" s="10">
        <v>31</v>
      </c>
      <c r="S195" s="10">
        <v>1.0880000000000001E-2</v>
      </c>
      <c r="T195" s="10">
        <v>3.7100000000000001E-2</v>
      </c>
      <c r="U195" s="10">
        <v>3.6880000000000003E-2</v>
      </c>
      <c r="V195" s="10">
        <v>1.627E-2</v>
      </c>
      <c r="W195" s="10">
        <v>4.4990000000000002E-2</v>
      </c>
      <c r="X195" s="10">
        <v>4.7679999999999901E-3</v>
      </c>
      <c r="Y195" s="10">
        <v>16.8599999999999</v>
      </c>
      <c r="Z195" s="10">
        <v>34.85</v>
      </c>
      <c r="AA195" s="10">
        <v>115</v>
      </c>
      <c r="AB195" s="10">
        <v>811.29999999999905</v>
      </c>
      <c r="AC195" s="10">
        <v>0.15590000000000001</v>
      </c>
      <c r="AD195" s="10">
        <v>0.40589999999999898</v>
      </c>
      <c r="AE195" s="10">
        <v>0.37440000000000001</v>
      </c>
      <c r="AF195" s="10">
        <v>0.1772</v>
      </c>
      <c r="AG195" s="10">
        <v>0.47239999999999899</v>
      </c>
      <c r="AH195">
        <v>0.1026</v>
      </c>
    </row>
    <row r="196" spans="3:34">
      <c r="C196" s="11" t="s">
        <v>356</v>
      </c>
      <c r="D196" s="10" t="s">
        <v>1</v>
      </c>
      <c r="E196" s="10">
        <v>13.71</v>
      </c>
      <c r="F196" s="10">
        <v>18.350000000000001</v>
      </c>
      <c r="G196" s="10">
        <v>77.319999999999894</v>
      </c>
      <c r="H196" s="10">
        <v>432.19999999999902</v>
      </c>
      <c r="I196" s="10">
        <v>9.3630000000000005E-2</v>
      </c>
      <c r="J196" s="10">
        <v>0.1154</v>
      </c>
      <c r="K196" s="10">
        <v>6.6360000000000002E-2</v>
      </c>
      <c r="L196" s="10">
        <v>3.1419999999999899E-2</v>
      </c>
      <c r="M196" s="10">
        <v>0.19670000000000001</v>
      </c>
      <c r="N196" s="10">
        <v>6.3140000000000002E-2</v>
      </c>
      <c r="O196" s="10">
        <v>0.29630000000000001</v>
      </c>
      <c r="P196" s="10">
        <v>1.56299999999999</v>
      </c>
      <c r="Q196" s="10">
        <v>2.0870000000000002</v>
      </c>
      <c r="R196" s="10">
        <v>21.46</v>
      </c>
      <c r="S196" s="10">
        <v>8.8719999999999893E-3</v>
      </c>
      <c r="T196" s="10">
        <v>4.1919999999999902E-2</v>
      </c>
      <c r="U196" s="10">
        <v>5.9459999999999902E-2</v>
      </c>
      <c r="V196" s="10">
        <v>1.7850000000000001E-2</v>
      </c>
      <c r="W196" s="10">
        <v>2.793E-2</v>
      </c>
      <c r="X196" s="10">
        <v>4.7749999999999902E-3</v>
      </c>
      <c r="Y196" s="10">
        <v>13.25</v>
      </c>
      <c r="Z196" s="10">
        <v>27.1</v>
      </c>
      <c r="AA196" s="10">
        <v>86.2</v>
      </c>
      <c r="AB196" s="10">
        <v>531.20000000000005</v>
      </c>
      <c r="AC196" s="10">
        <v>0.14050000000000001</v>
      </c>
      <c r="AD196" s="10">
        <v>0.30459999999999898</v>
      </c>
      <c r="AE196" s="10">
        <v>0.28060000000000002</v>
      </c>
      <c r="AF196" s="10">
        <v>0.1138</v>
      </c>
      <c r="AG196" s="10">
        <v>0.3397</v>
      </c>
      <c r="AH196">
        <v>8.3650000000000002E-2</v>
      </c>
    </row>
    <row r="197" spans="3:34">
      <c r="C197" s="11" t="s">
        <v>357</v>
      </c>
      <c r="D197" s="10" t="s">
        <v>1</v>
      </c>
      <c r="E197" s="10">
        <v>13.71</v>
      </c>
      <c r="F197" s="10">
        <v>17.48</v>
      </c>
      <c r="G197" s="10">
        <v>65.049999999999898</v>
      </c>
      <c r="H197" s="10">
        <v>321.19999999999902</v>
      </c>
      <c r="I197" s="10">
        <v>8.054E-2</v>
      </c>
      <c r="J197" s="10">
        <v>5.90699999999999E-2</v>
      </c>
      <c r="K197" s="10">
        <v>5.774E-2</v>
      </c>
      <c r="L197" s="10">
        <v>1.0710000000000001E-2</v>
      </c>
      <c r="M197" s="10">
        <v>0.19639999999999899</v>
      </c>
      <c r="N197" s="10">
        <v>6.3149999999999901E-2</v>
      </c>
      <c r="O197" s="10">
        <v>0.35670000000000002</v>
      </c>
      <c r="P197" s="10">
        <v>1.9219999999999899</v>
      </c>
      <c r="Q197" s="10">
        <v>2.7469999999999901</v>
      </c>
      <c r="R197" s="10">
        <v>22.7899999999999</v>
      </c>
      <c r="S197" s="10">
        <v>4.6800000000000001E-3</v>
      </c>
      <c r="T197" s="10">
        <v>3.1199999999999901E-2</v>
      </c>
      <c r="U197" s="10">
        <v>5.774E-2</v>
      </c>
      <c r="V197" s="10">
        <v>1.0710000000000001E-2</v>
      </c>
      <c r="W197" s="10">
        <v>2.5600000000000001E-2</v>
      </c>
      <c r="X197" s="10">
        <v>4.6129999999999904E-3</v>
      </c>
      <c r="Y197" s="10">
        <v>11.48</v>
      </c>
      <c r="Z197" s="10">
        <v>24.469999999999899</v>
      </c>
      <c r="AA197" s="10">
        <v>75.400000000000006</v>
      </c>
      <c r="AB197" s="10">
        <v>403.69999999999902</v>
      </c>
      <c r="AC197" s="10">
        <v>9.5269999999999896E-2</v>
      </c>
      <c r="AD197" s="10">
        <v>0.13969999999999899</v>
      </c>
      <c r="AE197" s="10">
        <v>0.1925</v>
      </c>
      <c r="AF197" s="10">
        <v>3.5709999999999902E-2</v>
      </c>
      <c r="AG197" s="10">
        <v>0.2868</v>
      </c>
      <c r="AH197">
        <v>7.8090000000000007E-2</v>
      </c>
    </row>
    <row r="198" spans="3:34">
      <c r="C198" s="11" t="s">
        <v>358</v>
      </c>
      <c r="D198" s="10" t="s">
        <v>0</v>
      </c>
      <c r="E198" s="10">
        <v>13.71</v>
      </c>
      <c r="F198" s="10">
        <v>21.559999999999899</v>
      </c>
      <c r="G198" s="10">
        <v>129.69999999999899</v>
      </c>
      <c r="H198" s="10">
        <v>1230</v>
      </c>
      <c r="I198" s="10">
        <v>9.38299999999999E-2</v>
      </c>
      <c r="J198" s="10">
        <v>0.13059999999999899</v>
      </c>
      <c r="K198" s="10">
        <v>0.12720000000000001</v>
      </c>
      <c r="L198" s="10">
        <v>8.6910000000000001E-2</v>
      </c>
      <c r="M198" s="10">
        <v>0.2094</v>
      </c>
      <c r="N198" s="10">
        <v>5.5809999999999901E-2</v>
      </c>
      <c r="O198" s="10">
        <v>0.95530000000000004</v>
      </c>
      <c r="P198" s="10">
        <v>1.18599999999999</v>
      </c>
      <c r="Q198" s="10">
        <v>6.4870000000000001</v>
      </c>
      <c r="R198" s="10">
        <v>124.4</v>
      </c>
      <c r="S198" s="10">
        <v>6.8040000000000002E-3</v>
      </c>
      <c r="T198" s="10">
        <v>3.1690000000000003E-2</v>
      </c>
      <c r="U198" s="10">
        <v>3.44599999999999E-2</v>
      </c>
      <c r="V198" s="10">
        <v>1.712E-2</v>
      </c>
      <c r="W198" s="10">
        <v>1.8970000000000001E-2</v>
      </c>
      <c r="X198" s="10">
        <v>4.045E-3</v>
      </c>
      <c r="Y198" s="10">
        <v>25.73</v>
      </c>
      <c r="Z198" s="10">
        <v>28.64</v>
      </c>
      <c r="AA198" s="10">
        <v>170.3</v>
      </c>
      <c r="AB198" s="10">
        <v>2009</v>
      </c>
      <c r="AC198" s="10">
        <v>0.1353</v>
      </c>
      <c r="AD198" s="10">
        <v>0.32350000000000001</v>
      </c>
      <c r="AE198" s="10">
        <v>0.36170000000000002</v>
      </c>
      <c r="AF198" s="10">
        <v>0.182</v>
      </c>
      <c r="AG198" s="10">
        <v>0.307</v>
      </c>
      <c r="AH198">
        <v>8.2549999999999901E-2</v>
      </c>
    </row>
    <row r="199" spans="3:34">
      <c r="C199" s="11" t="s">
        <v>359</v>
      </c>
      <c r="D199" s="10" t="s">
        <v>0</v>
      </c>
      <c r="E199" s="10">
        <v>13.71</v>
      </c>
      <c r="F199" s="10">
        <v>32.469999999999899</v>
      </c>
      <c r="G199" s="10">
        <v>128</v>
      </c>
      <c r="H199" s="10">
        <v>1223</v>
      </c>
      <c r="I199" s="10">
        <v>8.41999999999999E-2</v>
      </c>
      <c r="J199" s="10">
        <v>0.113</v>
      </c>
      <c r="K199" s="10">
        <v>0.1145</v>
      </c>
      <c r="L199" s="10">
        <v>6.6369999999999901E-2</v>
      </c>
      <c r="M199" s="10">
        <v>0.14280000000000001</v>
      </c>
      <c r="N199" s="10">
        <v>5.31299999999999E-2</v>
      </c>
      <c r="O199" s="10">
        <v>0.73919999999999897</v>
      </c>
      <c r="P199" s="10">
        <v>1.321</v>
      </c>
      <c r="Q199" s="10">
        <v>4.7220000000000004</v>
      </c>
      <c r="R199" s="10">
        <v>109.9</v>
      </c>
      <c r="S199" s="10">
        <v>5.5389999999999901E-3</v>
      </c>
      <c r="T199" s="10">
        <v>2.6440000000000002E-2</v>
      </c>
      <c r="U199" s="10">
        <v>2.664E-2</v>
      </c>
      <c r="V199" s="10">
        <v>1.078E-2</v>
      </c>
      <c r="W199" s="10">
        <v>1.332E-2</v>
      </c>
      <c r="X199" s="10">
        <v>2.2560000000000002E-3</v>
      </c>
      <c r="Y199" s="10">
        <v>27.899999999999899</v>
      </c>
      <c r="Z199" s="10">
        <v>45.409999999999897</v>
      </c>
      <c r="AA199" s="10">
        <v>180.19999999999899</v>
      </c>
      <c r="AB199" s="10">
        <v>2477</v>
      </c>
      <c r="AC199" s="10">
        <v>0.14080000000000001</v>
      </c>
      <c r="AD199" s="10">
        <v>0.40970000000000001</v>
      </c>
      <c r="AE199" s="10">
        <v>0.39950000000000002</v>
      </c>
      <c r="AF199" s="10">
        <v>0.16250000000000001</v>
      </c>
      <c r="AG199" s="10">
        <v>0.27129999999999899</v>
      </c>
      <c r="AH199">
        <v>7.56799999999999E-2</v>
      </c>
    </row>
    <row r="200" spans="3:34">
      <c r="C200" s="11" t="s">
        <v>360</v>
      </c>
      <c r="D200" s="10" t="s">
        <v>1</v>
      </c>
      <c r="E200" s="10">
        <v>13.71</v>
      </c>
      <c r="F200" s="10">
        <v>13.16</v>
      </c>
      <c r="G200" s="10">
        <v>87.879999999999896</v>
      </c>
      <c r="H200" s="10">
        <v>568.89999999999895</v>
      </c>
      <c r="I200" s="10">
        <v>9.6460000000000004E-2</v>
      </c>
      <c r="J200" s="10">
        <v>8.7110000000000007E-2</v>
      </c>
      <c r="K200" s="10">
        <v>3.8879999999999901E-2</v>
      </c>
      <c r="L200" s="10">
        <v>2.563E-2</v>
      </c>
      <c r="M200" s="10">
        <v>0.13600000000000001</v>
      </c>
      <c r="N200" s="10">
        <v>6.3439999999999899E-2</v>
      </c>
      <c r="O200" s="10">
        <v>0.2102</v>
      </c>
      <c r="P200" s="10">
        <v>0.43359999999999899</v>
      </c>
      <c r="Q200" s="10">
        <v>1.391</v>
      </c>
      <c r="R200" s="10">
        <v>17.399999999999899</v>
      </c>
      <c r="S200" s="10">
        <v>4.1330000000000004E-3</v>
      </c>
      <c r="T200" s="10">
        <v>1.695E-2</v>
      </c>
      <c r="U200" s="10">
        <v>1.652E-2</v>
      </c>
      <c r="V200" s="10">
        <v>6.659E-3</v>
      </c>
      <c r="W200" s="10">
        <v>1.371E-2</v>
      </c>
      <c r="X200" s="10">
        <v>2.735E-3</v>
      </c>
      <c r="Y200" s="10">
        <v>15.34</v>
      </c>
      <c r="Z200" s="10">
        <v>16.350000000000001</v>
      </c>
      <c r="AA200" s="10">
        <v>99.709999999999894</v>
      </c>
      <c r="AB200" s="10">
        <v>706.2</v>
      </c>
      <c r="AC200" s="10">
        <v>0.131099999999999</v>
      </c>
      <c r="AD200" s="10">
        <v>0.24740000000000001</v>
      </c>
      <c r="AE200" s="10">
        <v>0.1759</v>
      </c>
      <c r="AF200" s="10">
        <v>8.0560000000000007E-2</v>
      </c>
      <c r="AG200" s="10">
        <v>0.23799999999999899</v>
      </c>
      <c r="AH200">
        <v>8.7179999999999896E-2</v>
      </c>
    </row>
    <row r="201" spans="3:34">
      <c r="C201" s="11" t="s">
        <v>361</v>
      </c>
      <c r="D201" s="10" t="s">
        <v>1</v>
      </c>
      <c r="E201" s="10">
        <v>13.71</v>
      </c>
      <c r="F201" s="10">
        <v>13.9</v>
      </c>
      <c r="G201" s="10">
        <v>88.59</v>
      </c>
      <c r="H201" s="10">
        <v>561.29999999999905</v>
      </c>
      <c r="I201" s="10">
        <v>0.1051</v>
      </c>
      <c r="J201" s="10">
        <v>0.1192</v>
      </c>
      <c r="K201" s="10">
        <v>7.8600000000000003E-2</v>
      </c>
      <c r="L201" s="10">
        <v>4.4510000000000001E-2</v>
      </c>
      <c r="M201" s="10">
        <v>0.19620000000000001</v>
      </c>
      <c r="N201" s="10">
        <v>6.3030000000000003E-2</v>
      </c>
      <c r="O201" s="10">
        <v>0.25690000000000002</v>
      </c>
      <c r="P201" s="10">
        <v>0.49809999999999899</v>
      </c>
      <c r="Q201" s="10">
        <v>2.0110000000000001</v>
      </c>
      <c r="R201" s="10">
        <v>21.03</v>
      </c>
      <c r="S201" s="10">
        <v>5.8510000000000003E-3</v>
      </c>
      <c r="T201" s="10">
        <v>2.3140000000000001E-2</v>
      </c>
      <c r="U201" s="10">
        <v>2.5440000000000001E-2</v>
      </c>
      <c r="V201" s="10">
        <v>8.3599999999999907E-3</v>
      </c>
      <c r="W201" s="10">
        <v>1.8419999999999902E-2</v>
      </c>
      <c r="X201" s="10">
        <v>2.918E-3</v>
      </c>
      <c r="Y201" s="10">
        <v>14.98</v>
      </c>
      <c r="Z201" s="10">
        <v>17.1299999999999</v>
      </c>
      <c r="AA201" s="10">
        <v>101.099999999999</v>
      </c>
      <c r="AB201" s="10">
        <v>686.6</v>
      </c>
      <c r="AC201" s="10">
        <v>0.1376</v>
      </c>
      <c r="AD201" s="10">
        <v>0.26979999999999899</v>
      </c>
      <c r="AE201" s="10">
        <v>0.25769999999999899</v>
      </c>
      <c r="AF201" s="10">
        <v>9.0899999999999898E-2</v>
      </c>
      <c r="AG201" s="10">
        <v>0.306499999999999</v>
      </c>
      <c r="AH201">
        <v>8.1769999999999898E-2</v>
      </c>
    </row>
    <row r="202" spans="3:34">
      <c r="C202" s="11" t="s">
        <v>362</v>
      </c>
      <c r="D202" s="10" t="s">
        <v>1</v>
      </c>
      <c r="E202" s="10">
        <v>13.71</v>
      </c>
      <c r="F202" s="10">
        <v>17.53</v>
      </c>
      <c r="G202" s="10">
        <v>65.12</v>
      </c>
      <c r="H202" s="10">
        <v>313.10000000000002</v>
      </c>
      <c r="I202" s="10">
        <v>0.1061</v>
      </c>
      <c r="J202" s="10">
        <v>8.5019999999999901E-2</v>
      </c>
      <c r="K202" s="10">
        <v>1.7680000000000001E-2</v>
      </c>
      <c r="L202" s="10">
        <v>1.915E-2</v>
      </c>
      <c r="M202" s="10">
        <v>0.191</v>
      </c>
      <c r="N202" s="10">
        <v>6.9080000000000003E-2</v>
      </c>
      <c r="O202" s="10">
        <v>0.2467</v>
      </c>
      <c r="P202" s="10">
        <v>1.2170000000000001</v>
      </c>
      <c r="Q202" s="10">
        <v>1.641</v>
      </c>
      <c r="R202" s="10">
        <v>15.05</v>
      </c>
      <c r="S202" s="10">
        <v>7.8989999999999894E-3</v>
      </c>
      <c r="T202" s="10">
        <v>1.4E-2</v>
      </c>
      <c r="U202" s="10">
        <v>8.5339999999999895E-3</v>
      </c>
      <c r="V202" s="10">
        <v>7.6239999999999902E-3</v>
      </c>
      <c r="W202" s="10">
        <v>2.6370000000000001E-2</v>
      </c>
      <c r="X202" s="10">
        <v>3.761E-3</v>
      </c>
      <c r="Y202" s="10">
        <v>11.17</v>
      </c>
      <c r="Z202" s="10">
        <v>22.84</v>
      </c>
      <c r="AA202" s="10">
        <v>71.939999999999898</v>
      </c>
      <c r="AB202" s="10">
        <v>375.6</v>
      </c>
      <c r="AC202" s="10">
        <v>0.1406</v>
      </c>
      <c r="AD202" s="10">
        <v>0.14399999999999899</v>
      </c>
      <c r="AE202" s="10">
        <v>6.5720000000000001E-2</v>
      </c>
      <c r="AF202" s="10">
        <v>5.5750000000000001E-2</v>
      </c>
      <c r="AG202" s="10">
        <v>0.30549999999999899</v>
      </c>
      <c r="AH202">
        <v>8.7970000000000007E-2</v>
      </c>
    </row>
    <row r="203" spans="3:34">
      <c r="C203" s="11" t="s">
        <v>363</v>
      </c>
      <c r="D203" s="10" t="s">
        <v>0</v>
      </c>
      <c r="E203" s="10">
        <v>13.71</v>
      </c>
      <c r="F203" s="10">
        <v>20.25</v>
      </c>
      <c r="G203" s="10">
        <v>102.599999999999</v>
      </c>
      <c r="H203" s="10">
        <v>761.29999999999905</v>
      </c>
      <c r="I203" s="10">
        <v>0.10249999999999899</v>
      </c>
      <c r="J203" s="10">
        <v>0.12039999999999899</v>
      </c>
      <c r="K203" s="10">
        <v>0.1147</v>
      </c>
      <c r="L203" s="10">
        <v>6.46199999999999E-2</v>
      </c>
      <c r="M203" s="10">
        <v>0.19350000000000001</v>
      </c>
      <c r="N203" s="10">
        <v>6.3030000000000003E-2</v>
      </c>
      <c r="O203" s="10">
        <v>0.3473</v>
      </c>
      <c r="P203" s="10">
        <v>0.92090000000000005</v>
      </c>
      <c r="Q203" s="10">
        <v>2.2440000000000002</v>
      </c>
      <c r="R203" s="10">
        <v>32.189999999999898</v>
      </c>
      <c r="S203" s="10">
        <v>4.7660000000000003E-3</v>
      </c>
      <c r="T203" s="10">
        <v>2.3740000000000001E-2</v>
      </c>
      <c r="U203" s="10">
        <v>2.384E-2</v>
      </c>
      <c r="V203" s="10">
        <v>8.6370000000000006E-3</v>
      </c>
      <c r="W203" s="10">
        <v>1.772E-2</v>
      </c>
      <c r="X203" s="10">
        <v>3.1310000000000001E-3</v>
      </c>
      <c r="Y203" s="10">
        <v>19.559999999999899</v>
      </c>
      <c r="Z203" s="10">
        <v>30.2899999999999</v>
      </c>
      <c r="AA203" s="10">
        <v>125.9</v>
      </c>
      <c r="AB203" s="10">
        <v>1088</v>
      </c>
      <c r="AC203" s="10">
        <v>0.1552</v>
      </c>
      <c r="AD203" s="10">
        <v>0.44800000000000001</v>
      </c>
      <c r="AE203" s="10">
        <v>0.39760000000000001</v>
      </c>
      <c r="AF203" s="10">
        <v>0.1479</v>
      </c>
      <c r="AG203" s="10">
        <v>0.39929999999999899</v>
      </c>
      <c r="AH203">
        <v>0.106399999999999</v>
      </c>
    </row>
    <row r="204" spans="3:34">
      <c r="C204" s="11" t="s">
        <v>367</v>
      </c>
      <c r="D204" s="10" t="s">
        <v>1</v>
      </c>
      <c r="E204" s="10">
        <v>13.71</v>
      </c>
      <c r="F204" s="10">
        <v>15.51</v>
      </c>
      <c r="G204" s="10">
        <v>97.45</v>
      </c>
      <c r="H204" s="10">
        <v>684.5</v>
      </c>
      <c r="I204" s="10">
        <v>8.3710000000000007E-2</v>
      </c>
      <c r="J204" s="10">
        <v>0.1096</v>
      </c>
      <c r="K204" s="10">
        <v>6.50499999999999E-2</v>
      </c>
      <c r="L204" s="10">
        <v>3.78E-2</v>
      </c>
      <c r="M204" s="10">
        <v>0.18809999999999899</v>
      </c>
      <c r="N204" s="10">
        <v>5.90699999999999E-2</v>
      </c>
      <c r="O204" s="10">
        <v>0.23180000000000001</v>
      </c>
      <c r="P204" s="10">
        <v>0.49659999999999899</v>
      </c>
      <c r="Q204" s="10">
        <v>2.27599999999999</v>
      </c>
      <c r="R204" s="10">
        <v>19.8799999999999</v>
      </c>
      <c r="S204" s="10">
        <v>4.1190000000000003E-3</v>
      </c>
      <c r="T204" s="10">
        <v>3.2070000000000001E-2</v>
      </c>
      <c r="U204" s="10">
        <v>3.644E-2</v>
      </c>
      <c r="V204" s="10">
        <v>1.155E-2</v>
      </c>
      <c r="W204" s="10">
        <v>1.391E-2</v>
      </c>
      <c r="X204" s="10">
        <v>3.2039999999999898E-3</v>
      </c>
      <c r="Y204" s="10">
        <v>16.41</v>
      </c>
      <c r="Z204" s="10">
        <v>19.309999999999899</v>
      </c>
      <c r="AA204" s="10">
        <v>114.2</v>
      </c>
      <c r="AB204" s="10">
        <v>808.2</v>
      </c>
      <c r="AC204" s="10">
        <v>0.11360000000000001</v>
      </c>
      <c r="AD204" s="10">
        <v>0.36270000000000002</v>
      </c>
      <c r="AE204" s="10">
        <v>0.3402</v>
      </c>
      <c r="AF204" s="10">
        <v>0.137899999999999</v>
      </c>
      <c r="AG204" s="10">
        <v>0.2954</v>
      </c>
      <c r="AH204">
        <v>8.362E-2</v>
      </c>
    </row>
    <row r="205" spans="3:34">
      <c r="C205" s="11" t="s">
        <v>368</v>
      </c>
      <c r="D205" s="10" t="s">
        <v>1</v>
      </c>
      <c r="E205" s="10">
        <v>13.71</v>
      </c>
      <c r="F205" s="10">
        <v>23.969999999999899</v>
      </c>
      <c r="G205" s="10">
        <v>81.349999999999895</v>
      </c>
      <c r="H205" s="10">
        <v>496.39999999999901</v>
      </c>
      <c r="I205" s="10">
        <v>7.9030000000000003E-2</v>
      </c>
      <c r="J205" s="10">
        <v>7.5289999999999899E-2</v>
      </c>
      <c r="K205" s="10">
        <v>5.4379999999999901E-2</v>
      </c>
      <c r="L205" s="10">
        <v>2.036E-2</v>
      </c>
      <c r="M205" s="10">
        <v>0.15140000000000001</v>
      </c>
      <c r="N205" s="10">
        <v>6.019E-2</v>
      </c>
      <c r="O205" s="10">
        <v>0.24490000000000001</v>
      </c>
      <c r="P205" s="10">
        <v>1.0660000000000001</v>
      </c>
      <c r="Q205" s="10">
        <v>1.4450000000000001</v>
      </c>
      <c r="R205" s="10">
        <v>18.510000000000002</v>
      </c>
      <c r="S205" s="10">
        <v>5.169E-3</v>
      </c>
      <c r="T205" s="10">
        <v>2.2939999999999901E-2</v>
      </c>
      <c r="U205" s="10">
        <v>3.0159999999999899E-2</v>
      </c>
      <c r="V205" s="10">
        <v>8.6910000000000008E-3</v>
      </c>
      <c r="W205" s="10">
        <v>1.3650000000000001E-2</v>
      </c>
      <c r="X205" s="10">
        <v>3.4069999999999899E-3</v>
      </c>
      <c r="Y205" s="10">
        <v>14.1999999999999</v>
      </c>
      <c r="Z205" s="10">
        <v>31.309999999999899</v>
      </c>
      <c r="AA205" s="10">
        <v>90.67</v>
      </c>
      <c r="AB205" s="10">
        <v>624</v>
      </c>
      <c r="AC205" s="10">
        <v>0.1227</v>
      </c>
      <c r="AD205" s="10">
        <v>0.34539999999999899</v>
      </c>
      <c r="AE205" s="10">
        <v>0.3911</v>
      </c>
      <c r="AF205" s="10">
        <v>0.11799999999999899</v>
      </c>
      <c r="AG205" s="10">
        <v>0.28260000000000002</v>
      </c>
      <c r="AH205">
        <v>9.5850000000000005E-2</v>
      </c>
    </row>
    <row r="206" spans="3:34">
      <c r="C206" s="11" t="s">
        <v>369</v>
      </c>
      <c r="D206" s="10" t="s">
        <v>0</v>
      </c>
      <c r="E206" s="10">
        <v>13.71</v>
      </c>
      <c r="F206" s="10">
        <v>22.329999999999899</v>
      </c>
      <c r="G206" s="10">
        <v>85.26</v>
      </c>
      <c r="H206" s="10">
        <v>503.19999999999902</v>
      </c>
      <c r="I206" s="10">
        <v>0.10879999999999899</v>
      </c>
      <c r="J206" s="10">
        <v>0.1799</v>
      </c>
      <c r="K206" s="10">
        <v>0.16950000000000001</v>
      </c>
      <c r="L206" s="10">
        <v>6.8610000000000004E-2</v>
      </c>
      <c r="M206" s="10">
        <v>0.21229999999999899</v>
      </c>
      <c r="N206" s="10">
        <v>7.2539999999999896E-2</v>
      </c>
      <c r="O206" s="10">
        <v>0.30609999999999898</v>
      </c>
      <c r="P206" s="10">
        <v>1.069</v>
      </c>
      <c r="Q206" s="10">
        <v>2.2570000000000001</v>
      </c>
      <c r="R206" s="10">
        <v>25.1299999999999</v>
      </c>
      <c r="S206" s="10">
        <v>6.9829999999999901E-3</v>
      </c>
      <c r="T206" s="10">
        <v>3.8580000000000003E-2</v>
      </c>
      <c r="U206" s="10">
        <v>4.6829999999999899E-2</v>
      </c>
      <c r="V206" s="10">
        <v>1.499E-2</v>
      </c>
      <c r="W206" s="10">
        <v>1.6799999999999898E-2</v>
      </c>
      <c r="X206" s="10">
        <v>5.6169999999999901E-3</v>
      </c>
      <c r="Y206" s="10">
        <v>15.1999999999999</v>
      </c>
      <c r="Z206" s="10">
        <v>30.149999999999899</v>
      </c>
      <c r="AA206" s="10">
        <v>105.3</v>
      </c>
      <c r="AB206" s="10">
        <v>706</v>
      </c>
      <c r="AC206" s="10">
        <v>0.1777</v>
      </c>
      <c r="AD206" s="10">
        <v>0.5343</v>
      </c>
      <c r="AE206" s="10">
        <v>0.62819999999999898</v>
      </c>
      <c r="AF206" s="10">
        <v>0.19769999999999899</v>
      </c>
      <c r="AG206" s="10">
        <v>0.3407</v>
      </c>
      <c r="AH206">
        <v>0.12429999999999899</v>
      </c>
    </row>
    <row r="207" spans="3:34">
      <c r="C207" s="11" t="s">
        <v>371</v>
      </c>
      <c r="D207" s="10" t="s">
        <v>1</v>
      </c>
      <c r="E207" s="10">
        <v>13.71</v>
      </c>
      <c r="F207" s="10">
        <v>27.079999999999899</v>
      </c>
      <c r="G207" s="10">
        <v>71.760000000000005</v>
      </c>
      <c r="H207" s="10">
        <v>395.69999999999902</v>
      </c>
      <c r="I207" s="10">
        <v>6.8830000000000002E-2</v>
      </c>
      <c r="J207" s="10">
        <v>3.81299999999999E-2</v>
      </c>
      <c r="K207" s="10">
        <v>1.6330000000000001E-2</v>
      </c>
      <c r="L207" s="10">
        <v>3.1250000000000002E-3</v>
      </c>
      <c r="M207" s="10">
        <v>0.18690000000000001</v>
      </c>
      <c r="N207" s="10">
        <v>5.62799999999999E-2</v>
      </c>
      <c r="O207" s="10">
        <v>0.121</v>
      </c>
      <c r="P207" s="10">
        <v>0.89270000000000005</v>
      </c>
      <c r="Q207" s="10">
        <v>1.0589999999999899</v>
      </c>
      <c r="R207" s="10">
        <v>8.6050000000000004</v>
      </c>
      <c r="S207" s="10">
        <v>3.653E-3</v>
      </c>
      <c r="T207" s="10">
        <v>1.6469999999999901E-2</v>
      </c>
      <c r="U207" s="10">
        <v>1.6330000000000001E-2</v>
      </c>
      <c r="V207" s="10">
        <v>3.1250000000000002E-3</v>
      </c>
      <c r="W207" s="10">
        <v>1.537E-2</v>
      </c>
      <c r="X207" s="10">
        <v>2.052E-3</v>
      </c>
      <c r="Y207" s="10">
        <v>12.08</v>
      </c>
      <c r="Z207" s="10">
        <v>33.75</v>
      </c>
      <c r="AA207" s="10">
        <v>79.819999999999894</v>
      </c>
      <c r="AB207" s="10">
        <v>452.3</v>
      </c>
      <c r="AC207" s="10">
        <v>9.2030000000000001E-2</v>
      </c>
      <c r="AD207" s="10">
        <v>0.14319999999999899</v>
      </c>
      <c r="AE207" s="10">
        <v>0.1089</v>
      </c>
      <c r="AF207" s="10">
        <v>2.0830000000000001E-2</v>
      </c>
      <c r="AG207" s="10">
        <v>0.28489999999999899</v>
      </c>
      <c r="AH207">
        <v>7.0870000000000002E-2</v>
      </c>
    </row>
    <row r="208" spans="3:34">
      <c r="C208" s="11" t="s">
        <v>373</v>
      </c>
      <c r="D208" s="10" t="s">
        <v>0</v>
      </c>
      <c r="E208" s="10">
        <v>13.71</v>
      </c>
      <c r="F208" s="10">
        <v>27.809999999999899</v>
      </c>
      <c r="G208" s="10">
        <v>134.4</v>
      </c>
      <c r="H208" s="10">
        <v>1319</v>
      </c>
      <c r="I208" s="10">
        <v>9.1590000000000005E-2</v>
      </c>
      <c r="J208" s="10">
        <v>0.1074</v>
      </c>
      <c r="K208" s="10">
        <v>0.15540000000000001</v>
      </c>
      <c r="L208" s="10">
        <v>8.3400000000000002E-2</v>
      </c>
      <c r="M208" s="10">
        <v>0.14480000000000001</v>
      </c>
      <c r="N208" s="10">
        <v>5.59199999999999E-2</v>
      </c>
      <c r="O208" s="10">
        <v>0.52400000000000002</v>
      </c>
      <c r="P208" s="10">
        <v>1.1890000000000001</v>
      </c>
      <c r="Q208" s="10">
        <v>3.7669999999999901</v>
      </c>
      <c r="R208" s="10">
        <v>70.010000000000005</v>
      </c>
      <c r="S208" s="10">
        <v>5.0200000000000002E-3</v>
      </c>
      <c r="T208" s="10">
        <v>2.0619999999999899E-2</v>
      </c>
      <c r="U208" s="10">
        <v>3.4569999999999899E-2</v>
      </c>
      <c r="V208" s="10">
        <v>1.091E-2</v>
      </c>
      <c r="W208" s="10">
        <v>1.298E-2</v>
      </c>
      <c r="X208" s="10">
        <v>2.8869999999999898E-3</v>
      </c>
      <c r="Y208" s="10">
        <v>24.469999999999899</v>
      </c>
      <c r="Z208" s="10">
        <v>37.380000000000003</v>
      </c>
      <c r="AA208" s="10">
        <v>162.69999999999899</v>
      </c>
      <c r="AB208" s="10">
        <v>1872</v>
      </c>
      <c r="AC208" s="10">
        <v>0.12230000000000001</v>
      </c>
      <c r="AD208" s="10">
        <v>0.27610000000000001</v>
      </c>
      <c r="AE208" s="10">
        <v>0.41460000000000002</v>
      </c>
      <c r="AF208" s="10">
        <v>0.156299999999999</v>
      </c>
      <c r="AG208" s="10">
        <v>0.2437</v>
      </c>
      <c r="AH208">
        <v>8.3280000000000007E-2</v>
      </c>
    </row>
    <row r="209" spans="3:34">
      <c r="C209" s="11" t="s">
        <v>374</v>
      </c>
      <c r="D209" s="10" t="s">
        <v>1</v>
      </c>
      <c r="E209" s="10">
        <v>13.71</v>
      </c>
      <c r="F209" s="10">
        <v>15.91</v>
      </c>
      <c r="G209" s="10">
        <v>60.21</v>
      </c>
      <c r="H209" s="10">
        <v>279.60000000000002</v>
      </c>
      <c r="I209" s="10">
        <v>8.4640000000000007E-2</v>
      </c>
      <c r="J209" s="10">
        <v>4.0869999999999899E-2</v>
      </c>
      <c r="K209" s="10">
        <v>1.652E-2</v>
      </c>
      <c r="L209" s="10">
        <v>1.6670000000000001E-2</v>
      </c>
      <c r="M209" s="10">
        <v>0.15509999999999899</v>
      </c>
      <c r="N209" s="10">
        <v>6.4030000000000004E-2</v>
      </c>
      <c r="O209" s="10">
        <v>0.2152</v>
      </c>
      <c r="P209" s="10">
        <v>0.83009999999999895</v>
      </c>
      <c r="Q209" s="10">
        <v>1.2150000000000001</v>
      </c>
      <c r="R209" s="10">
        <v>12.64</v>
      </c>
      <c r="S209" s="10">
        <v>1.16399999999999E-2</v>
      </c>
      <c r="T209" s="10">
        <v>1.04E-2</v>
      </c>
      <c r="U209" s="10">
        <v>1.1860000000000001E-2</v>
      </c>
      <c r="V209" s="10">
        <v>9.6229999999999892E-3</v>
      </c>
      <c r="W209" s="10">
        <v>2.383E-2</v>
      </c>
      <c r="X209" s="10">
        <v>3.5400000000000002E-3</v>
      </c>
      <c r="Y209" s="10">
        <v>10.51</v>
      </c>
      <c r="Z209" s="10">
        <v>19.16</v>
      </c>
      <c r="AA209" s="10">
        <v>65.739999999999895</v>
      </c>
      <c r="AB209" s="10">
        <v>335.89999999999901</v>
      </c>
      <c r="AC209" s="10">
        <v>0.15040000000000001</v>
      </c>
      <c r="AD209" s="10">
        <v>9.5149999999999901E-2</v>
      </c>
      <c r="AE209" s="10">
        <v>7.1609999999999896E-2</v>
      </c>
      <c r="AF209" s="10">
        <v>7.2220000000000006E-2</v>
      </c>
      <c r="AG209" s="10">
        <v>0.2757</v>
      </c>
      <c r="AH209">
        <v>8.1780000000000005E-2</v>
      </c>
    </row>
    <row r="210" spans="3:34">
      <c r="C210" s="11" t="s">
        <v>375</v>
      </c>
      <c r="D210" s="10" t="s">
        <v>1</v>
      </c>
      <c r="E210" s="10">
        <v>13.71</v>
      </c>
      <c r="F210" s="10">
        <v>21.25</v>
      </c>
      <c r="G210" s="10">
        <v>89.79</v>
      </c>
      <c r="H210" s="10">
        <v>603.39999999999895</v>
      </c>
      <c r="I210" s="10">
        <v>9.0700000000000003E-2</v>
      </c>
      <c r="J210" s="10">
        <v>6.9449999999999901E-2</v>
      </c>
      <c r="K210" s="10">
        <v>1.46199999999999E-2</v>
      </c>
      <c r="L210" s="10">
        <v>1.8960000000000001E-2</v>
      </c>
      <c r="M210" s="10">
        <v>0.1517</v>
      </c>
      <c r="N210" s="10">
        <v>5.8349999999999902E-2</v>
      </c>
      <c r="O210" s="10">
        <v>0.25890000000000002</v>
      </c>
      <c r="P210" s="10">
        <v>1.5029999999999899</v>
      </c>
      <c r="Q210" s="10">
        <v>1.667</v>
      </c>
      <c r="R210" s="10">
        <v>22.07</v>
      </c>
      <c r="S210" s="10">
        <v>7.3889999999999902E-3</v>
      </c>
      <c r="T210" s="10">
        <v>1.383E-2</v>
      </c>
      <c r="U210" s="10">
        <v>7.3020000000000003E-3</v>
      </c>
      <c r="V210" s="10">
        <v>1.004E-2</v>
      </c>
      <c r="W210" s="10">
        <v>1.2630000000000001E-2</v>
      </c>
      <c r="X210" s="10">
        <v>2.9250000000000001E-3</v>
      </c>
      <c r="Y210" s="10">
        <v>15.33</v>
      </c>
      <c r="Z210" s="10">
        <v>30.28</v>
      </c>
      <c r="AA210" s="10">
        <v>98.269999999999897</v>
      </c>
      <c r="AB210" s="10">
        <v>715.5</v>
      </c>
      <c r="AC210" s="10">
        <v>0.12870000000000001</v>
      </c>
      <c r="AD210" s="10">
        <v>0.15129999999999899</v>
      </c>
      <c r="AE210" s="10">
        <v>6.23099999999999E-2</v>
      </c>
      <c r="AF210" s="10">
        <v>7.9630000000000006E-2</v>
      </c>
      <c r="AG210" s="10">
        <v>0.22259999999999899</v>
      </c>
      <c r="AH210">
        <v>7.6170000000000002E-2</v>
      </c>
    </row>
    <row r="211" spans="3:34">
      <c r="C211" s="11" t="s">
        <v>376</v>
      </c>
      <c r="D211" s="10" t="s">
        <v>0</v>
      </c>
      <c r="E211" s="10">
        <v>13.71</v>
      </c>
      <c r="F211" s="10">
        <v>26.969999999999899</v>
      </c>
      <c r="G211" s="10">
        <v>153.5</v>
      </c>
      <c r="H211" s="10">
        <v>1670</v>
      </c>
      <c r="I211" s="10">
        <v>9.5089999999999897E-2</v>
      </c>
      <c r="J211" s="10">
        <v>0.16819999999999899</v>
      </c>
      <c r="K211" s="10">
        <v>0.19500000000000001</v>
      </c>
      <c r="L211" s="10">
        <v>0.1237</v>
      </c>
      <c r="M211" s="10">
        <v>0.19089999999999899</v>
      </c>
      <c r="N211" s="10">
        <v>6.3089999999999896E-2</v>
      </c>
      <c r="O211" s="10">
        <v>1.0580000000000001</v>
      </c>
      <c r="P211" s="10">
        <v>0.96350000000000002</v>
      </c>
      <c r="Q211" s="10">
        <v>7.2469999999999901</v>
      </c>
      <c r="R211" s="10">
        <v>155.80000000000001</v>
      </c>
      <c r="S211" s="10">
        <v>6.4279999999999901E-3</v>
      </c>
      <c r="T211" s="10">
        <v>2.8629999999999899E-2</v>
      </c>
      <c r="U211" s="10">
        <v>4.4970000000000003E-2</v>
      </c>
      <c r="V211" s="10">
        <v>1.7160000000000002E-2</v>
      </c>
      <c r="W211" s="10">
        <v>1.5900000000000001E-2</v>
      </c>
      <c r="X211" s="10">
        <v>3.0530000000000002E-3</v>
      </c>
      <c r="Y211" s="10">
        <v>31.01</v>
      </c>
      <c r="Z211" s="10">
        <v>34.509999999999899</v>
      </c>
      <c r="AA211" s="10">
        <v>206</v>
      </c>
      <c r="AB211" s="10">
        <v>2944</v>
      </c>
      <c r="AC211" s="10">
        <v>0.14810000000000001</v>
      </c>
      <c r="AD211" s="10">
        <v>0.41260000000000002</v>
      </c>
      <c r="AE211" s="10">
        <v>0.58199999999999896</v>
      </c>
      <c r="AF211" s="10">
        <v>0.25929999999999898</v>
      </c>
      <c r="AG211" s="10">
        <v>0.31030000000000002</v>
      </c>
      <c r="AH211">
        <v>8.677E-2</v>
      </c>
    </row>
    <row r="212" spans="3:34">
      <c r="C212" s="11" t="s">
        <v>378</v>
      </c>
      <c r="D212" s="10" t="s">
        <v>1</v>
      </c>
      <c r="E212" s="10">
        <v>13.71</v>
      </c>
      <c r="F212" s="10">
        <v>27.85</v>
      </c>
      <c r="G212" s="10">
        <v>92.549999999999898</v>
      </c>
      <c r="H212" s="10">
        <v>623.89999999999895</v>
      </c>
      <c r="I212" s="10">
        <v>8.22299999999999E-2</v>
      </c>
      <c r="J212" s="10">
        <v>0.10390000000000001</v>
      </c>
      <c r="K212" s="10">
        <v>0.1103</v>
      </c>
      <c r="L212" s="10">
        <v>4.4080000000000001E-2</v>
      </c>
      <c r="M212" s="10">
        <v>0.13420000000000001</v>
      </c>
      <c r="N212" s="10">
        <v>6.12899999999999E-2</v>
      </c>
      <c r="O212" s="10">
        <v>0.33539999999999898</v>
      </c>
      <c r="P212" s="10">
        <v>2.3239999999999901</v>
      </c>
      <c r="Q212" s="10">
        <v>2.105</v>
      </c>
      <c r="R212" s="10">
        <v>29.96</v>
      </c>
      <c r="S212" s="10">
        <v>6.3070000000000001E-3</v>
      </c>
      <c r="T212" s="10">
        <v>2.845E-2</v>
      </c>
      <c r="U212" s="10">
        <v>3.85E-2</v>
      </c>
      <c r="V212" s="10">
        <v>1.01099999999999E-2</v>
      </c>
      <c r="W212" s="10">
        <v>1.1849999999999901E-2</v>
      </c>
      <c r="X212" s="10">
        <v>3.5890000000000002E-3</v>
      </c>
      <c r="Y212" s="10">
        <v>15.75</v>
      </c>
      <c r="Z212" s="10">
        <v>40.5399999999999</v>
      </c>
      <c r="AA212" s="10">
        <v>102.5</v>
      </c>
      <c r="AB212" s="10">
        <v>764</v>
      </c>
      <c r="AC212" s="10">
        <v>0.1081</v>
      </c>
      <c r="AD212" s="10">
        <v>0.24260000000000001</v>
      </c>
      <c r="AE212" s="10">
        <v>0.30640000000000001</v>
      </c>
      <c r="AF212" s="10">
        <v>8.2189999999999902E-2</v>
      </c>
      <c r="AG212" s="10">
        <v>0.189</v>
      </c>
      <c r="AH212">
        <v>7.7960000000000002E-2</v>
      </c>
    </row>
    <row r="213" spans="3:34">
      <c r="C213" s="11" t="s">
        <v>379</v>
      </c>
      <c r="D213" s="10" t="s">
        <v>0</v>
      </c>
      <c r="E213" s="10">
        <v>13.71</v>
      </c>
      <c r="F213" s="10">
        <v>39.28</v>
      </c>
      <c r="G213" s="10">
        <v>113.4</v>
      </c>
      <c r="H213" s="10">
        <v>920.6</v>
      </c>
      <c r="I213" s="10">
        <v>9.8119999999999902E-2</v>
      </c>
      <c r="J213" s="10">
        <v>0.1298</v>
      </c>
      <c r="K213" s="10">
        <v>0.14169999999999899</v>
      </c>
      <c r="L213" s="10">
        <v>8.8109999999999897E-2</v>
      </c>
      <c r="M213" s="10">
        <v>0.18090000000000001</v>
      </c>
      <c r="N213" s="10">
        <v>5.9659999999999901E-2</v>
      </c>
      <c r="O213" s="10">
        <v>0.53659999999999897</v>
      </c>
      <c r="P213" s="10">
        <v>0.85609999999999897</v>
      </c>
      <c r="Q213" s="10">
        <v>3.00199999999999</v>
      </c>
      <c r="R213" s="10">
        <v>49</v>
      </c>
      <c r="S213" s="10">
        <v>4.8599999999999902E-3</v>
      </c>
      <c r="T213" s="10">
        <v>2.785E-2</v>
      </c>
      <c r="U213" s="10">
        <v>2.6020000000000001E-2</v>
      </c>
      <c r="V213" s="10">
        <v>1.374E-2</v>
      </c>
      <c r="W213" s="10">
        <v>1.226E-2</v>
      </c>
      <c r="X213" s="10">
        <v>2.7590000000000002E-3</v>
      </c>
      <c r="Y213" s="10">
        <v>22.51</v>
      </c>
      <c r="Z213" s="10">
        <v>44.869999999999898</v>
      </c>
      <c r="AA213" s="10">
        <v>141.19999999999899</v>
      </c>
      <c r="AB213" s="10">
        <v>1408</v>
      </c>
      <c r="AC213" s="10">
        <v>0.13650000000000001</v>
      </c>
      <c r="AD213" s="10">
        <v>0.3735</v>
      </c>
      <c r="AE213" s="10">
        <v>0.3241</v>
      </c>
      <c r="AF213" s="10">
        <v>0.20660000000000001</v>
      </c>
      <c r="AG213" s="10">
        <v>0.2853</v>
      </c>
      <c r="AH213">
        <v>8.4959999999999897E-2</v>
      </c>
    </row>
    <row r="214" spans="3:34">
      <c r="C214" s="11" t="s">
        <v>380</v>
      </c>
      <c r="D214" s="10" t="s">
        <v>1</v>
      </c>
      <c r="E214" s="10">
        <v>13.71</v>
      </c>
      <c r="F214" s="10">
        <v>15.6</v>
      </c>
      <c r="G214" s="10">
        <v>87.379999999999896</v>
      </c>
      <c r="H214" s="10">
        <v>575.29999999999905</v>
      </c>
      <c r="I214" s="10">
        <v>9.4229999999999897E-2</v>
      </c>
      <c r="J214" s="10">
        <v>6.6299999999999901E-2</v>
      </c>
      <c r="K214" s="10">
        <v>4.7050000000000002E-2</v>
      </c>
      <c r="L214" s="10">
        <v>3.7310000000000003E-2</v>
      </c>
      <c r="M214" s="10">
        <v>0.17169999999999899</v>
      </c>
      <c r="N214" s="10">
        <v>5.65999999999999E-2</v>
      </c>
      <c r="O214" s="10">
        <v>0.32419999999999899</v>
      </c>
      <c r="P214" s="10">
        <v>0.66120000000000001</v>
      </c>
      <c r="Q214" s="10">
        <v>1.996</v>
      </c>
      <c r="R214" s="10">
        <v>27.19</v>
      </c>
      <c r="S214" s="10">
        <v>6.4700000000000001E-3</v>
      </c>
      <c r="T214" s="10">
        <v>1.248E-2</v>
      </c>
      <c r="U214" s="10">
        <v>1.8100000000000002E-2</v>
      </c>
      <c r="V214" s="10">
        <v>1.103E-2</v>
      </c>
      <c r="W214" s="10">
        <v>1.898E-2</v>
      </c>
      <c r="X214" s="10">
        <v>1.794E-3</v>
      </c>
      <c r="Y214" s="10">
        <v>14.85</v>
      </c>
      <c r="Z214" s="10">
        <v>19.05</v>
      </c>
      <c r="AA214" s="10">
        <v>94.1099999999999</v>
      </c>
      <c r="AB214" s="10">
        <v>683.39999999999895</v>
      </c>
      <c r="AC214" s="10">
        <v>0.1278</v>
      </c>
      <c r="AD214" s="10">
        <v>0.12909999999999899</v>
      </c>
      <c r="AE214" s="10">
        <v>0.15329999999999899</v>
      </c>
      <c r="AF214" s="10">
        <v>9.2219999999999899E-2</v>
      </c>
      <c r="AG214" s="10">
        <v>0.253</v>
      </c>
      <c r="AH214">
        <v>6.5100000000000005E-2</v>
      </c>
    </row>
    <row r="215" spans="3:34">
      <c r="C215" s="11" t="s">
        <v>381</v>
      </c>
      <c r="D215" s="10" t="s">
        <v>1</v>
      </c>
      <c r="E215" s="10">
        <v>13.71</v>
      </c>
      <c r="F215" s="10">
        <v>15.0399999999999</v>
      </c>
      <c r="G215" s="10">
        <v>78.6099999999999</v>
      </c>
      <c r="H215" s="10">
        <v>476.5</v>
      </c>
      <c r="I215" s="10">
        <v>7.92599999999999E-2</v>
      </c>
      <c r="J215" s="10">
        <v>3.3930000000000002E-2</v>
      </c>
      <c r="K215" s="10">
        <v>1.0529999999999901E-2</v>
      </c>
      <c r="L215" s="10">
        <v>1.108E-2</v>
      </c>
      <c r="M215" s="10">
        <v>0.15459999999999899</v>
      </c>
      <c r="N215" s="10">
        <v>5.7540000000000001E-2</v>
      </c>
      <c r="O215" s="10">
        <v>0.1153</v>
      </c>
      <c r="P215" s="10">
        <v>0.67449999999999899</v>
      </c>
      <c r="Q215" s="10">
        <v>0.75700000000000001</v>
      </c>
      <c r="R215" s="10">
        <v>9.0060000000000002</v>
      </c>
      <c r="S215" s="10">
        <v>3.2650000000000001E-3</v>
      </c>
      <c r="T215" s="10">
        <v>4.9300000000000004E-3</v>
      </c>
      <c r="U215" s="10">
        <v>6.4929999999999901E-3</v>
      </c>
      <c r="V215" s="10">
        <v>3.7620000000000002E-3</v>
      </c>
      <c r="W215" s="10">
        <v>1.72E-2</v>
      </c>
      <c r="X215" s="10">
        <v>1.3600000000000001E-3</v>
      </c>
      <c r="Y215" s="10">
        <v>13.1999999999999</v>
      </c>
      <c r="Z215" s="10">
        <v>20.37</v>
      </c>
      <c r="AA215" s="10">
        <v>83.849999999999895</v>
      </c>
      <c r="AB215" s="10">
        <v>543.39999999999895</v>
      </c>
      <c r="AC215" s="10">
        <v>0.1037</v>
      </c>
      <c r="AD215" s="10">
        <v>7.7759999999999899E-2</v>
      </c>
      <c r="AE215" s="10">
        <v>6.2429999999999902E-2</v>
      </c>
      <c r="AF215" s="10">
        <v>4.052E-2</v>
      </c>
      <c r="AG215" s="10">
        <v>0.29010000000000002</v>
      </c>
      <c r="AH215">
        <v>6.7830000000000001E-2</v>
      </c>
    </row>
    <row r="216" spans="3:34">
      <c r="C216" s="11" t="s">
        <v>382</v>
      </c>
      <c r="D216" s="10" t="s">
        <v>1</v>
      </c>
      <c r="E216" s="10">
        <v>13.71</v>
      </c>
      <c r="F216" s="10">
        <v>18.190000000000001</v>
      </c>
      <c r="G216" s="10">
        <v>73.930000000000007</v>
      </c>
      <c r="H216" s="10">
        <v>389.39999999999901</v>
      </c>
      <c r="I216" s="10">
        <v>9.5920000000000005E-2</v>
      </c>
      <c r="J216" s="10">
        <v>0.13250000000000001</v>
      </c>
      <c r="K216" s="10">
        <v>0.15479999999999899</v>
      </c>
      <c r="L216" s="10">
        <v>2.8539999999999899E-2</v>
      </c>
      <c r="M216" s="10">
        <v>0.2054</v>
      </c>
      <c r="N216" s="10">
        <v>7.6689999999999897E-2</v>
      </c>
      <c r="O216" s="10">
        <v>0.24279999999999899</v>
      </c>
      <c r="P216" s="10">
        <v>1.6419999999999899</v>
      </c>
      <c r="Q216" s="10">
        <v>2.3690000000000002</v>
      </c>
      <c r="R216" s="10">
        <v>16.39</v>
      </c>
      <c r="S216" s="10">
        <v>6.6629999999999901E-3</v>
      </c>
      <c r="T216" s="10">
        <v>5.9139999999999901E-2</v>
      </c>
      <c r="U216" s="10">
        <v>8.8800000000000004E-2</v>
      </c>
      <c r="V216" s="10">
        <v>1.3140000000000001E-2</v>
      </c>
      <c r="W216" s="10">
        <v>1.9949999999999898E-2</v>
      </c>
      <c r="X216" s="10">
        <v>8.6750000000000004E-3</v>
      </c>
      <c r="Y216" s="10">
        <v>12.58</v>
      </c>
      <c r="Z216" s="10">
        <v>27.96</v>
      </c>
      <c r="AA216" s="10">
        <v>87.159999999999897</v>
      </c>
      <c r="AB216" s="10">
        <v>472.89999999999901</v>
      </c>
      <c r="AC216" s="10">
        <v>0.13469999999999899</v>
      </c>
      <c r="AD216" s="10">
        <v>0.48480000000000001</v>
      </c>
      <c r="AE216" s="10">
        <v>0.74360000000000004</v>
      </c>
      <c r="AF216" s="10">
        <v>0.12180000000000001</v>
      </c>
      <c r="AG216" s="10">
        <v>0.33079999999999898</v>
      </c>
      <c r="AH216">
        <v>0.12970000000000001</v>
      </c>
    </row>
    <row r="217" spans="3:34">
      <c r="C217" s="11" t="s">
        <v>383</v>
      </c>
      <c r="D217" s="10" t="s">
        <v>1</v>
      </c>
      <c r="E217" s="10">
        <v>13.71</v>
      </c>
      <c r="F217" s="10">
        <v>23.77</v>
      </c>
      <c r="G217" s="10">
        <v>88.54</v>
      </c>
      <c r="H217" s="10">
        <v>590</v>
      </c>
      <c r="I217" s="10">
        <v>8.0430000000000001E-2</v>
      </c>
      <c r="J217" s="10">
        <v>6.8070000000000006E-2</v>
      </c>
      <c r="K217" s="10">
        <v>4.6969999999999901E-2</v>
      </c>
      <c r="L217" s="10">
        <v>2.3439999999999898E-2</v>
      </c>
      <c r="M217" s="10">
        <v>0.17730000000000001</v>
      </c>
      <c r="N217" s="10">
        <v>5.4289999999999901E-2</v>
      </c>
      <c r="O217" s="10">
        <v>0.43469999999999898</v>
      </c>
      <c r="P217" s="10">
        <v>1.0569999999999899</v>
      </c>
      <c r="Q217" s="10">
        <v>2.8290000000000002</v>
      </c>
      <c r="R217" s="10">
        <v>39.93</v>
      </c>
      <c r="S217" s="10">
        <v>4.3509999999999903E-3</v>
      </c>
      <c r="T217" s="10">
        <v>2.6669999999999899E-2</v>
      </c>
      <c r="U217" s="10">
        <v>3.37099999999999E-2</v>
      </c>
      <c r="V217" s="10">
        <v>1.0070000000000001E-2</v>
      </c>
      <c r="W217" s="10">
        <v>2.598E-2</v>
      </c>
      <c r="X217" s="10">
        <v>3.0869999999999899E-3</v>
      </c>
      <c r="Y217" s="10">
        <v>15.01</v>
      </c>
      <c r="Z217" s="10">
        <v>26.34</v>
      </c>
      <c r="AA217" s="10">
        <v>98</v>
      </c>
      <c r="AB217" s="10">
        <v>706</v>
      </c>
      <c r="AC217" s="10">
        <v>9.3679999999999902E-2</v>
      </c>
      <c r="AD217" s="10">
        <v>0.144199999999999</v>
      </c>
      <c r="AE217" s="10">
        <v>0.13589999999999899</v>
      </c>
      <c r="AF217" s="10">
        <v>6.1060000000000003E-2</v>
      </c>
      <c r="AG217" s="10">
        <v>0.26629999999999898</v>
      </c>
      <c r="AH217">
        <v>6.3210000000000002E-2</v>
      </c>
    </row>
    <row r="218" spans="3:34">
      <c r="C218" s="11" t="s">
        <v>384</v>
      </c>
      <c r="D218" s="10" t="s">
        <v>0</v>
      </c>
      <c r="E218" s="10">
        <v>13.71</v>
      </c>
      <c r="F218" s="10">
        <v>23.5</v>
      </c>
      <c r="G218" s="10">
        <v>129.099999999999</v>
      </c>
      <c r="H218" s="10">
        <v>1155</v>
      </c>
      <c r="I218" s="10">
        <v>0.1027</v>
      </c>
      <c r="J218" s="10">
        <v>0.15579999999999899</v>
      </c>
      <c r="K218" s="10">
        <v>0.2049</v>
      </c>
      <c r="L218" s="10">
        <v>8.8859999999999897E-2</v>
      </c>
      <c r="M218" s="10">
        <v>0.1978</v>
      </c>
      <c r="N218" s="10">
        <v>5.9999999999999901E-2</v>
      </c>
      <c r="O218" s="10">
        <v>0.52429999999999899</v>
      </c>
      <c r="P218" s="10">
        <v>1.802</v>
      </c>
      <c r="Q218" s="10">
        <v>4.0369999999999902</v>
      </c>
      <c r="R218" s="10">
        <v>60.409999999999897</v>
      </c>
      <c r="S218" s="10">
        <v>1.061E-2</v>
      </c>
      <c r="T218" s="10">
        <v>3.252E-2</v>
      </c>
      <c r="U218" s="10">
        <v>3.91499999999999E-2</v>
      </c>
      <c r="V218" s="10">
        <v>1.559E-2</v>
      </c>
      <c r="W218" s="10">
        <v>2.1860000000000001E-2</v>
      </c>
      <c r="X218" s="10">
        <v>3.9490000000000003E-3</v>
      </c>
      <c r="Y218" s="10">
        <v>21.649999999999899</v>
      </c>
      <c r="Z218" s="10">
        <v>30.53</v>
      </c>
      <c r="AA218" s="10">
        <v>144.9</v>
      </c>
      <c r="AB218" s="10">
        <v>1417</v>
      </c>
      <c r="AC218" s="10">
        <v>0.14630000000000001</v>
      </c>
      <c r="AD218" s="10">
        <v>0.29680000000000001</v>
      </c>
      <c r="AE218" s="10">
        <v>0.3458</v>
      </c>
      <c r="AF218" s="10">
        <v>0.15640000000000001</v>
      </c>
      <c r="AG218" s="10">
        <v>0.29199999999999898</v>
      </c>
      <c r="AH218">
        <v>7.6139999999999902E-2</v>
      </c>
    </row>
    <row r="219" spans="3:34">
      <c r="C219" s="11" t="s">
        <v>385</v>
      </c>
      <c r="D219" s="10" t="s">
        <v>1</v>
      </c>
      <c r="E219" s="10">
        <v>13.71</v>
      </c>
      <c r="F219" s="10">
        <v>19.8599999999999</v>
      </c>
      <c r="G219" s="10">
        <v>66.719999999999899</v>
      </c>
      <c r="H219" s="10">
        <v>337.69999999999902</v>
      </c>
      <c r="I219" s="10">
        <v>0.107</v>
      </c>
      <c r="J219" s="10">
        <v>5.9709999999999902E-2</v>
      </c>
      <c r="K219" s="10">
        <v>4.8309999999999902E-2</v>
      </c>
      <c r="L219" s="10">
        <v>3.0700000000000002E-2</v>
      </c>
      <c r="M219" s="10">
        <v>0.17369999999999899</v>
      </c>
      <c r="N219" s="10">
        <v>6.4399999999999902E-2</v>
      </c>
      <c r="O219" s="10">
        <v>0.37190000000000001</v>
      </c>
      <c r="P219" s="10">
        <v>2.6120000000000001</v>
      </c>
      <c r="Q219" s="10">
        <v>2.5169999999999901</v>
      </c>
      <c r="R219" s="10">
        <v>23.219999999999899</v>
      </c>
      <c r="S219" s="10">
        <v>1.6039999999999902E-2</v>
      </c>
      <c r="T219" s="10">
        <v>1.3860000000000001E-2</v>
      </c>
      <c r="U219" s="10">
        <v>1.865E-2</v>
      </c>
      <c r="V219" s="10">
        <v>1.133E-2</v>
      </c>
      <c r="W219" s="10">
        <v>3.4759999999999902E-2</v>
      </c>
      <c r="X219" s="10">
        <v>3.5599999999999898E-3</v>
      </c>
      <c r="Y219" s="10">
        <v>11.48</v>
      </c>
      <c r="Z219" s="10">
        <v>29.46</v>
      </c>
      <c r="AA219" s="10">
        <v>73.680000000000007</v>
      </c>
      <c r="AB219" s="10">
        <v>402.8</v>
      </c>
      <c r="AC219" s="10">
        <v>0.1515</v>
      </c>
      <c r="AD219" s="10">
        <v>0.1026</v>
      </c>
      <c r="AE219" s="10">
        <v>0.1181</v>
      </c>
      <c r="AF219" s="10">
        <v>6.7360000000000003E-2</v>
      </c>
      <c r="AG219" s="10">
        <v>0.2883</v>
      </c>
      <c r="AH219">
        <v>7.7479999999999896E-2</v>
      </c>
    </row>
    <row r="220" spans="3:34">
      <c r="C220" s="11" t="s">
        <v>387</v>
      </c>
      <c r="D220" s="10" t="s">
        <v>1</v>
      </c>
      <c r="E220" s="10">
        <v>13.71</v>
      </c>
      <c r="F220" s="10">
        <v>14.1099999999999</v>
      </c>
      <c r="G220" s="10">
        <v>84.95</v>
      </c>
      <c r="H220" s="10">
        <v>512.20000000000005</v>
      </c>
      <c r="I220" s="10">
        <v>8.75999999999999E-2</v>
      </c>
      <c r="J220" s="10">
        <v>0.1346</v>
      </c>
      <c r="K220" s="10">
        <v>0.137399999999999</v>
      </c>
      <c r="L220" s="10">
        <v>3.9800000000000002E-2</v>
      </c>
      <c r="M220" s="10">
        <v>0.15959999999999899</v>
      </c>
      <c r="N220" s="10">
        <v>6.4089999999999897E-2</v>
      </c>
      <c r="O220" s="10">
        <v>0.20250000000000001</v>
      </c>
      <c r="P220" s="10">
        <v>0.44019999999999898</v>
      </c>
      <c r="Q220" s="10">
        <v>2.39299999999999</v>
      </c>
      <c r="R220" s="10">
        <v>16.350000000000001</v>
      </c>
      <c r="S220" s="10">
        <v>5.5009999999999903E-3</v>
      </c>
      <c r="T220" s="10">
        <v>5.59199999999999E-2</v>
      </c>
      <c r="U220" s="10">
        <v>8.158E-2</v>
      </c>
      <c r="V220" s="10">
        <v>1.37E-2</v>
      </c>
      <c r="W220" s="10">
        <v>1.26599999999999E-2</v>
      </c>
      <c r="X220" s="10">
        <v>7.5550000000000001E-3</v>
      </c>
      <c r="Y220" s="10">
        <v>14.39</v>
      </c>
      <c r="Z220" s="10">
        <v>17.6999999999999</v>
      </c>
      <c r="AA220" s="10">
        <v>105</v>
      </c>
      <c r="AB220" s="10">
        <v>639.1</v>
      </c>
      <c r="AC220" s="10">
        <v>0.12540000000000001</v>
      </c>
      <c r="AD220" s="10">
        <v>0.58489999999999898</v>
      </c>
      <c r="AE220" s="10">
        <v>0.77270000000000005</v>
      </c>
      <c r="AF220" s="10">
        <v>0.15609999999999899</v>
      </c>
      <c r="AG220" s="10">
        <v>0.26390000000000002</v>
      </c>
      <c r="AH220">
        <v>0.1178</v>
      </c>
    </row>
    <row r="221" spans="3:34">
      <c r="C221" s="11" t="s">
        <v>388</v>
      </c>
      <c r="D221" s="10" t="s">
        <v>1</v>
      </c>
      <c r="E221" s="10">
        <v>13.71</v>
      </c>
      <c r="F221" s="10">
        <v>25.219999999999899</v>
      </c>
      <c r="G221" s="10">
        <v>68.010000000000005</v>
      </c>
      <c r="H221" s="10">
        <v>347</v>
      </c>
      <c r="I221" s="10">
        <v>9.6570000000000003E-2</v>
      </c>
      <c r="J221" s="10">
        <v>7.2340000000000002E-2</v>
      </c>
      <c r="K221" s="10">
        <v>2.3789999999999902E-2</v>
      </c>
      <c r="L221" s="10">
        <v>1.6150000000000001E-2</v>
      </c>
      <c r="M221" s="10">
        <v>0.18970000000000001</v>
      </c>
      <c r="N221" s="10">
        <v>6.3289999999999902E-2</v>
      </c>
      <c r="O221" s="10">
        <v>0.24970000000000001</v>
      </c>
      <c r="P221" s="10">
        <v>1.4930000000000001</v>
      </c>
      <c r="Q221" s="10">
        <v>1.4970000000000001</v>
      </c>
      <c r="R221" s="10">
        <v>16.64</v>
      </c>
      <c r="S221" s="10">
        <v>7.1890000000000001E-3</v>
      </c>
      <c r="T221" s="10">
        <v>1.035E-2</v>
      </c>
      <c r="U221" s="10">
        <v>1.081E-2</v>
      </c>
      <c r="V221" s="10">
        <v>6.2449999999999901E-3</v>
      </c>
      <c r="W221" s="10">
        <v>2.1579999999999901E-2</v>
      </c>
      <c r="X221" s="10">
        <v>2.6189999999999898E-3</v>
      </c>
      <c r="Y221" s="10">
        <v>12.25</v>
      </c>
      <c r="Z221" s="10">
        <v>35.189999999999898</v>
      </c>
      <c r="AA221" s="10">
        <v>77.98</v>
      </c>
      <c r="AB221" s="10">
        <v>455.69999999999902</v>
      </c>
      <c r="AC221" s="10">
        <v>0.14990000000000001</v>
      </c>
      <c r="AD221" s="10">
        <v>0.13980000000000001</v>
      </c>
      <c r="AE221" s="10">
        <v>0.1125</v>
      </c>
      <c r="AF221" s="10">
        <v>6.1359999999999901E-2</v>
      </c>
      <c r="AG221" s="10">
        <v>0.34089999999999898</v>
      </c>
      <c r="AH221">
        <v>8.1470000000000001E-2</v>
      </c>
    </row>
    <row r="222" spans="3:34">
      <c r="C222" s="11" t="s">
        <v>389</v>
      </c>
      <c r="D222" s="10" t="s">
        <v>1</v>
      </c>
      <c r="E222" s="10">
        <v>13.71</v>
      </c>
      <c r="F222" s="10">
        <v>14.93</v>
      </c>
      <c r="G222" s="10">
        <v>73.87</v>
      </c>
      <c r="H222" s="10">
        <v>406.3</v>
      </c>
      <c r="I222" s="10">
        <v>0.1013</v>
      </c>
      <c r="J222" s="10">
        <v>7.8079999999999899E-2</v>
      </c>
      <c r="K222" s="10">
        <v>4.3279999999999902E-2</v>
      </c>
      <c r="L222" s="10">
        <v>2.929E-2</v>
      </c>
      <c r="M222" s="10">
        <v>0.1883</v>
      </c>
      <c r="N222" s="10">
        <v>6.1679999999999902E-2</v>
      </c>
      <c r="O222" s="10">
        <v>0.25619999999999898</v>
      </c>
      <c r="P222" s="10">
        <v>1.038</v>
      </c>
      <c r="Q222" s="10">
        <v>1.68599999999999</v>
      </c>
      <c r="R222" s="10">
        <v>18.62</v>
      </c>
      <c r="S222" s="10">
        <v>6.6620000000000004E-3</v>
      </c>
      <c r="T222" s="10">
        <v>1.22799999999999E-2</v>
      </c>
      <c r="U222" s="10">
        <v>2.1049999999999899E-2</v>
      </c>
      <c r="V222" s="10">
        <v>1.0059999999999901E-2</v>
      </c>
      <c r="W222" s="10">
        <v>1.677E-2</v>
      </c>
      <c r="X222" s="10">
        <v>2.784E-3</v>
      </c>
      <c r="Y222" s="10">
        <v>12.65</v>
      </c>
      <c r="Z222" s="10">
        <v>21.19</v>
      </c>
      <c r="AA222" s="10">
        <v>80.879999999999896</v>
      </c>
      <c r="AB222" s="10">
        <v>491.8</v>
      </c>
      <c r="AC222" s="10">
        <v>0.1389</v>
      </c>
      <c r="AD222" s="10">
        <v>0.15820000000000001</v>
      </c>
      <c r="AE222" s="10">
        <v>0.1804</v>
      </c>
      <c r="AF222" s="10">
        <v>9.6079999999999902E-2</v>
      </c>
      <c r="AG222" s="10">
        <v>0.26640000000000003</v>
      </c>
      <c r="AH222">
        <v>7.8090000000000007E-2</v>
      </c>
    </row>
    <row r="223" spans="3:34">
      <c r="C223" s="11" t="s">
        <v>390</v>
      </c>
      <c r="D223" s="10" t="s">
        <v>0</v>
      </c>
      <c r="E223" s="10">
        <v>13.71</v>
      </c>
      <c r="F223" s="10">
        <v>23.559999999999899</v>
      </c>
      <c r="G223" s="10">
        <v>138.9</v>
      </c>
      <c r="H223" s="10">
        <v>1364</v>
      </c>
      <c r="I223" s="10">
        <v>0.1007</v>
      </c>
      <c r="J223" s="10">
        <v>0.16059999999999899</v>
      </c>
      <c r="K223" s="10">
        <v>0.2712</v>
      </c>
      <c r="L223" s="10">
        <v>0.13100000000000001</v>
      </c>
      <c r="M223" s="10">
        <v>0.2205</v>
      </c>
      <c r="N223" s="10">
        <v>5.8979999999999901E-2</v>
      </c>
      <c r="O223" s="10">
        <v>1.004</v>
      </c>
      <c r="P223" s="10">
        <v>0.82079999999999897</v>
      </c>
      <c r="Q223" s="10">
        <v>6.3719999999999901</v>
      </c>
      <c r="R223" s="10">
        <v>137.9</v>
      </c>
      <c r="S223" s="10">
        <v>5.2830000000000004E-3</v>
      </c>
      <c r="T223" s="10">
        <v>3.90799999999999E-2</v>
      </c>
      <c r="U223" s="10">
        <v>9.5180000000000001E-2</v>
      </c>
      <c r="V223" s="10">
        <v>1.864E-2</v>
      </c>
      <c r="W223" s="10">
        <v>2.401E-2</v>
      </c>
      <c r="X223" s="10">
        <v>5.0020000000000004E-3</v>
      </c>
      <c r="Y223" s="10">
        <v>25.579999999999899</v>
      </c>
      <c r="Z223" s="10">
        <v>27</v>
      </c>
      <c r="AA223" s="10">
        <v>165.3</v>
      </c>
      <c r="AB223" s="10">
        <v>2010</v>
      </c>
      <c r="AC223" s="10">
        <v>0.1211</v>
      </c>
      <c r="AD223" s="10">
        <v>0.31719999999999898</v>
      </c>
      <c r="AE223" s="10">
        <v>0.69910000000000005</v>
      </c>
      <c r="AF223" s="10">
        <v>0.21049999999999899</v>
      </c>
      <c r="AG223" s="10">
        <v>0.31259999999999899</v>
      </c>
      <c r="AH223">
        <v>7.8490000000000004E-2</v>
      </c>
    </row>
    <row r="224" spans="3:34">
      <c r="C224" s="11" t="s">
        <v>391</v>
      </c>
      <c r="D224" s="10" t="s">
        <v>1</v>
      </c>
      <c r="E224" s="10">
        <v>13.71</v>
      </c>
      <c r="F224" s="10">
        <v>18.4499999999999</v>
      </c>
      <c r="G224" s="10">
        <v>73.28</v>
      </c>
      <c r="H224" s="10">
        <v>407.39999999999901</v>
      </c>
      <c r="I224" s="10">
        <v>9.3450000000000005E-2</v>
      </c>
      <c r="J224" s="10">
        <v>5.9909999999999901E-2</v>
      </c>
      <c r="K224" s="10">
        <v>2.6380000000000001E-2</v>
      </c>
      <c r="L224" s="10">
        <v>2.069E-2</v>
      </c>
      <c r="M224" s="10">
        <v>0.18340000000000001</v>
      </c>
      <c r="N224" s="10">
        <v>5.93399999999999E-2</v>
      </c>
      <c r="O224" s="10">
        <v>0.39269999999999899</v>
      </c>
      <c r="P224" s="10">
        <v>0.84289999999999898</v>
      </c>
      <c r="Q224" s="10">
        <v>2.6840000000000002</v>
      </c>
      <c r="R224" s="10">
        <v>26.989999999999899</v>
      </c>
      <c r="S224" s="10">
        <v>6.3800000000000003E-3</v>
      </c>
      <c r="T224" s="10">
        <v>1.065E-2</v>
      </c>
      <c r="U224" s="10">
        <v>1.24499999999999E-2</v>
      </c>
      <c r="V224" s="10">
        <v>9.1750000000000009E-3</v>
      </c>
      <c r="W224" s="10">
        <v>2.2919999999999899E-2</v>
      </c>
      <c r="X224" s="10">
        <v>1.4610000000000001E-3</v>
      </c>
      <c r="Y224" s="10">
        <v>12.97</v>
      </c>
      <c r="Z224" s="10">
        <v>22.46</v>
      </c>
      <c r="AA224" s="10">
        <v>83.12</v>
      </c>
      <c r="AB224" s="10">
        <v>508.89999999999901</v>
      </c>
      <c r="AC224" s="10">
        <v>0.1183</v>
      </c>
      <c r="AD224" s="10">
        <v>0.10489999999999899</v>
      </c>
      <c r="AE224" s="10">
        <v>8.10499999999999E-2</v>
      </c>
      <c r="AF224" s="10">
        <v>6.5439999999999901E-2</v>
      </c>
      <c r="AG224" s="10">
        <v>0.27400000000000002</v>
      </c>
      <c r="AH224">
        <v>6.48699999999999E-2</v>
      </c>
    </row>
    <row r="225" spans="3:34">
      <c r="C225" s="11" t="s">
        <v>393</v>
      </c>
      <c r="D225" s="10" t="s">
        <v>0</v>
      </c>
      <c r="E225" s="10">
        <v>13.71</v>
      </c>
      <c r="F225" s="10">
        <v>17.079999999999899</v>
      </c>
      <c r="G225" s="10">
        <v>113</v>
      </c>
      <c r="H225" s="10">
        <v>928.2</v>
      </c>
      <c r="I225" s="10">
        <v>0.1008</v>
      </c>
      <c r="J225" s="10">
        <v>0.1041</v>
      </c>
      <c r="K225" s="10">
        <v>0.12659999999999899</v>
      </c>
      <c r="L225" s="10">
        <v>8.3529999999999896E-2</v>
      </c>
      <c r="M225" s="10">
        <v>0.18129999999999899</v>
      </c>
      <c r="N225" s="10">
        <v>5.6129999999999902E-2</v>
      </c>
      <c r="O225" s="10">
        <v>0.30930000000000002</v>
      </c>
      <c r="P225" s="10">
        <v>0.85680000000000001</v>
      </c>
      <c r="Q225" s="10">
        <v>2.1930000000000001</v>
      </c>
      <c r="R225" s="10">
        <v>33.630000000000003</v>
      </c>
      <c r="S225" s="10">
        <v>4.7569999999999904E-3</v>
      </c>
      <c r="T225" s="10">
        <v>1.503E-2</v>
      </c>
      <c r="U225" s="10">
        <v>2.332E-2</v>
      </c>
      <c r="V225" s="10">
        <v>1.26199999999999E-2</v>
      </c>
      <c r="W225" s="10">
        <v>1.39399999999999E-2</v>
      </c>
      <c r="X225" s="10">
        <v>2.362E-3</v>
      </c>
      <c r="Y225" s="10">
        <v>19.850000000000001</v>
      </c>
      <c r="Z225" s="10">
        <v>25.09</v>
      </c>
      <c r="AA225" s="10">
        <v>130.9</v>
      </c>
      <c r="AB225" s="10">
        <v>1222</v>
      </c>
      <c r="AC225" s="10">
        <v>0.1416</v>
      </c>
      <c r="AD225" s="10">
        <v>0.24049999999999899</v>
      </c>
      <c r="AE225" s="10">
        <v>0.33779999999999899</v>
      </c>
      <c r="AF225" s="10">
        <v>0.1857</v>
      </c>
      <c r="AG225" s="10">
        <v>0.31380000000000002</v>
      </c>
      <c r="AH225">
        <v>8.1129999999999897E-2</v>
      </c>
    </row>
    <row r="226" spans="3:34">
      <c r="C226" s="11" t="s">
        <v>395</v>
      </c>
      <c r="D226" s="10" t="s">
        <v>0</v>
      </c>
      <c r="E226" s="10">
        <v>13.71</v>
      </c>
      <c r="F226" s="10">
        <v>17.05</v>
      </c>
      <c r="G226" s="10">
        <v>91.43</v>
      </c>
      <c r="H226" s="10">
        <v>602.39999999999895</v>
      </c>
      <c r="I226" s="10">
        <v>0.1096</v>
      </c>
      <c r="J226" s="10">
        <v>0.12790000000000001</v>
      </c>
      <c r="K226" s="10">
        <v>9.7890000000000005E-2</v>
      </c>
      <c r="L226" s="10">
        <v>5.246E-2</v>
      </c>
      <c r="M226" s="10">
        <v>0.1908</v>
      </c>
      <c r="N226" s="10">
        <v>6.13E-2</v>
      </c>
      <c r="O226" s="10">
        <v>0.42499999999999899</v>
      </c>
      <c r="P226" s="10">
        <v>0.80979999999999897</v>
      </c>
      <c r="Q226" s="10">
        <v>2.5630000000000002</v>
      </c>
      <c r="R226" s="10">
        <v>35.74</v>
      </c>
      <c r="S226" s="10">
        <v>6.3509999999999903E-3</v>
      </c>
      <c r="T226" s="10">
        <v>2.6790000000000001E-2</v>
      </c>
      <c r="U226" s="10">
        <v>3.1189999999999898E-2</v>
      </c>
      <c r="V226" s="10">
        <v>1.342E-2</v>
      </c>
      <c r="W226" s="10">
        <v>2.0619999999999899E-2</v>
      </c>
      <c r="X226" s="10">
        <v>2.6949999999999899E-3</v>
      </c>
      <c r="Y226" s="10">
        <v>16.39</v>
      </c>
      <c r="Z226" s="10">
        <v>22.07</v>
      </c>
      <c r="AA226" s="10">
        <v>108.099999999999</v>
      </c>
      <c r="AB226" s="10">
        <v>826</v>
      </c>
      <c r="AC226" s="10">
        <v>0.1512</v>
      </c>
      <c r="AD226" s="10">
        <v>0.32619999999999899</v>
      </c>
      <c r="AE226" s="10">
        <v>0.32090000000000002</v>
      </c>
      <c r="AF226" s="10">
        <v>0.137399999999999</v>
      </c>
      <c r="AG226" s="10">
        <v>0.30680000000000002</v>
      </c>
      <c r="AH226">
        <v>7.9570000000000002E-2</v>
      </c>
    </row>
    <row r="227" spans="3:34">
      <c r="C227" s="11" t="s">
        <v>396</v>
      </c>
      <c r="D227" s="10" t="s">
        <v>0</v>
      </c>
      <c r="E227" s="10">
        <v>13.71</v>
      </c>
      <c r="F227" s="10">
        <v>28.77</v>
      </c>
      <c r="G227" s="10">
        <v>133.599999999999</v>
      </c>
      <c r="H227" s="10">
        <v>1207</v>
      </c>
      <c r="I227" s="10">
        <v>9.2600000000000002E-2</v>
      </c>
      <c r="J227" s="10">
        <v>0.20630000000000001</v>
      </c>
      <c r="K227" s="10">
        <v>0.1784</v>
      </c>
      <c r="L227" s="10">
        <v>0.1144</v>
      </c>
      <c r="M227" s="10">
        <v>0.1893</v>
      </c>
      <c r="N227" s="10">
        <v>6.232E-2</v>
      </c>
      <c r="O227" s="10">
        <v>0.84260000000000002</v>
      </c>
      <c r="P227" s="10">
        <v>1.1990000000000001</v>
      </c>
      <c r="Q227" s="10">
        <v>7.1580000000000004</v>
      </c>
      <c r="R227" s="10">
        <v>106.4</v>
      </c>
      <c r="S227" s="10">
        <v>6.3559999999999901E-3</v>
      </c>
      <c r="T227" s="10">
        <v>4.7649999999999901E-2</v>
      </c>
      <c r="U227" s="10">
        <v>3.8629999999999901E-2</v>
      </c>
      <c r="V227" s="10">
        <v>1.519E-2</v>
      </c>
      <c r="W227" s="10">
        <v>1.9359999999999902E-2</v>
      </c>
      <c r="X227" s="10">
        <v>5.2519999999999902E-3</v>
      </c>
      <c r="Y227" s="10">
        <v>25.05</v>
      </c>
      <c r="Z227" s="10">
        <v>36.270000000000003</v>
      </c>
      <c r="AA227" s="10">
        <v>178.599999999999</v>
      </c>
      <c r="AB227" s="10">
        <v>1926</v>
      </c>
      <c r="AC227" s="10">
        <v>0.12809999999999899</v>
      </c>
      <c r="AD227" s="10">
        <v>0.53290000000000004</v>
      </c>
      <c r="AE227" s="10">
        <v>0.42509999999999898</v>
      </c>
      <c r="AF227" s="10">
        <v>0.194099999999999</v>
      </c>
      <c r="AG227" s="10">
        <v>0.281799999999999</v>
      </c>
      <c r="AH227">
        <v>0.10050000000000001</v>
      </c>
    </row>
    <row r="228" spans="3:34">
      <c r="C228" s="11" t="s">
        <v>399</v>
      </c>
      <c r="D228" s="10" t="s">
        <v>0</v>
      </c>
      <c r="E228" s="10">
        <v>13.71</v>
      </c>
      <c r="F228" s="10">
        <v>33.56</v>
      </c>
      <c r="G228" s="10">
        <v>103.7</v>
      </c>
      <c r="H228" s="10">
        <v>744.89999999999895</v>
      </c>
      <c r="I228" s="10">
        <v>0.10630000000000001</v>
      </c>
      <c r="J228" s="10">
        <v>0.16389999999999899</v>
      </c>
      <c r="K228" s="10">
        <v>0.17510000000000001</v>
      </c>
      <c r="L228" s="10">
        <v>8.3989999999999898E-2</v>
      </c>
      <c r="M228" s="10">
        <v>0.20910000000000001</v>
      </c>
      <c r="N228" s="10">
        <v>6.6500000000000004E-2</v>
      </c>
      <c r="O228" s="10">
        <v>0.2419</v>
      </c>
      <c r="P228" s="10">
        <v>1.278</v>
      </c>
      <c r="Q228" s="10">
        <v>1.903</v>
      </c>
      <c r="R228" s="10">
        <v>23.02</v>
      </c>
      <c r="S228" s="10">
        <v>5.3449999999999904E-3</v>
      </c>
      <c r="T228" s="10">
        <v>2.5559999999999899E-2</v>
      </c>
      <c r="U228" s="10">
        <v>2.8889999999999898E-2</v>
      </c>
      <c r="V228" s="10">
        <v>1.022E-2</v>
      </c>
      <c r="W228" s="10">
        <v>9.9469999999999906E-3</v>
      </c>
      <c r="X228" s="10">
        <v>3.359E-3</v>
      </c>
      <c r="Y228" s="10">
        <v>18.489999999999899</v>
      </c>
      <c r="Z228" s="10">
        <v>49.5399999999999</v>
      </c>
      <c r="AA228" s="10">
        <v>126.3</v>
      </c>
      <c r="AB228" s="10">
        <v>1035</v>
      </c>
      <c r="AC228" s="10">
        <v>0.1883</v>
      </c>
      <c r="AD228" s="10">
        <v>0.55640000000000001</v>
      </c>
      <c r="AE228" s="10">
        <v>0.57030000000000003</v>
      </c>
      <c r="AF228" s="10">
        <v>0.2014</v>
      </c>
      <c r="AG228" s="10">
        <v>0.35120000000000001</v>
      </c>
      <c r="AH228">
        <v>0.12039999999999899</v>
      </c>
    </row>
    <row r="229" spans="3:34">
      <c r="C229" s="11" t="s">
        <v>400</v>
      </c>
      <c r="D229" s="10" t="s">
        <v>0</v>
      </c>
      <c r="E229" s="10">
        <v>13.71</v>
      </c>
      <c r="F229" s="10">
        <v>27.059999999999899</v>
      </c>
      <c r="G229" s="10">
        <v>132.9</v>
      </c>
      <c r="H229" s="10">
        <v>1288</v>
      </c>
      <c r="I229" s="10">
        <v>0.1</v>
      </c>
      <c r="J229" s="10">
        <v>0.10879999999999899</v>
      </c>
      <c r="K229" s="10">
        <v>0.15190000000000001</v>
      </c>
      <c r="L229" s="10">
        <v>9.3329999999999899E-2</v>
      </c>
      <c r="M229" s="10">
        <v>0.18140000000000001</v>
      </c>
      <c r="N229" s="10">
        <v>5.5719999999999902E-2</v>
      </c>
      <c r="O229" s="10">
        <v>0.3977</v>
      </c>
      <c r="P229" s="10">
        <v>1.0329999999999899</v>
      </c>
      <c r="Q229" s="10">
        <v>2.5870000000000002</v>
      </c>
      <c r="R229" s="10">
        <v>52.34</v>
      </c>
      <c r="S229" s="10">
        <v>5.0429999999999902E-3</v>
      </c>
      <c r="T229" s="10">
        <v>1.5779999999999898E-2</v>
      </c>
      <c r="U229" s="10">
        <v>2.1170000000000001E-2</v>
      </c>
      <c r="V229" s="10">
        <v>8.1849999999999892E-3</v>
      </c>
      <c r="W229" s="10">
        <v>1.282E-2</v>
      </c>
      <c r="X229" s="10">
        <v>1.892E-3</v>
      </c>
      <c r="Y229" s="10">
        <v>24.329999999999899</v>
      </c>
      <c r="Z229" s="10">
        <v>39.159999999999897</v>
      </c>
      <c r="AA229" s="10">
        <v>162.30000000000001</v>
      </c>
      <c r="AB229" s="10">
        <v>1844</v>
      </c>
      <c r="AC229" s="10">
        <v>0.1522</v>
      </c>
      <c r="AD229" s="10">
        <v>0.29449999999999898</v>
      </c>
      <c r="AE229" s="10">
        <v>0.37880000000000003</v>
      </c>
      <c r="AF229" s="10">
        <v>0.16969999999999899</v>
      </c>
      <c r="AG229" s="10">
        <v>0.31509999999999899</v>
      </c>
      <c r="AH229">
        <v>7.9990000000000006E-2</v>
      </c>
    </row>
    <row r="230" spans="3:34">
      <c r="C230" s="11" t="s">
        <v>401</v>
      </c>
      <c r="D230" s="10" t="s">
        <v>0</v>
      </c>
      <c r="E230" s="10">
        <v>13.71</v>
      </c>
      <c r="F230" s="10">
        <v>23.059999999999899</v>
      </c>
      <c r="G230" s="10">
        <v>111</v>
      </c>
      <c r="H230" s="10">
        <v>933.1</v>
      </c>
      <c r="I230" s="10">
        <v>8.6620000000000003E-2</v>
      </c>
      <c r="J230" s="10">
        <v>6.28999999999999E-2</v>
      </c>
      <c r="K230" s="10">
        <v>2.8910000000000002E-2</v>
      </c>
      <c r="L230" s="10">
        <v>2.8369999999999899E-2</v>
      </c>
      <c r="M230" s="10">
        <v>0.15640000000000001</v>
      </c>
      <c r="N230" s="10">
        <v>5.3069999999999902E-2</v>
      </c>
      <c r="O230" s="10">
        <v>0.4007</v>
      </c>
      <c r="P230" s="10">
        <v>1.31699999999999</v>
      </c>
      <c r="Q230" s="10">
        <v>2.577</v>
      </c>
      <c r="R230" s="10">
        <v>44.409999999999897</v>
      </c>
      <c r="S230" s="10">
        <v>5.7260000000000002E-3</v>
      </c>
      <c r="T230" s="10">
        <v>1.106E-2</v>
      </c>
      <c r="U230" s="10">
        <v>1.2460000000000001E-2</v>
      </c>
      <c r="V230" s="10">
        <v>7.6709999999999903E-3</v>
      </c>
      <c r="W230" s="10">
        <v>1.41099999999999E-2</v>
      </c>
      <c r="X230" s="10">
        <v>1.578E-3</v>
      </c>
      <c r="Y230" s="10">
        <v>19.850000000000001</v>
      </c>
      <c r="Z230" s="10">
        <v>31.469999999999899</v>
      </c>
      <c r="AA230" s="10">
        <v>128.19999999999899</v>
      </c>
      <c r="AB230" s="10">
        <v>1218</v>
      </c>
      <c r="AC230" s="10">
        <v>0.124</v>
      </c>
      <c r="AD230" s="10">
        <v>0.14860000000000001</v>
      </c>
      <c r="AE230" s="10">
        <v>0.1211</v>
      </c>
      <c r="AF230" s="10">
        <v>8.2350000000000007E-2</v>
      </c>
      <c r="AG230" s="10">
        <v>0.2452</v>
      </c>
      <c r="AH230">
        <v>6.515E-2</v>
      </c>
    </row>
    <row r="231" spans="3:34">
      <c r="C231" s="11" t="s">
        <v>402</v>
      </c>
      <c r="D231" s="10" t="s">
        <v>0</v>
      </c>
      <c r="E231" s="10">
        <v>13.71</v>
      </c>
      <c r="F231" s="10">
        <v>22.1299999999999</v>
      </c>
      <c r="G231" s="10">
        <v>114.4</v>
      </c>
      <c r="H231" s="10">
        <v>947.79999999999905</v>
      </c>
      <c r="I231" s="10">
        <v>8.9990000000000001E-2</v>
      </c>
      <c r="J231" s="10">
        <v>0.1273</v>
      </c>
      <c r="K231" s="10">
        <v>9.6970000000000001E-2</v>
      </c>
      <c r="L231" s="10">
        <v>7.5069999999999901E-2</v>
      </c>
      <c r="M231" s="10">
        <v>0.21079999999999899</v>
      </c>
      <c r="N231" s="10">
        <v>5.4640000000000001E-2</v>
      </c>
      <c r="O231" s="10">
        <v>0.83479999999999899</v>
      </c>
      <c r="P231" s="10">
        <v>1.633</v>
      </c>
      <c r="Q231" s="10">
        <v>6.1459999999999901</v>
      </c>
      <c r="R231" s="10">
        <v>90.939999999999898</v>
      </c>
      <c r="S231" s="10">
        <v>6.7169999999999903E-3</v>
      </c>
      <c r="T231" s="10">
        <v>5.9810000000000002E-2</v>
      </c>
      <c r="U231" s="10">
        <v>4.63799999999999E-2</v>
      </c>
      <c r="V231" s="10">
        <v>2.1489999999999902E-2</v>
      </c>
      <c r="W231" s="10">
        <v>2.7470000000000001E-2</v>
      </c>
      <c r="X231" s="10">
        <v>5.8380000000000003E-3</v>
      </c>
      <c r="Y231" s="10">
        <v>20.39</v>
      </c>
      <c r="Z231" s="10">
        <v>27.239999999999899</v>
      </c>
      <c r="AA231" s="10">
        <v>137.9</v>
      </c>
      <c r="AB231" s="10">
        <v>1295</v>
      </c>
      <c r="AC231" s="10">
        <v>0.1134</v>
      </c>
      <c r="AD231" s="10">
        <v>0.28670000000000001</v>
      </c>
      <c r="AE231" s="10">
        <v>0.2298</v>
      </c>
      <c r="AF231" s="10">
        <v>0.15279999999999899</v>
      </c>
      <c r="AG231" s="10">
        <v>0.30669999999999897</v>
      </c>
      <c r="AH231">
        <v>7.4840000000000004E-2</v>
      </c>
    </row>
    <row r="232" spans="3:34">
      <c r="C232" s="11" t="s">
        <v>403</v>
      </c>
      <c r="D232" s="10" t="s">
        <v>0</v>
      </c>
      <c r="E232" s="10">
        <v>13.71</v>
      </c>
      <c r="F232" s="10">
        <v>19.3799999999999</v>
      </c>
      <c r="G232" s="10">
        <v>100</v>
      </c>
      <c r="H232" s="10">
        <v>758.6</v>
      </c>
      <c r="I232" s="10">
        <v>7.83999999999999E-2</v>
      </c>
      <c r="J232" s="10">
        <v>5.6160000000000002E-2</v>
      </c>
      <c r="K232" s="10">
        <v>4.2090000000000002E-2</v>
      </c>
      <c r="L232" s="10">
        <v>2.8469999999999902E-2</v>
      </c>
      <c r="M232" s="10">
        <v>0.1547</v>
      </c>
      <c r="N232" s="10">
        <v>5.4429999999999902E-2</v>
      </c>
      <c r="O232" s="10">
        <v>0.2298</v>
      </c>
      <c r="P232" s="10">
        <v>0.99880000000000002</v>
      </c>
      <c r="Q232" s="10">
        <v>1.534</v>
      </c>
      <c r="R232" s="10">
        <v>22.18</v>
      </c>
      <c r="S232" s="10">
        <v>2.826E-3</v>
      </c>
      <c r="T232" s="10">
        <v>9.1050000000000002E-3</v>
      </c>
      <c r="U232" s="10">
        <v>1.311E-2</v>
      </c>
      <c r="V232" s="10">
        <v>5.1739999999999902E-3</v>
      </c>
      <c r="W232" s="10">
        <v>1.013E-2</v>
      </c>
      <c r="X232" s="10">
        <v>1.3450000000000001E-3</v>
      </c>
      <c r="Y232" s="10">
        <v>17.91</v>
      </c>
      <c r="Z232" s="10">
        <v>31.67</v>
      </c>
      <c r="AA232" s="10">
        <v>115.9</v>
      </c>
      <c r="AB232" s="10">
        <v>988.6</v>
      </c>
      <c r="AC232" s="10">
        <v>0.1084</v>
      </c>
      <c r="AD232" s="10">
        <v>0.1807</v>
      </c>
      <c r="AE232" s="10">
        <v>0.22600000000000001</v>
      </c>
      <c r="AF232" s="10">
        <v>8.5680000000000006E-2</v>
      </c>
      <c r="AG232" s="10">
        <v>0.26829999999999898</v>
      </c>
      <c r="AH232">
        <v>6.8290000000000003E-2</v>
      </c>
    </row>
    <row r="233" spans="3:34">
      <c r="C233" s="11" t="s">
        <v>405</v>
      </c>
      <c r="D233" s="10" t="s">
        <v>0</v>
      </c>
      <c r="E233" s="10">
        <v>13.71</v>
      </c>
      <c r="F233" s="10">
        <v>31.12</v>
      </c>
      <c r="G233" s="10">
        <v>135.69999999999899</v>
      </c>
      <c r="H233" s="10">
        <v>1419</v>
      </c>
      <c r="I233" s="10">
        <v>9.4689999999999899E-2</v>
      </c>
      <c r="J233" s="10">
        <v>0.1143</v>
      </c>
      <c r="K233" s="10">
        <v>0.13669999999999899</v>
      </c>
      <c r="L233" s="10">
        <v>8.6459999999999898E-2</v>
      </c>
      <c r="M233" s="10">
        <v>0.1769</v>
      </c>
      <c r="N233" s="10">
        <v>5.6739999999999902E-2</v>
      </c>
      <c r="O233" s="10">
        <v>1.1719999999999899</v>
      </c>
      <c r="P233" s="10">
        <v>1.617</v>
      </c>
      <c r="Q233" s="10">
        <v>7.7489999999999899</v>
      </c>
      <c r="R233" s="10">
        <v>199.69999999999899</v>
      </c>
      <c r="S233" s="10">
        <v>4.5510000000000004E-3</v>
      </c>
      <c r="T233" s="10">
        <v>1.478E-2</v>
      </c>
      <c r="U233" s="10">
        <v>2.1430000000000001E-2</v>
      </c>
      <c r="V233" s="10">
        <v>9.2800000000000001E-3</v>
      </c>
      <c r="W233" s="10">
        <v>1.367E-2</v>
      </c>
      <c r="X233" s="10">
        <v>2.2989999999999899E-3</v>
      </c>
      <c r="Y233" s="10">
        <v>32.49</v>
      </c>
      <c r="Z233" s="10">
        <v>47.159999999999897</v>
      </c>
      <c r="AA233" s="10">
        <v>214</v>
      </c>
      <c r="AB233" s="10">
        <v>3432</v>
      </c>
      <c r="AC233" s="10">
        <v>0.1401</v>
      </c>
      <c r="AD233" s="10">
        <v>0.26440000000000002</v>
      </c>
      <c r="AE233" s="10">
        <v>0.34420000000000001</v>
      </c>
      <c r="AF233" s="10">
        <v>0.16589999999999899</v>
      </c>
      <c r="AG233" s="10">
        <v>0.2868</v>
      </c>
      <c r="AH233">
        <v>8.2180000000000003E-2</v>
      </c>
    </row>
    <row r="234" spans="3:34">
      <c r="C234" s="11" t="s">
        <v>406</v>
      </c>
      <c r="D234" s="10" t="s">
        <v>1</v>
      </c>
      <c r="E234" s="10">
        <v>13.71</v>
      </c>
      <c r="F234" s="10">
        <v>18.9499999999999</v>
      </c>
      <c r="G234" s="10">
        <v>69.28</v>
      </c>
      <c r="H234" s="10">
        <v>346.39999999999901</v>
      </c>
      <c r="I234" s="10">
        <v>9.6879999999999897E-2</v>
      </c>
      <c r="J234" s="10">
        <v>0.1147</v>
      </c>
      <c r="K234" s="10">
        <v>6.3869999999999899E-2</v>
      </c>
      <c r="L234" s="10">
        <v>2.6419999999999898E-2</v>
      </c>
      <c r="M234" s="10">
        <v>0.19220000000000001</v>
      </c>
      <c r="N234" s="10">
        <v>6.4909999999999898E-2</v>
      </c>
      <c r="O234" s="10">
        <v>0.45050000000000001</v>
      </c>
      <c r="P234" s="10">
        <v>1.1970000000000001</v>
      </c>
      <c r="Q234" s="10">
        <v>3.43</v>
      </c>
      <c r="R234" s="10">
        <v>27.1</v>
      </c>
      <c r="S234" s="10">
        <v>7.4700000000000001E-3</v>
      </c>
      <c r="T234" s="10">
        <v>3.5810000000000002E-2</v>
      </c>
      <c r="U234" s="10">
        <v>3.354E-2</v>
      </c>
      <c r="V234" s="10">
        <v>1.3650000000000001E-2</v>
      </c>
      <c r="W234" s="10">
        <v>3.5040000000000002E-2</v>
      </c>
      <c r="X234" s="10">
        <v>3.3180000000000002E-3</v>
      </c>
      <c r="Y234" s="10">
        <v>11.88</v>
      </c>
      <c r="Z234" s="10">
        <v>22.94</v>
      </c>
      <c r="AA234" s="10">
        <v>78.28</v>
      </c>
      <c r="AB234" s="10">
        <v>424.8</v>
      </c>
      <c r="AC234" s="10">
        <v>0.12130000000000001</v>
      </c>
      <c r="AD234" s="10">
        <v>0.2515</v>
      </c>
      <c r="AE234" s="10">
        <v>0.19159999999999899</v>
      </c>
      <c r="AF234" s="10">
        <v>7.92599999999999E-2</v>
      </c>
      <c r="AG234" s="10">
        <v>0.29399999999999898</v>
      </c>
      <c r="AH234">
        <v>7.5870000000000007E-2</v>
      </c>
    </row>
    <row r="235" spans="3:34">
      <c r="C235" s="11" t="s">
        <v>408</v>
      </c>
      <c r="D235" s="10" t="s">
        <v>1</v>
      </c>
      <c r="E235" s="10">
        <v>13.71</v>
      </c>
      <c r="F235" s="10">
        <v>16.21</v>
      </c>
      <c r="G235" s="10">
        <v>82.379999999999896</v>
      </c>
      <c r="H235" s="10">
        <v>512.20000000000005</v>
      </c>
      <c r="I235" s="10">
        <v>9.425E-2</v>
      </c>
      <c r="J235" s="10">
        <v>6.2190000000000002E-2</v>
      </c>
      <c r="K235" s="10">
        <v>3.9E-2</v>
      </c>
      <c r="L235" s="10">
        <v>1.6150000000000001E-2</v>
      </c>
      <c r="M235" s="10">
        <v>0.20100000000000001</v>
      </c>
      <c r="N235" s="10">
        <v>5.7689999999999901E-2</v>
      </c>
      <c r="O235" s="10">
        <v>0.23449999999999899</v>
      </c>
      <c r="P235" s="10">
        <v>1.2190000000000001</v>
      </c>
      <c r="Q235" s="10">
        <v>1.546</v>
      </c>
      <c r="R235" s="10">
        <v>18.239999999999899</v>
      </c>
      <c r="S235" s="10">
        <v>5.5180000000000003E-3</v>
      </c>
      <c r="T235" s="10">
        <v>2.1780000000000001E-2</v>
      </c>
      <c r="U235" s="10">
        <v>2.589E-2</v>
      </c>
      <c r="V235" s="10">
        <v>6.3299999999999901E-3</v>
      </c>
      <c r="W235" s="10">
        <v>2.5930000000000002E-2</v>
      </c>
      <c r="X235" s="10">
        <v>2.1570000000000001E-3</v>
      </c>
      <c r="Y235" s="10">
        <v>13.9</v>
      </c>
      <c r="Z235" s="10">
        <v>23.64</v>
      </c>
      <c r="AA235" s="10">
        <v>89.269999999999897</v>
      </c>
      <c r="AB235" s="10">
        <v>597.5</v>
      </c>
      <c r="AC235" s="10">
        <v>0.12559999999999899</v>
      </c>
      <c r="AD235" s="10">
        <v>0.18079999999999899</v>
      </c>
      <c r="AE235" s="10">
        <v>0.19919999999999899</v>
      </c>
      <c r="AF235" s="10">
        <v>5.77999999999999E-2</v>
      </c>
      <c r="AG235" s="10">
        <v>0.3604</v>
      </c>
      <c r="AH235">
        <v>7.0620000000000002E-2</v>
      </c>
    </row>
    <row r="236" spans="3:34">
      <c r="C236" s="11" t="s">
        <v>409</v>
      </c>
      <c r="D236" s="10" t="s">
        <v>1</v>
      </c>
      <c r="E236" s="10">
        <v>13.71</v>
      </c>
      <c r="F236" s="10">
        <v>20.39</v>
      </c>
      <c r="G236" s="10">
        <v>69.5</v>
      </c>
      <c r="H236" s="10">
        <v>344.89999999999901</v>
      </c>
      <c r="I236" s="10">
        <v>0.1082</v>
      </c>
      <c r="J236" s="10">
        <v>0.12889999999999899</v>
      </c>
      <c r="K236" s="10">
        <v>8.448E-2</v>
      </c>
      <c r="L236" s="10">
        <v>2.8670000000000001E-2</v>
      </c>
      <c r="M236" s="10">
        <v>0.1668</v>
      </c>
      <c r="N236" s="10">
        <v>6.862E-2</v>
      </c>
      <c r="O236" s="10">
        <v>0.31979999999999897</v>
      </c>
      <c r="P236" s="10">
        <v>1.4890000000000001</v>
      </c>
      <c r="Q236" s="10">
        <v>2.23</v>
      </c>
      <c r="R236" s="10">
        <v>20.739999999999899</v>
      </c>
      <c r="S236" s="10">
        <v>8.9020000000000002E-3</v>
      </c>
      <c r="T236" s="10">
        <v>4.78499999999999E-2</v>
      </c>
      <c r="U236" s="10">
        <v>7.33899999999999E-2</v>
      </c>
      <c r="V236" s="10">
        <v>1.745E-2</v>
      </c>
      <c r="W236" s="10">
        <v>2.7279999999999902E-2</v>
      </c>
      <c r="X236" s="10">
        <v>7.60999999999999E-3</v>
      </c>
      <c r="Y236" s="10">
        <v>11.69</v>
      </c>
      <c r="Z236" s="10">
        <v>25.21</v>
      </c>
      <c r="AA236" s="10">
        <v>76.510000000000005</v>
      </c>
      <c r="AB236" s="10">
        <v>410.39999999999901</v>
      </c>
      <c r="AC236" s="10">
        <v>0.13350000000000001</v>
      </c>
      <c r="AD236" s="10">
        <v>0.255</v>
      </c>
      <c r="AE236" s="10">
        <v>0.25340000000000001</v>
      </c>
      <c r="AF236" s="10">
        <v>8.5999999999999896E-2</v>
      </c>
      <c r="AG236" s="10">
        <v>0.26050000000000001</v>
      </c>
      <c r="AH236">
        <v>8.7010000000000004E-2</v>
      </c>
    </row>
    <row r="237" spans="3:34">
      <c r="C237" s="11" t="s">
        <v>411</v>
      </c>
      <c r="D237" s="10" t="s">
        <v>1</v>
      </c>
      <c r="E237" s="10">
        <v>13.71</v>
      </c>
      <c r="F237" s="10">
        <v>13.0399999999999</v>
      </c>
      <c r="G237" s="10">
        <v>72.23</v>
      </c>
      <c r="H237" s="10">
        <v>388</v>
      </c>
      <c r="I237" s="10">
        <v>9.83399999999999E-2</v>
      </c>
      <c r="J237" s="10">
        <v>7.6079999999999898E-2</v>
      </c>
      <c r="K237" s="10">
        <v>3.2649999999999901E-2</v>
      </c>
      <c r="L237" s="10">
        <v>2.7550000000000002E-2</v>
      </c>
      <c r="M237" s="10">
        <v>0.1769</v>
      </c>
      <c r="N237" s="10">
        <v>6.2700000000000006E-2</v>
      </c>
      <c r="O237" s="10">
        <v>0.19040000000000001</v>
      </c>
      <c r="P237" s="10">
        <v>0.52929999999999899</v>
      </c>
      <c r="Q237" s="10">
        <v>1.1639999999999899</v>
      </c>
      <c r="R237" s="10">
        <v>13.17</v>
      </c>
      <c r="S237" s="10">
        <v>6.4720000000000003E-3</v>
      </c>
      <c r="T237" s="10">
        <v>1.1220000000000001E-2</v>
      </c>
      <c r="U237" s="10">
        <v>1.282E-2</v>
      </c>
      <c r="V237" s="10">
        <v>8.8489999999999906E-3</v>
      </c>
      <c r="W237" s="10">
        <v>1.6920000000000001E-2</v>
      </c>
      <c r="X237" s="10">
        <v>2.8170000000000001E-3</v>
      </c>
      <c r="Y237" s="10">
        <v>12.32</v>
      </c>
      <c r="Z237" s="10">
        <v>16.18</v>
      </c>
      <c r="AA237" s="10">
        <v>78.269999999999897</v>
      </c>
      <c r="AB237" s="10">
        <v>457.5</v>
      </c>
      <c r="AC237" s="10">
        <v>0.1358</v>
      </c>
      <c r="AD237" s="10">
        <v>0.1507</v>
      </c>
      <c r="AE237" s="10">
        <v>0.1275</v>
      </c>
      <c r="AF237" s="10">
        <v>8.7499999999999897E-2</v>
      </c>
      <c r="AG237" s="10">
        <v>0.27329999999999899</v>
      </c>
      <c r="AH237">
        <v>8.022E-2</v>
      </c>
    </row>
    <row r="238" spans="3:34">
      <c r="C238" s="11" t="s">
        <v>413</v>
      </c>
      <c r="D238" s="10" t="s">
        <v>1</v>
      </c>
      <c r="E238" s="10">
        <v>13.71</v>
      </c>
      <c r="F238" s="10">
        <v>15.67</v>
      </c>
      <c r="G238" s="10">
        <v>61.5</v>
      </c>
      <c r="H238" s="10">
        <v>289.89999999999901</v>
      </c>
      <c r="I238" s="10">
        <v>9.0370000000000006E-2</v>
      </c>
      <c r="J238" s="10">
        <v>4.6890000000000001E-2</v>
      </c>
      <c r="K238" s="10">
        <v>1.103E-2</v>
      </c>
      <c r="L238" s="10">
        <v>1.40699999999999E-2</v>
      </c>
      <c r="M238" s="10">
        <v>0.20810000000000001</v>
      </c>
      <c r="N238" s="10">
        <v>6.3119999999999898E-2</v>
      </c>
      <c r="O238" s="10">
        <v>0.26840000000000003</v>
      </c>
      <c r="P238" s="10">
        <v>1.409</v>
      </c>
      <c r="Q238" s="10">
        <v>1.75</v>
      </c>
      <c r="R238" s="10">
        <v>16.39</v>
      </c>
      <c r="S238" s="10">
        <v>1.38E-2</v>
      </c>
      <c r="T238" s="10">
        <v>1.0670000000000001E-2</v>
      </c>
      <c r="U238" s="10">
        <v>8.3470000000000003E-3</v>
      </c>
      <c r="V238" s="10">
        <v>9.4719999999999908E-3</v>
      </c>
      <c r="W238" s="10">
        <v>1.7979999999999899E-2</v>
      </c>
      <c r="X238" s="10">
        <v>4.261E-3</v>
      </c>
      <c r="Y238" s="10">
        <v>10.75</v>
      </c>
      <c r="Z238" s="10">
        <v>20.8799999999999</v>
      </c>
      <c r="AA238" s="10">
        <v>68.09</v>
      </c>
      <c r="AB238" s="10">
        <v>355.19999999999902</v>
      </c>
      <c r="AC238" s="10">
        <v>0.1467</v>
      </c>
      <c r="AD238" s="10">
        <v>9.3700000000000006E-2</v>
      </c>
      <c r="AE238" s="10">
        <v>4.0430000000000001E-2</v>
      </c>
      <c r="AF238" s="10">
        <v>5.15899999999999E-2</v>
      </c>
      <c r="AG238" s="10">
        <v>0.28410000000000002</v>
      </c>
      <c r="AH238">
        <v>8.1750000000000003E-2</v>
      </c>
    </row>
    <row r="239" spans="3:34">
      <c r="C239" s="11" t="s">
        <v>414</v>
      </c>
      <c r="D239" s="10" t="s">
        <v>0</v>
      </c>
      <c r="E239" s="10">
        <v>13.71</v>
      </c>
      <c r="F239" s="10">
        <v>24.48</v>
      </c>
      <c r="G239" s="10">
        <v>115.2</v>
      </c>
      <c r="H239" s="10">
        <v>998.89999999999895</v>
      </c>
      <c r="I239" s="10">
        <v>8.8550000000000004E-2</v>
      </c>
      <c r="J239" s="10">
        <v>7.0269999999999902E-2</v>
      </c>
      <c r="K239" s="10">
        <v>5.6989999999999902E-2</v>
      </c>
      <c r="L239" s="10">
        <v>4.7440000000000003E-2</v>
      </c>
      <c r="M239" s="10">
        <v>0.15379999999999899</v>
      </c>
      <c r="N239" s="10">
        <v>5.5100000000000003E-2</v>
      </c>
      <c r="O239" s="10">
        <v>0.42120000000000002</v>
      </c>
      <c r="P239" s="10">
        <v>1.4330000000000001</v>
      </c>
      <c r="Q239" s="10">
        <v>2.7650000000000001</v>
      </c>
      <c r="R239" s="10">
        <v>45.81</v>
      </c>
      <c r="S239" s="10">
        <v>5.4440000000000001E-3</v>
      </c>
      <c r="T239" s="10">
        <v>1.1690000000000001E-2</v>
      </c>
      <c r="U239" s="10">
        <v>1.6219999999999901E-2</v>
      </c>
      <c r="V239" s="10">
        <v>8.5220000000000001E-3</v>
      </c>
      <c r="W239" s="10">
        <v>1.4189999999999901E-2</v>
      </c>
      <c r="X239" s="10">
        <v>2.751E-3</v>
      </c>
      <c r="Y239" s="10">
        <v>20.92</v>
      </c>
      <c r="Z239" s="10">
        <v>34.689999999999898</v>
      </c>
      <c r="AA239" s="10">
        <v>135.099999999999</v>
      </c>
      <c r="AB239" s="10">
        <v>1320</v>
      </c>
      <c r="AC239" s="10">
        <v>0.13150000000000001</v>
      </c>
      <c r="AD239" s="10">
        <v>0.18060000000000001</v>
      </c>
      <c r="AE239" s="10">
        <v>0.20799999999999899</v>
      </c>
      <c r="AF239" s="10">
        <v>0.11360000000000001</v>
      </c>
      <c r="AG239" s="10">
        <v>0.25040000000000001</v>
      </c>
      <c r="AH239">
        <v>7.9479999999999898E-2</v>
      </c>
    </row>
    <row r="240" spans="3:34">
      <c r="C240" s="11" t="s">
        <v>416</v>
      </c>
      <c r="D240" s="10" t="s">
        <v>1</v>
      </c>
      <c r="E240" s="10">
        <v>13.71</v>
      </c>
      <c r="F240" s="10">
        <v>14.16</v>
      </c>
      <c r="G240" s="10">
        <v>71.790000000000006</v>
      </c>
      <c r="H240" s="10">
        <v>396.6</v>
      </c>
      <c r="I240" s="10">
        <v>9.3789999999999901E-2</v>
      </c>
      <c r="J240" s="10">
        <v>3.87199999999999E-2</v>
      </c>
      <c r="K240" s="10">
        <v>1.487E-3</v>
      </c>
      <c r="L240" s="10">
        <v>3.333E-3</v>
      </c>
      <c r="M240" s="10">
        <v>0.19539999999999899</v>
      </c>
      <c r="N240" s="10">
        <v>5.8209999999999901E-2</v>
      </c>
      <c r="O240" s="10">
        <v>0.23749999999999899</v>
      </c>
      <c r="P240" s="10">
        <v>1.28</v>
      </c>
      <c r="Q240" s="10">
        <v>1.56499999999999</v>
      </c>
      <c r="R240" s="10">
        <v>17.09</v>
      </c>
      <c r="S240" s="10">
        <v>8.4259999999999908E-3</v>
      </c>
      <c r="T240" s="10">
        <v>8.9980000000000008E-3</v>
      </c>
      <c r="U240" s="10">
        <v>1.487E-3</v>
      </c>
      <c r="V240" s="10">
        <v>3.333E-3</v>
      </c>
      <c r="W240" s="10">
        <v>2.358E-2</v>
      </c>
      <c r="X240" s="10">
        <v>1.627E-3</v>
      </c>
      <c r="Y240" s="10">
        <v>12.1999999999999</v>
      </c>
      <c r="Z240" s="10">
        <v>18.989999999999899</v>
      </c>
      <c r="AA240" s="10">
        <v>77.37</v>
      </c>
      <c r="AB240" s="10">
        <v>458</v>
      </c>
      <c r="AC240" s="10">
        <v>0.12590000000000001</v>
      </c>
      <c r="AD240" s="10">
        <v>7.3480000000000004E-2</v>
      </c>
      <c r="AE240" s="10">
        <v>4.9550000000000002E-3</v>
      </c>
      <c r="AF240" s="10">
        <v>1.111E-2</v>
      </c>
      <c r="AG240" s="10">
        <v>0.27579999999999899</v>
      </c>
      <c r="AH240">
        <v>6.386E-2</v>
      </c>
    </row>
    <row r="241" spans="3:34">
      <c r="C241" s="11" t="s">
        <v>417</v>
      </c>
      <c r="D241" s="10" t="s">
        <v>0</v>
      </c>
      <c r="E241" s="10">
        <v>13.71</v>
      </c>
      <c r="F241" s="10">
        <v>19.98</v>
      </c>
      <c r="G241" s="10">
        <v>120.9</v>
      </c>
      <c r="H241" s="10">
        <v>1102</v>
      </c>
      <c r="I241" s="10">
        <v>8.9230000000000004E-2</v>
      </c>
      <c r="J241" s="10">
        <v>5.8840000000000003E-2</v>
      </c>
      <c r="K241" s="10">
        <v>8.0199999999999896E-2</v>
      </c>
      <c r="L241" s="10">
        <v>5.8430000000000003E-2</v>
      </c>
      <c r="M241" s="10">
        <v>0.155</v>
      </c>
      <c r="N241" s="10">
        <v>4.99599999999999E-2</v>
      </c>
      <c r="O241" s="10">
        <v>0.32829999999999898</v>
      </c>
      <c r="P241" s="10">
        <v>0.82799999999999896</v>
      </c>
      <c r="Q241" s="10">
        <v>2.363</v>
      </c>
      <c r="R241" s="10">
        <v>36.74</v>
      </c>
      <c r="S241" s="10">
        <v>7.5709999999999901E-3</v>
      </c>
      <c r="T241" s="10">
        <v>1.1140000000000001E-2</v>
      </c>
      <c r="U241" s="10">
        <v>2.623E-2</v>
      </c>
      <c r="V241" s="10">
        <v>1.4630000000000001E-2</v>
      </c>
      <c r="W241" s="10">
        <v>1.9300000000000001E-2</v>
      </c>
      <c r="X241" s="10">
        <v>1.676E-3</v>
      </c>
      <c r="Y241" s="10">
        <v>19.96</v>
      </c>
      <c r="Z241" s="10">
        <v>24.3</v>
      </c>
      <c r="AA241" s="10">
        <v>129</v>
      </c>
      <c r="AB241" s="10">
        <v>1236</v>
      </c>
      <c r="AC241" s="10">
        <v>0.12429999999999899</v>
      </c>
      <c r="AD241" s="10">
        <v>0.11600000000000001</v>
      </c>
      <c r="AE241" s="10">
        <v>0.221</v>
      </c>
      <c r="AF241" s="10">
        <v>0.12939999999999899</v>
      </c>
      <c r="AG241" s="10">
        <v>0.25669999999999898</v>
      </c>
      <c r="AH241">
        <v>5.73699999999999E-2</v>
      </c>
    </row>
    <row r="242" spans="3:34">
      <c r="C242" s="11" t="s">
        <v>418</v>
      </c>
      <c r="D242" s="10" t="s">
        <v>1</v>
      </c>
      <c r="E242" s="10">
        <v>13.71</v>
      </c>
      <c r="F242" s="10">
        <v>17.84</v>
      </c>
      <c r="G242" s="10">
        <v>86.239999999999895</v>
      </c>
      <c r="H242" s="10">
        <v>572.29999999999905</v>
      </c>
      <c r="I242" s="10">
        <v>7.9479999999999898E-2</v>
      </c>
      <c r="J242" s="10">
        <v>4.052E-2</v>
      </c>
      <c r="K242" s="10">
        <v>1.9970000000000002E-2</v>
      </c>
      <c r="L242" s="10">
        <v>1.238E-2</v>
      </c>
      <c r="M242" s="10">
        <v>0.1573</v>
      </c>
      <c r="N242" s="10">
        <v>5.5199999999999902E-2</v>
      </c>
      <c r="O242" s="10">
        <v>0.25800000000000001</v>
      </c>
      <c r="P242" s="10">
        <v>1.1659999999999899</v>
      </c>
      <c r="Q242" s="10">
        <v>1.6830000000000001</v>
      </c>
      <c r="R242" s="10">
        <v>22.219999999999899</v>
      </c>
      <c r="S242" s="10">
        <v>3.741E-3</v>
      </c>
      <c r="T242" s="10">
        <v>5.274E-3</v>
      </c>
      <c r="U242" s="10">
        <v>1.065E-2</v>
      </c>
      <c r="V242" s="10">
        <v>5.0439999999999903E-3</v>
      </c>
      <c r="W242" s="10">
        <v>1.3440000000000001E-2</v>
      </c>
      <c r="X242" s="10">
        <v>1.126E-3</v>
      </c>
      <c r="Y242" s="10">
        <v>15.5</v>
      </c>
      <c r="Z242" s="10">
        <v>26.1</v>
      </c>
      <c r="AA242" s="10">
        <v>98.909999999999897</v>
      </c>
      <c r="AB242" s="10">
        <v>739.1</v>
      </c>
      <c r="AC242" s="10">
        <v>0.105</v>
      </c>
      <c r="AD242" s="10">
        <v>7.6219999999999899E-2</v>
      </c>
      <c r="AE242" s="10">
        <v>0.106</v>
      </c>
      <c r="AF242" s="10">
        <v>5.185E-2</v>
      </c>
      <c r="AG242" s="10">
        <v>0.23350000000000001</v>
      </c>
      <c r="AH242">
        <v>6.2630000000000005E-2</v>
      </c>
    </row>
    <row r="243" spans="3:34">
      <c r="C243" s="11" t="s">
        <v>419</v>
      </c>
      <c r="D243" s="10" t="s">
        <v>1</v>
      </c>
      <c r="E243" s="10">
        <v>13.71</v>
      </c>
      <c r="F243" s="10">
        <v>15.18</v>
      </c>
      <c r="G243" s="10">
        <v>88.989999999999895</v>
      </c>
      <c r="H243" s="10">
        <v>587.39999999999895</v>
      </c>
      <c r="I243" s="10">
        <v>9.5159999999999897E-2</v>
      </c>
      <c r="J243" s="10">
        <v>7.6880000000000004E-2</v>
      </c>
      <c r="K243" s="10">
        <v>4.4790000000000003E-2</v>
      </c>
      <c r="L243" s="10">
        <v>3.71099999999999E-2</v>
      </c>
      <c r="M243" s="10">
        <v>0.21099999999999899</v>
      </c>
      <c r="N243" s="10">
        <v>5.8529999999999902E-2</v>
      </c>
      <c r="O243" s="10">
        <v>0.24790000000000001</v>
      </c>
      <c r="P243" s="10">
        <v>0.91949999999999898</v>
      </c>
      <c r="Q243" s="10">
        <v>1.83</v>
      </c>
      <c r="R243" s="10">
        <v>19.41</v>
      </c>
      <c r="S243" s="10">
        <v>4.235E-3</v>
      </c>
      <c r="T243" s="10">
        <v>1.541E-2</v>
      </c>
      <c r="U243" s="10">
        <v>1.457E-2</v>
      </c>
      <c r="V243" s="10">
        <v>1.043E-2</v>
      </c>
      <c r="W243" s="10">
        <v>1.528E-2</v>
      </c>
      <c r="X243" s="10">
        <v>1.593E-3</v>
      </c>
      <c r="Y243" s="10">
        <v>14.98</v>
      </c>
      <c r="Z243" s="10">
        <v>21.739999999999899</v>
      </c>
      <c r="AA243" s="10">
        <v>98.37</v>
      </c>
      <c r="AB243" s="10">
        <v>670</v>
      </c>
      <c r="AC243" s="10">
        <v>0.118499999999999</v>
      </c>
      <c r="AD243" s="10">
        <v>0.1724</v>
      </c>
      <c r="AE243" s="10">
        <v>0.14560000000000001</v>
      </c>
      <c r="AF243" s="10">
        <v>9.9930000000000005E-2</v>
      </c>
      <c r="AG243" s="10">
        <v>0.29549999999999899</v>
      </c>
      <c r="AH243">
        <v>6.9120000000000001E-2</v>
      </c>
    </row>
    <row r="244" spans="3:34">
      <c r="C244" s="11" t="s">
        <v>421</v>
      </c>
      <c r="D244" s="10" t="s">
        <v>1</v>
      </c>
      <c r="E244" s="10">
        <v>13.71</v>
      </c>
      <c r="F244" s="10">
        <v>14.02</v>
      </c>
      <c r="G244" s="10">
        <v>74.239999999999895</v>
      </c>
      <c r="H244" s="10">
        <v>427.3</v>
      </c>
      <c r="I244" s="10">
        <v>7.8130000000000005E-2</v>
      </c>
      <c r="J244" s="10">
        <v>4.3400000000000001E-2</v>
      </c>
      <c r="K244" s="10">
        <v>2.2450000000000001E-2</v>
      </c>
      <c r="L244" s="10">
        <v>2.7629999999999901E-2</v>
      </c>
      <c r="M244" s="10">
        <v>0.21010000000000001</v>
      </c>
      <c r="N244" s="10">
        <v>6.11299999999999E-2</v>
      </c>
      <c r="O244" s="10">
        <v>0.56189999999999896</v>
      </c>
      <c r="P244" s="10">
        <v>1.268</v>
      </c>
      <c r="Q244" s="10">
        <v>3.7170000000000001</v>
      </c>
      <c r="R244" s="10">
        <v>37.829999999999899</v>
      </c>
      <c r="S244" s="10">
        <v>8.0339999999999908E-3</v>
      </c>
      <c r="T244" s="10">
        <v>1.4420000000000001E-2</v>
      </c>
      <c r="U244" s="10">
        <v>1.5140000000000001E-2</v>
      </c>
      <c r="V244" s="10">
        <v>1.8460000000000001E-2</v>
      </c>
      <c r="W244" s="10">
        <v>2.921E-2</v>
      </c>
      <c r="X244" s="10">
        <v>2.0049999999999899E-3</v>
      </c>
      <c r="Y244" s="10">
        <v>13.31</v>
      </c>
      <c r="Z244" s="10">
        <v>18.260000000000002</v>
      </c>
      <c r="AA244" s="10">
        <v>84.7</v>
      </c>
      <c r="AB244" s="10">
        <v>533.70000000000005</v>
      </c>
      <c r="AC244" s="10">
        <v>0.1036</v>
      </c>
      <c r="AD244" s="10">
        <v>8.5000000000000006E-2</v>
      </c>
      <c r="AE244" s="10">
        <v>6.7349999999999896E-2</v>
      </c>
      <c r="AF244" s="10">
        <v>8.2900000000000001E-2</v>
      </c>
      <c r="AG244" s="10">
        <v>0.31009999999999899</v>
      </c>
      <c r="AH244">
        <v>6.6879999999999898E-2</v>
      </c>
    </row>
    <row r="245" spans="3:34">
      <c r="C245" s="11" t="s">
        <v>424</v>
      </c>
      <c r="D245" s="10" t="s">
        <v>1</v>
      </c>
      <c r="E245" s="10">
        <v>13.71</v>
      </c>
      <c r="F245" s="10">
        <v>15.6999999999999</v>
      </c>
      <c r="G245" s="10">
        <v>84.079999999999899</v>
      </c>
      <c r="H245" s="10">
        <v>516.6</v>
      </c>
      <c r="I245" s="10">
        <v>7.8179999999999902E-2</v>
      </c>
      <c r="J245" s="10">
        <v>9.5799999999999899E-2</v>
      </c>
      <c r="K245" s="10">
        <v>0.1115</v>
      </c>
      <c r="L245" s="10">
        <v>3.39E-2</v>
      </c>
      <c r="M245" s="10">
        <v>0.14319999999999899</v>
      </c>
      <c r="N245" s="10">
        <v>5.935E-2</v>
      </c>
      <c r="O245" s="10">
        <v>0.2913</v>
      </c>
      <c r="P245" s="10">
        <v>1.389</v>
      </c>
      <c r="Q245" s="10">
        <v>2.347</v>
      </c>
      <c r="R245" s="10">
        <v>23.2899999999999</v>
      </c>
      <c r="S245" s="10">
        <v>6.4180000000000001E-3</v>
      </c>
      <c r="T245" s="10">
        <v>3.9609999999999902E-2</v>
      </c>
      <c r="U245" s="10">
        <v>7.9269999999999896E-2</v>
      </c>
      <c r="V245" s="10">
        <v>1.7739999999999902E-2</v>
      </c>
      <c r="W245" s="10">
        <v>1.8780000000000002E-2</v>
      </c>
      <c r="X245" s="10">
        <v>3.6960000000000001E-3</v>
      </c>
      <c r="Y245" s="10">
        <v>13.9</v>
      </c>
      <c r="Z245" s="10">
        <v>19.690000000000001</v>
      </c>
      <c r="AA245" s="10">
        <v>92.12</v>
      </c>
      <c r="AB245" s="10">
        <v>595.6</v>
      </c>
      <c r="AC245" s="10">
        <v>9.9260000000000001E-2</v>
      </c>
      <c r="AD245" s="10">
        <v>0.23169999999999899</v>
      </c>
      <c r="AE245" s="10">
        <v>0.33439999999999898</v>
      </c>
      <c r="AF245" s="10">
        <v>0.1017</v>
      </c>
      <c r="AG245" s="10">
        <v>0.199899999999999</v>
      </c>
      <c r="AH245">
        <v>7.127E-2</v>
      </c>
    </row>
    <row r="246" spans="3:34">
      <c r="C246" s="11" t="s">
        <v>425</v>
      </c>
      <c r="D246" s="10" t="s">
        <v>1</v>
      </c>
      <c r="E246" s="10">
        <v>13.71</v>
      </c>
      <c r="F246" s="10">
        <v>18.399999999999899</v>
      </c>
      <c r="G246" s="10">
        <v>79.829999999999899</v>
      </c>
      <c r="H246" s="10">
        <v>489</v>
      </c>
      <c r="I246" s="10">
        <v>8.3930000000000005E-2</v>
      </c>
      <c r="J246" s="10">
        <v>4.2160000000000003E-2</v>
      </c>
      <c r="K246" s="10">
        <v>1.8600000000000001E-3</v>
      </c>
      <c r="L246" s="10">
        <v>2.92399999999999E-3</v>
      </c>
      <c r="M246" s="10">
        <v>0.16969999999999899</v>
      </c>
      <c r="N246" s="10">
        <v>5.8549999999999901E-2</v>
      </c>
      <c r="O246" s="10">
        <v>0.27189999999999898</v>
      </c>
      <c r="P246" s="10">
        <v>1.35</v>
      </c>
      <c r="Q246" s="10">
        <v>1.7210000000000001</v>
      </c>
      <c r="R246" s="10">
        <v>22.4499999999999</v>
      </c>
      <c r="S246" s="10">
        <v>6.3829999999999902E-3</v>
      </c>
      <c r="T246" s="10">
        <v>8.0079999999999908E-3</v>
      </c>
      <c r="U246" s="10">
        <v>1.8600000000000001E-3</v>
      </c>
      <c r="V246" s="10">
        <v>2.92399999999999E-3</v>
      </c>
      <c r="W246" s="10">
        <v>2.571E-2</v>
      </c>
      <c r="X246" s="10">
        <v>2.0149999999999899E-3</v>
      </c>
      <c r="Y246" s="10">
        <v>13.5</v>
      </c>
      <c r="Z246" s="10">
        <v>23.079999999999899</v>
      </c>
      <c r="AA246" s="10">
        <v>85.56</v>
      </c>
      <c r="AB246" s="10">
        <v>564.1</v>
      </c>
      <c r="AC246" s="10">
        <v>0.1038</v>
      </c>
      <c r="AD246" s="10">
        <v>6.6239999999999896E-2</v>
      </c>
      <c r="AE246" s="10">
        <v>5.5789999999999902E-3</v>
      </c>
      <c r="AF246" s="10">
        <v>8.7720000000000003E-3</v>
      </c>
      <c r="AG246" s="10">
        <v>0.2505</v>
      </c>
      <c r="AH246">
        <v>6.4310000000000006E-2</v>
      </c>
    </row>
    <row r="247" spans="3:34">
      <c r="C247" s="11" t="s">
        <v>426</v>
      </c>
      <c r="D247" s="10" t="s">
        <v>1</v>
      </c>
      <c r="E247" s="10">
        <v>13.71</v>
      </c>
      <c r="F247" s="10">
        <v>20.76</v>
      </c>
      <c r="G247" s="10">
        <v>77.87</v>
      </c>
      <c r="H247" s="10">
        <v>441</v>
      </c>
      <c r="I247" s="10">
        <v>8.6050000000000001E-2</v>
      </c>
      <c r="J247" s="10">
        <v>0.1011</v>
      </c>
      <c r="K247" s="10">
        <v>6.5740000000000007E-2</v>
      </c>
      <c r="L247" s="10">
        <v>3.7909999999999902E-2</v>
      </c>
      <c r="M247" s="10">
        <v>0.1588</v>
      </c>
      <c r="N247" s="10">
        <v>6.7659999999999901E-2</v>
      </c>
      <c r="O247" s="10">
        <v>0.2742</v>
      </c>
      <c r="P247" s="10">
        <v>1.3899999999999899</v>
      </c>
      <c r="Q247" s="10">
        <v>3.198</v>
      </c>
      <c r="R247" s="10">
        <v>21.91</v>
      </c>
      <c r="S247" s="10">
        <v>6.7190000000000001E-3</v>
      </c>
      <c r="T247" s="10">
        <v>5.1560000000000002E-2</v>
      </c>
      <c r="U247" s="10">
        <v>4.3869999999999902E-2</v>
      </c>
      <c r="V247" s="10">
        <v>1.6330000000000001E-2</v>
      </c>
      <c r="W247" s="10">
        <v>1.8720000000000001E-2</v>
      </c>
      <c r="X247" s="10">
        <v>8.0149999999999891E-3</v>
      </c>
      <c r="Y247" s="10">
        <v>13.24</v>
      </c>
      <c r="Z247" s="10">
        <v>27.2899999999999</v>
      </c>
      <c r="AA247" s="10">
        <v>92.2</v>
      </c>
      <c r="AB247" s="10">
        <v>546.1</v>
      </c>
      <c r="AC247" s="10">
        <v>0.1116</v>
      </c>
      <c r="AD247" s="10">
        <v>0.281299999999999</v>
      </c>
      <c r="AE247" s="10">
        <v>0.23649999999999899</v>
      </c>
      <c r="AF247" s="10">
        <v>0.11550000000000001</v>
      </c>
      <c r="AG247" s="10">
        <v>0.2465</v>
      </c>
      <c r="AH247">
        <v>9.9809999999999899E-2</v>
      </c>
    </row>
    <row r="248" spans="3:34">
      <c r="C248" s="11" t="s">
        <v>428</v>
      </c>
      <c r="D248" s="10" t="s">
        <v>1</v>
      </c>
      <c r="E248" s="10">
        <v>13.71</v>
      </c>
      <c r="F248" s="10">
        <v>19.96</v>
      </c>
      <c r="G248" s="10">
        <v>73.719999999999899</v>
      </c>
      <c r="H248" s="10">
        <v>394.1</v>
      </c>
      <c r="I248" s="10">
        <v>8.0199999999999896E-2</v>
      </c>
      <c r="J248" s="10">
        <v>0.1181</v>
      </c>
      <c r="K248" s="10">
        <v>9.2740000000000003E-2</v>
      </c>
      <c r="L248" s="10">
        <v>5.5879999999999902E-2</v>
      </c>
      <c r="M248" s="10">
        <v>0.25950000000000001</v>
      </c>
      <c r="N248" s="10">
        <v>6.2330000000000003E-2</v>
      </c>
      <c r="O248" s="10">
        <v>0.48659999999999898</v>
      </c>
      <c r="P248" s="10">
        <v>1.905</v>
      </c>
      <c r="Q248" s="10">
        <v>2.87699999999999</v>
      </c>
      <c r="R248" s="10">
        <v>34.68</v>
      </c>
      <c r="S248" s="10">
        <v>1.5740000000000001E-2</v>
      </c>
      <c r="T248" s="10">
        <v>8.2619999999999902E-2</v>
      </c>
      <c r="U248" s="10">
        <v>8.0990000000000006E-2</v>
      </c>
      <c r="V248" s="10">
        <v>3.4869999999999901E-2</v>
      </c>
      <c r="W248" s="10">
        <v>3.4180000000000002E-2</v>
      </c>
      <c r="X248" s="10">
        <v>6.5170000000000002E-3</v>
      </c>
      <c r="Y248" s="10">
        <v>11.8599999999999</v>
      </c>
      <c r="Z248" s="10">
        <v>22.329999999999899</v>
      </c>
      <c r="AA248" s="10">
        <v>78.269999999999897</v>
      </c>
      <c r="AB248" s="10">
        <v>437.6</v>
      </c>
      <c r="AC248" s="10">
        <v>0.1028</v>
      </c>
      <c r="AD248" s="10">
        <v>0.18429999999999899</v>
      </c>
      <c r="AE248" s="10">
        <v>0.15459999999999899</v>
      </c>
      <c r="AF248" s="10">
        <v>9.3140000000000001E-2</v>
      </c>
      <c r="AG248" s="10">
        <v>0.29549999999999899</v>
      </c>
      <c r="AH248">
        <v>7.009E-2</v>
      </c>
    </row>
    <row r="249" spans="3:34">
      <c r="C249" s="11" t="s">
        <v>429</v>
      </c>
      <c r="D249" s="10" t="s">
        <v>1</v>
      </c>
      <c r="E249" s="10">
        <v>13.71</v>
      </c>
      <c r="F249" s="10">
        <v>18.89</v>
      </c>
      <c r="G249" s="10">
        <v>72.17</v>
      </c>
      <c r="H249" s="10">
        <v>396</v>
      </c>
      <c r="I249" s="10">
        <v>8.7129999999999902E-2</v>
      </c>
      <c r="J249" s="10">
        <v>5.008E-2</v>
      </c>
      <c r="K249" s="10">
        <v>2.3990000000000001E-2</v>
      </c>
      <c r="L249" s="10">
        <v>2.1729999999999899E-2</v>
      </c>
      <c r="M249" s="10">
        <v>0.20130000000000001</v>
      </c>
      <c r="N249" s="10">
        <v>5.9549999999999902E-2</v>
      </c>
      <c r="O249" s="10">
        <v>0.2656</v>
      </c>
      <c r="P249" s="10">
        <v>1.974</v>
      </c>
      <c r="Q249" s="10">
        <v>1.954</v>
      </c>
      <c r="R249" s="10">
        <v>17.489999999999899</v>
      </c>
      <c r="S249" s="10">
        <v>6.5380000000000004E-3</v>
      </c>
      <c r="T249" s="10">
        <v>1.3950000000000001E-2</v>
      </c>
      <c r="U249" s="10">
        <v>1.376E-2</v>
      </c>
      <c r="V249" s="10">
        <v>9.9240000000000005E-3</v>
      </c>
      <c r="W249" s="10">
        <v>3.4160000000000003E-2</v>
      </c>
      <c r="X249" s="10">
        <v>2.928E-3</v>
      </c>
      <c r="Y249" s="10">
        <v>12.3599999999999</v>
      </c>
      <c r="Z249" s="10">
        <v>26.14</v>
      </c>
      <c r="AA249" s="10">
        <v>79.290000000000006</v>
      </c>
      <c r="AB249" s="10">
        <v>459.3</v>
      </c>
      <c r="AC249" s="10">
        <v>0.1118</v>
      </c>
      <c r="AD249" s="10">
        <v>9.708E-2</v>
      </c>
      <c r="AE249" s="10">
        <v>7.5289999999999899E-2</v>
      </c>
      <c r="AF249" s="10">
        <v>6.2030000000000002E-2</v>
      </c>
      <c r="AG249" s="10">
        <v>0.32669999999999899</v>
      </c>
      <c r="AH249">
        <v>6.9940000000000002E-2</v>
      </c>
    </row>
    <row r="250" spans="3:34">
      <c r="C250" s="11" t="s">
        <v>431</v>
      </c>
      <c r="D250" s="10" t="s">
        <v>1</v>
      </c>
      <c r="E250" s="10">
        <v>13.71</v>
      </c>
      <c r="F250" s="10">
        <v>19.100000000000001</v>
      </c>
      <c r="G250" s="10">
        <v>97.03</v>
      </c>
      <c r="H250" s="10">
        <v>687.29999999999905</v>
      </c>
      <c r="I250" s="10">
        <v>8.992E-2</v>
      </c>
      <c r="J250" s="10">
        <v>9.8229999999999901E-2</v>
      </c>
      <c r="K250" s="10">
        <v>5.9400000000000001E-2</v>
      </c>
      <c r="L250" s="10">
        <v>4.81899999999999E-2</v>
      </c>
      <c r="M250" s="10">
        <v>0.18790000000000001</v>
      </c>
      <c r="N250" s="10">
        <v>5.8520000000000003E-2</v>
      </c>
      <c r="O250" s="10">
        <v>0.28770000000000001</v>
      </c>
      <c r="P250" s="10">
        <v>0.94799999999999895</v>
      </c>
      <c r="Q250" s="10">
        <v>2.17099999999999</v>
      </c>
      <c r="R250" s="10">
        <v>24.87</v>
      </c>
      <c r="S250" s="10">
        <v>5.3319999999999904E-3</v>
      </c>
      <c r="T250" s="10">
        <v>2.1149999999999902E-2</v>
      </c>
      <c r="U250" s="10">
        <v>1.536E-2</v>
      </c>
      <c r="V250" s="10">
        <v>1.187E-2</v>
      </c>
      <c r="W250" s="10">
        <v>1.52199999999999E-2</v>
      </c>
      <c r="X250" s="10">
        <v>2.8149999999999898E-3</v>
      </c>
      <c r="Y250" s="10">
        <v>16.25</v>
      </c>
      <c r="Z250" s="10">
        <v>26.19</v>
      </c>
      <c r="AA250" s="10">
        <v>109.099999999999</v>
      </c>
      <c r="AB250" s="10">
        <v>809.79999999999905</v>
      </c>
      <c r="AC250" s="10">
        <v>0.1313</v>
      </c>
      <c r="AD250" s="10">
        <v>0.30299999999999899</v>
      </c>
      <c r="AE250" s="10">
        <v>0.1804</v>
      </c>
      <c r="AF250" s="10">
        <v>0.1489</v>
      </c>
      <c r="AG250" s="10">
        <v>0.29620000000000002</v>
      </c>
      <c r="AH250">
        <v>8.4720000000000004E-2</v>
      </c>
    </row>
    <row r="251" spans="3:34">
      <c r="C251" s="11" t="s">
        <v>433</v>
      </c>
      <c r="D251" s="10" t="s">
        <v>1</v>
      </c>
      <c r="E251" s="10">
        <v>13.71</v>
      </c>
      <c r="F251" s="10">
        <v>17.46</v>
      </c>
      <c r="G251" s="10">
        <v>75.540000000000006</v>
      </c>
      <c r="H251" s="10">
        <v>432.69999999999902</v>
      </c>
      <c r="I251" s="10">
        <v>8.3720000000000003E-2</v>
      </c>
      <c r="J251" s="10">
        <v>5.6419999999999901E-2</v>
      </c>
      <c r="K251" s="10">
        <v>2.6880000000000001E-2</v>
      </c>
      <c r="L251" s="10">
        <v>2.2800000000000001E-2</v>
      </c>
      <c r="M251" s="10">
        <v>0.1875</v>
      </c>
      <c r="N251" s="10">
        <v>5.7149999999999902E-2</v>
      </c>
      <c r="O251" s="10">
        <v>0.20699999999999899</v>
      </c>
      <c r="P251" s="10">
        <v>1.238</v>
      </c>
      <c r="Q251" s="10">
        <v>1.234</v>
      </c>
      <c r="R251" s="10">
        <v>13.88</v>
      </c>
      <c r="S251" s="10">
        <v>7.5950000000000002E-3</v>
      </c>
      <c r="T251" s="10">
        <v>1.4999999999999901E-2</v>
      </c>
      <c r="U251" s="10">
        <v>1.4120000000000001E-2</v>
      </c>
      <c r="V251" s="10">
        <v>8.5780000000000006E-3</v>
      </c>
      <c r="W251" s="10">
        <v>1.7919999999999901E-2</v>
      </c>
      <c r="X251" s="10">
        <v>1.784E-3</v>
      </c>
      <c r="Y251" s="10">
        <v>13.06</v>
      </c>
      <c r="Z251" s="10">
        <v>25.75</v>
      </c>
      <c r="AA251" s="10">
        <v>84.349999999999895</v>
      </c>
      <c r="AB251" s="10">
        <v>517.79999999999905</v>
      </c>
      <c r="AC251" s="10">
        <v>0.13689999999999899</v>
      </c>
      <c r="AD251" s="10">
        <v>0.17580000000000001</v>
      </c>
      <c r="AE251" s="10">
        <v>0.131599999999999</v>
      </c>
      <c r="AF251" s="10">
        <v>9.1399999999999898E-2</v>
      </c>
      <c r="AG251" s="10">
        <v>0.31009999999999899</v>
      </c>
      <c r="AH251">
        <v>7.0069999999999896E-2</v>
      </c>
    </row>
    <row r="252" spans="3:34">
      <c r="C252" s="11" t="s">
        <v>434</v>
      </c>
      <c r="D252" s="10" t="s">
        <v>1</v>
      </c>
      <c r="E252" s="10">
        <v>13.71</v>
      </c>
      <c r="F252" s="10">
        <v>13.7799999999999</v>
      </c>
      <c r="G252" s="10">
        <v>81.78</v>
      </c>
      <c r="H252" s="10">
        <v>492.1</v>
      </c>
      <c r="I252" s="10">
        <v>9.6670000000000006E-2</v>
      </c>
      <c r="J252" s="10">
        <v>8.3930000000000005E-2</v>
      </c>
      <c r="K252" s="10">
        <v>1.2880000000000001E-2</v>
      </c>
      <c r="L252" s="10">
        <v>1.924E-2</v>
      </c>
      <c r="M252" s="10">
        <v>0.1638</v>
      </c>
      <c r="N252" s="10">
        <v>6.0999999999999902E-2</v>
      </c>
      <c r="O252" s="10">
        <v>0.1807</v>
      </c>
      <c r="P252" s="10">
        <v>0.69310000000000005</v>
      </c>
      <c r="Q252" s="10">
        <v>1.34</v>
      </c>
      <c r="R252" s="10">
        <v>13.38</v>
      </c>
      <c r="S252" s="10">
        <v>6.0639999999999904E-3</v>
      </c>
      <c r="T252" s="10">
        <v>1.18E-2</v>
      </c>
      <c r="U252" s="10">
        <v>6.5640000000000004E-3</v>
      </c>
      <c r="V252" s="10">
        <v>7.9780000000000007E-3</v>
      </c>
      <c r="W252" s="10">
        <v>1.374E-2</v>
      </c>
      <c r="X252" s="10">
        <v>1.392E-3</v>
      </c>
      <c r="Y252" s="10">
        <v>13.5</v>
      </c>
      <c r="Z252" s="10">
        <v>17.48</v>
      </c>
      <c r="AA252" s="10">
        <v>88.54</v>
      </c>
      <c r="AB252" s="10">
        <v>553.70000000000005</v>
      </c>
      <c r="AC252" s="10">
        <v>0.1298</v>
      </c>
      <c r="AD252" s="10">
        <v>0.1472</v>
      </c>
      <c r="AE252" s="10">
        <v>5.2330000000000002E-2</v>
      </c>
      <c r="AF252" s="10">
        <v>6.343E-2</v>
      </c>
      <c r="AG252" s="10">
        <v>0.2369</v>
      </c>
      <c r="AH252">
        <v>6.9220000000000004E-2</v>
      </c>
    </row>
    <row r="253" spans="3:34">
      <c r="C253" s="11" t="s">
        <v>436</v>
      </c>
      <c r="D253" s="10" t="s">
        <v>1</v>
      </c>
      <c r="E253" s="10">
        <v>13.71</v>
      </c>
      <c r="F253" s="10">
        <v>12.35</v>
      </c>
      <c r="G253" s="10">
        <v>69.14</v>
      </c>
      <c r="H253" s="10">
        <v>363.69999999999902</v>
      </c>
      <c r="I253" s="10">
        <v>8.5180000000000006E-2</v>
      </c>
      <c r="J253" s="10">
        <v>4.7210000000000002E-2</v>
      </c>
      <c r="K253" s="10">
        <v>1.2359999999999901E-2</v>
      </c>
      <c r="L253" s="10">
        <v>1.3690000000000001E-2</v>
      </c>
      <c r="M253" s="10">
        <v>0.1449</v>
      </c>
      <c r="N253" s="10">
        <v>6.0310000000000002E-2</v>
      </c>
      <c r="O253" s="10">
        <v>0.17530000000000001</v>
      </c>
      <c r="P253" s="10">
        <v>1.0269999999999899</v>
      </c>
      <c r="Q253" s="10">
        <v>1.2669999999999899</v>
      </c>
      <c r="R253" s="10">
        <v>11.09</v>
      </c>
      <c r="S253" s="10">
        <v>3.4780000000000002E-3</v>
      </c>
      <c r="T253" s="10">
        <v>1.221E-2</v>
      </c>
      <c r="U253" s="10">
        <v>1.072E-2</v>
      </c>
      <c r="V253" s="10">
        <v>9.3930000000000003E-3</v>
      </c>
      <c r="W253" s="10">
        <v>2.9409999999999901E-2</v>
      </c>
      <c r="X253" s="10">
        <v>3.4280000000000001E-3</v>
      </c>
      <c r="Y253" s="10">
        <v>11.3699999999999</v>
      </c>
      <c r="Z253" s="10">
        <v>14.82</v>
      </c>
      <c r="AA253" s="10">
        <v>72.42</v>
      </c>
      <c r="AB253" s="10">
        <v>392.19999999999902</v>
      </c>
      <c r="AC253" s="10">
        <v>9.3119999999999897E-2</v>
      </c>
      <c r="AD253" s="10">
        <v>7.5060000000000002E-2</v>
      </c>
      <c r="AE253" s="10">
        <v>2.8840000000000001E-2</v>
      </c>
      <c r="AF253" s="10">
        <v>3.1940000000000003E-2</v>
      </c>
      <c r="AG253" s="10">
        <v>0.21429999999999899</v>
      </c>
      <c r="AH253">
        <v>6.6430000000000003E-2</v>
      </c>
    </row>
    <row r="254" spans="3:34">
      <c r="C254" s="11" t="s">
        <v>437</v>
      </c>
      <c r="D254" s="10" t="s">
        <v>0</v>
      </c>
      <c r="E254" s="10">
        <v>13.71</v>
      </c>
      <c r="F254" s="10">
        <v>18.14</v>
      </c>
      <c r="G254" s="10">
        <v>75</v>
      </c>
      <c r="H254" s="10">
        <v>431.1</v>
      </c>
      <c r="I254" s="10">
        <v>9.9680000000000005E-2</v>
      </c>
      <c r="J254" s="10">
        <v>5.9139999999999901E-2</v>
      </c>
      <c r="K254" s="10">
        <v>2.6849999999999902E-2</v>
      </c>
      <c r="L254" s="10">
        <v>3.5150000000000001E-2</v>
      </c>
      <c r="M254" s="10">
        <v>0.16189999999999899</v>
      </c>
      <c r="N254" s="10">
        <v>6.2869999999999898E-2</v>
      </c>
      <c r="O254" s="10">
        <v>0.64500000000000002</v>
      </c>
      <c r="P254" s="10">
        <v>2.105</v>
      </c>
      <c r="Q254" s="10">
        <v>4.1379999999999901</v>
      </c>
      <c r="R254" s="10">
        <v>49.1099999999999</v>
      </c>
      <c r="S254" s="10">
        <v>5.5960000000000003E-3</v>
      </c>
      <c r="T254" s="10">
        <v>1.005E-2</v>
      </c>
      <c r="U254" s="10">
        <v>1.272E-2</v>
      </c>
      <c r="V254" s="10">
        <v>1.4319999999999901E-2</v>
      </c>
      <c r="W254" s="10">
        <v>1.575E-2</v>
      </c>
      <c r="X254" s="10">
        <v>2.758E-3</v>
      </c>
      <c r="Y254" s="10">
        <v>13.3599999999999</v>
      </c>
      <c r="Z254" s="10">
        <v>23.39</v>
      </c>
      <c r="AA254" s="10">
        <v>85.099999999999895</v>
      </c>
      <c r="AB254" s="10">
        <v>553.6</v>
      </c>
      <c r="AC254" s="10">
        <v>0.1137</v>
      </c>
      <c r="AD254" s="10">
        <v>7.9740000000000005E-2</v>
      </c>
      <c r="AE254" s="10">
        <v>6.11999999999999E-2</v>
      </c>
      <c r="AF254" s="10">
        <v>7.15999999999999E-2</v>
      </c>
      <c r="AG254" s="10">
        <v>0.1978</v>
      </c>
      <c r="AH254">
        <v>6.9150000000000003E-2</v>
      </c>
    </row>
    <row r="255" spans="3:34">
      <c r="C255" s="11" t="s">
        <v>439</v>
      </c>
      <c r="D255" s="10" t="s">
        <v>1</v>
      </c>
      <c r="E255" s="10">
        <v>13.71</v>
      </c>
      <c r="F255" s="10">
        <v>23.09</v>
      </c>
      <c r="G255" s="10">
        <v>66.849999999999895</v>
      </c>
      <c r="H255" s="10">
        <v>334.19999999999902</v>
      </c>
      <c r="I255" s="10">
        <v>0.10150000000000001</v>
      </c>
      <c r="J255" s="10">
        <v>6.7970000000000003E-2</v>
      </c>
      <c r="K255" s="10">
        <v>2.495E-2</v>
      </c>
      <c r="L255" s="10">
        <v>1.8749999999999899E-2</v>
      </c>
      <c r="M255" s="10">
        <v>0.16950000000000001</v>
      </c>
      <c r="N255" s="10">
        <v>6.5559999999999896E-2</v>
      </c>
      <c r="O255" s="10">
        <v>0.2868</v>
      </c>
      <c r="P255" s="10">
        <v>1.143</v>
      </c>
      <c r="Q255" s="10">
        <v>2.2890000000000001</v>
      </c>
      <c r="R255" s="10">
        <v>20.559999999999899</v>
      </c>
      <c r="S255" s="10">
        <v>1.017E-2</v>
      </c>
      <c r="T255" s="10">
        <v>1.443E-2</v>
      </c>
      <c r="U255" s="10">
        <v>1.8610000000000002E-2</v>
      </c>
      <c r="V255" s="10">
        <v>1.2500000000000001E-2</v>
      </c>
      <c r="W255" s="10">
        <v>3.46399999999999E-2</v>
      </c>
      <c r="X255" s="10">
        <v>1.9710000000000001E-3</v>
      </c>
      <c r="Y255" s="10">
        <v>10.93</v>
      </c>
      <c r="Z255" s="10">
        <v>24.219999999999899</v>
      </c>
      <c r="AA255" s="10">
        <v>70.099999999999895</v>
      </c>
      <c r="AB255" s="10">
        <v>362.69999999999902</v>
      </c>
      <c r="AC255" s="10">
        <v>0.1143</v>
      </c>
      <c r="AD255" s="10">
        <v>8.6139999999999897E-2</v>
      </c>
      <c r="AE255" s="10">
        <v>4.1579999999999902E-2</v>
      </c>
      <c r="AF255" s="10">
        <v>3.125E-2</v>
      </c>
      <c r="AG255" s="10">
        <v>0.22270000000000001</v>
      </c>
      <c r="AH255">
        <v>6.77699999999999E-2</v>
      </c>
    </row>
    <row r="256" spans="3:34">
      <c r="C256" s="11" t="s">
        <v>441</v>
      </c>
      <c r="D256" s="10" t="s">
        <v>1</v>
      </c>
      <c r="E256" s="10">
        <v>13.71</v>
      </c>
      <c r="F256" s="10">
        <v>19.89</v>
      </c>
      <c r="G256" s="10">
        <v>80.430000000000007</v>
      </c>
      <c r="H256" s="10">
        <v>471.3</v>
      </c>
      <c r="I256" s="10">
        <v>8.4510000000000002E-2</v>
      </c>
      <c r="J256" s="10">
        <v>0.1014</v>
      </c>
      <c r="K256" s="10">
        <v>6.83E-2</v>
      </c>
      <c r="L256" s="10">
        <v>3.099E-2</v>
      </c>
      <c r="M256" s="10">
        <v>0.17810000000000001</v>
      </c>
      <c r="N256" s="10">
        <v>6.24899999999999E-2</v>
      </c>
      <c r="O256" s="10">
        <v>0.36420000000000002</v>
      </c>
      <c r="P256" s="10">
        <v>1.04</v>
      </c>
      <c r="Q256" s="10">
        <v>2.5790000000000002</v>
      </c>
      <c r="R256" s="10">
        <v>28.32</v>
      </c>
      <c r="S256" s="10">
        <v>6.5300000000000002E-3</v>
      </c>
      <c r="T256" s="10">
        <v>3.3689999999999901E-2</v>
      </c>
      <c r="U256" s="10">
        <v>4.7120000000000002E-2</v>
      </c>
      <c r="V256" s="10">
        <v>1.4030000000000001E-2</v>
      </c>
      <c r="W256" s="10">
        <v>2.7400000000000001E-2</v>
      </c>
      <c r="X256" s="10">
        <v>4.6509999999999902E-3</v>
      </c>
      <c r="Y256" s="10">
        <v>13.46</v>
      </c>
      <c r="Z256" s="10">
        <v>23.07</v>
      </c>
      <c r="AA256" s="10">
        <v>88.129999999999896</v>
      </c>
      <c r="AB256" s="10">
        <v>551.29999999999905</v>
      </c>
      <c r="AC256" s="10">
        <v>0.105</v>
      </c>
      <c r="AD256" s="10">
        <v>0.21579999999999899</v>
      </c>
      <c r="AE256" s="10">
        <v>0.19040000000000001</v>
      </c>
      <c r="AF256" s="10">
        <v>7.6249999999999901E-2</v>
      </c>
      <c r="AG256" s="10">
        <v>0.26850000000000002</v>
      </c>
      <c r="AH256">
        <v>7.7640000000000001E-2</v>
      </c>
    </row>
    <row r="257" spans="3:34">
      <c r="C257" s="11" t="s">
        <v>442</v>
      </c>
      <c r="D257" s="10" t="s">
        <v>0</v>
      </c>
      <c r="E257" s="10">
        <v>13.71</v>
      </c>
      <c r="F257" s="10">
        <v>23.8599999999999</v>
      </c>
      <c r="G257" s="10">
        <v>134.69999999999899</v>
      </c>
      <c r="H257" s="10">
        <v>1247</v>
      </c>
      <c r="I257" s="10">
        <v>0.108</v>
      </c>
      <c r="J257" s="10">
        <v>0.18379999999999899</v>
      </c>
      <c r="K257" s="10">
        <v>0.2283</v>
      </c>
      <c r="L257" s="10">
        <v>0.128</v>
      </c>
      <c r="M257" s="10">
        <v>0.22489999999999899</v>
      </c>
      <c r="N257" s="10">
        <v>7.4690000000000006E-2</v>
      </c>
      <c r="O257" s="10">
        <v>1.0720000000000001</v>
      </c>
      <c r="P257" s="10">
        <v>1.7430000000000001</v>
      </c>
      <c r="Q257" s="10">
        <v>7.8040000000000003</v>
      </c>
      <c r="R257" s="10">
        <v>130.80000000000001</v>
      </c>
      <c r="S257" s="10">
        <v>7.9640000000000006E-3</v>
      </c>
      <c r="T257" s="10">
        <v>4.7320000000000001E-2</v>
      </c>
      <c r="U257" s="10">
        <v>7.6490000000000002E-2</v>
      </c>
      <c r="V257" s="10">
        <v>1.9359999999999902E-2</v>
      </c>
      <c r="W257" s="10">
        <v>2.7359999999999898E-2</v>
      </c>
      <c r="X257" s="10">
        <v>5.9280000000000001E-3</v>
      </c>
      <c r="Y257" s="10">
        <v>23.68</v>
      </c>
      <c r="Z257" s="10">
        <v>29.43</v>
      </c>
      <c r="AA257" s="10">
        <v>158.80000000000001</v>
      </c>
      <c r="AB257" s="10">
        <v>1696</v>
      </c>
      <c r="AC257" s="10">
        <v>0.13469999999999899</v>
      </c>
      <c r="AD257" s="10">
        <v>0.33910000000000001</v>
      </c>
      <c r="AE257" s="10">
        <v>0.49320000000000003</v>
      </c>
      <c r="AF257" s="10">
        <v>0.1923</v>
      </c>
      <c r="AG257" s="10">
        <v>0.32940000000000003</v>
      </c>
      <c r="AH257">
        <v>9.4689999999999899E-2</v>
      </c>
    </row>
    <row r="258" spans="3:34">
      <c r="C258" s="11" t="s">
        <v>443</v>
      </c>
      <c r="D258" s="10" t="s">
        <v>1</v>
      </c>
      <c r="E258" s="10">
        <v>13.71</v>
      </c>
      <c r="F258" s="10">
        <v>18.6099999999999</v>
      </c>
      <c r="G258" s="10">
        <v>66.8599999999999</v>
      </c>
      <c r="H258" s="10">
        <v>334.3</v>
      </c>
      <c r="I258" s="10">
        <v>0.10680000000000001</v>
      </c>
      <c r="J258" s="10">
        <v>6.6780000000000006E-2</v>
      </c>
      <c r="K258" s="10">
        <v>2.2970000000000001E-2</v>
      </c>
      <c r="L258" s="10">
        <v>1.78E-2</v>
      </c>
      <c r="M258" s="10">
        <v>0.1482</v>
      </c>
      <c r="N258" s="10">
        <v>6.6000000000000003E-2</v>
      </c>
      <c r="O258" s="10">
        <v>0.14849999999999899</v>
      </c>
      <c r="P258" s="10">
        <v>1.56299999999999</v>
      </c>
      <c r="Q258" s="10">
        <v>1.0349999999999899</v>
      </c>
      <c r="R258" s="10">
        <v>10.08</v>
      </c>
      <c r="S258" s="10">
        <v>8.8749999999999905E-3</v>
      </c>
      <c r="T258" s="10">
        <v>9.3620000000000005E-3</v>
      </c>
      <c r="U258" s="10">
        <v>1.8079999999999902E-2</v>
      </c>
      <c r="V258" s="10">
        <v>9.1990000000000006E-3</v>
      </c>
      <c r="W258" s="10">
        <v>1.7909999999999902E-2</v>
      </c>
      <c r="X258" s="10">
        <v>3.3170000000000001E-3</v>
      </c>
      <c r="Y258" s="10">
        <v>11.06</v>
      </c>
      <c r="Z258" s="10">
        <v>24.5399999999999</v>
      </c>
      <c r="AA258" s="10">
        <v>70.760000000000005</v>
      </c>
      <c r="AB258" s="10">
        <v>375.39999999999901</v>
      </c>
      <c r="AC258" s="10">
        <v>0.14130000000000001</v>
      </c>
      <c r="AD258" s="10">
        <v>0.10440000000000001</v>
      </c>
      <c r="AE258" s="10">
        <v>8.4229999999999902E-2</v>
      </c>
      <c r="AF258" s="10">
        <v>6.5280000000000005E-2</v>
      </c>
      <c r="AG258" s="10">
        <v>0.2213</v>
      </c>
      <c r="AH258">
        <v>7.8420000000000004E-2</v>
      </c>
    </row>
    <row r="259" spans="3:34">
      <c r="C259" s="11" t="s">
        <v>447</v>
      </c>
      <c r="D259" s="10" t="s">
        <v>1</v>
      </c>
      <c r="E259" s="10">
        <v>13.71</v>
      </c>
      <c r="F259" s="10">
        <v>14.4</v>
      </c>
      <c r="G259" s="10">
        <v>56.3599999999999</v>
      </c>
      <c r="H259" s="10">
        <v>246.3</v>
      </c>
      <c r="I259" s="10">
        <v>7.0050000000000001E-2</v>
      </c>
      <c r="J259" s="10">
        <v>3.116E-2</v>
      </c>
      <c r="K259" s="10">
        <v>3.6809999999999898E-3</v>
      </c>
      <c r="L259" s="10">
        <v>3.4719999999999899E-3</v>
      </c>
      <c r="M259" s="10">
        <v>0.17879999999999899</v>
      </c>
      <c r="N259" s="10">
        <v>6.8330000000000002E-2</v>
      </c>
      <c r="O259" s="10">
        <v>0.17460000000000001</v>
      </c>
      <c r="P259" s="10">
        <v>1.3049999999999899</v>
      </c>
      <c r="Q259" s="10">
        <v>1.1439999999999899</v>
      </c>
      <c r="R259" s="10">
        <v>9.7889999999999908</v>
      </c>
      <c r="S259" s="10">
        <v>7.3889999999999902E-3</v>
      </c>
      <c r="T259" s="10">
        <v>4.8830000000000002E-3</v>
      </c>
      <c r="U259" s="10">
        <v>3.6809999999999898E-3</v>
      </c>
      <c r="V259" s="10">
        <v>3.4719999999999899E-3</v>
      </c>
      <c r="W259" s="10">
        <v>2.7009999999999899E-2</v>
      </c>
      <c r="X259" s="10">
        <v>2.153E-3</v>
      </c>
      <c r="Y259" s="10">
        <v>9.6989999999999892</v>
      </c>
      <c r="Z259" s="10">
        <v>20.07</v>
      </c>
      <c r="AA259" s="10">
        <v>60.899999999999899</v>
      </c>
      <c r="AB259" s="10">
        <v>285.5</v>
      </c>
      <c r="AC259" s="10">
        <v>9.8610000000000003E-2</v>
      </c>
      <c r="AD259" s="10">
        <v>5.2319999999999901E-2</v>
      </c>
      <c r="AE259" s="10">
        <v>1.472E-2</v>
      </c>
      <c r="AF259" s="10">
        <v>1.389E-2</v>
      </c>
      <c r="AG259" s="10">
        <v>0.29909999999999898</v>
      </c>
      <c r="AH259">
        <v>7.8039999999999901E-2</v>
      </c>
    </row>
    <row r="260" spans="3:34">
      <c r="C260" s="11" t="s">
        <v>448</v>
      </c>
      <c r="D260" s="10" t="s">
        <v>1</v>
      </c>
      <c r="E260" s="10">
        <v>13.71</v>
      </c>
      <c r="F260" s="10">
        <v>12.71</v>
      </c>
      <c r="G260" s="10">
        <v>85.689999999999898</v>
      </c>
      <c r="H260" s="10">
        <v>566.20000000000005</v>
      </c>
      <c r="I260" s="10">
        <v>7.3760000000000006E-2</v>
      </c>
      <c r="J260" s="10">
        <v>3.6139999999999901E-2</v>
      </c>
      <c r="K260" s="10">
        <v>2.758E-3</v>
      </c>
      <c r="L260" s="10">
        <v>4.4190000000000002E-3</v>
      </c>
      <c r="M260" s="10">
        <v>0.13650000000000001</v>
      </c>
      <c r="N260" s="10">
        <v>5.3350000000000002E-2</v>
      </c>
      <c r="O260" s="10">
        <v>0.22439999999999899</v>
      </c>
      <c r="P260" s="10">
        <v>0.68640000000000001</v>
      </c>
      <c r="Q260" s="10">
        <v>1.5089999999999899</v>
      </c>
      <c r="R260" s="10">
        <v>20.39</v>
      </c>
      <c r="S260" s="10">
        <v>3.3379999999999898E-3</v>
      </c>
      <c r="T260" s="10">
        <v>3.7460000000000002E-3</v>
      </c>
      <c r="U260" s="10">
        <v>2.0300000000000001E-3</v>
      </c>
      <c r="V260" s="10">
        <v>3.2420000000000001E-3</v>
      </c>
      <c r="W260" s="10">
        <v>1.4800000000000001E-2</v>
      </c>
      <c r="X260" s="10">
        <v>1.5659999999999899E-3</v>
      </c>
      <c r="Y260" s="10">
        <v>14.97</v>
      </c>
      <c r="Z260" s="10">
        <v>16.940000000000001</v>
      </c>
      <c r="AA260" s="10">
        <v>95.48</v>
      </c>
      <c r="AB260" s="10">
        <v>698.7</v>
      </c>
      <c r="AC260" s="10">
        <v>9.0230000000000005E-2</v>
      </c>
      <c r="AD260" s="10">
        <v>5.8360000000000002E-2</v>
      </c>
      <c r="AE260" s="10">
        <v>1.379E-2</v>
      </c>
      <c r="AF260" s="10">
        <v>2.2100000000000002E-2</v>
      </c>
      <c r="AG260" s="10">
        <v>0.22670000000000001</v>
      </c>
      <c r="AH260">
        <v>6.1920000000000003E-2</v>
      </c>
    </row>
    <row r="261" spans="3:34">
      <c r="C261" s="11" t="s">
        <v>450</v>
      </c>
      <c r="D261" s="10" t="s">
        <v>1</v>
      </c>
      <c r="E261" s="10">
        <v>13.71</v>
      </c>
      <c r="F261" s="10">
        <v>19.1099999999999</v>
      </c>
      <c r="G261" s="10">
        <v>74.329999999999899</v>
      </c>
      <c r="H261" s="10">
        <v>418.69999999999902</v>
      </c>
      <c r="I261" s="10">
        <v>8.8139999999999899E-2</v>
      </c>
      <c r="J261" s="10">
        <v>5.253E-2</v>
      </c>
      <c r="K261" s="10">
        <v>1.583E-2</v>
      </c>
      <c r="L261" s="10">
        <v>1.1480000000000001E-2</v>
      </c>
      <c r="M261" s="10">
        <v>0.193599999999999</v>
      </c>
      <c r="N261" s="10">
        <v>6.1280000000000001E-2</v>
      </c>
      <c r="O261" s="10">
        <v>0.16009999999999899</v>
      </c>
      <c r="P261" s="10">
        <v>1.4299999999999899</v>
      </c>
      <c r="Q261" s="10">
        <v>1.109</v>
      </c>
      <c r="R261" s="10">
        <v>11.2799999999999</v>
      </c>
      <c r="S261" s="10">
        <v>6.0639999999999904E-3</v>
      </c>
      <c r="T261" s="10">
        <v>9.11E-3</v>
      </c>
      <c r="U261" s="10">
        <v>1.042E-2</v>
      </c>
      <c r="V261" s="10">
        <v>7.6379999999999903E-3</v>
      </c>
      <c r="W261" s="10">
        <v>2.349E-2</v>
      </c>
      <c r="X261" s="10">
        <v>1.66099999999999E-3</v>
      </c>
      <c r="Y261" s="10">
        <v>12.6099999999999</v>
      </c>
      <c r="Z261" s="10">
        <v>26.55</v>
      </c>
      <c r="AA261" s="10">
        <v>80.92</v>
      </c>
      <c r="AB261" s="10">
        <v>483.1</v>
      </c>
      <c r="AC261" s="10">
        <v>0.12230000000000001</v>
      </c>
      <c r="AD261" s="10">
        <v>0.1087</v>
      </c>
      <c r="AE261" s="10">
        <v>7.9149999999999901E-2</v>
      </c>
      <c r="AF261" s="10">
        <v>5.7410000000000003E-2</v>
      </c>
      <c r="AG261" s="10">
        <v>0.34870000000000001</v>
      </c>
      <c r="AH261">
        <v>6.9580000000000003E-2</v>
      </c>
    </row>
    <row r="262" spans="3:34">
      <c r="C262" s="11" t="s">
        <v>453</v>
      </c>
      <c r="D262" s="10" t="s">
        <v>1</v>
      </c>
      <c r="E262" s="10">
        <v>13.71</v>
      </c>
      <c r="F262" s="10">
        <v>10.72</v>
      </c>
      <c r="G262" s="10">
        <v>73.73</v>
      </c>
      <c r="H262" s="10">
        <v>409.1</v>
      </c>
      <c r="I262" s="10">
        <v>8.5970000000000005E-2</v>
      </c>
      <c r="J262" s="10">
        <v>5.969E-2</v>
      </c>
      <c r="K262" s="10">
        <v>1.367E-2</v>
      </c>
      <c r="L262" s="10">
        <v>8.907E-3</v>
      </c>
      <c r="M262" s="10">
        <v>0.18329999999999899</v>
      </c>
      <c r="N262" s="10">
        <v>6.0999999999999902E-2</v>
      </c>
      <c r="O262" s="10">
        <v>0.13120000000000001</v>
      </c>
      <c r="P262" s="10">
        <v>0.36020000000000002</v>
      </c>
      <c r="Q262" s="10">
        <v>1.107</v>
      </c>
      <c r="R262" s="10">
        <v>9.4380000000000006</v>
      </c>
      <c r="S262" s="10">
        <v>4.1240000000000001E-3</v>
      </c>
      <c r="T262" s="10">
        <v>1.34E-2</v>
      </c>
      <c r="U262" s="10">
        <v>1.0030000000000001E-2</v>
      </c>
      <c r="V262" s="10">
        <v>4.6670000000000001E-3</v>
      </c>
      <c r="W262" s="10">
        <v>2.0320000000000001E-2</v>
      </c>
      <c r="X262" s="10">
        <v>1.952E-3</v>
      </c>
      <c r="Y262" s="10">
        <v>12.34</v>
      </c>
      <c r="Z262" s="10">
        <v>12.8699999999999</v>
      </c>
      <c r="AA262" s="10">
        <v>81.23</v>
      </c>
      <c r="AB262" s="10">
        <v>467.8</v>
      </c>
      <c r="AC262" s="10">
        <v>0.10920000000000001</v>
      </c>
      <c r="AD262" s="10">
        <v>0.162599999999999</v>
      </c>
      <c r="AE262" s="10">
        <v>8.3239999999999897E-2</v>
      </c>
      <c r="AF262" s="10">
        <v>4.71499999999999E-2</v>
      </c>
      <c r="AG262" s="10">
        <v>0.33900000000000002</v>
      </c>
      <c r="AH262">
        <v>7.4340000000000003E-2</v>
      </c>
    </row>
    <row r="263" spans="3:34">
      <c r="C263" s="11" t="s">
        <v>454</v>
      </c>
      <c r="D263" s="10" t="s">
        <v>1</v>
      </c>
      <c r="E263" s="10">
        <v>13.71</v>
      </c>
      <c r="F263" s="10">
        <v>18.600000000000001</v>
      </c>
      <c r="G263" s="10">
        <v>54.09</v>
      </c>
      <c r="H263" s="10">
        <v>221.19999999999899</v>
      </c>
      <c r="I263" s="10">
        <v>0.1074</v>
      </c>
      <c r="J263" s="10">
        <v>5.8470000000000001E-2</v>
      </c>
      <c r="K263" s="10">
        <v>0</v>
      </c>
      <c r="L263" s="10">
        <v>0</v>
      </c>
      <c r="M263" s="10">
        <v>0.21629999999999899</v>
      </c>
      <c r="N263" s="10">
        <v>7.3590000000000003E-2</v>
      </c>
      <c r="O263" s="10">
        <v>0.33679999999999899</v>
      </c>
      <c r="P263" s="10">
        <v>2.7770000000000001</v>
      </c>
      <c r="Q263" s="10">
        <v>2.222</v>
      </c>
      <c r="R263" s="10">
        <v>17.809999999999899</v>
      </c>
      <c r="S263" s="10">
        <v>2.0750000000000001E-2</v>
      </c>
      <c r="T263" s="10">
        <v>1.4030000000000001E-2</v>
      </c>
      <c r="U263" s="10">
        <v>0</v>
      </c>
      <c r="V263" s="10">
        <v>0</v>
      </c>
      <c r="W263" s="10">
        <v>6.1460000000000001E-2</v>
      </c>
      <c r="X263" s="10">
        <v>6.8199999999999901E-3</v>
      </c>
      <c r="Y263" s="10">
        <v>8.952</v>
      </c>
      <c r="Z263" s="10">
        <v>22.44</v>
      </c>
      <c r="AA263" s="10">
        <v>56.649999999999899</v>
      </c>
      <c r="AB263" s="10">
        <v>240.099999999999</v>
      </c>
      <c r="AC263" s="10">
        <v>0.13469999999999899</v>
      </c>
      <c r="AD263" s="10">
        <v>7.7670000000000003E-2</v>
      </c>
      <c r="AE263" s="10">
        <v>0</v>
      </c>
      <c r="AF263" s="10">
        <v>0</v>
      </c>
      <c r="AG263" s="10">
        <v>0.31419999999999898</v>
      </c>
      <c r="AH263">
        <v>8.1159999999999899E-2</v>
      </c>
    </row>
    <row r="264" spans="3:34">
      <c r="C264" s="11" t="s">
        <v>455</v>
      </c>
      <c r="D264" s="10" t="s">
        <v>1</v>
      </c>
      <c r="E264" s="10">
        <v>13.71</v>
      </c>
      <c r="F264" s="10">
        <v>16.850000000000001</v>
      </c>
      <c r="G264" s="10">
        <v>79.189999999999898</v>
      </c>
      <c r="H264" s="10">
        <v>481.6</v>
      </c>
      <c r="I264" s="10">
        <v>8.5110000000000005E-2</v>
      </c>
      <c r="J264" s="10">
        <v>3.8339999999999902E-2</v>
      </c>
      <c r="K264" s="10">
        <v>4.4730000000000004E-3</v>
      </c>
      <c r="L264" s="10">
        <v>6.4229999999999903E-3</v>
      </c>
      <c r="M264" s="10">
        <v>0.1215</v>
      </c>
      <c r="N264" s="10">
        <v>5.6730000000000003E-2</v>
      </c>
      <c r="O264" s="10">
        <v>0.1716</v>
      </c>
      <c r="P264" s="10">
        <v>0.71509999999999896</v>
      </c>
      <c r="Q264" s="10">
        <v>1.0469999999999899</v>
      </c>
      <c r="R264" s="10">
        <v>12.69</v>
      </c>
      <c r="S264" s="10">
        <v>4.9280000000000001E-3</v>
      </c>
      <c r="T264" s="10">
        <v>3.0119999999999899E-3</v>
      </c>
      <c r="U264" s="10">
        <v>2.61999999999999E-3</v>
      </c>
      <c r="V264" s="10">
        <v>3.3899999999999898E-3</v>
      </c>
      <c r="W264" s="10">
        <v>1.393E-2</v>
      </c>
      <c r="X264" s="10">
        <v>1.34399999999999E-3</v>
      </c>
      <c r="Y264" s="10">
        <v>13.34</v>
      </c>
      <c r="Z264" s="10">
        <v>19.71</v>
      </c>
      <c r="AA264" s="10">
        <v>84.48</v>
      </c>
      <c r="AB264" s="10">
        <v>544.20000000000005</v>
      </c>
      <c r="AC264" s="10">
        <v>0.1104</v>
      </c>
      <c r="AD264" s="10">
        <v>4.95299999999999E-2</v>
      </c>
      <c r="AE264" s="10">
        <v>1.9380000000000001E-2</v>
      </c>
      <c r="AF264" s="10">
        <v>2.784E-2</v>
      </c>
      <c r="AG264" s="10">
        <v>0.19170000000000001</v>
      </c>
      <c r="AH264">
        <v>6.1740000000000003E-2</v>
      </c>
    </row>
    <row r="265" spans="3:34">
      <c r="C265" s="11" t="s">
        <v>456</v>
      </c>
      <c r="D265" s="10" t="s">
        <v>1</v>
      </c>
      <c r="E265" s="10">
        <v>13.71</v>
      </c>
      <c r="F265" s="10">
        <v>14.08</v>
      </c>
      <c r="G265" s="10">
        <v>77.25</v>
      </c>
      <c r="H265" s="10">
        <v>461.39999999999901</v>
      </c>
      <c r="I265" s="10">
        <v>7.7340000000000006E-2</v>
      </c>
      <c r="J265" s="10">
        <v>3.2120000000000003E-2</v>
      </c>
      <c r="K265" s="10">
        <v>1.123E-2</v>
      </c>
      <c r="L265" s="10">
        <v>5.0509999999999904E-3</v>
      </c>
      <c r="M265" s="10">
        <v>0.1673</v>
      </c>
      <c r="N265" s="10">
        <v>5.6489999999999901E-2</v>
      </c>
      <c r="O265" s="10">
        <v>0.21129999999999899</v>
      </c>
      <c r="P265" s="10">
        <v>0.59960000000000002</v>
      </c>
      <c r="Q265" s="10">
        <v>1.43799999999999</v>
      </c>
      <c r="R265" s="10">
        <v>15.82</v>
      </c>
      <c r="S265" s="10">
        <v>5.3429999999999901E-3</v>
      </c>
      <c r="T265" s="10">
        <v>5.7670000000000004E-3</v>
      </c>
      <c r="U265" s="10">
        <v>1.123E-2</v>
      </c>
      <c r="V265" s="10">
        <v>5.0509999999999904E-3</v>
      </c>
      <c r="W265" s="10">
        <v>1.9769999999999899E-2</v>
      </c>
      <c r="X265" s="10">
        <v>9.502E-4</v>
      </c>
      <c r="Y265" s="10">
        <v>12.85</v>
      </c>
      <c r="Z265" s="10">
        <v>16.469999999999899</v>
      </c>
      <c r="AA265" s="10">
        <v>81.599999999999895</v>
      </c>
      <c r="AB265" s="10">
        <v>513.1</v>
      </c>
      <c r="AC265" s="10">
        <v>0.100099999999999</v>
      </c>
      <c r="AD265" s="10">
        <v>5.3319999999999902E-2</v>
      </c>
      <c r="AE265" s="10">
        <v>4.1160000000000002E-2</v>
      </c>
      <c r="AF265" s="10">
        <v>1.8519999999999901E-2</v>
      </c>
      <c r="AG265" s="10">
        <v>0.2293</v>
      </c>
      <c r="AH265">
        <v>6.037E-2</v>
      </c>
    </row>
    <row r="266" spans="3:34">
      <c r="C266" s="11" t="s">
        <v>457</v>
      </c>
      <c r="D266" s="10" t="s">
        <v>0</v>
      </c>
      <c r="E266" s="10">
        <v>13.71</v>
      </c>
      <c r="F266" s="10">
        <v>18.87</v>
      </c>
      <c r="G266" s="10">
        <v>118.7</v>
      </c>
      <c r="H266" s="10">
        <v>1027</v>
      </c>
      <c r="I266" s="10">
        <v>9.7460000000000005E-2</v>
      </c>
      <c r="J266" s="10">
        <v>0.11169999999999899</v>
      </c>
      <c r="K266" s="10">
        <v>0.113</v>
      </c>
      <c r="L266" s="10">
        <v>7.9500000000000001E-2</v>
      </c>
      <c r="M266" s="10">
        <v>0.1807</v>
      </c>
      <c r="N266" s="10">
        <v>5.6640000000000003E-2</v>
      </c>
      <c r="O266" s="10">
        <v>0.40410000000000001</v>
      </c>
      <c r="P266" s="10">
        <v>0.55030000000000001</v>
      </c>
      <c r="Q266" s="10">
        <v>2.5470000000000002</v>
      </c>
      <c r="R266" s="10">
        <v>48.899999999999899</v>
      </c>
      <c r="S266" s="10">
        <v>4.8209999999999902E-3</v>
      </c>
      <c r="T266" s="10">
        <v>1.6590000000000001E-2</v>
      </c>
      <c r="U266" s="10">
        <v>2.4080000000000001E-2</v>
      </c>
      <c r="V266" s="10">
        <v>1.14299999999999E-2</v>
      </c>
      <c r="W266" s="10">
        <v>1.27499999999999E-2</v>
      </c>
      <c r="X266" s="10">
        <v>2.4510000000000001E-3</v>
      </c>
      <c r="Y266" s="10">
        <v>21.84</v>
      </c>
      <c r="Z266" s="10">
        <v>25</v>
      </c>
      <c r="AA266" s="10">
        <v>140.9</v>
      </c>
      <c r="AB266" s="10">
        <v>1485</v>
      </c>
      <c r="AC266" s="10">
        <v>0.1434</v>
      </c>
      <c r="AD266" s="10">
        <v>0.27629999999999899</v>
      </c>
      <c r="AE266" s="10">
        <v>0.38529999999999898</v>
      </c>
      <c r="AF266" s="10">
        <v>0.17760000000000001</v>
      </c>
      <c r="AG266" s="10">
        <v>0.28120000000000001</v>
      </c>
      <c r="AH266">
        <v>8.19799999999999E-2</v>
      </c>
    </row>
    <row r="267" spans="3:34">
      <c r="C267" s="11" t="s">
        <v>459</v>
      </c>
      <c r="D267" s="10" t="s">
        <v>1</v>
      </c>
      <c r="E267" s="10">
        <v>13.71</v>
      </c>
      <c r="F267" s="10">
        <v>17</v>
      </c>
      <c r="G267" s="10">
        <v>78.599999999999895</v>
      </c>
      <c r="H267" s="10">
        <v>477.3</v>
      </c>
      <c r="I267" s="10">
        <v>7.5569999999999901E-2</v>
      </c>
      <c r="J267" s="10">
        <v>3.4540000000000001E-2</v>
      </c>
      <c r="K267" s="10">
        <v>1.342E-2</v>
      </c>
      <c r="L267" s="10">
        <v>1.6990000000000002E-2</v>
      </c>
      <c r="M267" s="10">
        <v>0.1472</v>
      </c>
      <c r="N267" s="10">
        <v>5.561E-2</v>
      </c>
      <c r="O267" s="10">
        <v>0.37780000000000002</v>
      </c>
      <c r="P267" s="10">
        <v>2.2000000000000002</v>
      </c>
      <c r="Q267" s="10">
        <v>2.4870000000000001</v>
      </c>
      <c r="R267" s="10">
        <v>31.16</v>
      </c>
      <c r="S267" s="10">
        <v>7.3569999999999903E-3</v>
      </c>
      <c r="T267" s="10">
        <v>1.07899999999999E-2</v>
      </c>
      <c r="U267" s="10">
        <v>9.9590000000000008E-3</v>
      </c>
      <c r="V267" s="10">
        <v>1.12E-2</v>
      </c>
      <c r="W267" s="10">
        <v>3.4329999999999902E-2</v>
      </c>
      <c r="X267" s="10">
        <v>2.9610000000000001E-3</v>
      </c>
      <c r="Y267" s="10">
        <v>12.9</v>
      </c>
      <c r="Z267" s="10">
        <v>20.21</v>
      </c>
      <c r="AA267" s="10">
        <v>81.760000000000005</v>
      </c>
      <c r="AB267" s="10">
        <v>515.89999999999895</v>
      </c>
      <c r="AC267" s="10">
        <v>8.4089999999999901E-2</v>
      </c>
      <c r="AD267" s="10">
        <v>4.7120000000000002E-2</v>
      </c>
      <c r="AE267" s="10">
        <v>2.2370000000000001E-2</v>
      </c>
      <c r="AF267" s="10">
        <v>2.8320000000000001E-2</v>
      </c>
      <c r="AG267" s="10">
        <v>0.19009999999999899</v>
      </c>
      <c r="AH267">
        <v>5.9319999999999901E-2</v>
      </c>
    </row>
    <row r="268" spans="3:34">
      <c r="C268" s="11" t="s">
        <v>460</v>
      </c>
      <c r="D268" s="10" t="s">
        <v>1</v>
      </c>
      <c r="E268" s="10">
        <v>13.71</v>
      </c>
      <c r="F268" s="10">
        <v>16.18</v>
      </c>
      <c r="G268" s="10">
        <v>66.519999999999897</v>
      </c>
      <c r="H268" s="10">
        <v>324.19999999999902</v>
      </c>
      <c r="I268" s="10">
        <v>0.1061</v>
      </c>
      <c r="J268" s="10">
        <v>0.1111</v>
      </c>
      <c r="K268" s="10">
        <v>6.726E-2</v>
      </c>
      <c r="L268" s="10">
        <v>3.9649999999999901E-2</v>
      </c>
      <c r="M268" s="10">
        <v>0.17430000000000001</v>
      </c>
      <c r="N268" s="10">
        <v>7.2789999999999896E-2</v>
      </c>
      <c r="O268" s="10">
        <v>0.36770000000000003</v>
      </c>
      <c r="P268" s="10">
        <v>1.4710000000000001</v>
      </c>
      <c r="Q268" s="10">
        <v>1.597</v>
      </c>
      <c r="R268" s="10">
        <v>22.68</v>
      </c>
      <c r="S268" s="10">
        <v>1.04899999999999E-2</v>
      </c>
      <c r="T268" s="10">
        <v>4.265E-2</v>
      </c>
      <c r="U268" s="10">
        <v>4.0039999999999902E-2</v>
      </c>
      <c r="V268" s="10">
        <v>1.5440000000000001E-2</v>
      </c>
      <c r="W268" s="10">
        <v>2.7189999999999898E-2</v>
      </c>
      <c r="X268" s="10">
        <v>7.5960000000000003E-3</v>
      </c>
      <c r="Y268" s="10">
        <v>11.2799999999999</v>
      </c>
      <c r="Z268" s="10">
        <v>20.6099999999999</v>
      </c>
      <c r="AA268" s="10">
        <v>71.53</v>
      </c>
      <c r="AB268" s="10">
        <v>390.39999999999901</v>
      </c>
      <c r="AC268" s="10">
        <v>0.14019999999999899</v>
      </c>
      <c r="AD268" s="10">
        <v>0.23599999999999899</v>
      </c>
      <c r="AE268" s="10">
        <v>0.1898</v>
      </c>
      <c r="AF268" s="10">
        <v>9.7439999999999902E-2</v>
      </c>
      <c r="AG268" s="10">
        <v>0.26079999999999898</v>
      </c>
      <c r="AH268">
        <v>9.7019999999999898E-2</v>
      </c>
    </row>
    <row r="269" spans="3:34">
      <c r="C269" s="11" t="s">
        <v>461</v>
      </c>
      <c r="D269" s="10" t="s">
        <v>0</v>
      </c>
      <c r="E269" s="10">
        <v>13.71</v>
      </c>
      <c r="F269" s="10">
        <v>19.66</v>
      </c>
      <c r="G269" s="10">
        <v>131.099999999999</v>
      </c>
      <c r="H269" s="10">
        <v>1274</v>
      </c>
      <c r="I269" s="10">
        <v>8.0199999999999896E-2</v>
      </c>
      <c r="J269" s="10">
        <v>8.5639999999999897E-2</v>
      </c>
      <c r="K269" s="10">
        <v>0.11550000000000001</v>
      </c>
      <c r="L269" s="10">
        <v>7.7259999999999898E-2</v>
      </c>
      <c r="M269" s="10">
        <v>0.1928</v>
      </c>
      <c r="N269" s="10">
        <v>5.0959999999999901E-2</v>
      </c>
      <c r="O269" s="10">
        <v>0.59250000000000003</v>
      </c>
      <c r="P269" s="10">
        <v>0.68630000000000002</v>
      </c>
      <c r="Q269" s="10">
        <v>3.8679999999999901</v>
      </c>
      <c r="R269" s="10">
        <v>74.849999999999895</v>
      </c>
      <c r="S269" s="10">
        <v>4.5360000000000001E-3</v>
      </c>
      <c r="T269" s="10">
        <v>1.376E-2</v>
      </c>
      <c r="U269" s="10">
        <v>2.6450000000000001E-2</v>
      </c>
      <c r="V269" s="10">
        <v>1.247E-2</v>
      </c>
      <c r="W269" s="10">
        <v>2.1930000000000002E-2</v>
      </c>
      <c r="X269" s="10">
        <v>1.5889999999999899E-3</v>
      </c>
      <c r="Y269" s="10">
        <v>23.059999999999899</v>
      </c>
      <c r="Z269" s="10">
        <v>23.03</v>
      </c>
      <c r="AA269" s="10">
        <v>150.19999999999899</v>
      </c>
      <c r="AB269" s="10">
        <v>1657</v>
      </c>
      <c r="AC269" s="10">
        <v>0.10539999999999899</v>
      </c>
      <c r="AD269" s="10">
        <v>0.1537</v>
      </c>
      <c r="AE269" s="10">
        <v>0.2606</v>
      </c>
      <c r="AF269" s="10">
        <v>0.14249999999999899</v>
      </c>
      <c r="AG269" s="10">
        <v>0.30549999999999899</v>
      </c>
      <c r="AH269">
        <v>5.9330000000000001E-2</v>
      </c>
    </row>
    <row r="270" spans="3:34">
      <c r="C270" s="11" t="s">
        <v>462</v>
      </c>
      <c r="D270" s="10" t="s">
        <v>1</v>
      </c>
      <c r="E270" s="10">
        <v>13.71</v>
      </c>
      <c r="F270" s="10">
        <v>13.32</v>
      </c>
      <c r="G270" s="10">
        <v>82.819999999999894</v>
      </c>
      <c r="H270" s="10">
        <v>504.8</v>
      </c>
      <c r="I270" s="10">
        <v>0.1134</v>
      </c>
      <c r="J270" s="10">
        <v>8.8340000000000002E-2</v>
      </c>
      <c r="K270" s="10">
        <v>3.7999999999999902E-2</v>
      </c>
      <c r="L270" s="10">
        <v>3.4000000000000002E-2</v>
      </c>
      <c r="M270" s="10">
        <v>0.15429999999999899</v>
      </c>
      <c r="N270" s="10">
        <v>6.4759999999999901E-2</v>
      </c>
      <c r="O270" s="10">
        <v>0.22120000000000001</v>
      </c>
      <c r="P270" s="10">
        <v>1.042</v>
      </c>
      <c r="Q270" s="10">
        <v>1.6140000000000001</v>
      </c>
      <c r="R270" s="10">
        <v>16.57</v>
      </c>
      <c r="S270" s="10">
        <v>5.9100000000000003E-3</v>
      </c>
      <c r="T270" s="10">
        <v>2.0160000000000001E-2</v>
      </c>
      <c r="U270" s="10">
        <v>1.9019999999999902E-2</v>
      </c>
      <c r="V270" s="10">
        <v>1.01099999999999E-2</v>
      </c>
      <c r="W270" s="10">
        <v>1.2019999999999901E-2</v>
      </c>
      <c r="X270" s="10">
        <v>3.107E-3</v>
      </c>
      <c r="Y270" s="10">
        <v>14.0399999999999</v>
      </c>
      <c r="Z270" s="10">
        <v>21.079999999999899</v>
      </c>
      <c r="AA270" s="10">
        <v>92.799999999999898</v>
      </c>
      <c r="AB270" s="10">
        <v>599.5</v>
      </c>
      <c r="AC270" s="10">
        <v>0.1547</v>
      </c>
      <c r="AD270" s="10">
        <v>0.22309999999999899</v>
      </c>
      <c r="AE270" s="10">
        <v>0.17910000000000001</v>
      </c>
      <c r="AF270" s="10">
        <v>0.11550000000000001</v>
      </c>
      <c r="AG270" s="10">
        <v>0.2382</v>
      </c>
      <c r="AH270">
        <v>8.5529999999999898E-2</v>
      </c>
    </row>
    <row r="271" spans="3:34">
      <c r="C271" s="11" t="s">
        <v>463</v>
      </c>
      <c r="D271" s="10" t="s">
        <v>0</v>
      </c>
      <c r="E271" s="10">
        <v>13.71</v>
      </c>
      <c r="F271" s="10">
        <v>21.51</v>
      </c>
      <c r="G271" s="10">
        <v>135.9</v>
      </c>
      <c r="H271" s="10">
        <v>1264</v>
      </c>
      <c r="I271" s="10">
        <v>0.11700000000000001</v>
      </c>
      <c r="J271" s="10">
        <v>0.1875</v>
      </c>
      <c r="K271" s="10">
        <v>0.25650000000000001</v>
      </c>
      <c r="L271" s="10">
        <v>0.15040000000000001</v>
      </c>
      <c r="M271" s="10">
        <v>0.25690000000000002</v>
      </c>
      <c r="N271" s="10">
        <v>6.6699999999999898E-2</v>
      </c>
      <c r="O271" s="10">
        <v>0.57020000000000004</v>
      </c>
      <c r="P271" s="10">
        <v>1.0229999999999899</v>
      </c>
      <c r="Q271" s="10">
        <v>4.0119999999999898</v>
      </c>
      <c r="R271" s="10">
        <v>69.06</v>
      </c>
      <c r="S271" s="10">
        <v>5.4850000000000003E-3</v>
      </c>
      <c r="T271" s="10">
        <v>2.4309999999999901E-2</v>
      </c>
      <c r="U271" s="10">
        <v>3.1899999999999901E-2</v>
      </c>
      <c r="V271" s="10">
        <v>1.3690000000000001E-2</v>
      </c>
      <c r="W271" s="10">
        <v>2.768E-2</v>
      </c>
      <c r="X271" s="10">
        <v>3.3449999999999899E-3</v>
      </c>
      <c r="Y271" s="10">
        <v>25.3</v>
      </c>
      <c r="Z271" s="10">
        <v>31.8599999999999</v>
      </c>
      <c r="AA271" s="10">
        <v>171.099999999999</v>
      </c>
      <c r="AB271" s="10">
        <v>1938</v>
      </c>
      <c r="AC271" s="10">
        <v>0.15920000000000001</v>
      </c>
      <c r="AD271" s="10">
        <v>0.44919999999999899</v>
      </c>
      <c r="AE271" s="10">
        <v>0.53439999999999899</v>
      </c>
      <c r="AF271" s="10">
        <v>0.26850000000000002</v>
      </c>
      <c r="AG271" s="10">
        <v>0.55579999999999896</v>
      </c>
      <c r="AH271">
        <v>0.1024</v>
      </c>
    </row>
    <row r="272" spans="3:34">
      <c r="C272" s="11" t="s">
        <v>464</v>
      </c>
      <c r="D272" s="10" t="s">
        <v>1</v>
      </c>
      <c r="E272" s="10">
        <v>13.71</v>
      </c>
      <c r="F272" s="10">
        <v>15.21</v>
      </c>
      <c r="G272" s="10">
        <v>78.010000000000005</v>
      </c>
      <c r="H272" s="10">
        <v>457.89999999999901</v>
      </c>
      <c r="I272" s="10">
        <v>8.6730000000000002E-2</v>
      </c>
      <c r="J272" s="10">
        <v>6.5449999999999897E-2</v>
      </c>
      <c r="K272" s="10">
        <v>1.9939999999999899E-2</v>
      </c>
      <c r="L272" s="10">
        <v>1.6920000000000001E-2</v>
      </c>
      <c r="M272" s="10">
        <v>0.1638</v>
      </c>
      <c r="N272" s="10">
        <v>6.12899999999999E-2</v>
      </c>
      <c r="O272" s="10">
        <v>0.25750000000000001</v>
      </c>
      <c r="P272" s="10">
        <v>0.80730000000000002</v>
      </c>
      <c r="Q272" s="10">
        <v>1.9590000000000001</v>
      </c>
      <c r="R272" s="10">
        <v>19.010000000000002</v>
      </c>
      <c r="S272" s="10">
        <v>5.4029999999999903E-3</v>
      </c>
      <c r="T272" s="10">
        <v>1.418E-2</v>
      </c>
      <c r="U272" s="10">
        <v>1.051E-2</v>
      </c>
      <c r="V272" s="10">
        <v>5.1419999999999903E-3</v>
      </c>
      <c r="W272" s="10">
        <v>1.333E-2</v>
      </c>
      <c r="X272" s="10">
        <v>2.065E-3</v>
      </c>
      <c r="Y272" s="10">
        <v>13.75</v>
      </c>
      <c r="Z272" s="10">
        <v>21.3799999999999</v>
      </c>
      <c r="AA272" s="10">
        <v>91.1099999999999</v>
      </c>
      <c r="AB272" s="10">
        <v>583.1</v>
      </c>
      <c r="AC272" s="10">
        <v>0.12559999999999899</v>
      </c>
      <c r="AD272" s="10">
        <v>0.1928</v>
      </c>
      <c r="AE272" s="10">
        <v>0.1167</v>
      </c>
      <c r="AF272" s="10">
        <v>5.5559999999999901E-2</v>
      </c>
      <c r="AG272" s="10">
        <v>0.2661</v>
      </c>
      <c r="AH272">
        <v>7.961E-2</v>
      </c>
    </row>
    <row r="273" spans="3:34">
      <c r="C273" s="11" t="s">
        <v>466</v>
      </c>
      <c r="D273" s="10" t="s">
        <v>1</v>
      </c>
      <c r="E273" s="10">
        <v>13.71</v>
      </c>
      <c r="F273" s="10">
        <v>12.88</v>
      </c>
      <c r="G273" s="10">
        <v>90.03</v>
      </c>
      <c r="H273" s="10">
        <v>616.5</v>
      </c>
      <c r="I273" s="10">
        <v>9.3090000000000006E-2</v>
      </c>
      <c r="J273" s="10">
        <v>5.3060000000000003E-2</v>
      </c>
      <c r="K273" s="10">
        <v>1.7649999999999898E-2</v>
      </c>
      <c r="L273" s="10">
        <v>2.733E-2</v>
      </c>
      <c r="M273" s="10">
        <v>0.13730000000000001</v>
      </c>
      <c r="N273" s="10">
        <v>5.7000000000000002E-2</v>
      </c>
      <c r="O273" s="10">
        <v>0.2571</v>
      </c>
      <c r="P273" s="10">
        <v>1.081</v>
      </c>
      <c r="Q273" s="10">
        <v>1.5580000000000001</v>
      </c>
      <c r="R273" s="10">
        <v>23.92</v>
      </c>
      <c r="S273" s="10">
        <v>6.692E-3</v>
      </c>
      <c r="T273" s="10">
        <v>1.132E-2</v>
      </c>
      <c r="U273" s="10">
        <v>5.7169999999999903E-3</v>
      </c>
      <c r="V273" s="10">
        <v>6.6270000000000001E-3</v>
      </c>
      <c r="W273" s="10">
        <v>1.4160000000000001E-2</v>
      </c>
      <c r="X273" s="10">
        <v>2.4759999999999899E-3</v>
      </c>
      <c r="Y273" s="10">
        <v>15.5299999999999</v>
      </c>
      <c r="Z273" s="10">
        <v>18</v>
      </c>
      <c r="AA273" s="10">
        <v>98.4</v>
      </c>
      <c r="AB273" s="10">
        <v>749.89999999999895</v>
      </c>
      <c r="AC273" s="10">
        <v>0.12809999999999899</v>
      </c>
      <c r="AD273" s="10">
        <v>0.1109</v>
      </c>
      <c r="AE273" s="10">
        <v>5.3069999999999902E-2</v>
      </c>
      <c r="AF273" s="10">
        <v>5.8900000000000001E-2</v>
      </c>
      <c r="AG273" s="10">
        <v>0.20999999999999899</v>
      </c>
      <c r="AH273">
        <v>7.0830000000000004E-2</v>
      </c>
    </row>
    <row r="274" spans="3:34">
      <c r="C274" s="11" t="s">
        <v>467</v>
      </c>
      <c r="D274" s="10" t="s">
        <v>1</v>
      </c>
      <c r="E274" s="10">
        <v>13.71</v>
      </c>
      <c r="F274" s="10">
        <v>17.93</v>
      </c>
      <c r="G274" s="10">
        <v>76.09</v>
      </c>
      <c r="H274" s="10">
        <v>446</v>
      </c>
      <c r="I274" s="10">
        <v>7.6829999999999898E-2</v>
      </c>
      <c r="J274" s="10">
        <v>3.8920000000000003E-2</v>
      </c>
      <c r="K274" s="10">
        <v>1.5460000000000001E-3</v>
      </c>
      <c r="L274" s="10">
        <v>5.5919999999999902E-3</v>
      </c>
      <c r="M274" s="10">
        <v>0.13819999999999899</v>
      </c>
      <c r="N274" s="10">
        <v>6.06999999999999E-2</v>
      </c>
      <c r="O274" s="10">
        <v>0.23350000000000001</v>
      </c>
      <c r="P274" s="10">
        <v>0.90969999999999895</v>
      </c>
      <c r="Q274" s="10">
        <v>1.466</v>
      </c>
      <c r="R274" s="10">
        <v>16.969999999999899</v>
      </c>
      <c r="S274" s="10">
        <v>4.7289999999999902E-3</v>
      </c>
      <c r="T274" s="10">
        <v>6.8869999999999904E-3</v>
      </c>
      <c r="U274" s="10">
        <v>1.18399999999999E-3</v>
      </c>
      <c r="V274" s="10">
        <v>3.9509999999999901E-3</v>
      </c>
      <c r="W274" s="10">
        <v>1.4659999999999901E-2</v>
      </c>
      <c r="X274" s="10">
        <v>1.755E-3</v>
      </c>
      <c r="Y274" s="10">
        <v>13.07</v>
      </c>
      <c r="Z274" s="10">
        <v>22.25</v>
      </c>
      <c r="AA274" s="10">
        <v>82.739999999999895</v>
      </c>
      <c r="AB274" s="10">
        <v>523.39999999999895</v>
      </c>
      <c r="AC274" s="10">
        <v>0.1013</v>
      </c>
      <c r="AD274" s="10">
        <v>7.3899999999999896E-2</v>
      </c>
      <c r="AE274" s="10">
        <v>7.7320000000000002E-3</v>
      </c>
      <c r="AF274" s="10">
        <v>2.7959999999999902E-2</v>
      </c>
      <c r="AG274" s="10">
        <v>0.21709999999999899</v>
      </c>
      <c r="AH274">
        <v>7.0370000000000002E-2</v>
      </c>
    </row>
    <row r="275" spans="3:34">
      <c r="C275" s="11" t="s">
        <v>468</v>
      </c>
      <c r="D275" s="10" t="s">
        <v>0</v>
      </c>
      <c r="E275" s="10">
        <v>13.71</v>
      </c>
      <c r="F275" s="10">
        <v>20.71</v>
      </c>
      <c r="G275" s="10">
        <v>106.9</v>
      </c>
      <c r="H275" s="10">
        <v>813.7</v>
      </c>
      <c r="I275" s="10">
        <v>0.1169</v>
      </c>
      <c r="J275" s="10">
        <v>0.13189999999999899</v>
      </c>
      <c r="K275" s="10">
        <v>0.14779999999999899</v>
      </c>
      <c r="L275" s="10">
        <v>8.48799999999999E-2</v>
      </c>
      <c r="M275" s="10">
        <v>0.1948</v>
      </c>
      <c r="N275" s="10">
        <v>6.2770000000000006E-2</v>
      </c>
      <c r="O275" s="10">
        <v>0.4375</v>
      </c>
      <c r="P275" s="10">
        <v>1.232</v>
      </c>
      <c r="Q275" s="10">
        <v>3.27</v>
      </c>
      <c r="R275" s="10">
        <v>44.409999999999897</v>
      </c>
      <c r="S275" s="10">
        <v>6.6969999999999903E-3</v>
      </c>
      <c r="T275" s="10">
        <v>2.0830000000000001E-2</v>
      </c>
      <c r="U275" s="10">
        <v>3.2480000000000002E-2</v>
      </c>
      <c r="V275" s="10">
        <v>1.392E-2</v>
      </c>
      <c r="W275" s="10">
        <v>1.536E-2</v>
      </c>
      <c r="X275" s="10">
        <v>2.7889999999999898E-3</v>
      </c>
      <c r="Y275" s="10">
        <v>19.28</v>
      </c>
      <c r="Z275" s="10">
        <v>30.3799999999999</v>
      </c>
      <c r="AA275" s="10">
        <v>129.80000000000001</v>
      </c>
      <c r="AB275" s="10">
        <v>1121</v>
      </c>
      <c r="AC275" s="10">
        <v>0.159</v>
      </c>
      <c r="AD275" s="10">
        <v>0.29470000000000002</v>
      </c>
      <c r="AE275" s="10">
        <v>0.35970000000000002</v>
      </c>
      <c r="AF275" s="10">
        <v>0.1583</v>
      </c>
      <c r="AG275" s="10">
        <v>0.31030000000000002</v>
      </c>
      <c r="AH275">
        <v>8.2000000000000003E-2</v>
      </c>
    </row>
    <row r="276" spans="3:34">
      <c r="C276" s="11" t="s">
        <v>469</v>
      </c>
      <c r="D276" s="10" t="s">
        <v>0</v>
      </c>
      <c r="E276" s="10">
        <v>13.71</v>
      </c>
      <c r="F276" s="10">
        <v>21.8799999999999</v>
      </c>
      <c r="G276" s="10">
        <v>107.5</v>
      </c>
      <c r="H276" s="10">
        <v>826.79999999999905</v>
      </c>
      <c r="I276" s="10">
        <v>0.11650000000000001</v>
      </c>
      <c r="J276" s="10">
        <v>0.1283</v>
      </c>
      <c r="K276" s="10">
        <v>0.1799</v>
      </c>
      <c r="L276" s="10">
        <v>7.9810000000000006E-2</v>
      </c>
      <c r="M276" s="10">
        <v>0.18690000000000001</v>
      </c>
      <c r="N276" s="10">
        <v>6.5320000000000003E-2</v>
      </c>
      <c r="O276" s="10">
        <v>0.5706</v>
      </c>
      <c r="P276" s="10">
        <v>1.4570000000000001</v>
      </c>
      <c r="Q276" s="10">
        <v>2.9609999999999901</v>
      </c>
      <c r="R276" s="10">
        <v>57.719999999999899</v>
      </c>
      <c r="S276" s="10">
        <v>1.056E-2</v>
      </c>
      <c r="T276" s="10">
        <v>3.7560000000000003E-2</v>
      </c>
      <c r="U276" s="10">
        <v>5.83899999999999E-2</v>
      </c>
      <c r="V276" s="10">
        <v>1.1860000000000001E-2</v>
      </c>
      <c r="W276" s="10">
        <v>4.0219999999999902E-2</v>
      </c>
      <c r="X276" s="10">
        <v>6.1869999999999903E-3</v>
      </c>
      <c r="Y276" s="10">
        <v>17.73</v>
      </c>
      <c r="Z276" s="10">
        <v>25.21</v>
      </c>
      <c r="AA276" s="10">
        <v>113.7</v>
      </c>
      <c r="AB276" s="10">
        <v>975.2</v>
      </c>
      <c r="AC276" s="10">
        <v>0.1426</v>
      </c>
      <c r="AD276" s="10">
        <v>0.21160000000000001</v>
      </c>
      <c r="AE276" s="10">
        <v>0.33439999999999898</v>
      </c>
      <c r="AF276" s="10">
        <v>0.1047</v>
      </c>
      <c r="AG276" s="10">
        <v>0.27360000000000001</v>
      </c>
      <c r="AH276">
        <v>7.9530000000000003E-2</v>
      </c>
    </row>
    <row r="277" spans="3:34">
      <c r="C277" s="11" t="s">
        <v>471</v>
      </c>
      <c r="D277" s="10" t="s">
        <v>1</v>
      </c>
      <c r="E277" s="10">
        <v>13.71</v>
      </c>
      <c r="F277" s="10">
        <v>19.350000000000001</v>
      </c>
      <c r="G277" s="10">
        <v>84.519999999999897</v>
      </c>
      <c r="H277" s="10">
        <v>514</v>
      </c>
      <c r="I277" s="10">
        <v>9.579E-2</v>
      </c>
      <c r="J277" s="10">
        <v>0.1125</v>
      </c>
      <c r="K277" s="10">
        <v>7.1069999999999897E-2</v>
      </c>
      <c r="L277" s="10">
        <v>2.9499999999999901E-2</v>
      </c>
      <c r="M277" s="10">
        <v>0.17610000000000001</v>
      </c>
      <c r="N277" s="10">
        <v>6.54E-2</v>
      </c>
      <c r="O277" s="10">
        <v>0.26840000000000003</v>
      </c>
      <c r="P277" s="10">
        <v>0.56640000000000001</v>
      </c>
      <c r="Q277" s="10">
        <v>2.4649999999999901</v>
      </c>
      <c r="R277" s="10">
        <v>20.649999999999899</v>
      </c>
      <c r="S277" s="10">
        <v>5.7270000000000003E-3</v>
      </c>
      <c r="T277" s="10">
        <v>3.2550000000000003E-2</v>
      </c>
      <c r="U277" s="10">
        <v>4.39299999999999E-2</v>
      </c>
      <c r="V277" s="10">
        <v>9.8110000000000003E-3</v>
      </c>
      <c r="W277" s="10">
        <v>2.751E-2</v>
      </c>
      <c r="X277" s="10">
        <v>4.5719999999999901E-3</v>
      </c>
      <c r="Y277" s="10">
        <v>14.42</v>
      </c>
      <c r="Z277" s="10">
        <v>21.9499999999999</v>
      </c>
      <c r="AA277" s="10">
        <v>99.209999999999894</v>
      </c>
      <c r="AB277" s="10">
        <v>634.29999999999905</v>
      </c>
      <c r="AC277" s="10">
        <v>0.1288</v>
      </c>
      <c r="AD277" s="10">
        <v>0.32529999999999898</v>
      </c>
      <c r="AE277" s="10">
        <v>0.34389999999999898</v>
      </c>
      <c r="AF277" s="10">
        <v>9.8580000000000001E-2</v>
      </c>
      <c r="AG277" s="10">
        <v>0.35959999999999898</v>
      </c>
      <c r="AH277">
        <v>9.1660000000000005E-2</v>
      </c>
    </row>
    <row r="278" spans="3:34">
      <c r="C278" s="11" t="s">
        <v>472</v>
      </c>
      <c r="D278" s="10" t="s">
        <v>1</v>
      </c>
      <c r="E278" s="10">
        <v>13.71</v>
      </c>
      <c r="F278" s="10">
        <v>19.8599999999999</v>
      </c>
      <c r="G278" s="10">
        <v>71.939999999999898</v>
      </c>
      <c r="H278" s="10">
        <v>387.3</v>
      </c>
      <c r="I278" s="10">
        <v>0.10539999999999899</v>
      </c>
      <c r="J278" s="10">
        <v>6.7790000000000003E-2</v>
      </c>
      <c r="K278" s="10">
        <v>5.006E-3</v>
      </c>
      <c r="L278" s="10">
        <v>7.5830000000000003E-3</v>
      </c>
      <c r="M278" s="10">
        <v>0.19400000000000001</v>
      </c>
      <c r="N278" s="10">
        <v>6.028E-2</v>
      </c>
      <c r="O278" s="10">
        <v>0.29759999999999898</v>
      </c>
      <c r="P278" s="10">
        <v>1.966</v>
      </c>
      <c r="Q278" s="10">
        <v>1.9590000000000001</v>
      </c>
      <c r="R278" s="10">
        <v>19.62</v>
      </c>
      <c r="S278" s="10">
        <v>1.289E-2</v>
      </c>
      <c r="T278" s="10">
        <v>1.1039999999999901E-2</v>
      </c>
      <c r="U278" s="10">
        <v>3.297E-3</v>
      </c>
      <c r="V278" s="10">
        <v>4.9670000000000001E-3</v>
      </c>
      <c r="W278" s="10">
        <v>4.2430000000000002E-2</v>
      </c>
      <c r="X278" s="10">
        <v>1.9629999999999899E-3</v>
      </c>
      <c r="Y278" s="10">
        <v>11.98</v>
      </c>
      <c r="Z278" s="10">
        <v>25.78</v>
      </c>
      <c r="AA278" s="10">
        <v>76.909999999999897</v>
      </c>
      <c r="AB278" s="10">
        <v>436.1</v>
      </c>
      <c r="AC278" s="10">
        <v>0.1424</v>
      </c>
      <c r="AD278" s="10">
        <v>9.6689999999999901E-2</v>
      </c>
      <c r="AE278" s="10">
        <v>1.3350000000000001E-2</v>
      </c>
      <c r="AF278" s="10">
        <v>2.0219999999999901E-2</v>
      </c>
      <c r="AG278" s="10">
        <v>0.32919999999999899</v>
      </c>
      <c r="AH278">
        <v>6.522E-2</v>
      </c>
    </row>
    <row r="279" spans="3:34">
      <c r="C279" s="11" t="s">
        <v>473</v>
      </c>
      <c r="D279" s="10" t="s">
        <v>1</v>
      </c>
      <c r="E279" s="10">
        <v>13.71</v>
      </c>
      <c r="F279" s="10">
        <v>14.7799999999999</v>
      </c>
      <c r="G279" s="10">
        <v>71.379999999999896</v>
      </c>
      <c r="H279" s="10">
        <v>390</v>
      </c>
      <c r="I279" s="10">
        <v>8.3059999999999898E-2</v>
      </c>
      <c r="J279" s="10">
        <v>4.4580000000000002E-2</v>
      </c>
      <c r="K279" s="10">
        <v>9.73699999999999E-4</v>
      </c>
      <c r="L279" s="10">
        <v>2.941E-3</v>
      </c>
      <c r="M279" s="10">
        <v>0.17730000000000001</v>
      </c>
      <c r="N279" s="10">
        <v>6.0810000000000003E-2</v>
      </c>
      <c r="O279" s="10">
        <v>0.21440000000000001</v>
      </c>
      <c r="P279" s="10">
        <v>0.99609999999999899</v>
      </c>
      <c r="Q279" s="10">
        <v>1.5289999999999899</v>
      </c>
      <c r="R279" s="10">
        <v>15.07</v>
      </c>
      <c r="S279" s="10">
        <v>5.6169999999999901E-3</v>
      </c>
      <c r="T279" s="10">
        <v>7.1240000000000001E-3</v>
      </c>
      <c r="U279" s="10">
        <v>9.73699999999999E-4</v>
      </c>
      <c r="V279" s="10">
        <v>2.941E-3</v>
      </c>
      <c r="W279" s="10">
        <v>1.7000000000000001E-2</v>
      </c>
      <c r="X279" s="10">
        <v>2.0300000000000001E-3</v>
      </c>
      <c r="Y279" s="10">
        <v>12.76</v>
      </c>
      <c r="Z279" s="10">
        <v>22.059999999999899</v>
      </c>
      <c r="AA279" s="10">
        <v>82.079999999999899</v>
      </c>
      <c r="AB279" s="10">
        <v>492.69999999999902</v>
      </c>
      <c r="AC279" s="10">
        <v>0.1166</v>
      </c>
      <c r="AD279" s="10">
        <v>9.7939999999999902E-2</v>
      </c>
      <c r="AE279" s="10">
        <v>5.5180000000000003E-3</v>
      </c>
      <c r="AF279" s="10">
        <v>1.6670000000000001E-2</v>
      </c>
      <c r="AG279" s="10">
        <v>0.28149999999999897</v>
      </c>
      <c r="AH279">
        <v>7.4179999999999899E-2</v>
      </c>
    </row>
    <row r="280" spans="3:34">
      <c r="C280" s="11" t="s">
        <v>474</v>
      </c>
      <c r="D280" s="10" t="s">
        <v>1</v>
      </c>
      <c r="E280" s="10">
        <v>13.71</v>
      </c>
      <c r="F280" s="10">
        <v>19.02</v>
      </c>
      <c r="G280" s="10">
        <v>77.879999999999896</v>
      </c>
      <c r="H280" s="10">
        <v>464.39999999999901</v>
      </c>
      <c r="I280" s="10">
        <v>8.3129999999999898E-2</v>
      </c>
      <c r="J280" s="10">
        <v>4.2020000000000002E-2</v>
      </c>
      <c r="K280" s="10">
        <v>7.7559999999999903E-3</v>
      </c>
      <c r="L280" s="10">
        <v>8.5349999999999905E-3</v>
      </c>
      <c r="M280" s="10">
        <v>0.15390000000000001</v>
      </c>
      <c r="N280" s="10">
        <v>5.9450000000000003E-2</v>
      </c>
      <c r="O280" s="10">
        <v>0.184</v>
      </c>
      <c r="P280" s="10">
        <v>1.532</v>
      </c>
      <c r="Q280" s="10">
        <v>1.1990000000000001</v>
      </c>
      <c r="R280" s="10">
        <v>13.24</v>
      </c>
      <c r="S280" s="10">
        <v>7.8810000000000009E-3</v>
      </c>
      <c r="T280" s="10">
        <v>8.4320000000000003E-3</v>
      </c>
      <c r="U280" s="10">
        <v>7.0039999999999903E-3</v>
      </c>
      <c r="V280" s="10">
        <v>6.522E-3</v>
      </c>
      <c r="W280" s="10">
        <v>1.9390000000000001E-2</v>
      </c>
      <c r="X280" s="10">
        <v>2.222E-3</v>
      </c>
      <c r="Y280" s="10">
        <v>13.35</v>
      </c>
      <c r="Z280" s="10">
        <v>28.46</v>
      </c>
      <c r="AA280" s="10">
        <v>84.53</v>
      </c>
      <c r="AB280" s="10">
        <v>544.29999999999905</v>
      </c>
      <c r="AC280" s="10">
        <v>0.1222</v>
      </c>
      <c r="AD280" s="10">
        <v>9.0520000000000003E-2</v>
      </c>
      <c r="AE280" s="10">
        <v>3.619E-2</v>
      </c>
      <c r="AF280" s="10">
        <v>3.98299999999999E-2</v>
      </c>
      <c r="AG280" s="10">
        <v>0.25540000000000002</v>
      </c>
      <c r="AH280">
        <v>7.2069999999999898E-2</v>
      </c>
    </row>
    <row r="281" spans="3:34">
      <c r="C281" s="11" t="s">
        <v>475</v>
      </c>
      <c r="D281" s="10" t="s">
        <v>0</v>
      </c>
      <c r="E281" s="10">
        <v>13.71</v>
      </c>
      <c r="F281" s="10">
        <v>21</v>
      </c>
      <c r="G281" s="10">
        <v>111.8</v>
      </c>
      <c r="H281" s="10">
        <v>918.6</v>
      </c>
      <c r="I281" s="10">
        <v>0.1119</v>
      </c>
      <c r="J281" s="10">
        <v>0.1056</v>
      </c>
      <c r="K281" s="10">
        <v>0.15079999999999899</v>
      </c>
      <c r="L281" s="10">
        <v>9.9339999999999901E-2</v>
      </c>
      <c r="M281" s="10">
        <v>0.17269999999999899</v>
      </c>
      <c r="N281" s="10">
        <v>6.071E-2</v>
      </c>
      <c r="O281" s="10">
        <v>0.81610000000000005</v>
      </c>
      <c r="P281" s="10">
        <v>2.129</v>
      </c>
      <c r="Q281" s="10">
        <v>6.0759999999999899</v>
      </c>
      <c r="R281" s="10">
        <v>87.17</v>
      </c>
      <c r="S281" s="10">
        <v>6.4549999999999903E-3</v>
      </c>
      <c r="T281" s="10">
        <v>1.797E-2</v>
      </c>
      <c r="U281" s="10">
        <v>4.50199999999999E-2</v>
      </c>
      <c r="V281" s="10">
        <v>1.7440000000000001E-2</v>
      </c>
      <c r="W281" s="10">
        <v>1.8290000000000001E-2</v>
      </c>
      <c r="X281" s="10">
        <v>3.7330000000000002E-3</v>
      </c>
      <c r="Y281" s="10">
        <v>20.989999999999899</v>
      </c>
      <c r="Z281" s="10">
        <v>33.149999999999899</v>
      </c>
      <c r="AA281" s="10">
        <v>143.19999999999899</v>
      </c>
      <c r="AB281" s="10">
        <v>1362</v>
      </c>
      <c r="AC281" s="10">
        <v>0.1449</v>
      </c>
      <c r="AD281" s="10">
        <v>0.20530000000000001</v>
      </c>
      <c r="AE281" s="10">
        <v>0.39200000000000002</v>
      </c>
      <c r="AF281" s="10">
        <v>0.1827</v>
      </c>
      <c r="AG281" s="10">
        <v>0.26229999999999898</v>
      </c>
      <c r="AH281">
        <v>7.5990000000000002E-2</v>
      </c>
    </row>
    <row r="282" spans="3:34">
      <c r="C282" s="11" t="s">
        <v>476</v>
      </c>
      <c r="D282" s="10" t="s">
        <v>1</v>
      </c>
      <c r="E282" s="10">
        <v>13.71</v>
      </c>
      <c r="F282" s="10">
        <v>14.23</v>
      </c>
      <c r="G282" s="10">
        <v>84.079999999999899</v>
      </c>
      <c r="H282" s="10">
        <v>514.29999999999905</v>
      </c>
      <c r="I282" s="10">
        <v>9.4619999999999899E-2</v>
      </c>
      <c r="J282" s="10">
        <v>9.9650000000000002E-2</v>
      </c>
      <c r="K282" s="10">
        <v>3.7379999999999899E-2</v>
      </c>
      <c r="L282" s="10">
        <v>2.0979999999999902E-2</v>
      </c>
      <c r="M282" s="10">
        <v>0.16520000000000001</v>
      </c>
      <c r="N282" s="10">
        <v>7.238E-2</v>
      </c>
      <c r="O282" s="10">
        <v>0.18140000000000001</v>
      </c>
      <c r="P282" s="10">
        <v>0.64119999999999899</v>
      </c>
      <c r="Q282" s="10">
        <v>0.92190000000000005</v>
      </c>
      <c r="R282" s="10">
        <v>14.41</v>
      </c>
      <c r="S282" s="10">
        <v>5.2310000000000004E-3</v>
      </c>
      <c r="T282" s="10">
        <v>2.3050000000000001E-2</v>
      </c>
      <c r="U282" s="10">
        <v>3.1130000000000001E-2</v>
      </c>
      <c r="V282" s="10">
        <v>7.3150000000000003E-3</v>
      </c>
      <c r="W282" s="10">
        <v>1.6389999999999901E-2</v>
      </c>
      <c r="X282" s="10">
        <v>5.7010000000000003E-3</v>
      </c>
      <c r="Y282" s="10">
        <v>13.72</v>
      </c>
      <c r="Z282" s="10">
        <v>16.91</v>
      </c>
      <c r="AA282" s="10">
        <v>87.379999999999896</v>
      </c>
      <c r="AB282" s="10">
        <v>576</v>
      </c>
      <c r="AC282" s="10">
        <v>0.1142</v>
      </c>
      <c r="AD282" s="10">
        <v>0.19750000000000001</v>
      </c>
      <c r="AE282" s="10">
        <v>0.14499999999999899</v>
      </c>
      <c r="AF282" s="10">
        <v>5.8500000000000003E-2</v>
      </c>
      <c r="AG282" s="10">
        <v>0.2432</v>
      </c>
      <c r="AH282">
        <v>0.1009</v>
      </c>
    </row>
    <row r="283" spans="3:34">
      <c r="C283" s="11" t="s">
        <v>477</v>
      </c>
      <c r="D283" s="10" t="s">
        <v>0</v>
      </c>
      <c r="E283" s="10">
        <v>13.71</v>
      </c>
      <c r="F283" s="10">
        <v>21.43</v>
      </c>
      <c r="G283" s="10">
        <v>122.9</v>
      </c>
      <c r="H283" s="10">
        <v>1092</v>
      </c>
      <c r="I283" s="10">
        <v>9.1160000000000005E-2</v>
      </c>
      <c r="J283" s="10">
        <v>0.14019999999999899</v>
      </c>
      <c r="K283" s="10">
        <v>0.106</v>
      </c>
      <c r="L283" s="10">
        <v>6.0900000000000003E-2</v>
      </c>
      <c r="M283" s="10">
        <v>0.1953</v>
      </c>
      <c r="N283" s="10">
        <v>6.0830000000000002E-2</v>
      </c>
      <c r="O283" s="10">
        <v>0.64219999999999899</v>
      </c>
      <c r="P283" s="10">
        <v>1.53</v>
      </c>
      <c r="Q283" s="10">
        <v>4.36899999999999</v>
      </c>
      <c r="R283" s="10">
        <v>88.25</v>
      </c>
      <c r="S283" s="10">
        <v>7.548E-3</v>
      </c>
      <c r="T283" s="10">
        <v>3.8969999999999901E-2</v>
      </c>
      <c r="U283" s="10">
        <v>3.9140000000000001E-2</v>
      </c>
      <c r="V283" s="10">
        <v>1.8159999999999898E-2</v>
      </c>
      <c r="W283" s="10">
        <v>2.1680000000000001E-2</v>
      </c>
      <c r="X283" s="10">
        <v>4.4450000000000002E-3</v>
      </c>
      <c r="Y283" s="10">
        <v>24.5399999999999</v>
      </c>
      <c r="Z283" s="10">
        <v>34.369999999999898</v>
      </c>
      <c r="AA283" s="10">
        <v>161.099999999999</v>
      </c>
      <c r="AB283" s="10">
        <v>1873</v>
      </c>
      <c r="AC283" s="10">
        <v>0.14979999999999899</v>
      </c>
      <c r="AD283" s="10">
        <v>0.48270000000000002</v>
      </c>
      <c r="AE283" s="10">
        <v>0.46339999999999898</v>
      </c>
      <c r="AF283" s="10">
        <v>0.20480000000000001</v>
      </c>
      <c r="AG283" s="10">
        <v>0.3679</v>
      </c>
      <c r="AH283">
        <v>9.8699999999999899E-2</v>
      </c>
    </row>
    <row r="284" spans="3:34">
      <c r="C284" s="11" t="s">
        <v>479</v>
      </c>
      <c r="D284" s="10" t="s">
        <v>0</v>
      </c>
      <c r="E284" s="10">
        <v>13.71</v>
      </c>
      <c r="F284" s="10">
        <v>24.27</v>
      </c>
      <c r="G284" s="10">
        <v>155.099999999999</v>
      </c>
      <c r="H284" s="10">
        <v>1747</v>
      </c>
      <c r="I284" s="10">
        <v>0.1069</v>
      </c>
      <c r="J284" s="10">
        <v>0.1283</v>
      </c>
      <c r="K284" s="10">
        <v>0.23080000000000001</v>
      </c>
      <c r="L284" s="10">
        <v>0.14099999999999899</v>
      </c>
      <c r="M284" s="10">
        <v>0.1797</v>
      </c>
      <c r="N284" s="10">
        <v>5.5059999999999901E-2</v>
      </c>
      <c r="O284" s="10">
        <v>1.0089999999999899</v>
      </c>
      <c r="P284" s="10">
        <v>0.92449999999999899</v>
      </c>
      <c r="Q284" s="10">
        <v>6.46199999999999</v>
      </c>
      <c r="R284" s="10">
        <v>164.099999999999</v>
      </c>
      <c r="S284" s="10">
        <v>6.2919999999999903E-3</v>
      </c>
      <c r="T284" s="10">
        <v>1.9709999999999901E-2</v>
      </c>
      <c r="U284" s="10">
        <v>3.5819999999999901E-2</v>
      </c>
      <c r="V284" s="10">
        <v>1.3010000000000001E-2</v>
      </c>
      <c r="W284" s="10">
        <v>1.47899999999999E-2</v>
      </c>
      <c r="X284" s="10">
        <v>3.1180000000000001E-3</v>
      </c>
      <c r="Y284" s="10">
        <v>30.67</v>
      </c>
      <c r="Z284" s="10">
        <v>30.73</v>
      </c>
      <c r="AA284" s="10">
        <v>202.4</v>
      </c>
      <c r="AB284" s="10">
        <v>2906</v>
      </c>
      <c r="AC284" s="10">
        <v>0.1515</v>
      </c>
      <c r="AD284" s="10">
        <v>0.26779999999999898</v>
      </c>
      <c r="AE284" s="10">
        <v>0.4819</v>
      </c>
      <c r="AF284" s="10">
        <v>0.2089</v>
      </c>
      <c r="AG284" s="10">
        <v>0.25929999999999898</v>
      </c>
      <c r="AH284">
        <v>7.7380000000000004E-2</v>
      </c>
    </row>
    <row r="285" spans="3:34">
      <c r="C285" s="11" t="s">
        <v>481</v>
      </c>
      <c r="D285" s="10" t="s">
        <v>1</v>
      </c>
      <c r="E285" s="10">
        <v>13.71</v>
      </c>
      <c r="F285" s="10">
        <v>16.84</v>
      </c>
      <c r="G285" s="10">
        <v>61.64</v>
      </c>
      <c r="H285" s="10">
        <v>280.5</v>
      </c>
      <c r="I285" s="10">
        <v>8.4809999999999899E-2</v>
      </c>
      <c r="J285" s="10">
        <v>9.2280000000000001E-2</v>
      </c>
      <c r="K285" s="10">
        <v>8.4220000000000003E-2</v>
      </c>
      <c r="L285" s="10">
        <v>2.2919999999999899E-2</v>
      </c>
      <c r="M285" s="10">
        <v>0.2036</v>
      </c>
      <c r="N285" s="10">
        <v>7.1249999999999897E-2</v>
      </c>
      <c r="O285" s="10">
        <v>0.18440000000000001</v>
      </c>
      <c r="P285" s="10">
        <v>0.94289999999999896</v>
      </c>
      <c r="Q285" s="10">
        <v>1.429</v>
      </c>
      <c r="R285" s="10">
        <v>12.07</v>
      </c>
      <c r="S285" s="10">
        <v>5.9540000000000001E-3</v>
      </c>
      <c r="T285" s="10">
        <v>3.4709999999999901E-2</v>
      </c>
      <c r="U285" s="10">
        <v>5.0279999999999901E-2</v>
      </c>
      <c r="V285" s="10">
        <v>8.5100000000000002E-3</v>
      </c>
      <c r="W285" s="10">
        <v>1.7500000000000002E-2</v>
      </c>
      <c r="X285" s="10">
        <v>4.0309999999999903E-3</v>
      </c>
      <c r="Y285" s="10">
        <v>10.75</v>
      </c>
      <c r="Z285" s="10">
        <v>23.07</v>
      </c>
      <c r="AA285" s="10">
        <v>71.25</v>
      </c>
      <c r="AB285" s="10">
        <v>353.6</v>
      </c>
      <c r="AC285" s="10">
        <v>0.12330000000000001</v>
      </c>
      <c r="AD285" s="10">
        <v>0.34160000000000001</v>
      </c>
      <c r="AE285" s="10">
        <v>0.43409999999999899</v>
      </c>
      <c r="AF285" s="10">
        <v>8.1199999999999897E-2</v>
      </c>
      <c r="AG285" s="10">
        <v>0.29820000000000002</v>
      </c>
      <c r="AH285">
        <v>9.8250000000000004E-2</v>
      </c>
    </row>
    <row r="286" spans="3:34">
      <c r="C286" s="11" t="s">
        <v>482</v>
      </c>
      <c r="D286" s="10" t="s">
        <v>1</v>
      </c>
      <c r="E286" s="10">
        <v>13.71</v>
      </c>
      <c r="F286" s="10">
        <v>14.96</v>
      </c>
      <c r="G286" s="10">
        <v>71.489999999999895</v>
      </c>
      <c r="H286" s="10">
        <v>373.89999999999901</v>
      </c>
      <c r="I286" s="10">
        <v>0.1033</v>
      </c>
      <c r="J286" s="10">
        <v>9.0969999999999898E-2</v>
      </c>
      <c r="K286" s="10">
        <v>5.39699999999999E-2</v>
      </c>
      <c r="L286" s="10">
        <v>3.3410000000000002E-2</v>
      </c>
      <c r="M286" s="10">
        <v>0.17760000000000001</v>
      </c>
      <c r="N286" s="10">
        <v>6.9070000000000006E-2</v>
      </c>
      <c r="O286" s="10">
        <v>0.16009999999999899</v>
      </c>
      <c r="P286" s="10">
        <v>0.82250000000000001</v>
      </c>
      <c r="Q286" s="10">
        <v>1.355</v>
      </c>
      <c r="R286" s="10">
        <v>10.8</v>
      </c>
      <c r="S286" s="10">
        <v>7.4159999999999903E-3</v>
      </c>
      <c r="T286" s="10">
        <v>1.8769999999999901E-2</v>
      </c>
      <c r="U286" s="10">
        <v>2.758E-2</v>
      </c>
      <c r="V286" s="10">
        <v>1.01E-2</v>
      </c>
      <c r="W286" s="10">
        <v>2.3480000000000001E-2</v>
      </c>
      <c r="X286" s="10">
        <v>2.9169999999999899E-3</v>
      </c>
      <c r="Y286" s="10">
        <v>11.92</v>
      </c>
      <c r="Z286" s="10">
        <v>19.899999999999899</v>
      </c>
      <c r="AA286" s="10">
        <v>79.760000000000005</v>
      </c>
      <c r="AB286" s="10">
        <v>440</v>
      </c>
      <c r="AC286" s="10">
        <v>0.14180000000000001</v>
      </c>
      <c r="AD286" s="10">
        <v>0.221</v>
      </c>
      <c r="AE286" s="10">
        <v>0.22989999999999899</v>
      </c>
      <c r="AF286" s="10">
        <v>0.1075</v>
      </c>
      <c r="AG286" s="10">
        <v>0.3301</v>
      </c>
      <c r="AH286">
        <v>9.0800000000000006E-2</v>
      </c>
    </row>
    <row r="287" spans="3:34">
      <c r="C287" s="11" t="s">
        <v>485</v>
      </c>
      <c r="D287" s="10" t="s">
        <v>1</v>
      </c>
      <c r="E287" s="10">
        <v>13.71</v>
      </c>
      <c r="F287" s="10">
        <v>14.71</v>
      </c>
      <c r="G287" s="10">
        <v>66.2</v>
      </c>
      <c r="H287" s="10">
        <v>321.60000000000002</v>
      </c>
      <c r="I287" s="10">
        <v>9.8820000000000005E-2</v>
      </c>
      <c r="J287" s="10">
        <v>9.1590000000000005E-2</v>
      </c>
      <c r="K287" s="10">
        <v>3.5810000000000002E-2</v>
      </c>
      <c r="L287" s="10">
        <v>2.0369999999999899E-2</v>
      </c>
      <c r="M287" s="10">
        <v>0.1633</v>
      </c>
      <c r="N287" s="10">
        <v>7.0050000000000001E-2</v>
      </c>
      <c r="O287" s="10">
        <v>0.33800000000000002</v>
      </c>
      <c r="P287" s="10">
        <v>2.5089999999999901</v>
      </c>
      <c r="Q287" s="10">
        <v>2.3940000000000001</v>
      </c>
      <c r="R287" s="10">
        <v>19.329999999999899</v>
      </c>
      <c r="S287" s="10">
        <v>1.736E-2</v>
      </c>
      <c r="T287" s="10">
        <v>4.6710000000000002E-2</v>
      </c>
      <c r="U287" s="10">
        <v>2.6110000000000001E-2</v>
      </c>
      <c r="V287" s="10">
        <v>1.29599999999999E-2</v>
      </c>
      <c r="W287" s="10">
        <v>3.6749999999999901E-2</v>
      </c>
      <c r="X287" s="10">
        <v>6.7580000000000001E-3</v>
      </c>
      <c r="Y287" s="10">
        <v>10.88</v>
      </c>
      <c r="Z287" s="10">
        <v>19.48</v>
      </c>
      <c r="AA287" s="10">
        <v>70.89</v>
      </c>
      <c r="AB287" s="10">
        <v>357.1</v>
      </c>
      <c r="AC287" s="10">
        <v>0.13600000000000001</v>
      </c>
      <c r="AD287" s="10">
        <v>0.1636</v>
      </c>
      <c r="AE287" s="10">
        <v>7.1620000000000003E-2</v>
      </c>
      <c r="AF287" s="10">
        <v>4.0739999999999901E-2</v>
      </c>
      <c r="AG287" s="10">
        <v>0.24340000000000001</v>
      </c>
      <c r="AH287">
        <v>8.48799999999999E-2</v>
      </c>
    </row>
    <row r="288" spans="3:34">
      <c r="C288" s="11" t="s">
        <v>486</v>
      </c>
      <c r="D288" s="10" t="s">
        <v>1</v>
      </c>
      <c r="E288" s="10">
        <v>13.71</v>
      </c>
      <c r="F288" s="10">
        <v>18.899999999999899</v>
      </c>
      <c r="G288" s="10">
        <v>76.659999999999897</v>
      </c>
      <c r="H288" s="10">
        <v>445.3</v>
      </c>
      <c r="I288" s="10">
        <v>8.3860000000000004E-2</v>
      </c>
      <c r="J288" s="10">
        <v>5.7939999999999901E-2</v>
      </c>
      <c r="K288" s="10">
        <v>7.5100000000000002E-3</v>
      </c>
      <c r="L288" s="10">
        <v>8.4880000000000008E-3</v>
      </c>
      <c r="M288" s="10">
        <v>0.1555</v>
      </c>
      <c r="N288" s="10">
        <v>6.0479999999999902E-2</v>
      </c>
      <c r="O288" s="10">
        <v>0.24299999999999899</v>
      </c>
      <c r="P288" s="10">
        <v>1.1519999999999899</v>
      </c>
      <c r="Q288" s="10">
        <v>1.5589999999999899</v>
      </c>
      <c r="R288" s="10">
        <v>18.02</v>
      </c>
      <c r="S288" s="10">
        <v>7.1799999999999902E-3</v>
      </c>
      <c r="T288" s="10">
        <v>1.09599999999999E-2</v>
      </c>
      <c r="U288" s="10">
        <v>5.8320000000000004E-3</v>
      </c>
      <c r="V288" s="10">
        <v>5.4949999999999903E-3</v>
      </c>
      <c r="W288" s="10">
        <v>1.9820000000000001E-2</v>
      </c>
      <c r="X288" s="10">
        <v>2.75399999999999E-3</v>
      </c>
      <c r="Y288" s="10">
        <v>13.64</v>
      </c>
      <c r="Z288" s="10">
        <v>27.059999999999899</v>
      </c>
      <c r="AA288" s="10">
        <v>86.54</v>
      </c>
      <c r="AB288" s="10">
        <v>562.6</v>
      </c>
      <c r="AC288" s="10">
        <v>0.12889999999999899</v>
      </c>
      <c r="AD288" s="10">
        <v>0.13519999999999899</v>
      </c>
      <c r="AE288" s="10">
        <v>4.5060000000000003E-2</v>
      </c>
      <c r="AF288" s="10">
        <v>5.0930000000000003E-2</v>
      </c>
      <c r="AG288" s="10">
        <v>0.28799999999999898</v>
      </c>
      <c r="AH288">
        <v>8.0829999999999902E-2</v>
      </c>
    </row>
    <row r="289" spans="3:34">
      <c r="C289" s="11" t="s">
        <v>487</v>
      </c>
      <c r="D289" s="10" t="s">
        <v>1</v>
      </c>
      <c r="E289" s="10">
        <v>13.71</v>
      </c>
      <c r="F289" s="10">
        <v>14.74</v>
      </c>
      <c r="G289" s="10">
        <v>94.87</v>
      </c>
      <c r="H289" s="10">
        <v>668.7</v>
      </c>
      <c r="I289" s="10">
        <v>8.8749999999999898E-2</v>
      </c>
      <c r="J289" s="10">
        <v>7.7799999999999897E-2</v>
      </c>
      <c r="K289" s="10">
        <v>4.6080000000000003E-2</v>
      </c>
      <c r="L289" s="10">
        <v>3.5279999999999902E-2</v>
      </c>
      <c r="M289" s="10">
        <v>0.15210000000000001</v>
      </c>
      <c r="N289" s="10">
        <v>5.9119999999999902E-2</v>
      </c>
      <c r="O289" s="10">
        <v>0.34279999999999899</v>
      </c>
      <c r="P289" s="10">
        <v>0.39810000000000001</v>
      </c>
      <c r="Q289" s="10">
        <v>2.5369999999999902</v>
      </c>
      <c r="R289" s="10">
        <v>29.059999999999899</v>
      </c>
      <c r="S289" s="10">
        <v>4.7320000000000001E-3</v>
      </c>
      <c r="T289" s="10">
        <v>1.506E-2</v>
      </c>
      <c r="U289" s="10">
        <v>1.8550000000000001E-2</v>
      </c>
      <c r="V289" s="10">
        <v>1.0670000000000001E-2</v>
      </c>
      <c r="W289" s="10">
        <v>2.163E-2</v>
      </c>
      <c r="X289" s="10">
        <v>2.7829999999999899E-3</v>
      </c>
      <c r="Y289" s="10">
        <v>17.27</v>
      </c>
      <c r="Z289" s="10">
        <v>17.93</v>
      </c>
      <c r="AA289" s="10">
        <v>114.2</v>
      </c>
      <c r="AB289" s="10">
        <v>880.79999999999905</v>
      </c>
      <c r="AC289" s="10">
        <v>0.122</v>
      </c>
      <c r="AD289" s="10">
        <v>0.2009</v>
      </c>
      <c r="AE289" s="10">
        <v>0.21510000000000001</v>
      </c>
      <c r="AF289" s="10">
        <v>0.12509999999999899</v>
      </c>
      <c r="AG289" s="10">
        <v>0.31090000000000001</v>
      </c>
      <c r="AH289">
        <v>8.1869999999999901E-2</v>
      </c>
    </row>
    <row r="290" spans="3:34">
      <c r="C290" s="11" t="s">
        <v>488</v>
      </c>
      <c r="D290" s="10" t="s">
        <v>1</v>
      </c>
      <c r="E290" s="10">
        <v>13.71</v>
      </c>
      <c r="F290" s="10">
        <v>16.03</v>
      </c>
      <c r="G290" s="10">
        <v>73.019999999999897</v>
      </c>
      <c r="H290" s="10">
        <v>402.69999999999902</v>
      </c>
      <c r="I290" s="10">
        <v>9.0759999999999896E-2</v>
      </c>
      <c r="J290" s="10">
        <v>5.8860000000000003E-2</v>
      </c>
      <c r="K290" s="10">
        <v>2.5870000000000001E-2</v>
      </c>
      <c r="L290" s="10">
        <v>2.3220000000000001E-2</v>
      </c>
      <c r="M290" s="10">
        <v>0.16339999999999899</v>
      </c>
      <c r="N290" s="10">
        <v>6.3719999999999902E-2</v>
      </c>
      <c r="O290" s="10">
        <v>0.17069999999999899</v>
      </c>
      <c r="P290" s="10">
        <v>0.76149999999999896</v>
      </c>
      <c r="Q290" s="10">
        <v>1.0900000000000001</v>
      </c>
      <c r="R290" s="10">
        <v>12.25</v>
      </c>
      <c r="S290" s="10">
        <v>9.1909999999999908E-3</v>
      </c>
      <c r="T290" s="10">
        <v>8.548E-3</v>
      </c>
      <c r="U290" s="10">
        <v>9.4000000000000004E-3</v>
      </c>
      <c r="V290" s="10">
        <v>6.3150000000000003E-3</v>
      </c>
      <c r="W290" s="10">
        <v>1.755E-2</v>
      </c>
      <c r="X290" s="10">
        <v>3.009E-3</v>
      </c>
      <c r="Y290" s="10">
        <v>12.51</v>
      </c>
      <c r="Z290" s="10">
        <v>20.7899999999999</v>
      </c>
      <c r="AA290" s="10">
        <v>79.67</v>
      </c>
      <c r="AB290" s="10">
        <v>475.8</v>
      </c>
      <c r="AC290" s="10">
        <v>0.15310000000000001</v>
      </c>
      <c r="AD290" s="10">
        <v>0.112</v>
      </c>
      <c r="AE290" s="10">
        <v>9.8229999999999901E-2</v>
      </c>
      <c r="AF290" s="10">
        <v>6.5479999999999899E-2</v>
      </c>
      <c r="AG290" s="10">
        <v>0.28510000000000002</v>
      </c>
      <c r="AH290">
        <v>8.763E-2</v>
      </c>
    </row>
    <row r="291" spans="3:34">
      <c r="C291" s="11" t="s">
        <v>489</v>
      </c>
      <c r="D291" s="10" t="s">
        <v>1</v>
      </c>
      <c r="E291" s="10">
        <v>13.71</v>
      </c>
      <c r="F291" s="10">
        <v>14.96</v>
      </c>
      <c r="G291" s="10">
        <v>77.23</v>
      </c>
      <c r="H291" s="10">
        <v>426.69999999999902</v>
      </c>
      <c r="I291" s="10">
        <v>0.1158</v>
      </c>
      <c r="J291" s="10">
        <v>0.1206</v>
      </c>
      <c r="K291" s="10">
        <v>1.171E-2</v>
      </c>
      <c r="L291" s="10">
        <v>1.787E-2</v>
      </c>
      <c r="M291" s="10">
        <v>0.24590000000000001</v>
      </c>
      <c r="N291" s="10">
        <v>6.5809999999999896E-2</v>
      </c>
      <c r="O291" s="10">
        <v>0.36099999999999899</v>
      </c>
      <c r="P291" s="10">
        <v>1.05</v>
      </c>
      <c r="Q291" s="10">
        <v>2.4550000000000001</v>
      </c>
      <c r="R291" s="10">
        <v>26.649999999999899</v>
      </c>
      <c r="S291" s="10">
        <v>5.7999999999999901E-3</v>
      </c>
      <c r="T291" s="10">
        <v>2.4170000000000001E-2</v>
      </c>
      <c r="U291" s="10">
        <v>7.816E-3</v>
      </c>
      <c r="V291" s="10">
        <v>1.052E-2</v>
      </c>
      <c r="W291" s="10">
        <v>2.734E-2</v>
      </c>
      <c r="X291" s="10">
        <v>3.114E-3</v>
      </c>
      <c r="Y291" s="10">
        <v>12.81</v>
      </c>
      <c r="Z291" s="10">
        <v>17.719999999999899</v>
      </c>
      <c r="AA291" s="10">
        <v>83.09</v>
      </c>
      <c r="AB291" s="10">
        <v>496.19999999999902</v>
      </c>
      <c r="AC291" s="10">
        <v>0.1293</v>
      </c>
      <c r="AD291" s="10">
        <v>0.1885</v>
      </c>
      <c r="AE291" s="10">
        <v>3.1220000000000001E-2</v>
      </c>
      <c r="AF291" s="10">
        <v>4.7660000000000001E-2</v>
      </c>
      <c r="AG291" s="10">
        <v>0.31240000000000001</v>
      </c>
      <c r="AH291">
        <v>7.5899999999999898E-2</v>
      </c>
    </row>
    <row r="292" spans="3:34">
      <c r="C292" s="11" t="s">
        <v>490</v>
      </c>
      <c r="D292" s="10" t="s">
        <v>1</v>
      </c>
      <c r="E292" s="10">
        <v>13.71</v>
      </c>
      <c r="F292" s="10">
        <v>17.07</v>
      </c>
      <c r="G292" s="10">
        <v>73.7</v>
      </c>
      <c r="H292" s="10">
        <v>421</v>
      </c>
      <c r="I292" s="10">
        <v>7.56099999999999E-2</v>
      </c>
      <c r="J292" s="10">
        <v>3.6299999999999902E-2</v>
      </c>
      <c r="K292" s="10">
        <v>8.3059999999999905E-3</v>
      </c>
      <c r="L292" s="10">
        <v>1.162E-2</v>
      </c>
      <c r="M292" s="10">
        <v>0.1671</v>
      </c>
      <c r="N292" s="10">
        <v>5.731E-2</v>
      </c>
      <c r="O292" s="10">
        <v>0.35339999999999899</v>
      </c>
      <c r="P292" s="10">
        <v>0.6724</v>
      </c>
      <c r="Q292" s="10">
        <v>2.2250000000000001</v>
      </c>
      <c r="R292" s="10">
        <v>26.03</v>
      </c>
      <c r="S292" s="10">
        <v>6.5830000000000003E-3</v>
      </c>
      <c r="T292" s="10">
        <v>6.9909999999999903E-3</v>
      </c>
      <c r="U292" s="10">
        <v>5.9490000000000003E-3</v>
      </c>
      <c r="V292" s="10">
        <v>6.2960000000000004E-3</v>
      </c>
      <c r="W292" s="10">
        <v>2.2159999999999899E-2</v>
      </c>
      <c r="X292" s="10">
        <v>2.6679999999999898E-3</v>
      </c>
      <c r="Y292" s="10">
        <v>13.2799999999999</v>
      </c>
      <c r="Z292" s="10">
        <v>19.739999999999899</v>
      </c>
      <c r="AA292" s="10">
        <v>83.6099999999999</v>
      </c>
      <c r="AB292" s="10">
        <v>542.5</v>
      </c>
      <c r="AC292" s="10">
        <v>9.9580000000000002E-2</v>
      </c>
      <c r="AD292" s="10">
        <v>6.4759999999999901E-2</v>
      </c>
      <c r="AE292" s="10">
        <v>3.0460000000000001E-2</v>
      </c>
      <c r="AF292" s="10">
        <v>4.2619999999999901E-2</v>
      </c>
      <c r="AG292" s="10">
        <v>0.27310000000000001</v>
      </c>
      <c r="AH292">
        <v>6.8250000000000005E-2</v>
      </c>
    </row>
    <row r="293" spans="3:34">
      <c r="C293" s="11" t="s">
        <v>493</v>
      </c>
      <c r="D293" s="10" t="s">
        <v>0</v>
      </c>
      <c r="E293" s="10">
        <v>13.71</v>
      </c>
      <c r="F293" s="10">
        <v>25.739999999999899</v>
      </c>
      <c r="G293" s="10">
        <v>98</v>
      </c>
      <c r="H293" s="10">
        <v>716.6</v>
      </c>
      <c r="I293" s="10">
        <v>0.1024</v>
      </c>
      <c r="J293" s="10">
        <v>9.7689999999999902E-2</v>
      </c>
      <c r="K293" s="10">
        <v>0.1235</v>
      </c>
      <c r="L293" s="10">
        <v>6.5530000000000005E-2</v>
      </c>
      <c r="M293" s="10">
        <v>0.16470000000000001</v>
      </c>
      <c r="N293" s="10">
        <v>6.4640000000000003E-2</v>
      </c>
      <c r="O293" s="10">
        <v>0.65339999999999898</v>
      </c>
      <c r="P293" s="10">
        <v>1.506</v>
      </c>
      <c r="Q293" s="10">
        <v>4.1740000000000004</v>
      </c>
      <c r="R293" s="10">
        <v>63.369999999999898</v>
      </c>
      <c r="S293" s="10">
        <v>1.052E-2</v>
      </c>
      <c r="T293" s="10">
        <v>2.4309999999999901E-2</v>
      </c>
      <c r="U293" s="10">
        <v>4.91199999999999E-2</v>
      </c>
      <c r="V293" s="10">
        <v>1.746E-2</v>
      </c>
      <c r="W293" s="10">
        <v>2.12E-2</v>
      </c>
      <c r="X293" s="10">
        <v>4.8669999999999903E-3</v>
      </c>
      <c r="Y293" s="10">
        <v>18.510000000000002</v>
      </c>
      <c r="Z293" s="10">
        <v>33.219999999999899</v>
      </c>
      <c r="AA293" s="10">
        <v>121.2</v>
      </c>
      <c r="AB293" s="10">
        <v>1050</v>
      </c>
      <c r="AC293" s="10">
        <v>0.16600000000000001</v>
      </c>
      <c r="AD293" s="10">
        <v>0.2356</v>
      </c>
      <c r="AE293" s="10">
        <v>0.40289999999999898</v>
      </c>
      <c r="AF293" s="10">
        <v>0.15260000000000001</v>
      </c>
      <c r="AG293" s="10">
        <v>0.26540000000000002</v>
      </c>
      <c r="AH293">
        <v>9.4380000000000006E-2</v>
      </c>
    </row>
    <row r="294" spans="3:34">
      <c r="C294" s="11" t="s">
        <v>494</v>
      </c>
      <c r="D294" s="10" t="s">
        <v>1</v>
      </c>
      <c r="E294" s="10">
        <v>13.71</v>
      </c>
      <c r="F294" s="10">
        <v>14.07</v>
      </c>
      <c r="G294" s="10">
        <v>71.239999999999895</v>
      </c>
      <c r="H294" s="10">
        <v>384.6</v>
      </c>
      <c r="I294" s="10">
        <v>7.2739999999999902E-2</v>
      </c>
      <c r="J294" s="10">
        <v>6.0639999999999902E-2</v>
      </c>
      <c r="K294" s="10">
        <v>4.505E-2</v>
      </c>
      <c r="L294" s="10">
        <v>1.4710000000000001E-2</v>
      </c>
      <c r="M294" s="10">
        <v>0.16900000000000001</v>
      </c>
      <c r="N294" s="10">
        <v>6.0830000000000002E-2</v>
      </c>
      <c r="O294" s="10">
        <v>0.42220000000000002</v>
      </c>
      <c r="P294" s="10">
        <v>0.80920000000000003</v>
      </c>
      <c r="Q294" s="10">
        <v>3.33</v>
      </c>
      <c r="R294" s="10">
        <v>28.84</v>
      </c>
      <c r="S294" s="10">
        <v>5.5409999999999904E-3</v>
      </c>
      <c r="T294" s="10">
        <v>3.38699999999999E-2</v>
      </c>
      <c r="U294" s="10">
        <v>4.505E-2</v>
      </c>
      <c r="V294" s="10">
        <v>1.4710000000000001E-2</v>
      </c>
      <c r="W294" s="10">
        <v>3.1019999999999898E-2</v>
      </c>
      <c r="X294" s="10">
        <v>4.8310000000000002E-3</v>
      </c>
      <c r="Y294" s="10">
        <v>12.1199999999999</v>
      </c>
      <c r="Z294" s="10">
        <v>15.82</v>
      </c>
      <c r="AA294" s="10">
        <v>79.62</v>
      </c>
      <c r="AB294" s="10">
        <v>453.5</v>
      </c>
      <c r="AC294" s="10">
        <v>8.8639999999999899E-2</v>
      </c>
      <c r="AD294" s="10">
        <v>0.12559999999999899</v>
      </c>
      <c r="AE294" s="10">
        <v>0.1201</v>
      </c>
      <c r="AF294" s="10">
        <v>3.9219999999999901E-2</v>
      </c>
      <c r="AG294" s="10">
        <v>0.2576</v>
      </c>
      <c r="AH294">
        <v>7.0180000000000006E-2</v>
      </c>
    </row>
    <row r="295" spans="3:34">
      <c r="C295" s="11" t="s">
        <v>495</v>
      </c>
      <c r="D295" s="10" t="s">
        <v>1</v>
      </c>
      <c r="E295" s="10">
        <v>13.71</v>
      </c>
      <c r="F295" s="10">
        <v>19.07</v>
      </c>
      <c r="G295" s="10">
        <v>81.92</v>
      </c>
      <c r="H295" s="10">
        <v>485.8</v>
      </c>
      <c r="I295" s="10">
        <v>8.75999999999999E-2</v>
      </c>
      <c r="J295" s="10">
        <v>0.1038</v>
      </c>
      <c r="K295" s="10">
        <v>0.102999999999999</v>
      </c>
      <c r="L295" s="10">
        <v>4.39099999999999E-2</v>
      </c>
      <c r="M295" s="10">
        <v>0.15329999999999899</v>
      </c>
      <c r="N295" s="10">
        <v>6.1839999999999902E-2</v>
      </c>
      <c r="O295" s="10">
        <v>0.36020000000000002</v>
      </c>
      <c r="P295" s="10">
        <v>1.478</v>
      </c>
      <c r="Q295" s="10">
        <v>3.2120000000000002</v>
      </c>
      <c r="R295" s="10">
        <v>27.489999999999899</v>
      </c>
      <c r="S295" s="10">
        <v>9.8530000000000006E-3</v>
      </c>
      <c r="T295" s="10">
        <v>4.2349999999999902E-2</v>
      </c>
      <c r="U295" s="10">
        <v>6.2710000000000002E-2</v>
      </c>
      <c r="V295" s="10">
        <v>1.966E-2</v>
      </c>
      <c r="W295" s="10">
        <v>2.639E-2</v>
      </c>
      <c r="X295" s="10">
        <v>4.2050000000000004E-3</v>
      </c>
      <c r="Y295" s="10">
        <v>13.3699999999999</v>
      </c>
      <c r="Z295" s="10">
        <v>22.43</v>
      </c>
      <c r="AA295" s="10">
        <v>89.019999999999897</v>
      </c>
      <c r="AB295" s="10">
        <v>547.39999999999895</v>
      </c>
      <c r="AC295" s="10">
        <v>0.1096</v>
      </c>
      <c r="AD295" s="10">
        <v>0.20019999999999899</v>
      </c>
      <c r="AE295" s="10">
        <v>0.23880000000000001</v>
      </c>
      <c r="AF295" s="10">
        <v>9.2649999999999899E-2</v>
      </c>
      <c r="AG295" s="10">
        <v>0.21210000000000001</v>
      </c>
      <c r="AH295">
        <v>7.1879999999999902E-2</v>
      </c>
    </row>
    <row r="296" spans="3:34">
      <c r="C296" s="11" t="s">
        <v>496</v>
      </c>
      <c r="D296" s="10" t="s">
        <v>1</v>
      </c>
      <c r="E296" s="10">
        <v>13.71</v>
      </c>
      <c r="F296" s="10">
        <v>18.59</v>
      </c>
      <c r="G296" s="10">
        <v>85.09</v>
      </c>
      <c r="H296" s="10">
        <v>512</v>
      </c>
      <c r="I296" s="10">
        <v>0.1082</v>
      </c>
      <c r="J296" s="10">
        <v>0.13039999999999899</v>
      </c>
      <c r="K296" s="10">
        <v>9.6030000000000004E-2</v>
      </c>
      <c r="L296" s="10">
        <v>5.6030000000000003E-2</v>
      </c>
      <c r="M296" s="10">
        <v>0.20349999999999899</v>
      </c>
      <c r="N296" s="10">
        <v>6.5009999999999901E-2</v>
      </c>
      <c r="O296" s="10">
        <v>0.31059999999999899</v>
      </c>
      <c r="P296" s="10">
        <v>1.51</v>
      </c>
      <c r="Q296" s="10">
        <v>2.5899999999999901</v>
      </c>
      <c r="R296" s="10">
        <v>21.57</v>
      </c>
      <c r="S296" s="10">
        <v>7.8069999999999902E-3</v>
      </c>
      <c r="T296" s="10">
        <v>3.9320000000000001E-2</v>
      </c>
      <c r="U296" s="10">
        <v>5.1119999999999902E-2</v>
      </c>
      <c r="V296" s="10">
        <v>1.8759999999999898E-2</v>
      </c>
      <c r="W296" s="10">
        <v>2.86E-2</v>
      </c>
      <c r="X296" s="10">
        <v>5.7149999999999901E-3</v>
      </c>
      <c r="Y296" s="10">
        <v>14.19</v>
      </c>
      <c r="Z296" s="10">
        <v>24.85</v>
      </c>
      <c r="AA296" s="10">
        <v>94.219999999999899</v>
      </c>
      <c r="AB296" s="10">
        <v>591.20000000000005</v>
      </c>
      <c r="AC296" s="10">
        <v>0.1343</v>
      </c>
      <c r="AD296" s="10">
        <v>0.26579999999999898</v>
      </c>
      <c r="AE296" s="10">
        <v>0.25729999999999897</v>
      </c>
      <c r="AF296" s="10">
        <v>0.1258</v>
      </c>
      <c r="AG296" s="10">
        <v>0.31130000000000002</v>
      </c>
      <c r="AH296">
        <v>8.3169999999999897E-2</v>
      </c>
    </row>
    <row r="297" spans="3:34">
      <c r="C297" s="11" t="s">
        <v>499</v>
      </c>
      <c r="D297" s="10" t="s">
        <v>1</v>
      </c>
      <c r="E297" s="10">
        <v>13.71</v>
      </c>
      <c r="F297" s="10">
        <v>18.32</v>
      </c>
      <c r="G297" s="10">
        <v>59.82</v>
      </c>
      <c r="H297" s="10">
        <v>278.60000000000002</v>
      </c>
      <c r="I297" s="10">
        <v>0.1009</v>
      </c>
      <c r="J297" s="10">
        <v>5.9560000000000002E-2</v>
      </c>
      <c r="K297" s="10">
        <v>2.7099999999999898E-2</v>
      </c>
      <c r="L297" s="10">
        <v>1.406E-2</v>
      </c>
      <c r="M297" s="10">
        <v>0.15060000000000001</v>
      </c>
      <c r="N297" s="10">
        <v>6.9589999999999902E-2</v>
      </c>
      <c r="O297" s="10">
        <v>0.50790000000000002</v>
      </c>
      <c r="P297" s="10">
        <v>1.2470000000000001</v>
      </c>
      <c r="Q297" s="10">
        <v>3.2669999999999901</v>
      </c>
      <c r="R297" s="10">
        <v>30.48</v>
      </c>
      <c r="S297" s="10">
        <v>6.8360000000000001E-3</v>
      </c>
      <c r="T297" s="10">
        <v>8.9820000000000004E-3</v>
      </c>
      <c r="U297" s="10">
        <v>2.3480000000000001E-2</v>
      </c>
      <c r="V297" s="10">
        <v>6.5649999999999901E-3</v>
      </c>
      <c r="W297" s="10">
        <v>1.942E-2</v>
      </c>
      <c r="X297" s="10">
        <v>2.7130000000000001E-3</v>
      </c>
      <c r="Y297" s="10">
        <v>12.02</v>
      </c>
      <c r="Z297" s="10">
        <v>25.02</v>
      </c>
      <c r="AA297" s="10">
        <v>75.790000000000006</v>
      </c>
      <c r="AB297" s="10">
        <v>439.6</v>
      </c>
      <c r="AC297" s="10">
        <v>0.1333</v>
      </c>
      <c r="AD297" s="10">
        <v>0.10489999999999899</v>
      </c>
      <c r="AE297" s="10">
        <v>0.1144</v>
      </c>
      <c r="AF297" s="10">
        <v>5.0520000000000002E-2</v>
      </c>
      <c r="AG297" s="10">
        <v>0.24540000000000001</v>
      </c>
      <c r="AH297">
        <v>8.1360000000000002E-2</v>
      </c>
    </row>
    <row r="298" spans="3:34">
      <c r="C298" s="11" t="s">
        <v>500</v>
      </c>
      <c r="D298" s="10" t="s">
        <v>1</v>
      </c>
      <c r="E298" s="10">
        <v>13.71</v>
      </c>
      <c r="F298" s="10">
        <v>18.07</v>
      </c>
      <c r="G298" s="10">
        <v>79.42</v>
      </c>
      <c r="H298" s="10">
        <v>491.89999999999901</v>
      </c>
      <c r="I298" s="10">
        <v>7.4359999999999898E-2</v>
      </c>
      <c r="J298" s="10">
        <v>2.6499999999999899E-2</v>
      </c>
      <c r="K298" s="10">
        <v>1.194E-3</v>
      </c>
      <c r="L298" s="10">
        <v>5.4489999999999903E-3</v>
      </c>
      <c r="M298" s="10">
        <v>0.15279999999999899</v>
      </c>
      <c r="N298" s="10">
        <v>5.185E-2</v>
      </c>
      <c r="O298" s="10">
        <v>0.35110000000000002</v>
      </c>
      <c r="P298" s="10">
        <v>0.95269999999999899</v>
      </c>
      <c r="Q298" s="10">
        <v>2.3290000000000002</v>
      </c>
      <c r="R298" s="10">
        <v>28.3</v>
      </c>
      <c r="S298" s="10">
        <v>5.7829999999999904E-3</v>
      </c>
      <c r="T298" s="10">
        <v>4.6930000000000001E-3</v>
      </c>
      <c r="U298" s="10">
        <v>7.9290000000000003E-4</v>
      </c>
      <c r="V298" s="10">
        <v>3.617E-3</v>
      </c>
      <c r="W298" s="10">
        <v>2.043E-2</v>
      </c>
      <c r="X298" s="10">
        <v>1.0579999999999899E-3</v>
      </c>
      <c r="Y298" s="10">
        <v>13.72</v>
      </c>
      <c r="Z298" s="10">
        <v>20.98</v>
      </c>
      <c r="AA298" s="10">
        <v>86.819999999999894</v>
      </c>
      <c r="AB298" s="10">
        <v>585.70000000000005</v>
      </c>
      <c r="AC298" s="10">
        <v>9.2929999999999902E-2</v>
      </c>
      <c r="AD298" s="10">
        <v>4.3270000000000003E-2</v>
      </c>
      <c r="AE298" s="10">
        <v>3.581E-3</v>
      </c>
      <c r="AF298" s="10">
        <v>1.635E-2</v>
      </c>
      <c r="AG298" s="10">
        <v>0.2233</v>
      </c>
      <c r="AH298">
        <v>5.5210000000000002E-2</v>
      </c>
    </row>
    <row r="299" spans="3:34">
      <c r="C299" s="11" t="s">
        <v>502</v>
      </c>
      <c r="D299" s="10" t="s">
        <v>1</v>
      </c>
      <c r="E299" s="10">
        <v>13.71</v>
      </c>
      <c r="F299" s="10">
        <v>18.84</v>
      </c>
      <c r="G299" s="10">
        <v>81.87</v>
      </c>
      <c r="H299" s="10">
        <v>496.6</v>
      </c>
      <c r="I299" s="10">
        <v>9.6759999999999902E-2</v>
      </c>
      <c r="J299" s="10">
        <v>7.9519999999999896E-2</v>
      </c>
      <c r="K299" s="10">
        <v>2.6880000000000001E-2</v>
      </c>
      <c r="L299" s="10">
        <v>1.7809999999999899E-2</v>
      </c>
      <c r="M299" s="10">
        <v>0.1759</v>
      </c>
      <c r="N299" s="10">
        <v>6.1830000000000003E-2</v>
      </c>
      <c r="O299" s="10">
        <v>0.2213</v>
      </c>
      <c r="P299" s="10">
        <v>1.2849999999999899</v>
      </c>
      <c r="Q299" s="10">
        <v>1.5349999999999899</v>
      </c>
      <c r="R299" s="10">
        <v>17.260000000000002</v>
      </c>
      <c r="S299" s="10">
        <v>5.6080000000000001E-3</v>
      </c>
      <c r="T299" s="10">
        <v>1.6459999999999898E-2</v>
      </c>
      <c r="U299" s="10">
        <v>1.529E-2</v>
      </c>
      <c r="V299" s="10">
        <v>9.9970000000000007E-3</v>
      </c>
      <c r="W299" s="10">
        <v>1.9089999999999899E-2</v>
      </c>
      <c r="X299" s="10">
        <v>2.1329999999999899E-3</v>
      </c>
      <c r="Y299" s="10">
        <v>13.75</v>
      </c>
      <c r="Z299" s="10">
        <v>25.989999999999899</v>
      </c>
      <c r="AA299" s="10">
        <v>87.819999999999894</v>
      </c>
      <c r="AB299" s="10">
        <v>579.70000000000005</v>
      </c>
      <c r="AC299" s="10">
        <v>0.1298</v>
      </c>
      <c r="AD299" s="10">
        <v>0.18390000000000001</v>
      </c>
      <c r="AE299" s="10">
        <v>0.1255</v>
      </c>
      <c r="AF299" s="10">
        <v>8.3119999999999902E-2</v>
      </c>
      <c r="AG299" s="10">
        <v>0.27439999999999898</v>
      </c>
      <c r="AH299">
        <v>7.238E-2</v>
      </c>
    </row>
    <row r="300" spans="3:34">
      <c r="C300" s="11" t="s">
        <v>505</v>
      </c>
      <c r="D300" s="10" t="s">
        <v>0</v>
      </c>
      <c r="E300" s="10">
        <v>13.71</v>
      </c>
      <c r="F300" s="10">
        <v>21.78</v>
      </c>
      <c r="G300" s="10">
        <v>133.80000000000001</v>
      </c>
      <c r="H300" s="10">
        <v>1293</v>
      </c>
      <c r="I300" s="10">
        <v>9.1499999999999901E-2</v>
      </c>
      <c r="J300" s="10">
        <v>0.11310000000000001</v>
      </c>
      <c r="K300" s="10">
        <v>9.7989999999999897E-2</v>
      </c>
      <c r="L300" s="10">
        <v>7.7850000000000003E-2</v>
      </c>
      <c r="M300" s="10">
        <v>0.1618</v>
      </c>
      <c r="N300" s="10">
        <v>5.5570000000000001E-2</v>
      </c>
      <c r="O300" s="10">
        <v>0.57809999999999895</v>
      </c>
      <c r="P300" s="10">
        <v>0.91679999999999895</v>
      </c>
      <c r="Q300" s="10">
        <v>4.218</v>
      </c>
      <c r="R300" s="10">
        <v>72.439999999999898</v>
      </c>
      <c r="S300" s="10">
        <v>6.208E-3</v>
      </c>
      <c r="T300" s="10">
        <v>1.9060000000000001E-2</v>
      </c>
      <c r="U300" s="10">
        <v>2.375E-2</v>
      </c>
      <c r="V300" s="10">
        <v>1.461E-2</v>
      </c>
      <c r="W300" s="10">
        <v>1.44499999999999E-2</v>
      </c>
      <c r="X300" s="10">
        <v>1.90599999999999E-3</v>
      </c>
      <c r="Y300" s="10">
        <v>24.309999999999899</v>
      </c>
      <c r="Z300" s="10">
        <v>26.37</v>
      </c>
      <c r="AA300" s="10">
        <v>161.19999999999899</v>
      </c>
      <c r="AB300" s="10">
        <v>1780</v>
      </c>
      <c r="AC300" s="10">
        <v>0.13270000000000001</v>
      </c>
      <c r="AD300" s="10">
        <v>0.23760000000000001</v>
      </c>
      <c r="AE300" s="10">
        <v>0.2702</v>
      </c>
      <c r="AF300" s="10">
        <v>0.17649999999999899</v>
      </c>
      <c r="AG300" s="10">
        <v>0.26090000000000002</v>
      </c>
      <c r="AH300">
        <v>6.7349999999999896E-2</v>
      </c>
    </row>
    <row r="301" spans="3:34">
      <c r="C301" s="11" t="s">
        <v>507</v>
      </c>
      <c r="D301" s="10" t="s">
        <v>1</v>
      </c>
      <c r="E301" s="10">
        <v>13.71</v>
      </c>
      <c r="F301" s="10">
        <v>18.02</v>
      </c>
      <c r="G301" s="10">
        <v>78.31</v>
      </c>
      <c r="H301" s="10">
        <v>458.39999999999901</v>
      </c>
      <c r="I301" s="10">
        <v>9.2310000000000003E-2</v>
      </c>
      <c r="J301" s="10">
        <v>7.1749999999999897E-2</v>
      </c>
      <c r="K301" s="10">
        <v>4.3920000000000001E-2</v>
      </c>
      <c r="L301" s="10">
        <v>2.027E-2</v>
      </c>
      <c r="M301" s="10">
        <v>0.16950000000000001</v>
      </c>
      <c r="N301" s="10">
        <v>5.91599999999999E-2</v>
      </c>
      <c r="O301" s="10">
        <v>0.25269999999999898</v>
      </c>
      <c r="P301" s="10">
        <v>0.77859999999999896</v>
      </c>
      <c r="Q301" s="10">
        <v>1.8740000000000001</v>
      </c>
      <c r="R301" s="10">
        <v>18.57</v>
      </c>
      <c r="S301" s="10">
        <v>5.8329999999999901E-3</v>
      </c>
      <c r="T301" s="10">
        <v>1.388E-2</v>
      </c>
      <c r="U301" s="10">
        <v>0.02</v>
      </c>
      <c r="V301" s="10">
        <v>7.0870000000000004E-3</v>
      </c>
      <c r="W301" s="10">
        <v>1.9380000000000001E-2</v>
      </c>
      <c r="X301" s="10">
        <v>1.95999999999999E-3</v>
      </c>
      <c r="Y301" s="10">
        <v>14.2899999999999</v>
      </c>
      <c r="Z301" s="10">
        <v>24.0399999999999</v>
      </c>
      <c r="AA301" s="10">
        <v>93.849999999999895</v>
      </c>
      <c r="AB301" s="10">
        <v>624.6</v>
      </c>
      <c r="AC301" s="10">
        <v>0.1368</v>
      </c>
      <c r="AD301" s="10">
        <v>0.217</v>
      </c>
      <c r="AE301" s="10">
        <v>0.24129999999999899</v>
      </c>
      <c r="AF301" s="10">
        <v>8.8289999999999896E-2</v>
      </c>
      <c r="AG301" s="10">
        <v>0.32179999999999898</v>
      </c>
      <c r="AH301">
        <v>7.4700000000000003E-2</v>
      </c>
    </row>
    <row r="302" spans="3:34">
      <c r="C302" s="11" t="s">
        <v>508</v>
      </c>
      <c r="D302" s="10" t="s">
        <v>0</v>
      </c>
      <c r="E302" s="10">
        <v>13.71</v>
      </c>
      <c r="F302" s="10">
        <v>17.25</v>
      </c>
      <c r="G302" s="10">
        <v>140.9</v>
      </c>
      <c r="H302" s="10">
        <v>1546</v>
      </c>
      <c r="I302" s="10">
        <v>9.3840000000000007E-2</v>
      </c>
      <c r="J302" s="10">
        <v>8.5620000000000002E-2</v>
      </c>
      <c r="K302" s="10">
        <v>0.1168</v>
      </c>
      <c r="L302" s="10">
        <v>8.4650000000000003E-2</v>
      </c>
      <c r="M302" s="10">
        <v>0.17169999999999899</v>
      </c>
      <c r="N302" s="10">
        <v>5.0540000000000002E-2</v>
      </c>
      <c r="O302" s="10">
        <v>1.2070000000000001</v>
      </c>
      <c r="P302" s="10">
        <v>1.0509999999999899</v>
      </c>
      <c r="Q302" s="10">
        <v>7.7329999999999899</v>
      </c>
      <c r="R302" s="10">
        <v>224.099999999999</v>
      </c>
      <c r="S302" s="10">
        <v>5.568E-3</v>
      </c>
      <c r="T302" s="10">
        <v>1.112E-2</v>
      </c>
      <c r="U302" s="10">
        <v>2.0959999999999899E-2</v>
      </c>
      <c r="V302" s="10">
        <v>1.197E-2</v>
      </c>
      <c r="W302" s="10">
        <v>1.2630000000000001E-2</v>
      </c>
      <c r="X302" s="10">
        <v>1.8029999999999899E-3</v>
      </c>
      <c r="Y302" s="10">
        <v>30.75</v>
      </c>
      <c r="Z302" s="10">
        <v>26.44</v>
      </c>
      <c r="AA302" s="10">
        <v>199.5</v>
      </c>
      <c r="AB302" s="10">
        <v>3143</v>
      </c>
      <c r="AC302" s="10">
        <v>0.1363</v>
      </c>
      <c r="AD302" s="10">
        <v>0.1628</v>
      </c>
      <c r="AE302" s="10">
        <v>0.28610000000000002</v>
      </c>
      <c r="AF302" s="10">
        <v>0.182</v>
      </c>
      <c r="AG302" s="10">
        <v>0.251</v>
      </c>
      <c r="AH302">
        <v>6.4939999999999901E-2</v>
      </c>
    </row>
    <row r="303" spans="3:34">
      <c r="C303" s="11" t="s">
        <v>509</v>
      </c>
      <c r="D303" s="10" t="s">
        <v>0</v>
      </c>
      <c r="E303" s="10">
        <v>13.71</v>
      </c>
      <c r="F303" s="10">
        <v>21.899999999999899</v>
      </c>
      <c r="G303" s="10">
        <v>147.19999999999899</v>
      </c>
      <c r="H303" s="10">
        <v>1482</v>
      </c>
      <c r="I303" s="10">
        <v>0.10630000000000001</v>
      </c>
      <c r="J303" s="10">
        <v>0.19539999999999899</v>
      </c>
      <c r="K303" s="10">
        <v>0.24479999999999899</v>
      </c>
      <c r="L303" s="10">
        <v>0.15010000000000001</v>
      </c>
      <c r="M303" s="10">
        <v>0.18240000000000001</v>
      </c>
      <c r="N303" s="10">
        <v>6.1400000000000003E-2</v>
      </c>
      <c r="O303" s="10">
        <v>1.008</v>
      </c>
      <c r="P303" s="10">
        <v>0.69989999999999897</v>
      </c>
      <c r="Q303" s="10">
        <v>7.5609999999999902</v>
      </c>
      <c r="R303" s="10">
        <v>130.19999999999899</v>
      </c>
      <c r="S303" s="10">
        <v>3.9779999999999902E-3</v>
      </c>
      <c r="T303" s="10">
        <v>2.8209999999999898E-2</v>
      </c>
      <c r="U303" s="10">
        <v>3.576E-2</v>
      </c>
      <c r="V303" s="10">
        <v>1.4710000000000001E-2</v>
      </c>
      <c r="W303" s="10">
        <v>1.5180000000000001E-2</v>
      </c>
      <c r="X303" s="10">
        <v>3.7959999999999899E-3</v>
      </c>
      <c r="Y303" s="10">
        <v>27.66</v>
      </c>
      <c r="Z303" s="10">
        <v>25.8</v>
      </c>
      <c r="AA303" s="10">
        <v>195</v>
      </c>
      <c r="AB303" s="10">
        <v>2227</v>
      </c>
      <c r="AC303" s="10">
        <v>0.12939999999999899</v>
      </c>
      <c r="AD303" s="10">
        <v>0.38850000000000001</v>
      </c>
      <c r="AE303" s="10">
        <v>0.47560000000000002</v>
      </c>
      <c r="AF303" s="10">
        <v>0.2432</v>
      </c>
      <c r="AG303" s="10">
        <v>0.27410000000000001</v>
      </c>
      <c r="AH303">
        <v>8.57399999999999E-2</v>
      </c>
    </row>
    <row r="304" spans="3:34">
      <c r="C304" s="11" t="s">
        <v>510</v>
      </c>
      <c r="D304" s="10" t="s">
        <v>0</v>
      </c>
      <c r="E304" s="10">
        <v>13.71</v>
      </c>
      <c r="F304" s="10">
        <v>23.2899999999999</v>
      </c>
      <c r="G304" s="10">
        <v>109</v>
      </c>
      <c r="H304" s="10">
        <v>840.39999999999895</v>
      </c>
      <c r="I304" s="10">
        <v>9.7420000000000007E-2</v>
      </c>
      <c r="J304" s="10">
        <v>0.1497</v>
      </c>
      <c r="K304" s="10">
        <v>0.18110000000000001</v>
      </c>
      <c r="L304" s="10">
        <v>8.7730000000000002E-2</v>
      </c>
      <c r="M304" s="10">
        <v>0.2175</v>
      </c>
      <c r="N304" s="10">
        <v>6.2179999999999902E-2</v>
      </c>
      <c r="O304" s="10">
        <v>0.43120000000000003</v>
      </c>
      <c r="P304" s="10">
        <v>1.022</v>
      </c>
      <c r="Q304" s="10">
        <v>2.972</v>
      </c>
      <c r="R304" s="10">
        <v>45.5</v>
      </c>
      <c r="S304" s="10">
        <v>5.6350000000000003E-3</v>
      </c>
      <c r="T304" s="10">
        <v>3.9170000000000003E-2</v>
      </c>
      <c r="U304" s="10">
        <v>6.0720000000000003E-2</v>
      </c>
      <c r="V304" s="10">
        <v>1.6559999999999901E-2</v>
      </c>
      <c r="W304" s="10">
        <v>3.1969999999999901E-2</v>
      </c>
      <c r="X304" s="10">
        <v>4.0850000000000001E-3</v>
      </c>
      <c r="Y304" s="10">
        <v>19.3799999999999</v>
      </c>
      <c r="Z304" s="10">
        <v>31.03</v>
      </c>
      <c r="AA304" s="10">
        <v>129.30000000000001</v>
      </c>
      <c r="AB304" s="10">
        <v>1165</v>
      </c>
      <c r="AC304" s="10">
        <v>0.14149999999999899</v>
      </c>
      <c r="AD304" s="10">
        <v>0.46650000000000003</v>
      </c>
      <c r="AE304" s="10">
        <v>0.7087</v>
      </c>
      <c r="AF304" s="10">
        <v>0.2248</v>
      </c>
      <c r="AG304" s="10">
        <v>0.4824</v>
      </c>
      <c r="AH304">
        <v>9.6140000000000003E-2</v>
      </c>
    </row>
    <row r="305" spans="3:34">
      <c r="C305" s="11" t="s">
        <v>511</v>
      </c>
      <c r="D305" s="10" t="s">
        <v>1</v>
      </c>
      <c r="E305" s="10">
        <v>13.71</v>
      </c>
      <c r="F305" s="10">
        <v>13.21</v>
      </c>
      <c r="G305" s="10">
        <v>97.65</v>
      </c>
      <c r="H305" s="10">
        <v>711.79999999999905</v>
      </c>
      <c r="I305" s="10">
        <v>7.9630000000000006E-2</v>
      </c>
      <c r="J305" s="10">
        <v>6.9339999999999902E-2</v>
      </c>
      <c r="K305" s="10">
        <v>3.3930000000000002E-2</v>
      </c>
      <c r="L305" s="10">
        <v>2.657E-2</v>
      </c>
      <c r="M305" s="10">
        <v>0.1721</v>
      </c>
      <c r="N305" s="10">
        <v>5.5440000000000003E-2</v>
      </c>
      <c r="O305" s="10">
        <v>0.17829999999999899</v>
      </c>
      <c r="P305" s="10">
        <v>0.41249999999999898</v>
      </c>
      <c r="Q305" s="10">
        <v>1.3380000000000001</v>
      </c>
      <c r="R305" s="10">
        <v>17.719999999999899</v>
      </c>
      <c r="S305" s="10">
        <v>5.012E-3</v>
      </c>
      <c r="T305" s="10">
        <v>1.485E-2</v>
      </c>
      <c r="U305" s="10">
        <v>1.5509999999999901E-2</v>
      </c>
      <c r="V305" s="10">
        <v>9.1549999999999895E-3</v>
      </c>
      <c r="W305" s="10">
        <v>1.6469999999999901E-2</v>
      </c>
      <c r="X305" s="10">
        <v>1.7669999999999899E-3</v>
      </c>
      <c r="Y305" s="10">
        <v>16.1999999999999</v>
      </c>
      <c r="Z305" s="10">
        <v>15.73</v>
      </c>
      <c r="AA305" s="10">
        <v>104.5</v>
      </c>
      <c r="AB305" s="10">
        <v>819.1</v>
      </c>
      <c r="AC305" s="10">
        <v>0.11260000000000001</v>
      </c>
      <c r="AD305" s="10">
        <v>0.17369999999999899</v>
      </c>
      <c r="AE305" s="10">
        <v>0.13619999999999899</v>
      </c>
      <c r="AF305" s="10">
        <v>8.1780000000000005E-2</v>
      </c>
      <c r="AG305" s="10">
        <v>0.2487</v>
      </c>
      <c r="AH305">
        <v>6.7659999999999901E-2</v>
      </c>
    </row>
    <row r="306" spans="3:34">
      <c r="C306" s="11" t="s">
        <v>512</v>
      </c>
      <c r="D306" s="10" t="s">
        <v>0</v>
      </c>
      <c r="E306" s="10">
        <v>13.71</v>
      </c>
      <c r="F306" s="10">
        <v>15.1</v>
      </c>
      <c r="G306" s="10">
        <v>141.30000000000001</v>
      </c>
      <c r="H306" s="10">
        <v>1386</v>
      </c>
      <c r="I306" s="10">
        <v>0.100099999999999</v>
      </c>
      <c r="J306" s="10">
        <v>0.1515</v>
      </c>
      <c r="K306" s="10">
        <v>0.19320000000000001</v>
      </c>
      <c r="L306" s="10">
        <v>0.1255</v>
      </c>
      <c r="M306" s="10">
        <v>0.1973</v>
      </c>
      <c r="N306" s="10">
        <v>6.1830000000000003E-2</v>
      </c>
      <c r="O306" s="10">
        <v>0.34139999999999898</v>
      </c>
      <c r="P306" s="10">
        <v>1.3089999999999899</v>
      </c>
      <c r="Q306" s="10">
        <v>2.407</v>
      </c>
      <c r="R306" s="10">
        <v>39.06</v>
      </c>
      <c r="S306" s="10">
        <v>4.4260000000000002E-3</v>
      </c>
      <c r="T306" s="10">
        <v>2.6749999999999899E-2</v>
      </c>
      <c r="U306" s="10">
        <v>3.4369999999999901E-2</v>
      </c>
      <c r="V306" s="10">
        <v>1.34299999999999E-2</v>
      </c>
      <c r="W306" s="10">
        <v>1.6750000000000001E-2</v>
      </c>
      <c r="X306" s="10">
        <v>4.3670000000000002E-3</v>
      </c>
      <c r="Y306" s="10">
        <v>22.69</v>
      </c>
      <c r="Z306" s="10">
        <v>21.84</v>
      </c>
      <c r="AA306" s="10">
        <v>152.099999999999</v>
      </c>
      <c r="AB306" s="10">
        <v>1535</v>
      </c>
      <c r="AC306" s="10">
        <v>0.1192</v>
      </c>
      <c r="AD306" s="10">
        <v>0.28399999999999898</v>
      </c>
      <c r="AE306" s="10">
        <v>0.40239999999999898</v>
      </c>
      <c r="AF306" s="10">
        <v>0.1966</v>
      </c>
      <c r="AG306" s="10">
        <v>0.27300000000000002</v>
      </c>
      <c r="AH306">
        <v>8.6660000000000001E-2</v>
      </c>
    </row>
    <row r="307" spans="3:34">
      <c r="C307" s="11" t="s">
        <v>514</v>
      </c>
      <c r="D307" s="10" t="s">
        <v>1</v>
      </c>
      <c r="E307" s="10">
        <v>13.71</v>
      </c>
      <c r="F307" s="10">
        <v>16.07</v>
      </c>
      <c r="G307" s="10">
        <v>87.84</v>
      </c>
      <c r="H307" s="10">
        <v>579.1</v>
      </c>
      <c r="I307" s="10">
        <v>8.3019999999999899E-2</v>
      </c>
      <c r="J307" s="10">
        <v>6.3740000000000005E-2</v>
      </c>
      <c r="K307" s="10">
        <v>2.5559999999999899E-2</v>
      </c>
      <c r="L307" s="10">
        <v>2.0310000000000002E-2</v>
      </c>
      <c r="M307" s="10">
        <v>0.18720000000000001</v>
      </c>
      <c r="N307" s="10">
        <v>5.66899999999999E-2</v>
      </c>
      <c r="O307" s="10">
        <v>0.17050000000000001</v>
      </c>
      <c r="P307" s="10">
        <v>0.50660000000000005</v>
      </c>
      <c r="Q307" s="10">
        <v>1.3720000000000001</v>
      </c>
      <c r="R307" s="10">
        <v>14</v>
      </c>
      <c r="S307" s="10">
        <v>4.2300000000000003E-3</v>
      </c>
      <c r="T307" s="10">
        <v>1.5869999999999902E-2</v>
      </c>
      <c r="U307" s="10">
        <v>1.1690000000000001E-2</v>
      </c>
      <c r="V307" s="10">
        <v>6.3350000000000004E-3</v>
      </c>
      <c r="W307" s="10">
        <v>1.9429999999999899E-2</v>
      </c>
      <c r="X307" s="10">
        <v>2.1770000000000001E-3</v>
      </c>
      <c r="Y307" s="10">
        <v>14.84</v>
      </c>
      <c r="Z307" s="10">
        <v>20.21</v>
      </c>
      <c r="AA307" s="10">
        <v>99.159999999999897</v>
      </c>
      <c r="AB307" s="10">
        <v>670.6</v>
      </c>
      <c r="AC307" s="10">
        <v>0.1105</v>
      </c>
      <c r="AD307" s="10">
        <v>0.20960000000000001</v>
      </c>
      <c r="AE307" s="10">
        <v>0.1346</v>
      </c>
      <c r="AF307" s="10">
        <v>6.9870000000000002E-2</v>
      </c>
      <c r="AG307" s="10">
        <v>0.33229999999999899</v>
      </c>
      <c r="AH307">
        <v>7.7009999999999898E-2</v>
      </c>
    </row>
    <row r="308" spans="3:34">
      <c r="C308" s="11" t="s">
        <v>515</v>
      </c>
      <c r="D308" s="10" t="s">
        <v>1</v>
      </c>
      <c r="E308" s="10">
        <v>13.71</v>
      </c>
      <c r="F308" s="10">
        <v>16.07</v>
      </c>
      <c r="G308" s="10">
        <v>106.3</v>
      </c>
      <c r="H308" s="10">
        <v>788.5</v>
      </c>
      <c r="I308" s="10">
        <v>9.8799999999999902E-2</v>
      </c>
      <c r="J308" s="10">
        <v>0.14380000000000001</v>
      </c>
      <c r="K308" s="10">
        <v>6.651E-2</v>
      </c>
      <c r="L308" s="10">
        <v>5.39699999999999E-2</v>
      </c>
      <c r="M308" s="10">
        <v>0.19900000000000001</v>
      </c>
      <c r="N308" s="10">
        <v>6.5720000000000001E-2</v>
      </c>
      <c r="O308" s="10">
        <v>0.17449999999999899</v>
      </c>
      <c r="P308" s="10">
        <v>0.48899999999999899</v>
      </c>
      <c r="Q308" s="10">
        <v>1.349</v>
      </c>
      <c r="R308" s="10">
        <v>14.91</v>
      </c>
      <c r="S308" s="10">
        <v>4.5100000000000001E-3</v>
      </c>
      <c r="T308" s="10">
        <v>1.8120000000000001E-2</v>
      </c>
      <c r="U308" s="10">
        <v>1.951E-2</v>
      </c>
      <c r="V308" s="10">
        <v>1.196E-2</v>
      </c>
      <c r="W308" s="10">
        <v>1.934E-2</v>
      </c>
      <c r="X308" s="10">
        <v>3.6960000000000001E-3</v>
      </c>
      <c r="Y308" s="10">
        <v>16.969999999999899</v>
      </c>
      <c r="Z308" s="10">
        <v>19.14</v>
      </c>
      <c r="AA308" s="10">
        <v>113.099999999999</v>
      </c>
      <c r="AB308" s="10">
        <v>861.5</v>
      </c>
      <c r="AC308" s="10">
        <v>0.1235</v>
      </c>
      <c r="AD308" s="10">
        <v>0.255</v>
      </c>
      <c r="AE308" s="10">
        <v>0.2114</v>
      </c>
      <c r="AF308" s="10">
        <v>0.12509999999999899</v>
      </c>
      <c r="AG308" s="10">
        <v>0.31530000000000002</v>
      </c>
      <c r="AH308">
        <v>8.9599999999999902E-2</v>
      </c>
    </row>
    <row r="309" spans="3:34">
      <c r="C309" s="11" t="s">
        <v>516</v>
      </c>
      <c r="D309" s="10" t="s">
        <v>1</v>
      </c>
      <c r="E309" s="10">
        <v>13.71</v>
      </c>
      <c r="F309" s="10">
        <v>20.219999999999899</v>
      </c>
      <c r="G309" s="10">
        <v>70.150000000000006</v>
      </c>
      <c r="H309" s="10">
        <v>338.3</v>
      </c>
      <c r="I309" s="10">
        <v>9.0730000000000005E-2</v>
      </c>
      <c r="J309" s="10">
        <v>0.16600000000000001</v>
      </c>
      <c r="K309" s="10">
        <v>0.22800000000000001</v>
      </c>
      <c r="L309" s="10">
        <v>5.94099999999999E-2</v>
      </c>
      <c r="M309" s="10">
        <v>0.218799999999999</v>
      </c>
      <c r="N309" s="10">
        <v>8.4500000000000006E-2</v>
      </c>
      <c r="O309" s="10">
        <v>0.1115</v>
      </c>
      <c r="P309" s="10">
        <v>1.2310000000000001</v>
      </c>
      <c r="Q309" s="10">
        <v>2.363</v>
      </c>
      <c r="R309" s="10">
        <v>7.22799999999999</v>
      </c>
      <c r="S309" s="10">
        <v>8.4989999999999892E-3</v>
      </c>
      <c r="T309" s="10">
        <v>7.6429999999999901E-2</v>
      </c>
      <c r="U309" s="10">
        <v>0.1535</v>
      </c>
      <c r="V309" s="10">
        <v>2.9190000000000001E-2</v>
      </c>
      <c r="W309" s="10">
        <v>1.617E-2</v>
      </c>
      <c r="X309" s="10">
        <v>1.2200000000000001E-2</v>
      </c>
      <c r="Y309" s="10">
        <v>10.85</v>
      </c>
      <c r="Z309" s="10">
        <v>22.82</v>
      </c>
      <c r="AA309" s="10">
        <v>76.510000000000005</v>
      </c>
      <c r="AB309" s="10">
        <v>351.89999999999901</v>
      </c>
      <c r="AC309" s="10">
        <v>0.1143</v>
      </c>
      <c r="AD309" s="10">
        <v>0.3619</v>
      </c>
      <c r="AE309" s="10">
        <v>0.60299999999999898</v>
      </c>
      <c r="AF309" s="10">
        <v>0.14649999999999899</v>
      </c>
      <c r="AG309" s="10">
        <v>0.25969999999999899</v>
      </c>
      <c r="AH309">
        <v>0.12</v>
      </c>
    </row>
    <row r="310" spans="3:34">
      <c r="C310" s="11" t="s">
        <v>519</v>
      </c>
      <c r="D310" s="10" t="s">
        <v>0</v>
      </c>
      <c r="E310" s="10">
        <v>13.71</v>
      </c>
      <c r="F310" s="10">
        <v>18.829999999999899</v>
      </c>
      <c r="G310" s="10">
        <v>73.299999999999898</v>
      </c>
      <c r="H310" s="10">
        <v>361.6</v>
      </c>
      <c r="I310" s="10">
        <v>0.1216</v>
      </c>
      <c r="J310" s="10">
        <v>0.21540000000000001</v>
      </c>
      <c r="K310" s="10">
        <v>0.168899999999999</v>
      </c>
      <c r="L310" s="10">
        <v>6.3670000000000004E-2</v>
      </c>
      <c r="M310" s="10">
        <v>0.21959999999999899</v>
      </c>
      <c r="N310" s="10">
        <v>7.9500000000000001E-2</v>
      </c>
      <c r="O310" s="10">
        <v>0.2114</v>
      </c>
      <c r="P310" s="10">
        <v>1.0269999999999899</v>
      </c>
      <c r="Q310" s="10">
        <v>1.7190000000000001</v>
      </c>
      <c r="R310" s="10">
        <v>13.99</v>
      </c>
      <c r="S310" s="10">
        <v>7.4050000000000001E-3</v>
      </c>
      <c r="T310" s="10">
        <v>4.5490000000000003E-2</v>
      </c>
      <c r="U310" s="10">
        <v>4.58799999999999E-2</v>
      </c>
      <c r="V310" s="10">
        <v>1.3390000000000001E-2</v>
      </c>
      <c r="W310" s="10">
        <v>1.738E-2</v>
      </c>
      <c r="X310" s="10">
        <v>4.4349999999999902E-3</v>
      </c>
      <c r="Y310" s="10">
        <v>13.24</v>
      </c>
      <c r="Z310" s="10">
        <v>32.82</v>
      </c>
      <c r="AA310" s="10">
        <v>91.76</v>
      </c>
      <c r="AB310" s="10">
        <v>508.1</v>
      </c>
      <c r="AC310" s="10">
        <v>0.21840000000000001</v>
      </c>
      <c r="AD310" s="10">
        <v>0.93789999999999896</v>
      </c>
      <c r="AE310" s="10">
        <v>0.84019999999999895</v>
      </c>
      <c r="AF310" s="10">
        <v>0.25240000000000001</v>
      </c>
      <c r="AG310" s="10">
        <v>0.41539999999999899</v>
      </c>
      <c r="AH310">
        <v>0.14030000000000001</v>
      </c>
    </row>
    <row r="311" spans="3:34">
      <c r="C311" s="11" t="s">
        <v>520</v>
      </c>
      <c r="D311" s="10" t="s">
        <v>1</v>
      </c>
      <c r="E311" s="10">
        <v>13.71</v>
      </c>
      <c r="F311" s="10">
        <v>12.96</v>
      </c>
      <c r="G311" s="10">
        <v>73.159999999999897</v>
      </c>
      <c r="H311" s="10">
        <v>386.3</v>
      </c>
      <c r="I311" s="10">
        <v>0.1237</v>
      </c>
      <c r="J311" s="10">
        <v>0.1111</v>
      </c>
      <c r="K311" s="10">
        <v>7.9000000000000001E-2</v>
      </c>
      <c r="L311" s="10">
        <v>5.5500000000000001E-2</v>
      </c>
      <c r="M311" s="10">
        <v>0.20180000000000001</v>
      </c>
      <c r="N311" s="10">
        <v>6.9139999999999896E-2</v>
      </c>
      <c r="O311" s="10">
        <v>0.25619999999999898</v>
      </c>
      <c r="P311" s="10">
        <v>0.98580000000000001</v>
      </c>
      <c r="Q311" s="10">
        <v>1.8089999999999899</v>
      </c>
      <c r="R311" s="10">
        <v>16.0399999999999</v>
      </c>
      <c r="S311" s="10">
        <v>6.6350000000000003E-3</v>
      </c>
      <c r="T311" s="10">
        <v>1.7770000000000001E-2</v>
      </c>
      <c r="U311" s="10">
        <v>2.1010000000000001E-2</v>
      </c>
      <c r="V311" s="10">
        <v>1.16399999999999E-2</v>
      </c>
      <c r="W311" s="10">
        <v>2.1080000000000002E-2</v>
      </c>
      <c r="X311" s="10">
        <v>3.7209999999999899E-3</v>
      </c>
      <c r="Y311" s="10">
        <v>12.84</v>
      </c>
      <c r="Z311" s="10">
        <v>20.53</v>
      </c>
      <c r="AA311" s="10">
        <v>84.93</v>
      </c>
      <c r="AB311" s="10">
        <v>476.1</v>
      </c>
      <c r="AC311" s="10">
        <v>0.161</v>
      </c>
      <c r="AD311" s="10">
        <v>0.2429</v>
      </c>
      <c r="AE311" s="10">
        <v>0.22470000000000001</v>
      </c>
      <c r="AF311" s="10">
        <v>0.1318</v>
      </c>
      <c r="AG311" s="10">
        <v>0.33429999999999899</v>
      </c>
      <c r="AH311">
        <v>9.2149999999999899E-2</v>
      </c>
    </row>
    <row r="312" spans="3:34">
      <c r="C312" s="11" t="s">
        <v>523</v>
      </c>
      <c r="D312" s="10" t="s">
        <v>1</v>
      </c>
      <c r="E312" s="10">
        <v>13.71</v>
      </c>
      <c r="F312" s="10">
        <v>17.48</v>
      </c>
      <c r="G312" s="10">
        <v>80.64</v>
      </c>
      <c r="H312" s="10">
        <v>462.89999999999901</v>
      </c>
      <c r="I312" s="10">
        <v>0.1042</v>
      </c>
      <c r="J312" s="10">
        <v>0.12970000000000001</v>
      </c>
      <c r="K312" s="10">
        <v>5.892E-2</v>
      </c>
      <c r="L312" s="10">
        <v>2.8799999999999899E-2</v>
      </c>
      <c r="M312" s="10">
        <v>0.1779</v>
      </c>
      <c r="N312" s="10">
        <v>6.5879999999999897E-2</v>
      </c>
      <c r="O312" s="10">
        <v>0.26079999999999898</v>
      </c>
      <c r="P312" s="10">
        <v>0.873</v>
      </c>
      <c r="Q312" s="10">
        <v>2.117</v>
      </c>
      <c r="R312" s="10">
        <v>19.1999999999999</v>
      </c>
      <c r="S312" s="10">
        <v>6.7149999999999901E-3</v>
      </c>
      <c r="T312" s="10">
        <v>3.705E-2</v>
      </c>
      <c r="U312" s="10">
        <v>4.7570000000000001E-2</v>
      </c>
      <c r="V312" s="10">
        <v>1.051E-2</v>
      </c>
      <c r="W312" s="10">
        <v>1.8380000000000001E-2</v>
      </c>
      <c r="X312" s="10">
        <v>6.8840000000000004E-3</v>
      </c>
      <c r="Y312" s="10">
        <v>14.18</v>
      </c>
      <c r="Z312" s="10">
        <v>23.1299999999999</v>
      </c>
      <c r="AA312" s="10">
        <v>95.23</v>
      </c>
      <c r="AB312" s="10">
        <v>600.5</v>
      </c>
      <c r="AC312" s="10">
        <v>0.14269999999999899</v>
      </c>
      <c r="AD312" s="10">
        <v>0.35930000000000001</v>
      </c>
      <c r="AE312" s="10">
        <v>0.3206</v>
      </c>
      <c r="AF312" s="10">
        <v>9.8040000000000002E-2</v>
      </c>
      <c r="AG312" s="10">
        <v>0.28189999999999898</v>
      </c>
      <c r="AH312">
        <v>0.1118</v>
      </c>
    </row>
    <row r="313" spans="3:34">
      <c r="C313" s="11" t="s">
        <v>524</v>
      </c>
      <c r="D313" s="10" t="s">
        <v>1</v>
      </c>
      <c r="E313" s="10">
        <v>13.71</v>
      </c>
      <c r="F313" s="10">
        <v>13.72</v>
      </c>
      <c r="G313" s="10">
        <v>85.79</v>
      </c>
      <c r="H313" s="10">
        <v>541.79999999999905</v>
      </c>
      <c r="I313" s="10">
        <v>8.3629999999999899E-2</v>
      </c>
      <c r="J313" s="10">
        <v>8.5750000000000007E-2</v>
      </c>
      <c r="K313" s="10">
        <v>5.0770000000000003E-2</v>
      </c>
      <c r="L313" s="10">
        <v>2.8639999999999902E-2</v>
      </c>
      <c r="M313" s="10">
        <v>0.16170000000000001</v>
      </c>
      <c r="N313" s="10">
        <v>5.59399999999999E-2</v>
      </c>
      <c r="O313" s="10">
        <v>0.18329999999999899</v>
      </c>
      <c r="P313" s="10">
        <v>0.53080000000000005</v>
      </c>
      <c r="Q313" s="10">
        <v>1.5920000000000001</v>
      </c>
      <c r="R313" s="10">
        <v>15.26</v>
      </c>
      <c r="S313" s="10">
        <v>4.2709999999999901E-3</v>
      </c>
      <c r="T313" s="10">
        <v>2.0729999999999901E-2</v>
      </c>
      <c r="U313" s="10">
        <v>2.828E-2</v>
      </c>
      <c r="V313" s="10">
        <v>8.4679999999999894E-3</v>
      </c>
      <c r="W313" s="10">
        <v>1.461E-2</v>
      </c>
      <c r="X313" s="10">
        <v>2.6129999999999899E-3</v>
      </c>
      <c r="Y313" s="10">
        <v>14.24</v>
      </c>
      <c r="Z313" s="10">
        <v>17.37</v>
      </c>
      <c r="AA313" s="10">
        <v>96.59</v>
      </c>
      <c r="AB313" s="10">
        <v>623.70000000000005</v>
      </c>
      <c r="AC313" s="10">
        <v>0.1166</v>
      </c>
      <c r="AD313" s="10">
        <v>0.26850000000000002</v>
      </c>
      <c r="AE313" s="10">
        <v>0.28660000000000002</v>
      </c>
      <c r="AF313" s="10">
        <v>9.1730000000000006E-2</v>
      </c>
      <c r="AG313" s="10">
        <v>0.27360000000000001</v>
      </c>
      <c r="AH313">
        <v>7.3200000000000001E-2</v>
      </c>
    </row>
    <row r="314" spans="3:34">
      <c r="C314" s="11" t="s">
        <v>525</v>
      </c>
      <c r="D314" s="10" t="s">
        <v>0</v>
      </c>
      <c r="E314" s="10">
        <v>13.71</v>
      </c>
      <c r="F314" s="10">
        <v>23.2899999999999</v>
      </c>
      <c r="G314" s="10">
        <v>93.969999999999899</v>
      </c>
      <c r="H314" s="10">
        <v>664.7</v>
      </c>
      <c r="I314" s="10">
        <v>8.6819999999999897E-2</v>
      </c>
      <c r="J314" s="10">
        <v>6.6360000000000002E-2</v>
      </c>
      <c r="K314" s="10">
        <v>8.3900000000000002E-2</v>
      </c>
      <c r="L314" s="10">
        <v>5.271E-2</v>
      </c>
      <c r="M314" s="10">
        <v>0.16270000000000001</v>
      </c>
      <c r="N314" s="10">
        <v>5.416E-2</v>
      </c>
      <c r="O314" s="10">
        <v>0.41570000000000001</v>
      </c>
      <c r="P314" s="10">
        <v>1.627</v>
      </c>
      <c r="Q314" s="10">
        <v>2.9140000000000001</v>
      </c>
      <c r="R314" s="10">
        <v>33.009999999999899</v>
      </c>
      <c r="S314" s="10">
        <v>8.3119999999999895E-3</v>
      </c>
      <c r="T314" s="10">
        <v>1.7420000000000001E-2</v>
      </c>
      <c r="U314" s="10">
        <v>3.3890000000000003E-2</v>
      </c>
      <c r="V314" s="10">
        <v>1.576E-2</v>
      </c>
      <c r="W314" s="10">
        <v>1.7399999999999902E-2</v>
      </c>
      <c r="X314" s="10">
        <v>2.8709999999999899E-3</v>
      </c>
      <c r="Y314" s="10">
        <v>15.7899999999999</v>
      </c>
      <c r="Z314" s="10">
        <v>31.71</v>
      </c>
      <c r="AA314" s="10">
        <v>102.2</v>
      </c>
      <c r="AB314" s="10">
        <v>758.2</v>
      </c>
      <c r="AC314" s="10">
        <v>0.13120000000000001</v>
      </c>
      <c r="AD314" s="10">
        <v>0.15809999999999899</v>
      </c>
      <c r="AE314" s="10">
        <v>0.26750000000000002</v>
      </c>
      <c r="AF314" s="10">
        <v>0.13589999999999899</v>
      </c>
      <c r="AG314" s="10">
        <v>0.2477</v>
      </c>
      <c r="AH314">
        <v>6.8360000000000004E-2</v>
      </c>
    </row>
    <row r="315" spans="3:34">
      <c r="C315" s="11" t="s">
        <v>526</v>
      </c>
      <c r="D315" s="10" t="s">
        <v>1</v>
      </c>
      <c r="E315" s="10">
        <v>13.71</v>
      </c>
      <c r="F315" s="10">
        <v>14.09</v>
      </c>
      <c r="G315" s="10">
        <v>78.78</v>
      </c>
      <c r="H315" s="10">
        <v>462</v>
      </c>
      <c r="I315" s="10">
        <v>8.1079999999999902E-2</v>
      </c>
      <c r="J315" s="10">
        <v>7.8229999999999897E-2</v>
      </c>
      <c r="K315" s="10">
        <v>6.8390000000000006E-2</v>
      </c>
      <c r="L315" s="10">
        <v>2.5340000000000001E-2</v>
      </c>
      <c r="M315" s="10">
        <v>0.1646</v>
      </c>
      <c r="N315" s="10">
        <v>6.15399999999999E-2</v>
      </c>
      <c r="O315" s="10">
        <v>0.2666</v>
      </c>
      <c r="P315" s="10">
        <v>0.83089999999999897</v>
      </c>
      <c r="Q315" s="10">
        <v>2.097</v>
      </c>
      <c r="R315" s="10">
        <v>19.96</v>
      </c>
      <c r="S315" s="10">
        <v>4.4050000000000001E-3</v>
      </c>
      <c r="T315" s="10">
        <v>3.0259999999999902E-2</v>
      </c>
      <c r="U315" s="10">
        <v>4.3439999999999902E-2</v>
      </c>
      <c r="V315" s="10">
        <v>1.0869999999999901E-2</v>
      </c>
      <c r="W315" s="10">
        <v>1.9210000000000001E-2</v>
      </c>
      <c r="X315" s="10">
        <v>4.6220000000000002E-3</v>
      </c>
      <c r="Y315" s="10">
        <v>13.13</v>
      </c>
      <c r="Z315" s="10">
        <v>19.2899999999999</v>
      </c>
      <c r="AA315" s="10">
        <v>87.65</v>
      </c>
      <c r="AB315" s="10">
        <v>529.89999999999895</v>
      </c>
      <c r="AC315" s="10">
        <v>0.1026</v>
      </c>
      <c r="AD315" s="10">
        <v>0.24310000000000001</v>
      </c>
      <c r="AE315" s="10">
        <v>0.30759999999999899</v>
      </c>
      <c r="AF315" s="10">
        <v>9.1399999999999898E-2</v>
      </c>
      <c r="AG315" s="10">
        <v>0.26769999999999899</v>
      </c>
      <c r="AH315">
        <v>8.8239999999999902E-2</v>
      </c>
    </row>
    <row r="316" spans="3:34">
      <c r="C316" s="11" t="s">
        <v>527</v>
      </c>
      <c r="D316" s="10" t="s">
        <v>1</v>
      </c>
      <c r="E316" s="10">
        <v>13.71</v>
      </c>
      <c r="F316" s="10">
        <v>16.16</v>
      </c>
      <c r="G316" s="10">
        <v>88.37</v>
      </c>
      <c r="H316" s="10">
        <v>596.6</v>
      </c>
      <c r="I316" s="10">
        <v>7.0260000000000003E-2</v>
      </c>
      <c r="J316" s="10">
        <v>4.8309999999999902E-2</v>
      </c>
      <c r="K316" s="10">
        <v>2.0449999999999899E-2</v>
      </c>
      <c r="L316" s="10">
        <v>8.5070000000000007E-3</v>
      </c>
      <c r="M316" s="10">
        <v>0.16070000000000001</v>
      </c>
      <c r="N316" s="10">
        <v>5.47399999999999E-2</v>
      </c>
      <c r="O316" s="10">
        <v>0.25409999999999899</v>
      </c>
      <c r="P316" s="10">
        <v>0.62180000000000002</v>
      </c>
      <c r="Q316" s="10">
        <v>1.7090000000000001</v>
      </c>
      <c r="R316" s="10">
        <v>23.12</v>
      </c>
      <c r="S316" s="10">
        <v>3.728E-3</v>
      </c>
      <c r="T316" s="10">
        <v>1.4149999999999901E-2</v>
      </c>
      <c r="U316" s="10">
        <v>1.9879999999999901E-2</v>
      </c>
      <c r="V316" s="10">
        <v>7.0159999999999901E-3</v>
      </c>
      <c r="W316" s="10">
        <v>1.6469999999999901E-2</v>
      </c>
      <c r="X316" s="10">
        <v>1.97E-3</v>
      </c>
      <c r="Y316" s="10">
        <v>15.51</v>
      </c>
      <c r="Z316" s="10">
        <v>19.969999999999899</v>
      </c>
      <c r="AA316" s="10">
        <v>99.659999999999897</v>
      </c>
      <c r="AB316" s="10">
        <v>745.29999999999905</v>
      </c>
      <c r="AC316" s="10">
        <v>8.4839999999999902E-2</v>
      </c>
      <c r="AD316" s="10">
        <v>0.12330000000000001</v>
      </c>
      <c r="AE316" s="10">
        <v>0.1091</v>
      </c>
      <c r="AF316" s="10">
        <v>4.5370000000000001E-2</v>
      </c>
      <c r="AG316" s="10">
        <v>0.25419999999999898</v>
      </c>
      <c r="AH316">
        <v>6.62299999999999E-2</v>
      </c>
    </row>
    <row r="317" spans="3:34">
      <c r="C317" s="11" t="s">
        <v>529</v>
      </c>
      <c r="D317" s="10" t="s">
        <v>0</v>
      </c>
      <c r="E317" s="10">
        <v>13.71</v>
      </c>
      <c r="F317" s="10">
        <v>23.21</v>
      </c>
      <c r="G317" s="10">
        <v>128.9</v>
      </c>
      <c r="H317" s="10">
        <v>1174</v>
      </c>
      <c r="I317" s="10">
        <v>0.10100000000000001</v>
      </c>
      <c r="J317" s="10">
        <v>0.1318</v>
      </c>
      <c r="K317" s="10">
        <v>0.18559999999999899</v>
      </c>
      <c r="L317" s="10">
        <v>0.1021</v>
      </c>
      <c r="M317" s="10">
        <v>0.19889999999999899</v>
      </c>
      <c r="N317" s="10">
        <v>5.8840000000000003E-2</v>
      </c>
      <c r="O317" s="10">
        <v>0.61070000000000002</v>
      </c>
      <c r="P317" s="10">
        <v>2.8359999999999901</v>
      </c>
      <c r="Q317" s="10">
        <v>5.383</v>
      </c>
      <c r="R317" s="10">
        <v>70.099999999999895</v>
      </c>
      <c r="S317" s="10">
        <v>1.124E-2</v>
      </c>
      <c r="T317" s="10">
        <v>4.0969999999999902E-2</v>
      </c>
      <c r="U317" s="10">
        <v>7.4690000000000006E-2</v>
      </c>
      <c r="V317" s="10">
        <v>3.4410000000000003E-2</v>
      </c>
      <c r="W317" s="10">
        <v>2.768E-2</v>
      </c>
      <c r="X317" s="10">
        <v>6.2399999999999903E-3</v>
      </c>
      <c r="Y317" s="10">
        <v>20.82</v>
      </c>
      <c r="Z317" s="10">
        <v>30.44</v>
      </c>
      <c r="AA317" s="10">
        <v>142</v>
      </c>
      <c r="AB317" s="10">
        <v>1313</v>
      </c>
      <c r="AC317" s="10">
        <v>0.12509999999999899</v>
      </c>
      <c r="AD317" s="10">
        <v>0.2414</v>
      </c>
      <c r="AE317" s="10">
        <v>0.38290000000000002</v>
      </c>
      <c r="AF317" s="10">
        <v>0.1825</v>
      </c>
      <c r="AG317" s="10">
        <v>0.2576</v>
      </c>
      <c r="AH317">
        <v>7.6020000000000004E-2</v>
      </c>
    </row>
    <row r="318" spans="3:34">
      <c r="C318" s="11" t="s">
        <v>530</v>
      </c>
      <c r="D318" s="10" t="s">
        <v>1</v>
      </c>
      <c r="E318" s="10">
        <v>13.71</v>
      </c>
      <c r="F318" s="10">
        <v>12.22</v>
      </c>
      <c r="G318" s="10">
        <v>65.75</v>
      </c>
      <c r="H318" s="10">
        <v>321.60000000000002</v>
      </c>
      <c r="I318" s="10">
        <v>9.9959999999999896E-2</v>
      </c>
      <c r="J318" s="10">
        <v>7.5420000000000001E-2</v>
      </c>
      <c r="K318" s="10">
        <v>1.9230000000000001E-2</v>
      </c>
      <c r="L318" s="10">
        <v>1.968E-2</v>
      </c>
      <c r="M318" s="10">
        <v>0.17999999999999899</v>
      </c>
      <c r="N318" s="10">
        <v>6.5689999999999901E-2</v>
      </c>
      <c r="O318" s="10">
        <v>0.19109999999999899</v>
      </c>
      <c r="P318" s="10">
        <v>0.54769999999999897</v>
      </c>
      <c r="Q318" s="10">
        <v>1.3480000000000001</v>
      </c>
      <c r="R318" s="10">
        <v>11.88</v>
      </c>
      <c r="S318" s="10">
        <v>5.6820000000000004E-3</v>
      </c>
      <c r="T318" s="10">
        <v>1.3650000000000001E-2</v>
      </c>
      <c r="U318" s="10">
        <v>8.4960000000000001E-3</v>
      </c>
      <c r="V318" s="10">
        <v>6.9290000000000003E-3</v>
      </c>
      <c r="W318" s="10">
        <v>1.9380000000000001E-2</v>
      </c>
      <c r="X318" s="10">
        <v>2.3709999999999899E-3</v>
      </c>
      <c r="Y318" s="10">
        <v>11.38</v>
      </c>
      <c r="Z318" s="10">
        <v>15.65</v>
      </c>
      <c r="AA318" s="10">
        <v>73.23</v>
      </c>
      <c r="AB318" s="10">
        <v>394.5</v>
      </c>
      <c r="AC318" s="10">
        <v>0.1343</v>
      </c>
      <c r="AD318" s="10">
        <v>0.16500000000000001</v>
      </c>
      <c r="AE318" s="10">
        <v>8.6150000000000004E-2</v>
      </c>
      <c r="AF318" s="10">
        <v>6.6960000000000006E-2</v>
      </c>
      <c r="AG318" s="10">
        <v>0.29370000000000002</v>
      </c>
      <c r="AH318">
        <v>7.72199999999999E-2</v>
      </c>
    </row>
    <row r="319" spans="3:34">
      <c r="C319" s="11" t="s">
        <v>531</v>
      </c>
      <c r="D319" s="10" t="s">
        <v>1</v>
      </c>
      <c r="E319" s="10">
        <v>13.71</v>
      </c>
      <c r="F319" s="10">
        <v>16.84</v>
      </c>
      <c r="G319" s="10">
        <v>55.27</v>
      </c>
      <c r="H319" s="10">
        <v>234.3</v>
      </c>
      <c r="I319" s="10">
        <v>0.10390000000000001</v>
      </c>
      <c r="J319" s="10">
        <v>7.4279999999999902E-2</v>
      </c>
      <c r="K319" s="10">
        <v>0</v>
      </c>
      <c r="L319" s="10">
        <v>0</v>
      </c>
      <c r="M319" s="10">
        <v>0.19850000000000001</v>
      </c>
      <c r="N319" s="10">
        <v>7.0980000000000001E-2</v>
      </c>
      <c r="O319" s="10">
        <v>0.51690000000000003</v>
      </c>
      <c r="P319" s="10">
        <v>2.0790000000000002</v>
      </c>
      <c r="Q319" s="10">
        <v>3.16699999999999</v>
      </c>
      <c r="R319" s="10">
        <v>28.85</v>
      </c>
      <c r="S319" s="10">
        <v>1.5820000000000001E-2</v>
      </c>
      <c r="T319" s="10">
        <v>1.966E-2</v>
      </c>
      <c r="U319" s="10">
        <v>0</v>
      </c>
      <c r="V319" s="10">
        <v>0</v>
      </c>
      <c r="W319" s="10">
        <v>1.865E-2</v>
      </c>
      <c r="X319" s="10">
        <v>6.7359999999999903E-3</v>
      </c>
      <c r="Y319" s="10">
        <v>10.17</v>
      </c>
      <c r="Z319" s="10">
        <v>22.8</v>
      </c>
      <c r="AA319" s="10">
        <v>64.010000000000005</v>
      </c>
      <c r="AB319" s="10">
        <v>317</v>
      </c>
      <c r="AC319" s="10">
        <v>0.14599999999999899</v>
      </c>
      <c r="AD319" s="10">
        <v>0.13100000000000001</v>
      </c>
      <c r="AE319" s="10">
        <v>0</v>
      </c>
      <c r="AF319" s="10">
        <v>0</v>
      </c>
      <c r="AG319" s="10">
        <v>0.2445</v>
      </c>
      <c r="AH319">
        <v>8.8650000000000007E-2</v>
      </c>
    </row>
    <row r="320" spans="3:34">
      <c r="C320" s="11" t="s">
        <v>532</v>
      </c>
      <c r="D320" s="10" t="s">
        <v>0</v>
      </c>
      <c r="E320" s="10">
        <v>13.71</v>
      </c>
      <c r="F320" s="10">
        <v>19.969999999999899</v>
      </c>
      <c r="G320" s="10">
        <v>102.4</v>
      </c>
      <c r="H320" s="10">
        <v>744.7</v>
      </c>
      <c r="I320" s="10">
        <v>0.11600000000000001</v>
      </c>
      <c r="J320" s="10">
        <v>0.15620000000000001</v>
      </c>
      <c r="K320" s="10">
        <v>0.18909999999999899</v>
      </c>
      <c r="L320" s="10">
        <v>9.1130000000000003E-2</v>
      </c>
      <c r="M320" s="10">
        <v>0.19289999999999899</v>
      </c>
      <c r="N320" s="10">
        <v>6.744E-2</v>
      </c>
      <c r="O320" s="10">
        <v>0.64700000000000002</v>
      </c>
      <c r="P320" s="10">
        <v>1.331</v>
      </c>
      <c r="Q320" s="10">
        <v>4.6749999999999901</v>
      </c>
      <c r="R320" s="10">
        <v>66.909999999999897</v>
      </c>
      <c r="S320" s="10">
        <v>7.2690000000000003E-3</v>
      </c>
      <c r="T320" s="10">
        <v>2.928E-2</v>
      </c>
      <c r="U320" s="10">
        <v>4.972E-2</v>
      </c>
      <c r="V320" s="10">
        <v>1.6389999999999901E-2</v>
      </c>
      <c r="W320" s="10">
        <v>1.8519999999999901E-2</v>
      </c>
      <c r="X320" s="10">
        <v>4.2319999999999901E-3</v>
      </c>
      <c r="Y320" s="10">
        <v>21.1999999999999</v>
      </c>
      <c r="Z320" s="10">
        <v>29.41</v>
      </c>
      <c r="AA320" s="10">
        <v>142.099999999999</v>
      </c>
      <c r="AB320" s="10">
        <v>1359</v>
      </c>
      <c r="AC320" s="10">
        <v>0.1681</v>
      </c>
      <c r="AD320" s="10">
        <v>0.39129999999999898</v>
      </c>
      <c r="AE320" s="10">
        <v>0.55530000000000002</v>
      </c>
      <c r="AF320" s="10">
        <v>0.21210000000000001</v>
      </c>
      <c r="AG320" s="10">
        <v>0.31869999999999898</v>
      </c>
      <c r="AH320">
        <v>0.1019</v>
      </c>
    </row>
    <row r="321" spans="3:34">
      <c r="C321" s="11" t="s">
        <v>533</v>
      </c>
      <c r="D321" s="10" t="s">
        <v>0</v>
      </c>
      <c r="E321" s="10">
        <v>13.71</v>
      </c>
      <c r="F321" s="10">
        <v>22.28</v>
      </c>
      <c r="G321" s="10">
        <v>144.4</v>
      </c>
      <c r="H321" s="10">
        <v>1407</v>
      </c>
      <c r="I321" s="10">
        <v>0.1167</v>
      </c>
      <c r="J321" s="10">
        <v>0.2087</v>
      </c>
      <c r="K321" s="10">
        <v>0.28100000000000003</v>
      </c>
      <c r="L321" s="10">
        <v>0.15620000000000001</v>
      </c>
      <c r="M321" s="10">
        <v>0.2162</v>
      </c>
      <c r="N321" s="10">
        <v>6.6059999999999897E-2</v>
      </c>
      <c r="O321" s="10">
        <v>0.62419999999999898</v>
      </c>
      <c r="P321" s="10">
        <v>0.92090000000000005</v>
      </c>
      <c r="Q321" s="10">
        <v>4.1580000000000004</v>
      </c>
      <c r="R321" s="10">
        <v>80.989999999999895</v>
      </c>
      <c r="S321" s="10">
        <v>5.215E-3</v>
      </c>
      <c r="T321" s="10">
        <v>3.7260000000000001E-2</v>
      </c>
      <c r="U321" s="10">
        <v>4.718E-2</v>
      </c>
      <c r="V321" s="10">
        <v>1.2880000000000001E-2</v>
      </c>
      <c r="W321" s="10">
        <v>2.0449999999999899E-2</v>
      </c>
      <c r="X321" s="10">
        <v>4.0280000000000003E-3</v>
      </c>
      <c r="Y321" s="10">
        <v>26.23</v>
      </c>
      <c r="Z321" s="10">
        <v>28.739999999999899</v>
      </c>
      <c r="AA321" s="10">
        <v>172</v>
      </c>
      <c r="AB321" s="10">
        <v>2081</v>
      </c>
      <c r="AC321" s="10">
        <v>0.1502</v>
      </c>
      <c r="AD321" s="10">
        <v>0.57169999999999899</v>
      </c>
      <c r="AE321" s="10">
        <v>0.70530000000000004</v>
      </c>
      <c r="AF321" s="10">
        <v>0.2422</v>
      </c>
      <c r="AG321" s="10">
        <v>0.38279999999999897</v>
      </c>
      <c r="AH321">
        <v>0.1007</v>
      </c>
    </row>
    <row r="322" spans="3:34">
      <c r="C322" s="11" t="s">
        <v>535</v>
      </c>
      <c r="D322" s="10" t="s">
        <v>1</v>
      </c>
      <c r="E322" s="10">
        <v>13.71</v>
      </c>
      <c r="F322" s="10">
        <v>17.18</v>
      </c>
      <c r="G322" s="10">
        <v>89.75</v>
      </c>
      <c r="H322" s="10">
        <v>609.1</v>
      </c>
      <c r="I322" s="10">
        <v>8.0449999999999897E-2</v>
      </c>
      <c r="J322" s="10">
        <v>5.3609999999999901E-2</v>
      </c>
      <c r="K322" s="10">
        <v>2.681E-2</v>
      </c>
      <c r="L322" s="10">
        <v>3.25099999999999E-2</v>
      </c>
      <c r="M322" s="10">
        <v>0.1641</v>
      </c>
      <c r="N322" s="10">
        <v>5.76399999999999E-2</v>
      </c>
      <c r="O322" s="10">
        <v>0.15040000000000001</v>
      </c>
      <c r="P322" s="10">
        <v>1.6850000000000001</v>
      </c>
      <c r="Q322" s="10">
        <v>1.2370000000000001</v>
      </c>
      <c r="R322" s="10">
        <v>12.67</v>
      </c>
      <c r="S322" s="10">
        <v>5.3709999999999904E-3</v>
      </c>
      <c r="T322" s="10">
        <v>1.273E-2</v>
      </c>
      <c r="U322" s="10">
        <v>1.132E-2</v>
      </c>
      <c r="V322" s="10">
        <v>9.1549999999999895E-3</v>
      </c>
      <c r="W322" s="10">
        <v>1.719E-2</v>
      </c>
      <c r="X322" s="10">
        <v>1.444E-3</v>
      </c>
      <c r="Y322" s="10">
        <v>14.92</v>
      </c>
      <c r="Z322" s="10">
        <v>25.34</v>
      </c>
      <c r="AA322" s="10">
        <v>96.42</v>
      </c>
      <c r="AB322" s="10">
        <v>684.5</v>
      </c>
      <c r="AC322" s="10">
        <v>0.1066</v>
      </c>
      <c r="AD322" s="10">
        <v>0.1231</v>
      </c>
      <c r="AE322" s="10">
        <v>8.4599999999999898E-2</v>
      </c>
      <c r="AF322" s="10">
        <v>7.911E-2</v>
      </c>
      <c r="AG322" s="10">
        <v>0.25230000000000002</v>
      </c>
      <c r="AH322">
        <v>6.6089999999999899E-2</v>
      </c>
    </row>
    <row r="323" spans="3:34">
      <c r="C323" s="11" t="s">
        <v>536</v>
      </c>
      <c r="D323" s="10" t="s">
        <v>1</v>
      </c>
      <c r="E323" s="10">
        <v>13.71</v>
      </c>
      <c r="F323" s="10">
        <v>18.89</v>
      </c>
      <c r="G323" s="10">
        <v>88.099999999999895</v>
      </c>
      <c r="H323" s="10">
        <v>558.1</v>
      </c>
      <c r="I323" s="10">
        <v>0.10589999999999899</v>
      </c>
      <c r="J323" s="10">
        <v>0.1147</v>
      </c>
      <c r="K323" s="10">
        <v>8.5800000000000001E-2</v>
      </c>
      <c r="L323" s="10">
        <v>5.38099999999999E-2</v>
      </c>
      <c r="M323" s="10">
        <v>0.18060000000000001</v>
      </c>
      <c r="N323" s="10">
        <v>6.07899999999999E-2</v>
      </c>
      <c r="O323" s="10">
        <v>0.21360000000000001</v>
      </c>
      <c r="P323" s="10">
        <v>1.3320000000000001</v>
      </c>
      <c r="Q323" s="10">
        <v>1.5129999999999899</v>
      </c>
      <c r="R323" s="10">
        <v>19.2899999999999</v>
      </c>
      <c r="S323" s="10">
        <v>5.4419999999999902E-3</v>
      </c>
      <c r="T323" s="10">
        <v>1.9570000000000001E-2</v>
      </c>
      <c r="U323" s="10">
        <v>3.304E-2</v>
      </c>
      <c r="V323" s="10">
        <v>1.367E-2</v>
      </c>
      <c r="W323" s="10">
        <v>1.315E-2</v>
      </c>
      <c r="X323" s="10">
        <v>2.464E-3</v>
      </c>
      <c r="Y323" s="10">
        <v>14.8</v>
      </c>
      <c r="Z323" s="10">
        <v>27.1999999999999</v>
      </c>
      <c r="AA323" s="10">
        <v>97.329999999999899</v>
      </c>
      <c r="AB323" s="10">
        <v>675.2</v>
      </c>
      <c r="AC323" s="10">
        <v>0.14280000000000001</v>
      </c>
      <c r="AD323" s="10">
        <v>0.25700000000000001</v>
      </c>
      <c r="AE323" s="10">
        <v>0.343799999999999</v>
      </c>
      <c r="AF323" s="10">
        <v>0.14530000000000001</v>
      </c>
      <c r="AG323" s="10">
        <v>0.2666</v>
      </c>
      <c r="AH323">
        <v>7.6859999999999901E-2</v>
      </c>
    </row>
    <row r="324" spans="3:34">
      <c r="C324" s="11" t="s">
        <v>537</v>
      </c>
      <c r="D324" s="10" t="s">
        <v>1</v>
      </c>
      <c r="E324" s="10">
        <v>13.71</v>
      </c>
      <c r="F324" s="10">
        <v>17.46</v>
      </c>
      <c r="G324" s="10">
        <v>83.049999999999898</v>
      </c>
      <c r="H324" s="10">
        <v>508.3</v>
      </c>
      <c r="I324" s="10">
        <v>8.04399999999999E-2</v>
      </c>
      <c r="J324" s="10">
        <v>8.8950000000000001E-2</v>
      </c>
      <c r="K324" s="10">
        <v>7.3899999999999896E-2</v>
      </c>
      <c r="L324" s="10">
        <v>4.0829999999999901E-2</v>
      </c>
      <c r="M324" s="10">
        <v>0.15740000000000001</v>
      </c>
      <c r="N324" s="10">
        <v>5.7500000000000002E-2</v>
      </c>
      <c r="O324" s="10">
        <v>0.3639</v>
      </c>
      <c r="P324" s="10">
        <v>1.2649999999999899</v>
      </c>
      <c r="Q324" s="10">
        <v>2.6680000000000001</v>
      </c>
      <c r="R324" s="10">
        <v>30.57</v>
      </c>
      <c r="S324" s="10">
        <v>5.4209999999999901E-3</v>
      </c>
      <c r="T324" s="10">
        <v>3.4770000000000002E-2</v>
      </c>
      <c r="U324" s="10">
        <v>4.54499999999999E-2</v>
      </c>
      <c r="V324" s="10">
        <v>1.384E-2</v>
      </c>
      <c r="W324" s="10">
        <v>1.8689999999999901E-2</v>
      </c>
      <c r="X324" s="10">
        <v>4.0670000000000003E-3</v>
      </c>
      <c r="Y324" s="10">
        <v>13.74</v>
      </c>
      <c r="Z324" s="10">
        <v>21.059999999999899</v>
      </c>
      <c r="AA324" s="10">
        <v>90.719999999999899</v>
      </c>
      <c r="AB324" s="10">
        <v>591</v>
      </c>
      <c r="AC324" s="10">
        <v>9.5339999999999897E-2</v>
      </c>
      <c r="AD324" s="10">
        <v>0.1812</v>
      </c>
      <c r="AE324" s="10">
        <v>0.19009999999999899</v>
      </c>
      <c r="AF324" s="10">
        <v>8.2960000000000006E-2</v>
      </c>
      <c r="AG324" s="10">
        <v>0.1988</v>
      </c>
      <c r="AH324">
        <v>7.0529999999999898E-2</v>
      </c>
    </row>
    <row r="325" spans="3:34">
      <c r="C325" s="11" t="s">
        <v>538</v>
      </c>
      <c r="D325" s="10" t="s">
        <v>1</v>
      </c>
      <c r="E325" s="10">
        <v>13.71</v>
      </c>
      <c r="F325" s="10">
        <v>14.83</v>
      </c>
      <c r="G325" s="10">
        <v>70.31</v>
      </c>
      <c r="H325" s="10">
        <v>378.19999999999902</v>
      </c>
      <c r="I325" s="10">
        <v>7.7410000000000007E-2</v>
      </c>
      <c r="J325" s="10">
        <v>4.768E-2</v>
      </c>
      <c r="K325" s="10">
        <v>2.7119999999999901E-2</v>
      </c>
      <c r="L325" s="10">
        <v>7.2459999999999903E-3</v>
      </c>
      <c r="M325" s="10">
        <v>0.1535</v>
      </c>
      <c r="N325" s="10">
        <v>6.2140000000000001E-2</v>
      </c>
      <c r="O325" s="10">
        <v>0.1855</v>
      </c>
      <c r="P325" s="10">
        <v>0.68810000000000004</v>
      </c>
      <c r="Q325" s="10">
        <v>1.2629999999999899</v>
      </c>
      <c r="R325" s="10">
        <v>12.98</v>
      </c>
      <c r="S325" s="10">
        <v>4.2589999999999902E-3</v>
      </c>
      <c r="T325" s="10">
        <v>1.469E-2</v>
      </c>
      <c r="U325" s="10">
        <v>1.9400000000000001E-2</v>
      </c>
      <c r="V325" s="10">
        <v>4.1679999999999903E-3</v>
      </c>
      <c r="W325" s="10">
        <v>1.191E-2</v>
      </c>
      <c r="X325" s="10">
        <v>3.5370000000000002E-3</v>
      </c>
      <c r="Y325" s="10">
        <v>12.68</v>
      </c>
      <c r="Z325" s="10">
        <v>20.350000000000001</v>
      </c>
      <c r="AA325" s="10">
        <v>80.790000000000006</v>
      </c>
      <c r="AB325" s="10">
        <v>496.69999999999902</v>
      </c>
      <c r="AC325" s="10">
        <v>0.112</v>
      </c>
      <c r="AD325" s="10">
        <v>0.18790000000000001</v>
      </c>
      <c r="AE325" s="10">
        <v>0.2079</v>
      </c>
      <c r="AF325" s="10">
        <v>5.5559999999999901E-2</v>
      </c>
      <c r="AG325" s="10">
        <v>0.25900000000000001</v>
      </c>
      <c r="AH325">
        <v>9.1579999999999898E-2</v>
      </c>
    </row>
    <row r="326" spans="3:34">
      <c r="C326" s="11" t="s">
        <v>539</v>
      </c>
      <c r="D326" s="10" t="s">
        <v>1</v>
      </c>
      <c r="E326" s="10">
        <v>13.71</v>
      </c>
      <c r="F326" s="10">
        <v>17.260000000000002</v>
      </c>
      <c r="G326" s="10">
        <v>75.260000000000005</v>
      </c>
      <c r="H326" s="10">
        <v>431.89999999999901</v>
      </c>
      <c r="I326" s="10">
        <v>9.0870000000000006E-2</v>
      </c>
      <c r="J326" s="10">
        <v>6.232E-2</v>
      </c>
      <c r="K326" s="10">
        <v>2.853E-2</v>
      </c>
      <c r="L326" s="10">
        <v>1.6379999999999902E-2</v>
      </c>
      <c r="M326" s="10">
        <v>0.1847</v>
      </c>
      <c r="N326" s="10">
        <v>6.019E-2</v>
      </c>
      <c r="O326" s="10">
        <v>0.343799999999999</v>
      </c>
      <c r="P326" s="10">
        <v>1.1399999999999899</v>
      </c>
      <c r="Q326" s="10">
        <v>2.2250000000000001</v>
      </c>
      <c r="R326" s="10">
        <v>25.059999999999899</v>
      </c>
      <c r="S326" s="10">
        <v>5.463E-3</v>
      </c>
      <c r="T326" s="10">
        <v>1.9640000000000001E-2</v>
      </c>
      <c r="U326" s="10">
        <v>2.0789999999999899E-2</v>
      </c>
      <c r="V326" s="10">
        <v>5.398E-3</v>
      </c>
      <c r="W326" s="10">
        <v>1.477E-2</v>
      </c>
      <c r="X326" s="10">
        <v>3.07099999999999E-3</v>
      </c>
      <c r="Y326" s="10">
        <v>13.4499999999999</v>
      </c>
      <c r="Z326" s="10">
        <v>24.489999999999899</v>
      </c>
      <c r="AA326" s="10">
        <v>86</v>
      </c>
      <c r="AB326" s="10">
        <v>562</v>
      </c>
      <c r="AC326" s="10">
        <v>0.1244</v>
      </c>
      <c r="AD326" s="10">
        <v>0.1726</v>
      </c>
      <c r="AE326" s="10">
        <v>0.1449</v>
      </c>
      <c r="AF326" s="10">
        <v>5.3560000000000003E-2</v>
      </c>
      <c r="AG326" s="10">
        <v>0.27789999999999898</v>
      </c>
      <c r="AH326">
        <v>8.1210000000000004E-2</v>
      </c>
    </row>
    <row r="327" spans="3:34">
      <c r="C327" s="11" t="s">
        <v>541</v>
      </c>
      <c r="D327" s="10" t="s">
        <v>1</v>
      </c>
      <c r="E327" s="10">
        <v>13.71</v>
      </c>
      <c r="F327" s="10">
        <v>10.91</v>
      </c>
      <c r="G327" s="10">
        <v>76.14</v>
      </c>
      <c r="H327" s="10">
        <v>442.69999999999902</v>
      </c>
      <c r="I327" s="10">
        <v>8.8719999999999896E-2</v>
      </c>
      <c r="J327" s="10">
        <v>5.2420000000000001E-2</v>
      </c>
      <c r="K327" s="10">
        <v>2.606E-2</v>
      </c>
      <c r="L327" s="10">
        <v>1.796E-2</v>
      </c>
      <c r="M327" s="10">
        <v>0.16009999999999899</v>
      </c>
      <c r="N327" s="10">
        <v>5.5410000000000001E-2</v>
      </c>
      <c r="O327" s="10">
        <v>0.25219999999999898</v>
      </c>
      <c r="P327" s="10">
        <v>1.0449999999999899</v>
      </c>
      <c r="Q327" s="10">
        <v>1.649</v>
      </c>
      <c r="R327" s="10">
        <v>18.9499999999999</v>
      </c>
      <c r="S327" s="10">
        <v>6.1749999999999904E-3</v>
      </c>
      <c r="T327" s="10">
        <v>1.204E-2</v>
      </c>
      <c r="U327" s="10">
        <v>1.376E-2</v>
      </c>
      <c r="V327" s="10">
        <v>5.8320000000000004E-3</v>
      </c>
      <c r="W327" s="10">
        <v>1.09599999999999E-2</v>
      </c>
      <c r="X327" s="10">
        <v>1.85699999999999E-3</v>
      </c>
      <c r="Y327" s="10">
        <v>13.8</v>
      </c>
      <c r="Z327" s="10">
        <v>20.14</v>
      </c>
      <c r="AA327" s="10">
        <v>87.64</v>
      </c>
      <c r="AB327" s="10">
        <v>589.5</v>
      </c>
      <c r="AC327" s="10">
        <v>0.137399999999999</v>
      </c>
      <c r="AD327" s="10">
        <v>0.1575</v>
      </c>
      <c r="AE327" s="10">
        <v>0.15140000000000001</v>
      </c>
      <c r="AF327" s="10">
        <v>6.8760000000000002E-2</v>
      </c>
      <c r="AG327" s="10">
        <v>0.246</v>
      </c>
      <c r="AH327">
        <v>7.2620000000000004E-2</v>
      </c>
    </row>
    <row r="328" spans="3:34">
      <c r="C328" s="11" t="s">
        <v>542</v>
      </c>
      <c r="D328" s="10" t="s">
        <v>1</v>
      </c>
      <c r="E328" s="10">
        <v>13.71</v>
      </c>
      <c r="F328" s="10">
        <v>18.2899999999999</v>
      </c>
      <c r="G328" s="10">
        <v>84.18</v>
      </c>
      <c r="H328" s="10">
        <v>525.20000000000005</v>
      </c>
      <c r="I328" s="10">
        <v>7.3510000000000006E-2</v>
      </c>
      <c r="J328" s="10">
        <v>7.8990000000000005E-2</v>
      </c>
      <c r="K328" s="10">
        <v>4.0570000000000002E-2</v>
      </c>
      <c r="L328" s="10">
        <v>1.883E-2</v>
      </c>
      <c r="M328" s="10">
        <v>0.18740000000000001</v>
      </c>
      <c r="N328" s="10">
        <v>5.8990000000000001E-2</v>
      </c>
      <c r="O328" s="10">
        <v>0.23569999999999899</v>
      </c>
      <c r="P328" s="10">
        <v>1.2989999999999899</v>
      </c>
      <c r="Q328" s="10">
        <v>2.39699999999999</v>
      </c>
      <c r="R328" s="10">
        <v>20.21</v>
      </c>
      <c r="S328" s="10">
        <v>3.6289999999999899E-3</v>
      </c>
      <c r="T328" s="10">
        <v>3.7130000000000003E-2</v>
      </c>
      <c r="U328" s="10">
        <v>3.4520000000000002E-2</v>
      </c>
      <c r="V328" s="10">
        <v>1.065E-2</v>
      </c>
      <c r="W328" s="10">
        <v>2.632E-2</v>
      </c>
      <c r="X328" s="10">
        <v>3.705E-3</v>
      </c>
      <c r="Y328" s="10">
        <v>14.13</v>
      </c>
      <c r="Z328" s="10">
        <v>24.6099999999999</v>
      </c>
      <c r="AA328" s="10">
        <v>96.31</v>
      </c>
      <c r="AB328" s="10">
        <v>621.89999999999895</v>
      </c>
      <c r="AC328" s="10">
        <v>9.3289999999999901E-2</v>
      </c>
      <c r="AD328" s="10">
        <v>0.23180000000000001</v>
      </c>
      <c r="AE328" s="10">
        <v>0.16039999999999899</v>
      </c>
      <c r="AF328" s="10">
        <v>6.608E-2</v>
      </c>
      <c r="AG328" s="10">
        <v>0.32069999999999899</v>
      </c>
      <c r="AH328">
        <v>7.2470000000000007E-2</v>
      </c>
    </row>
    <row r="329" spans="3:34">
      <c r="C329" s="11" t="s">
        <v>543</v>
      </c>
      <c r="D329" s="10" t="s">
        <v>1</v>
      </c>
      <c r="E329" s="10">
        <v>13.71</v>
      </c>
      <c r="F329" s="10">
        <v>16.170000000000002</v>
      </c>
      <c r="G329" s="10">
        <v>83.18</v>
      </c>
      <c r="H329" s="10">
        <v>507.6</v>
      </c>
      <c r="I329" s="10">
        <v>9.8790000000000003E-2</v>
      </c>
      <c r="J329" s="10">
        <v>8.8359999999999897E-2</v>
      </c>
      <c r="K329" s="10">
        <v>3.2960000000000003E-2</v>
      </c>
      <c r="L329" s="10">
        <v>2.3900000000000001E-2</v>
      </c>
      <c r="M329" s="10">
        <v>0.17349999999999899</v>
      </c>
      <c r="N329" s="10">
        <v>6.2E-2</v>
      </c>
      <c r="O329" s="10">
        <v>0.14580000000000001</v>
      </c>
      <c r="P329" s="10">
        <v>0.90500000000000003</v>
      </c>
      <c r="Q329" s="10">
        <v>0.99750000000000005</v>
      </c>
      <c r="R329" s="10">
        <v>11.3599999999999</v>
      </c>
      <c r="S329" s="10">
        <v>2.8869999999999898E-3</v>
      </c>
      <c r="T329" s="10">
        <v>1.285E-2</v>
      </c>
      <c r="U329" s="10">
        <v>1.6129999999999901E-2</v>
      </c>
      <c r="V329" s="10">
        <v>7.3080000000000003E-3</v>
      </c>
      <c r="W329" s="10">
        <v>1.8700000000000001E-2</v>
      </c>
      <c r="X329" s="10">
        <v>1.9719999999999898E-3</v>
      </c>
      <c r="Y329" s="10">
        <v>13.8599999999999</v>
      </c>
      <c r="Z329" s="10">
        <v>23.02</v>
      </c>
      <c r="AA329" s="10">
        <v>89.689999999999898</v>
      </c>
      <c r="AB329" s="10">
        <v>580.89999999999895</v>
      </c>
      <c r="AC329" s="10">
        <v>0.1172</v>
      </c>
      <c r="AD329" s="10">
        <v>0.1958</v>
      </c>
      <c r="AE329" s="10">
        <v>0.180999999999999</v>
      </c>
      <c r="AF329" s="10">
        <v>8.3879999999999899E-2</v>
      </c>
      <c r="AG329" s="10">
        <v>0.32969999999999899</v>
      </c>
      <c r="AH329">
        <v>7.8340000000000007E-2</v>
      </c>
    </row>
    <row r="330" spans="3:34">
      <c r="C330" s="11" t="s">
        <v>546</v>
      </c>
      <c r="D330" s="10" t="s">
        <v>1</v>
      </c>
      <c r="E330" s="10">
        <v>13.71</v>
      </c>
      <c r="F330" s="10">
        <v>14.8599999999999</v>
      </c>
      <c r="G330" s="10">
        <v>104.3</v>
      </c>
      <c r="H330" s="10">
        <v>800</v>
      </c>
      <c r="I330" s="10">
        <v>9.4950000000000007E-2</v>
      </c>
      <c r="J330" s="10">
        <v>8.5010000000000002E-2</v>
      </c>
      <c r="K330" s="10">
        <v>5.5E-2</v>
      </c>
      <c r="L330" s="10">
        <v>4.5280000000000001E-2</v>
      </c>
      <c r="M330" s="10">
        <v>0.17349999999999899</v>
      </c>
      <c r="N330" s="10">
        <v>5.87499999999999E-2</v>
      </c>
      <c r="O330" s="10">
        <v>0.2387</v>
      </c>
      <c r="P330" s="10">
        <v>0.63719999999999899</v>
      </c>
      <c r="Q330" s="10">
        <v>1.7290000000000001</v>
      </c>
      <c r="R330" s="10">
        <v>21.829999999999899</v>
      </c>
      <c r="S330" s="10">
        <v>3.9579999999999902E-3</v>
      </c>
      <c r="T330" s="10">
        <v>1.2460000000000001E-2</v>
      </c>
      <c r="U330" s="10">
        <v>1.831E-2</v>
      </c>
      <c r="V330" s="10">
        <v>8.7469999999999892E-3</v>
      </c>
      <c r="W330" s="10">
        <v>1.4999999999999901E-2</v>
      </c>
      <c r="X330" s="10">
        <v>1.621E-3</v>
      </c>
      <c r="Y330" s="10">
        <v>17.71</v>
      </c>
      <c r="Z330" s="10">
        <v>19.579999999999899</v>
      </c>
      <c r="AA330" s="10">
        <v>115.9</v>
      </c>
      <c r="AB330" s="10">
        <v>947.89999999999895</v>
      </c>
      <c r="AC330" s="10">
        <v>0.1206</v>
      </c>
      <c r="AD330" s="10">
        <v>0.17219999999999899</v>
      </c>
      <c r="AE330" s="10">
        <v>0.23100000000000001</v>
      </c>
      <c r="AF330" s="10">
        <v>0.1129</v>
      </c>
      <c r="AG330" s="10">
        <v>0.27779999999999899</v>
      </c>
      <c r="AH330">
        <v>7.0120000000000002E-2</v>
      </c>
    </row>
    <row r="331" spans="3:34">
      <c r="C331" s="11" t="s">
        <v>547</v>
      </c>
      <c r="D331" s="10" t="s">
        <v>1</v>
      </c>
      <c r="E331" s="10">
        <v>13.71</v>
      </c>
      <c r="F331" s="10">
        <v>21.37</v>
      </c>
      <c r="G331" s="10">
        <v>82.629999999999896</v>
      </c>
      <c r="H331" s="10">
        <v>514.5</v>
      </c>
      <c r="I331" s="10">
        <v>7.5509999999999897E-2</v>
      </c>
      <c r="J331" s="10">
        <v>8.3159999999999901E-2</v>
      </c>
      <c r="K331" s="10">
        <v>6.1260000000000002E-2</v>
      </c>
      <c r="L331" s="10">
        <v>1.8669999999999898E-2</v>
      </c>
      <c r="M331" s="10">
        <v>0.158</v>
      </c>
      <c r="N331" s="10">
        <v>6.114E-2</v>
      </c>
      <c r="O331" s="10">
        <v>0.49930000000000002</v>
      </c>
      <c r="P331" s="10">
        <v>1.798</v>
      </c>
      <c r="Q331" s="10">
        <v>2.552</v>
      </c>
      <c r="R331" s="10">
        <v>41.24</v>
      </c>
      <c r="S331" s="10">
        <v>6.0109999999999903E-3</v>
      </c>
      <c r="T331" s="10">
        <v>4.48E-2</v>
      </c>
      <c r="U331" s="10">
        <v>5.17499999999999E-2</v>
      </c>
      <c r="V331" s="10">
        <v>1.341E-2</v>
      </c>
      <c r="W331" s="10">
        <v>2.6689999999999901E-2</v>
      </c>
      <c r="X331" s="10">
        <v>7.731E-3</v>
      </c>
      <c r="Y331" s="10">
        <v>14.4</v>
      </c>
      <c r="Z331" s="10">
        <v>27.01</v>
      </c>
      <c r="AA331" s="10">
        <v>91.629999999999896</v>
      </c>
      <c r="AB331" s="10">
        <v>645.79999999999905</v>
      </c>
      <c r="AC331" s="10">
        <v>9.4020000000000006E-2</v>
      </c>
      <c r="AD331" s="10">
        <v>0.193599999999999</v>
      </c>
      <c r="AE331" s="10">
        <v>0.18379999999999899</v>
      </c>
      <c r="AF331" s="10">
        <v>5.60099999999999E-2</v>
      </c>
      <c r="AG331" s="10">
        <v>0.24879999999999899</v>
      </c>
      <c r="AH331">
        <v>8.1509999999999902E-2</v>
      </c>
    </row>
    <row r="332" spans="3:34">
      <c r="C332" s="11" t="s">
        <v>548</v>
      </c>
      <c r="D332" s="10" t="s">
        <v>0</v>
      </c>
      <c r="E332" s="10">
        <v>13.71</v>
      </c>
      <c r="F332" s="10">
        <v>20.66</v>
      </c>
      <c r="G332" s="10">
        <v>117.8</v>
      </c>
      <c r="H332" s="10">
        <v>991.7</v>
      </c>
      <c r="I332" s="10">
        <v>0.1036</v>
      </c>
      <c r="J332" s="10">
        <v>0.13039999999999899</v>
      </c>
      <c r="K332" s="10">
        <v>0.1201</v>
      </c>
      <c r="L332" s="10">
        <v>8.8239999999999902E-2</v>
      </c>
      <c r="M332" s="10">
        <v>0.19919999999999899</v>
      </c>
      <c r="N332" s="10">
        <v>6.0690000000000001E-2</v>
      </c>
      <c r="O332" s="10">
        <v>0.45369999999999899</v>
      </c>
      <c r="P332" s="10">
        <v>0.87329999999999897</v>
      </c>
      <c r="Q332" s="10">
        <v>3.0609999999999902</v>
      </c>
      <c r="R332" s="10">
        <v>49.81</v>
      </c>
      <c r="S332" s="10">
        <v>7.23099999999999E-3</v>
      </c>
      <c r="T332" s="10">
        <v>2.7720000000000002E-2</v>
      </c>
      <c r="U332" s="10">
        <v>2.5090000000000001E-2</v>
      </c>
      <c r="V332" s="10">
        <v>1.4800000000000001E-2</v>
      </c>
      <c r="W332" s="10">
        <v>1.414E-2</v>
      </c>
      <c r="X332" s="10">
        <v>3.336E-3</v>
      </c>
      <c r="Y332" s="10">
        <v>21.079999999999899</v>
      </c>
      <c r="Z332" s="10">
        <v>25.41</v>
      </c>
      <c r="AA332" s="10">
        <v>138.099999999999</v>
      </c>
      <c r="AB332" s="10">
        <v>1349</v>
      </c>
      <c r="AC332" s="10">
        <v>0.1482</v>
      </c>
      <c r="AD332" s="10">
        <v>0.3735</v>
      </c>
      <c r="AE332" s="10">
        <v>0.3301</v>
      </c>
      <c r="AF332" s="10">
        <v>0.19739999999999899</v>
      </c>
      <c r="AG332" s="10">
        <v>0.305999999999999</v>
      </c>
      <c r="AH332">
        <v>8.5029999999999897E-2</v>
      </c>
    </row>
    <row r="333" spans="3:34">
      <c r="C333" s="11" t="s">
        <v>550</v>
      </c>
      <c r="D333" s="10" t="s">
        <v>1</v>
      </c>
      <c r="E333" s="10">
        <v>13.71</v>
      </c>
      <c r="F333" s="10">
        <v>17.57</v>
      </c>
      <c r="G333" s="10">
        <v>72.489999999999895</v>
      </c>
      <c r="H333" s="10">
        <v>399.8</v>
      </c>
      <c r="I333" s="10">
        <v>8.8580000000000006E-2</v>
      </c>
      <c r="J333" s="10">
        <v>5.31299999999999E-2</v>
      </c>
      <c r="K333" s="10">
        <v>2.7830000000000001E-2</v>
      </c>
      <c r="L333" s="10">
        <v>2.1000000000000001E-2</v>
      </c>
      <c r="M333" s="10">
        <v>0.16009999999999899</v>
      </c>
      <c r="N333" s="10">
        <v>5.9130000000000002E-2</v>
      </c>
      <c r="O333" s="10">
        <v>0.19159999999999899</v>
      </c>
      <c r="P333" s="10">
        <v>1.5549999999999899</v>
      </c>
      <c r="Q333" s="10">
        <v>1.359</v>
      </c>
      <c r="R333" s="10">
        <v>13.66</v>
      </c>
      <c r="S333" s="10">
        <v>5.391E-3</v>
      </c>
      <c r="T333" s="10">
        <v>9.9469999999999906E-3</v>
      </c>
      <c r="U333" s="10">
        <v>1.163E-2</v>
      </c>
      <c r="V333" s="10">
        <v>5.8719999999999901E-3</v>
      </c>
      <c r="W333" s="10">
        <v>1.341E-2</v>
      </c>
      <c r="X333" s="10">
        <v>1.6590000000000001E-3</v>
      </c>
      <c r="Y333" s="10">
        <v>13.05</v>
      </c>
      <c r="Z333" s="10">
        <v>36.32</v>
      </c>
      <c r="AA333" s="10">
        <v>85.069999999999894</v>
      </c>
      <c r="AB333" s="10">
        <v>521.29999999999905</v>
      </c>
      <c r="AC333" s="10">
        <v>0.14530000000000001</v>
      </c>
      <c r="AD333" s="10">
        <v>0.16220000000000001</v>
      </c>
      <c r="AE333" s="10">
        <v>0.18110000000000001</v>
      </c>
      <c r="AF333" s="10">
        <v>8.6980000000000002E-2</v>
      </c>
      <c r="AG333" s="10">
        <v>0.29730000000000001</v>
      </c>
      <c r="AH333">
        <v>7.7450000000000005E-2</v>
      </c>
    </row>
    <row r="334" spans="3:34">
      <c r="C334" s="11" t="s">
        <v>551</v>
      </c>
      <c r="D334" s="10" t="s">
        <v>1</v>
      </c>
      <c r="E334" s="10">
        <v>13.71</v>
      </c>
      <c r="F334" s="10">
        <v>16.829999999999899</v>
      </c>
      <c r="G334" s="10">
        <v>70.92</v>
      </c>
      <c r="H334" s="10">
        <v>373.19999999999902</v>
      </c>
      <c r="I334" s="10">
        <v>0.1077</v>
      </c>
      <c r="J334" s="10">
        <v>7.8039999999999901E-2</v>
      </c>
      <c r="K334" s="10">
        <v>3.0460000000000001E-2</v>
      </c>
      <c r="L334" s="10">
        <v>2.4799999999999899E-2</v>
      </c>
      <c r="M334" s="10">
        <v>0.1714</v>
      </c>
      <c r="N334" s="10">
        <v>6.3399999999999901E-2</v>
      </c>
      <c r="O334" s="10">
        <v>0.19670000000000001</v>
      </c>
      <c r="P334" s="10">
        <v>1.387</v>
      </c>
      <c r="Q334" s="10">
        <v>1.3420000000000001</v>
      </c>
      <c r="R334" s="10">
        <v>13.5399999999999</v>
      </c>
      <c r="S334" s="10">
        <v>5.1580000000000003E-3</v>
      </c>
      <c r="T334" s="10">
        <v>9.3550000000000005E-3</v>
      </c>
      <c r="U334" s="10">
        <v>1.056E-2</v>
      </c>
      <c r="V334" s="10">
        <v>7.4830000000000001E-3</v>
      </c>
      <c r="W334" s="10">
        <v>1.7180000000000001E-2</v>
      </c>
      <c r="X334" s="10">
        <v>2.1979999999999899E-3</v>
      </c>
      <c r="Y334" s="10">
        <v>12.41</v>
      </c>
      <c r="Z334" s="10">
        <v>26.44</v>
      </c>
      <c r="AA334" s="10">
        <v>79.930000000000007</v>
      </c>
      <c r="AB334" s="10">
        <v>471.39999999999901</v>
      </c>
      <c r="AC334" s="10">
        <v>0.13689999999999899</v>
      </c>
      <c r="AD334" s="10">
        <v>0.1482</v>
      </c>
      <c r="AE334" s="10">
        <v>0.1067</v>
      </c>
      <c r="AF334" s="10">
        <v>7.4310000000000001E-2</v>
      </c>
      <c r="AG334" s="10">
        <v>0.29980000000000001</v>
      </c>
      <c r="AH334">
        <v>7.8810000000000005E-2</v>
      </c>
    </row>
    <row r="335" spans="3:34">
      <c r="C335" s="11" t="s">
        <v>552</v>
      </c>
      <c r="D335" s="10" t="s">
        <v>1</v>
      </c>
      <c r="E335" s="10">
        <v>13.71</v>
      </c>
      <c r="F335" s="10">
        <v>21.68</v>
      </c>
      <c r="G335" s="10">
        <v>59.75</v>
      </c>
      <c r="H335" s="10">
        <v>268.8</v>
      </c>
      <c r="I335" s="10">
        <v>7.96899999999999E-2</v>
      </c>
      <c r="J335" s="10">
        <v>6.053E-2</v>
      </c>
      <c r="K335" s="10">
        <v>3.7350000000000001E-2</v>
      </c>
      <c r="L335" s="10">
        <v>5.1279999999999902E-3</v>
      </c>
      <c r="M335" s="10">
        <v>0.12740000000000001</v>
      </c>
      <c r="N335" s="10">
        <v>6.7239999999999897E-2</v>
      </c>
      <c r="O335" s="10">
        <v>0.1186</v>
      </c>
      <c r="P335" s="10">
        <v>1.1819999999999899</v>
      </c>
      <c r="Q335" s="10">
        <v>1.1739999999999899</v>
      </c>
      <c r="R335" s="10">
        <v>6.8019999999999898</v>
      </c>
      <c r="S335" s="10">
        <v>5.5149999999999904E-3</v>
      </c>
      <c r="T335" s="10">
        <v>2.674E-2</v>
      </c>
      <c r="U335" s="10">
        <v>3.7350000000000001E-2</v>
      </c>
      <c r="V335" s="10">
        <v>5.1279999999999902E-3</v>
      </c>
      <c r="W335" s="10">
        <v>1.951E-2</v>
      </c>
      <c r="X335" s="10">
        <v>4.5830000000000003E-3</v>
      </c>
      <c r="Y335" s="10">
        <v>9.9649999999999892</v>
      </c>
      <c r="Z335" s="10">
        <v>27.989999999999899</v>
      </c>
      <c r="AA335" s="10">
        <v>66.6099999999999</v>
      </c>
      <c r="AB335" s="10">
        <v>301</v>
      </c>
      <c r="AC335" s="10">
        <v>0.1086</v>
      </c>
      <c r="AD335" s="10">
        <v>0.18870000000000001</v>
      </c>
      <c r="AE335" s="10">
        <v>0.18679999999999899</v>
      </c>
      <c r="AF335" s="10">
        <v>2.564E-2</v>
      </c>
      <c r="AG335" s="10">
        <v>0.23760000000000001</v>
      </c>
      <c r="AH335">
        <v>9.2060000000000003E-2</v>
      </c>
    </row>
    <row r="336" spans="3:34">
      <c r="C336" s="11" t="s">
        <v>553</v>
      </c>
      <c r="D336" s="10" t="s">
        <v>1</v>
      </c>
      <c r="E336" s="10">
        <v>13.71</v>
      </c>
      <c r="F336" s="10">
        <v>22.1099999999999</v>
      </c>
      <c r="G336" s="10">
        <v>97.53</v>
      </c>
      <c r="H336" s="10">
        <v>693.7</v>
      </c>
      <c r="I336" s="10">
        <v>8.5150000000000003E-2</v>
      </c>
      <c r="J336" s="10">
        <v>0.10249999999999899</v>
      </c>
      <c r="K336" s="10">
        <v>6.8589999999999901E-2</v>
      </c>
      <c r="L336" s="10">
        <v>3.8760000000000003E-2</v>
      </c>
      <c r="M336" s="10">
        <v>0.19439999999999899</v>
      </c>
      <c r="N336" s="10">
        <v>5.9130000000000002E-2</v>
      </c>
      <c r="O336" s="10">
        <v>0.318599999999999</v>
      </c>
      <c r="P336" s="10">
        <v>1.3360000000000001</v>
      </c>
      <c r="Q336" s="10">
        <v>2.31</v>
      </c>
      <c r="R336" s="10">
        <v>28.51</v>
      </c>
      <c r="S336" s="10">
        <v>4.4489999999999903E-3</v>
      </c>
      <c r="T336" s="10">
        <v>2.8080000000000001E-2</v>
      </c>
      <c r="U336" s="10">
        <v>3.31199999999999E-2</v>
      </c>
      <c r="V336" s="10">
        <v>1.196E-2</v>
      </c>
      <c r="W336" s="10">
        <v>1.9060000000000001E-2</v>
      </c>
      <c r="X336" s="10">
        <v>4.0150000000000003E-3</v>
      </c>
      <c r="Y336" s="10">
        <v>16.760000000000002</v>
      </c>
      <c r="Z336" s="10">
        <v>31.55</v>
      </c>
      <c r="AA336" s="10">
        <v>110.2</v>
      </c>
      <c r="AB336" s="10">
        <v>867.1</v>
      </c>
      <c r="AC336" s="10">
        <v>0.1077</v>
      </c>
      <c r="AD336" s="10">
        <v>0.33450000000000002</v>
      </c>
      <c r="AE336" s="10">
        <v>0.31140000000000001</v>
      </c>
      <c r="AF336" s="10">
        <v>0.1308</v>
      </c>
      <c r="AG336" s="10">
        <v>0.31630000000000003</v>
      </c>
      <c r="AH336">
        <v>9.2509999999999898E-2</v>
      </c>
    </row>
    <row r="337" spans="3:34">
      <c r="C337" s="11" t="s">
        <v>554</v>
      </c>
      <c r="D337" s="10" t="s">
        <v>0</v>
      </c>
      <c r="E337" s="10">
        <v>13.71</v>
      </c>
      <c r="F337" s="10">
        <v>29.809999999999899</v>
      </c>
      <c r="G337" s="10">
        <v>96.709999999999894</v>
      </c>
      <c r="H337" s="10">
        <v>719.5</v>
      </c>
      <c r="I337" s="10">
        <v>8.3199999999999899E-2</v>
      </c>
      <c r="J337" s="10">
        <v>4.6050000000000001E-2</v>
      </c>
      <c r="K337" s="10">
        <v>4.6859999999999902E-2</v>
      </c>
      <c r="L337" s="10">
        <v>2.7390000000000001E-2</v>
      </c>
      <c r="M337" s="10">
        <v>0.1852</v>
      </c>
      <c r="N337" s="10">
        <v>5.2940000000000001E-2</v>
      </c>
      <c r="O337" s="10">
        <v>0.46810000000000002</v>
      </c>
      <c r="P337" s="10">
        <v>1.627</v>
      </c>
      <c r="Q337" s="10">
        <v>3.0430000000000001</v>
      </c>
      <c r="R337" s="10">
        <v>45.38</v>
      </c>
      <c r="S337" s="10">
        <v>6.8310000000000003E-3</v>
      </c>
      <c r="T337" s="10">
        <v>1.427E-2</v>
      </c>
      <c r="U337" s="10">
        <v>2.4889999999999898E-2</v>
      </c>
      <c r="V337" s="10">
        <v>9.0869999999999892E-3</v>
      </c>
      <c r="W337" s="10">
        <v>3.1510000000000003E-2</v>
      </c>
      <c r="X337" s="10">
        <v>1.75E-3</v>
      </c>
      <c r="Y337" s="10">
        <v>17.260000000000002</v>
      </c>
      <c r="Z337" s="10">
        <v>36.909999999999897</v>
      </c>
      <c r="AA337" s="10">
        <v>110.099999999999</v>
      </c>
      <c r="AB337" s="10">
        <v>931.39999999999895</v>
      </c>
      <c r="AC337" s="10">
        <v>0.1148</v>
      </c>
      <c r="AD337" s="10">
        <v>9.8659999999999901E-2</v>
      </c>
      <c r="AE337" s="10">
        <v>0.1547</v>
      </c>
      <c r="AF337" s="10">
        <v>6.5750000000000003E-2</v>
      </c>
      <c r="AG337" s="10">
        <v>0.32329999999999898</v>
      </c>
      <c r="AH337">
        <v>6.1650000000000003E-2</v>
      </c>
    </row>
    <row r="338" spans="3:34">
      <c r="C338" s="11" t="s">
        <v>555</v>
      </c>
      <c r="D338" s="10" t="s">
        <v>1</v>
      </c>
      <c r="E338" s="10">
        <v>13.71</v>
      </c>
      <c r="F338" s="10">
        <v>21.17</v>
      </c>
      <c r="G338" s="10">
        <v>76.39</v>
      </c>
      <c r="H338" s="10">
        <v>433.8</v>
      </c>
      <c r="I338" s="10">
        <v>9.77299999999999E-2</v>
      </c>
      <c r="J338" s="10">
        <v>8.1199999999999897E-2</v>
      </c>
      <c r="K338" s="10">
        <v>2.555E-2</v>
      </c>
      <c r="L338" s="10">
        <v>2.179E-2</v>
      </c>
      <c r="M338" s="10">
        <v>0.2019</v>
      </c>
      <c r="N338" s="10">
        <v>6.28999999999999E-2</v>
      </c>
      <c r="O338" s="10">
        <v>0.2747</v>
      </c>
      <c r="P338" s="10">
        <v>1.2030000000000001</v>
      </c>
      <c r="Q338" s="10">
        <v>1.9299999999999899</v>
      </c>
      <c r="R338" s="10">
        <v>19.53</v>
      </c>
      <c r="S338" s="10">
        <v>9.8949999999999906E-3</v>
      </c>
      <c r="T338" s="10">
        <v>3.0530000000000002E-2</v>
      </c>
      <c r="U338" s="10">
        <v>1.6299999999999901E-2</v>
      </c>
      <c r="V338" s="10">
        <v>9.2759999999999908E-3</v>
      </c>
      <c r="W338" s="10">
        <v>2.2579999999999899E-2</v>
      </c>
      <c r="X338" s="10">
        <v>2.2720000000000001E-3</v>
      </c>
      <c r="Y338" s="10">
        <v>13.05</v>
      </c>
      <c r="Z338" s="10">
        <v>27.21</v>
      </c>
      <c r="AA338" s="10">
        <v>85.09</v>
      </c>
      <c r="AB338" s="10">
        <v>522.89999999999895</v>
      </c>
      <c r="AC338" s="10">
        <v>0.1426</v>
      </c>
      <c r="AD338" s="10">
        <v>0.21870000000000001</v>
      </c>
      <c r="AE338" s="10">
        <v>0.1164</v>
      </c>
      <c r="AF338" s="10">
        <v>8.2629999999999898E-2</v>
      </c>
      <c r="AG338" s="10">
        <v>0.3075</v>
      </c>
      <c r="AH338">
        <v>7.3510000000000006E-2</v>
      </c>
    </row>
    <row r="339" spans="3:34">
      <c r="C339" s="11" t="s">
        <v>557</v>
      </c>
      <c r="D339" s="10" t="s">
        <v>0</v>
      </c>
      <c r="E339" s="10">
        <v>13.71</v>
      </c>
      <c r="F339" s="10">
        <v>21.079999999999899</v>
      </c>
      <c r="G339" s="10">
        <v>102.9</v>
      </c>
      <c r="H339" s="10">
        <v>803.1</v>
      </c>
      <c r="I339" s="10">
        <v>0.112</v>
      </c>
      <c r="J339" s="10">
        <v>0.15709999999999899</v>
      </c>
      <c r="K339" s="10">
        <v>0.1522</v>
      </c>
      <c r="L339" s="10">
        <v>8.4809999999999899E-2</v>
      </c>
      <c r="M339" s="10">
        <v>0.20849999999999899</v>
      </c>
      <c r="N339" s="10">
        <v>6.8640000000000007E-2</v>
      </c>
      <c r="O339" s="10">
        <v>1.37</v>
      </c>
      <c r="P339" s="10">
        <v>1.2130000000000001</v>
      </c>
      <c r="Q339" s="10">
        <v>9.4239999999999906</v>
      </c>
      <c r="R339" s="10">
        <v>176.5</v>
      </c>
      <c r="S339" s="10">
        <v>8.1980000000000004E-3</v>
      </c>
      <c r="T339" s="10">
        <v>3.8890000000000001E-2</v>
      </c>
      <c r="U339" s="10">
        <v>4.4929999999999901E-2</v>
      </c>
      <c r="V339" s="10">
        <v>2.1389999999999899E-2</v>
      </c>
      <c r="W339" s="10">
        <v>2.018E-2</v>
      </c>
      <c r="X339" s="10">
        <v>5.8149999999999903E-3</v>
      </c>
      <c r="Y339" s="10">
        <v>23.17</v>
      </c>
      <c r="Z339" s="10">
        <v>27.649999999999899</v>
      </c>
      <c r="AA339" s="10">
        <v>157.099999999999</v>
      </c>
      <c r="AB339" s="10">
        <v>1748</v>
      </c>
      <c r="AC339" s="10">
        <v>0.1517</v>
      </c>
      <c r="AD339" s="10">
        <v>0.4002</v>
      </c>
      <c r="AE339" s="10">
        <v>0.42109999999999898</v>
      </c>
      <c r="AF339" s="10">
        <v>0.21340000000000001</v>
      </c>
      <c r="AG339" s="10">
        <v>0.30030000000000001</v>
      </c>
      <c r="AH339">
        <v>0.1048</v>
      </c>
    </row>
    <row r="340" spans="3:34">
      <c r="C340" s="11" t="s">
        <v>559</v>
      </c>
      <c r="D340" s="10" t="s">
        <v>1</v>
      </c>
      <c r="E340" s="10">
        <v>13.71</v>
      </c>
      <c r="F340" s="10">
        <v>21.41</v>
      </c>
      <c r="G340" s="10">
        <v>70.95</v>
      </c>
      <c r="H340" s="10">
        <v>380.3</v>
      </c>
      <c r="I340" s="10">
        <v>0.1018</v>
      </c>
      <c r="J340" s="10">
        <v>5.978E-2</v>
      </c>
      <c r="K340" s="10">
        <v>8.9549999999999907E-3</v>
      </c>
      <c r="L340" s="10">
        <v>1.076E-2</v>
      </c>
      <c r="M340" s="10">
        <v>0.1615</v>
      </c>
      <c r="N340" s="10">
        <v>6.1440000000000002E-2</v>
      </c>
      <c r="O340" s="10">
        <v>0.28649999999999898</v>
      </c>
      <c r="P340" s="10">
        <v>1.6779999999999899</v>
      </c>
      <c r="Q340" s="10">
        <v>1.968</v>
      </c>
      <c r="R340" s="10">
        <v>18.989999999999899</v>
      </c>
      <c r="S340" s="10">
        <v>6.9080000000000001E-3</v>
      </c>
      <c r="T340" s="10">
        <v>9.4420000000000007E-3</v>
      </c>
      <c r="U340" s="10">
        <v>6.9719999999999904E-3</v>
      </c>
      <c r="V340" s="10">
        <v>6.1590000000000004E-3</v>
      </c>
      <c r="W340" s="10">
        <v>2.6939999999999902E-2</v>
      </c>
      <c r="X340" s="10">
        <v>2.0600000000000002E-3</v>
      </c>
      <c r="Y340" s="10">
        <v>12.3599999999999</v>
      </c>
      <c r="Z340" s="10">
        <v>28.92</v>
      </c>
      <c r="AA340" s="10">
        <v>79.260000000000005</v>
      </c>
      <c r="AB340" s="10">
        <v>458</v>
      </c>
      <c r="AC340" s="10">
        <v>0.12820000000000001</v>
      </c>
      <c r="AD340" s="10">
        <v>0.1108</v>
      </c>
      <c r="AE340" s="10">
        <v>3.5819999999999901E-2</v>
      </c>
      <c r="AF340" s="10">
        <v>4.3060000000000001E-2</v>
      </c>
      <c r="AG340" s="10">
        <v>0.29759999999999898</v>
      </c>
      <c r="AH340">
        <v>7.1230000000000002E-2</v>
      </c>
    </row>
    <row r="341" spans="3:34">
      <c r="C341" s="11" t="s">
        <v>560</v>
      </c>
      <c r="D341" s="10" t="s">
        <v>1</v>
      </c>
      <c r="E341" s="10">
        <v>13.71</v>
      </c>
      <c r="F341" s="10">
        <v>19.0399999999999</v>
      </c>
      <c r="G341" s="10">
        <v>74.2</v>
      </c>
      <c r="H341" s="10">
        <v>409.69999999999902</v>
      </c>
      <c r="I341" s="10">
        <v>8.5459999999999897E-2</v>
      </c>
      <c r="J341" s="10">
        <v>7.72199999999999E-2</v>
      </c>
      <c r="K341" s="10">
        <v>5.4850000000000003E-2</v>
      </c>
      <c r="L341" s="10">
        <v>1.42799999999999E-2</v>
      </c>
      <c r="M341" s="10">
        <v>0.2031</v>
      </c>
      <c r="N341" s="10">
        <v>6.2670000000000003E-2</v>
      </c>
      <c r="O341" s="10">
        <v>0.28639999999999899</v>
      </c>
      <c r="P341" s="10">
        <v>1.43999999999999</v>
      </c>
      <c r="Q341" s="10">
        <v>2.206</v>
      </c>
      <c r="R341" s="10">
        <v>20.3</v>
      </c>
      <c r="S341" s="10">
        <v>7.2779999999999902E-3</v>
      </c>
      <c r="T341" s="10">
        <v>2.0469999999999901E-2</v>
      </c>
      <c r="U341" s="10">
        <v>4.4470000000000003E-2</v>
      </c>
      <c r="V341" s="10">
        <v>8.7989999999999909E-3</v>
      </c>
      <c r="W341" s="10">
        <v>1.8679999999999902E-2</v>
      </c>
      <c r="X341" s="10">
        <v>3.339E-3</v>
      </c>
      <c r="Y341" s="10">
        <v>13.07</v>
      </c>
      <c r="Z341" s="10">
        <v>26.98</v>
      </c>
      <c r="AA341" s="10">
        <v>86.43</v>
      </c>
      <c r="AB341" s="10">
        <v>520.5</v>
      </c>
      <c r="AC341" s="10">
        <v>0.1249</v>
      </c>
      <c r="AD341" s="10">
        <v>0.19370000000000001</v>
      </c>
      <c r="AE341" s="10">
        <v>0.25600000000000001</v>
      </c>
      <c r="AF341" s="10">
        <v>6.6640000000000005E-2</v>
      </c>
      <c r="AG341" s="10">
        <v>0.30349999999999899</v>
      </c>
      <c r="AH341">
        <v>8.28399999999999E-2</v>
      </c>
    </row>
    <row r="342" spans="3:34">
      <c r="C342" s="11" t="s">
        <v>561</v>
      </c>
      <c r="D342" s="10" t="s">
        <v>1</v>
      </c>
      <c r="E342" s="10">
        <v>13.71</v>
      </c>
      <c r="F342" s="10">
        <v>13.98</v>
      </c>
      <c r="G342" s="10">
        <v>98.219999999999899</v>
      </c>
      <c r="H342" s="10">
        <v>656.1</v>
      </c>
      <c r="I342" s="10">
        <v>0.1031</v>
      </c>
      <c r="J342" s="10">
        <v>0.18360000000000001</v>
      </c>
      <c r="K342" s="10">
        <v>0.14499999999999899</v>
      </c>
      <c r="L342" s="10">
        <v>6.3E-2</v>
      </c>
      <c r="M342" s="10">
        <v>0.20860000000000001</v>
      </c>
      <c r="N342" s="10">
        <v>7.4060000000000001E-2</v>
      </c>
      <c r="O342" s="10">
        <v>0.54620000000000002</v>
      </c>
      <c r="P342" s="10">
        <v>1.5109999999999899</v>
      </c>
      <c r="Q342" s="10">
        <v>4.7949999999999902</v>
      </c>
      <c r="R342" s="10">
        <v>49.45</v>
      </c>
      <c r="S342" s="10">
        <v>9.9760000000000005E-3</v>
      </c>
      <c r="T342" s="10">
        <v>5.2440000000000001E-2</v>
      </c>
      <c r="U342" s="10">
        <v>5.2780000000000001E-2</v>
      </c>
      <c r="V342" s="10">
        <v>1.5800000000000002E-2</v>
      </c>
      <c r="W342" s="10">
        <v>2.6530000000000001E-2</v>
      </c>
      <c r="X342" s="10">
        <v>5.4440000000000001E-3</v>
      </c>
      <c r="Y342" s="10">
        <v>16.46</v>
      </c>
      <c r="Z342" s="10">
        <v>18.34</v>
      </c>
      <c r="AA342" s="10">
        <v>114.099999999999</v>
      </c>
      <c r="AB342" s="10">
        <v>809.2</v>
      </c>
      <c r="AC342" s="10">
        <v>0.13120000000000001</v>
      </c>
      <c r="AD342" s="10">
        <v>0.36349999999999899</v>
      </c>
      <c r="AE342" s="10">
        <v>0.32190000000000002</v>
      </c>
      <c r="AF342" s="10">
        <v>0.1108</v>
      </c>
      <c r="AG342" s="10">
        <v>0.28270000000000001</v>
      </c>
      <c r="AH342">
        <v>9.2079999999999898E-2</v>
      </c>
    </row>
    <row r="343" spans="3:34">
      <c r="C343" s="11" t="s">
        <v>564</v>
      </c>
      <c r="D343" s="10" t="s">
        <v>1</v>
      </c>
      <c r="E343" s="10">
        <v>13.71</v>
      </c>
      <c r="F343" s="10">
        <v>19.12</v>
      </c>
      <c r="G343" s="10">
        <v>61.93</v>
      </c>
      <c r="H343" s="10">
        <v>289.69999999999902</v>
      </c>
      <c r="I343" s="10">
        <v>0.1075</v>
      </c>
      <c r="J343" s="10">
        <v>8.3330000000000001E-2</v>
      </c>
      <c r="K343" s="10">
        <v>8.9339999999999906E-3</v>
      </c>
      <c r="L343" s="10">
        <v>1.967E-2</v>
      </c>
      <c r="M343" s="10">
        <v>0.25380000000000003</v>
      </c>
      <c r="N343" s="10">
        <v>7.0290000000000005E-2</v>
      </c>
      <c r="O343" s="10">
        <v>0.69650000000000001</v>
      </c>
      <c r="P343" s="10">
        <v>1.7470000000000001</v>
      </c>
      <c r="Q343" s="10">
        <v>4.6070000000000002</v>
      </c>
      <c r="R343" s="10">
        <v>43.52</v>
      </c>
      <c r="S343" s="10">
        <v>1.307E-2</v>
      </c>
      <c r="T343" s="10">
        <v>1.8849999999999902E-2</v>
      </c>
      <c r="U343" s="10">
        <v>6.0210000000000003E-3</v>
      </c>
      <c r="V343" s="10">
        <v>1.052E-2</v>
      </c>
      <c r="W343" s="10">
        <v>3.1E-2</v>
      </c>
      <c r="X343" s="10">
        <v>4.22499999999999E-3</v>
      </c>
      <c r="Y343" s="10">
        <v>11.21</v>
      </c>
      <c r="Z343" s="10">
        <v>23.17</v>
      </c>
      <c r="AA343" s="10">
        <v>71.790000000000006</v>
      </c>
      <c r="AB343" s="10">
        <v>380.89999999999901</v>
      </c>
      <c r="AC343" s="10">
        <v>0.13980000000000001</v>
      </c>
      <c r="AD343" s="10">
        <v>0.13519999999999899</v>
      </c>
      <c r="AE343" s="10">
        <v>2.085E-2</v>
      </c>
      <c r="AF343" s="10">
        <v>4.589E-2</v>
      </c>
      <c r="AG343" s="10">
        <v>0.3196</v>
      </c>
      <c r="AH343">
        <v>8.0089999999999897E-2</v>
      </c>
    </row>
    <row r="344" spans="3:34">
      <c r="C344" s="11" t="s">
        <v>565</v>
      </c>
      <c r="D344" s="10" t="s">
        <v>1</v>
      </c>
      <c r="E344" s="10">
        <v>13.71</v>
      </c>
      <c r="F344" s="10">
        <v>21.28</v>
      </c>
      <c r="G344" s="10">
        <v>63.189999999999898</v>
      </c>
      <c r="H344" s="10">
        <v>307.3</v>
      </c>
      <c r="I344" s="10">
        <v>8.1170000000000006E-2</v>
      </c>
      <c r="J344" s="10">
        <v>3.9120000000000002E-2</v>
      </c>
      <c r="K344" s="10">
        <v>2.47E-3</v>
      </c>
      <c r="L344" s="10">
        <v>5.1590000000000004E-3</v>
      </c>
      <c r="M344" s="10">
        <v>0.16300000000000001</v>
      </c>
      <c r="N344" s="10">
        <v>6.4390000000000003E-2</v>
      </c>
      <c r="O344" s="10">
        <v>0.18509999999999899</v>
      </c>
      <c r="P344" s="10">
        <v>1.341</v>
      </c>
      <c r="Q344" s="10">
        <v>1.1839999999999899</v>
      </c>
      <c r="R344" s="10">
        <v>11.6</v>
      </c>
      <c r="S344" s="10">
        <v>5.7239999999999904E-3</v>
      </c>
      <c r="T344" s="10">
        <v>5.6969999999999903E-3</v>
      </c>
      <c r="U344" s="10">
        <v>2.0739999999999899E-3</v>
      </c>
      <c r="V344" s="10">
        <v>3.5270000000000002E-3</v>
      </c>
      <c r="W344" s="10">
        <v>1.44499999999999E-2</v>
      </c>
      <c r="X344" s="10">
        <v>2.41099999999999E-3</v>
      </c>
      <c r="Y344" s="10">
        <v>11.1099999999999</v>
      </c>
      <c r="Z344" s="10">
        <v>28.94</v>
      </c>
      <c r="AA344" s="10">
        <v>69.92</v>
      </c>
      <c r="AB344" s="10">
        <v>376.3</v>
      </c>
      <c r="AC344" s="10">
        <v>0.11260000000000001</v>
      </c>
      <c r="AD344" s="10">
        <v>7.0940000000000003E-2</v>
      </c>
      <c r="AE344" s="10">
        <v>1.235E-2</v>
      </c>
      <c r="AF344" s="10">
        <v>2.579E-2</v>
      </c>
      <c r="AG344" s="10">
        <v>0.2349</v>
      </c>
      <c r="AH344">
        <v>8.0610000000000001E-2</v>
      </c>
    </row>
    <row r="345" spans="3:34">
      <c r="C345" s="11" t="s">
        <v>566</v>
      </c>
      <c r="D345" s="10" t="s">
        <v>1</v>
      </c>
      <c r="E345" s="10">
        <v>13.71</v>
      </c>
      <c r="F345" s="10">
        <v>14.98</v>
      </c>
      <c r="G345" s="10">
        <v>67.489999999999895</v>
      </c>
      <c r="H345" s="10">
        <v>333.6</v>
      </c>
      <c r="I345" s="10">
        <v>9.81599999999999E-2</v>
      </c>
      <c r="J345" s="10">
        <v>0.1013</v>
      </c>
      <c r="K345" s="10">
        <v>6.3350000000000004E-2</v>
      </c>
      <c r="L345" s="10">
        <v>2.2179999999999901E-2</v>
      </c>
      <c r="M345" s="10">
        <v>0.1925</v>
      </c>
      <c r="N345" s="10">
        <v>6.9150000000000003E-2</v>
      </c>
      <c r="O345" s="10">
        <v>0.3276</v>
      </c>
      <c r="P345" s="10">
        <v>1.127</v>
      </c>
      <c r="Q345" s="10">
        <v>2.5640000000000001</v>
      </c>
      <c r="R345" s="10">
        <v>20.77</v>
      </c>
      <c r="S345" s="10">
        <v>7.3639999999999903E-3</v>
      </c>
      <c r="T345" s="10">
        <v>3.8670000000000003E-2</v>
      </c>
      <c r="U345" s="10">
        <v>5.2630000000000003E-2</v>
      </c>
      <c r="V345" s="10">
        <v>1.264E-2</v>
      </c>
      <c r="W345" s="10">
        <v>2.1610000000000001E-2</v>
      </c>
      <c r="X345" s="10">
        <v>4.8300000000000001E-3</v>
      </c>
      <c r="Y345" s="10">
        <v>12.13</v>
      </c>
      <c r="Z345" s="10">
        <v>21.57</v>
      </c>
      <c r="AA345" s="10">
        <v>81.409999999999897</v>
      </c>
      <c r="AB345" s="10">
        <v>440.39999999999901</v>
      </c>
      <c r="AC345" s="10">
        <v>0.13270000000000001</v>
      </c>
      <c r="AD345" s="10">
        <v>0.29959999999999898</v>
      </c>
      <c r="AE345" s="10">
        <v>0.293899999999999</v>
      </c>
      <c r="AF345" s="10">
        <v>9.3100000000000002E-2</v>
      </c>
      <c r="AG345" s="10">
        <v>0.30199999999999899</v>
      </c>
      <c r="AH345">
        <v>9.6460000000000004E-2</v>
      </c>
    </row>
    <row r="346" spans="3:34">
      <c r="C346" s="11" t="s">
        <v>568</v>
      </c>
      <c r="D346" s="10" t="s">
        <v>1</v>
      </c>
      <c r="E346" s="10">
        <v>13.71</v>
      </c>
      <c r="F346" s="10">
        <v>16.62</v>
      </c>
      <c r="G346" s="10">
        <v>70.469999999999899</v>
      </c>
      <c r="H346" s="10">
        <v>381.1</v>
      </c>
      <c r="I346" s="10">
        <v>8.1509999999999902E-2</v>
      </c>
      <c r="J346" s="10">
        <v>3.8339999999999902E-2</v>
      </c>
      <c r="K346" s="10">
        <v>1.3690000000000001E-2</v>
      </c>
      <c r="L346" s="10">
        <v>1.37E-2</v>
      </c>
      <c r="M346" s="10">
        <v>0.15110000000000001</v>
      </c>
      <c r="N346" s="10">
        <v>6.148E-2</v>
      </c>
      <c r="O346" s="10">
        <v>0.14149999999999899</v>
      </c>
      <c r="P346" s="10">
        <v>0.96709999999999896</v>
      </c>
      <c r="Q346" s="10">
        <v>0.96799999999999897</v>
      </c>
      <c r="R346" s="10">
        <v>9.7040000000000006</v>
      </c>
      <c r="S346" s="10">
        <v>5.8830000000000002E-3</v>
      </c>
      <c r="T346" s="10">
        <v>6.2630000000000003E-3</v>
      </c>
      <c r="U346" s="10">
        <v>9.3980000000000001E-3</v>
      </c>
      <c r="V346" s="10">
        <v>6.1890000000000001E-3</v>
      </c>
      <c r="W346" s="10">
        <v>2.009E-2</v>
      </c>
      <c r="X346" s="10">
        <v>2.3770000000000002E-3</v>
      </c>
      <c r="Y346" s="10">
        <v>11.68</v>
      </c>
      <c r="Z346" s="10">
        <v>20.2899999999999</v>
      </c>
      <c r="AA346" s="10">
        <v>74.349999999999895</v>
      </c>
      <c r="AB346" s="10">
        <v>421.1</v>
      </c>
      <c r="AC346" s="10">
        <v>0.102999999999999</v>
      </c>
      <c r="AD346" s="10">
        <v>6.2190000000000002E-2</v>
      </c>
      <c r="AE346" s="10">
        <v>4.58E-2</v>
      </c>
      <c r="AF346" s="10">
        <v>4.04399999999999E-2</v>
      </c>
      <c r="AG346" s="10">
        <v>0.23830000000000001</v>
      </c>
      <c r="AH346">
        <v>7.0830000000000004E-2</v>
      </c>
    </row>
    <row r="347" spans="3:34">
      <c r="C347" s="11" t="s">
        <v>570</v>
      </c>
      <c r="D347" s="10" t="s">
        <v>0</v>
      </c>
      <c r="E347" s="10">
        <v>13.71</v>
      </c>
      <c r="F347" s="10">
        <v>22.53</v>
      </c>
      <c r="G347" s="10">
        <v>102.099999999999</v>
      </c>
      <c r="H347" s="10">
        <v>685</v>
      </c>
      <c r="I347" s="10">
        <v>9.9470000000000003E-2</v>
      </c>
      <c r="J347" s="10">
        <v>0.2225</v>
      </c>
      <c r="K347" s="10">
        <v>0.27329999999999899</v>
      </c>
      <c r="L347" s="10">
        <v>9.7110000000000002E-2</v>
      </c>
      <c r="M347" s="10">
        <v>0.2041</v>
      </c>
      <c r="N347" s="10">
        <v>6.898E-2</v>
      </c>
      <c r="O347" s="10">
        <v>0.253</v>
      </c>
      <c r="P347" s="10">
        <v>0.87490000000000001</v>
      </c>
      <c r="Q347" s="10">
        <v>3.4660000000000002</v>
      </c>
      <c r="R347" s="10">
        <v>24.19</v>
      </c>
      <c r="S347" s="10">
        <v>6.9649999999999903E-3</v>
      </c>
      <c r="T347" s="10">
        <v>6.2129999999999901E-2</v>
      </c>
      <c r="U347" s="10">
        <v>7.92599999999999E-2</v>
      </c>
      <c r="V347" s="10">
        <v>2.2339999999999902E-2</v>
      </c>
      <c r="W347" s="10">
        <v>1.499E-2</v>
      </c>
      <c r="X347" s="10">
        <v>5.7840000000000001E-3</v>
      </c>
      <c r="Y347" s="10">
        <v>16.350000000000001</v>
      </c>
      <c r="Z347" s="10">
        <v>27.57</v>
      </c>
      <c r="AA347" s="10">
        <v>125.4</v>
      </c>
      <c r="AB347" s="10">
        <v>832.7</v>
      </c>
      <c r="AC347" s="10">
        <v>0.1419</v>
      </c>
      <c r="AD347" s="10">
        <v>0.70899999999999896</v>
      </c>
      <c r="AE347" s="10">
        <v>0.90190000000000003</v>
      </c>
      <c r="AF347" s="10">
        <v>0.2475</v>
      </c>
      <c r="AG347" s="10">
        <v>0.28660000000000002</v>
      </c>
      <c r="AH347">
        <v>0.11550000000000001</v>
      </c>
    </row>
    <row r="348" spans="3:34">
      <c r="C348" s="11" t="s">
        <v>571</v>
      </c>
      <c r="D348" s="10" t="s">
        <v>1</v>
      </c>
      <c r="E348" s="10">
        <v>13.71</v>
      </c>
      <c r="F348" s="10">
        <v>17.68</v>
      </c>
      <c r="G348" s="10">
        <v>81.469999999999899</v>
      </c>
      <c r="H348" s="10">
        <v>467.8</v>
      </c>
      <c r="I348" s="10">
        <v>0.10539999999999899</v>
      </c>
      <c r="J348" s="10">
        <v>0.131599999999999</v>
      </c>
      <c r="K348" s="10">
        <v>7.7410000000000007E-2</v>
      </c>
      <c r="L348" s="10">
        <v>2.7990000000000001E-2</v>
      </c>
      <c r="M348" s="10">
        <v>0.18110000000000001</v>
      </c>
      <c r="N348" s="10">
        <v>7.102E-2</v>
      </c>
      <c r="O348" s="10">
        <v>0.1767</v>
      </c>
      <c r="P348" s="10">
        <v>1.46</v>
      </c>
      <c r="Q348" s="10">
        <v>2.2040000000000002</v>
      </c>
      <c r="R348" s="10">
        <v>15.43</v>
      </c>
      <c r="S348" s="10">
        <v>0.01</v>
      </c>
      <c r="T348" s="10">
        <v>3.295E-2</v>
      </c>
      <c r="U348" s="10">
        <v>4.861E-2</v>
      </c>
      <c r="V348" s="10">
        <v>1.167E-2</v>
      </c>
      <c r="W348" s="10">
        <v>2.1870000000000001E-2</v>
      </c>
      <c r="X348" s="10">
        <v>6.0049999999999904E-3</v>
      </c>
      <c r="Y348" s="10">
        <v>12.88</v>
      </c>
      <c r="Z348" s="10">
        <v>22.91</v>
      </c>
      <c r="AA348" s="10">
        <v>89.6099999999999</v>
      </c>
      <c r="AB348" s="10">
        <v>515.79999999999905</v>
      </c>
      <c r="AC348" s="10">
        <v>0.14499999999999899</v>
      </c>
      <c r="AD348" s="10">
        <v>0.26290000000000002</v>
      </c>
      <c r="AE348" s="10">
        <v>0.24030000000000001</v>
      </c>
      <c r="AF348" s="10">
        <v>7.3700000000000002E-2</v>
      </c>
      <c r="AG348" s="10">
        <v>0.25559999999999899</v>
      </c>
      <c r="AH348">
        <v>9.3590000000000007E-2</v>
      </c>
    </row>
    <row r="349" spans="3:34">
      <c r="C349" s="11" t="s">
        <v>572</v>
      </c>
      <c r="D349" s="10" t="s">
        <v>0</v>
      </c>
      <c r="E349" s="10">
        <v>13.71</v>
      </c>
      <c r="F349" s="10">
        <v>19.5399999999999</v>
      </c>
      <c r="G349" s="10">
        <v>133.80000000000001</v>
      </c>
      <c r="H349" s="10">
        <v>1250</v>
      </c>
      <c r="I349" s="10">
        <v>0.1133</v>
      </c>
      <c r="J349" s="10">
        <v>0.1489</v>
      </c>
      <c r="K349" s="10">
        <v>0.21329999999999899</v>
      </c>
      <c r="L349" s="10">
        <v>0.12590000000000001</v>
      </c>
      <c r="M349" s="10">
        <v>0.1724</v>
      </c>
      <c r="N349" s="10">
        <v>6.053E-2</v>
      </c>
      <c r="O349" s="10">
        <v>0.43309999999999899</v>
      </c>
      <c r="P349" s="10">
        <v>1.0009999999999899</v>
      </c>
      <c r="Q349" s="10">
        <v>3.008</v>
      </c>
      <c r="R349" s="10">
        <v>52.49</v>
      </c>
      <c r="S349" s="10">
        <v>9.0869999999999892E-3</v>
      </c>
      <c r="T349" s="10">
        <v>2.7150000000000001E-2</v>
      </c>
      <c r="U349" s="10">
        <v>5.5460000000000002E-2</v>
      </c>
      <c r="V349" s="10">
        <v>1.9099999999999898E-2</v>
      </c>
      <c r="W349" s="10">
        <v>2.4510000000000001E-2</v>
      </c>
      <c r="X349" s="10">
        <v>4.0049999999999903E-3</v>
      </c>
      <c r="Y349" s="10">
        <v>22.03</v>
      </c>
      <c r="Z349" s="10">
        <v>25.07</v>
      </c>
      <c r="AA349" s="10">
        <v>146</v>
      </c>
      <c r="AB349" s="10">
        <v>1479</v>
      </c>
      <c r="AC349" s="10">
        <v>0.16650000000000001</v>
      </c>
      <c r="AD349" s="10">
        <v>0.29420000000000002</v>
      </c>
      <c r="AE349" s="10">
        <v>0.53080000000000005</v>
      </c>
      <c r="AF349" s="10">
        <v>0.21729999999999899</v>
      </c>
      <c r="AG349" s="10">
        <v>0.30320000000000003</v>
      </c>
      <c r="AH349">
        <v>8.0750000000000002E-2</v>
      </c>
    </row>
    <row r="350" spans="3:34">
      <c r="C350" s="11" t="s">
        <v>573</v>
      </c>
      <c r="D350" s="10" t="s">
        <v>0</v>
      </c>
      <c r="E350" s="10">
        <v>13.71</v>
      </c>
      <c r="F350" s="10">
        <v>21.969999999999899</v>
      </c>
      <c r="G350" s="10">
        <v>123.7</v>
      </c>
      <c r="H350" s="10">
        <v>1110</v>
      </c>
      <c r="I350" s="10">
        <v>0.1018</v>
      </c>
      <c r="J350" s="10">
        <v>0.1389</v>
      </c>
      <c r="K350" s="10">
        <v>0.15939999999999899</v>
      </c>
      <c r="L350" s="10">
        <v>8.7440000000000004E-2</v>
      </c>
      <c r="M350" s="10">
        <v>0.1943</v>
      </c>
      <c r="N350" s="10">
        <v>6.132E-2</v>
      </c>
      <c r="O350" s="10">
        <v>0.81910000000000005</v>
      </c>
      <c r="P350" s="10">
        <v>1.931</v>
      </c>
      <c r="Q350" s="10">
        <v>4.4930000000000003</v>
      </c>
      <c r="R350" s="10">
        <v>103.9</v>
      </c>
      <c r="S350" s="10">
        <v>8.0739999999999892E-3</v>
      </c>
      <c r="T350" s="10">
        <v>4.088E-2</v>
      </c>
      <c r="U350" s="10">
        <v>5.321E-2</v>
      </c>
      <c r="V350" s="10">
        <v>1.8339999999999902E-2</v>
      </c>
      <c r="W350" s="10">
        <v>2.383E-2</v>
      </c>
      <c r="X350" s="10">
        <v>4.5149999999999904E-3</v>
      </c>
      <c r="Y350" s="10">
        <v>22.66</v>
      </c>
      <c r="Z350" s="10">
        <v>30.93</v>
      </c>
      <c r="AA350" s="10">
        <v>145.30000000000001</v>
      </c>
      <c r="AB350" s="10">
        <v>1603</v>
      </c>
      <c r="AC350" s="10">
        <v>0.13900000000000001</v>
      </c>
      <c r="AD350" s="10">
        <v>0.3463</v>
      </c>
      <c r="AE350" s="10">
        <v>0.39119999999999899</v>
      </c>
      <c r="AF350" s="10">
        <v>0.17080000000000001</v>
      </c>
      <c r="AG350" s="10">
        <v>0.30070000000000002</v>
      </c>
      <c r="AH350">
        <v>8.3140000000000006E-2</v>
      </c>
    </row>
    <row r="351" spans="3:34">
      <c r="C351" s="11" t="s">
        <v>574</v>
      </c>
      <c r="D351" s="10" t="s">
        <v>1</v>
      </c>
      <c r="E351" s="10">
        <v>13.71</v>
      </c>
      <c r="F351" s="10">
        <v>16.940000000000001</v>
      </c>
      <c r="G351" s="10">
        <v>94.89</v>
      </c>
      <c r="H351" s="10">
        <v>673.7</v>
      </c>
      <c r="I351" s="10">
        <v>8.924E-2</v>
      </c>
      <c r="J351" s="10">
        <v>7.07399999999999E-2</v>
      </c>
      <c r="K351" s="10">
        <v>3.34599999999999E-2</v>
      </c>
      <c r="L351" s="10">
        <v>2.877E-2</v>
      </c>
      <c r="M351" s="10">
        <v>0.1573</v>
      </c>
      <c r="N351" s="10">
        <v>5.70299999999999E-2</v>
      </c>
      <c r="O351" s="10">
        <v>0.30280000000000001</v>
      </c>
      <c r="P351" s="10">
        <v>0.66830000000000001</v>
      </c>
      <c r="Q351" s="10">
        <v>1.6120000000000001</v>
      </c>
      <c r="R351" s="10">
        <v>23.92</v>
      </c>
      <c r="S351" s="10">
        <v>5.7559999999999903E-3</v>
      </c>
      <c r="T351" s="10">
        <v>1.6650000000000002E-2</v>
      </c>
      <c r="U351" s="10">
        <v>1.461E-2</v>
      </c>
      <c r="V351" s="10">
        <v>8.2810000000000002E-3</v>
      </c>
      <c r="W351" s="10">
        <v>1.5509999999999901E-2</v>
      </c>
      <c r="X351" s="10">
        <v>2.1679999999999898E-3</v>
      </c>
      <c r="Y351" s="10">
        <v>16.309999999999899</v>
      </c>
      <c r="Z351" s="10">
        <v>20.5399999999999</v>
      </c>
      <c r="AA351" s="10">
        <v>102.3</v>
      </c>
      <c r="AB351" s="10">
        <v>777.5</v>
      </c>
      <c r="AC351" s="10">
        <v>0.12180000000000001</v>
      </c>
      <c r="AD351" s="10">
        <v>0.155</v>
      </c>
      <c r="AE351" s="10">
        <v>0.122</v>
      </c>
      <c r="AF351" s="10">
        <v>7.9710000000000003E-2</v>
      </c>
      <c r="AG351" s="10">
        <v>0.2525</v>
      </c>
      <c r="AH351">
        <v>6.82699999999999E-2</v>
      </c>
    </row>
    <row r="352" spans="3:34">
      <c r="C352" s="11" t="s">
        <v>575</v>
      </c>
      <c r="D352" s="10" t="s">
        <v>0</v>
      </c>
      <c r="E352" s="10">
        <v>13.71</v>
      </c>
      <c r="F352" s="10">
        <v>19.62</v>
      </c>
      <c r="G352" s="10">
        <v>91.12</v>
      </c>
      <c r="H352" s="10">
        <v>599.5</v>
      </c>
      <c r="I352" s="10">
        <v>0.106</v>
      </c>
      <c r="J352" s="10">
        <v>0.1133</v>
      </c>
      <c r="K352" s="10">
        <v>0.11260000000000001</v>
      </c>
      <c r="L352" s="10">
        <v>6.4630000000000007E-2</v>
      </c>
      <c r="M352" s="10">
        <v>0.16689999999999899</v>
      </c>
      <c r="N352" s="10">
        <v>6.5439999999999901E-2</v>
      </c>
      <c r="O352" s="10">
        <v>0.2208</v>
      </c>
      <c r="P352" s="10">
        <v>0.95330000000000004</v>
      </c>
      <c r="Q352" s="10">
        <v>1.6020000000000001</v>
      </c>
      <c r="R352" s="10">
        <v>18.850000000000001</v>
      </c>
      <c r="S352" s="10">
        <v>5.3140000000000001E-3</v>
      </c>
      <c r="T352" s="10">
        <v>1.7909999999999902E-2</v>
      </c>
      <c r="U352" s="10">
        <v>2.1850000000000001E-2</v>
      </c>
      <c r="V352" s="10">
        <v>9.5670000000000009E-3</v>
      </c>
      <c r="W352" s="10">
        <v>1.223E-2</v>
      </c>
      <c r="X352" s="10">
        <v>2.846E-3</v>
      </c>
      <c r="Y352" s="10">
        <v>17.0399999999999</v>
      </c>
      <c r="Z352" s="10">
        <v>30.8</v>
      </c>
      <c r="AA352" s="10">
        <v>113.9</v>
      </c>
      <c r="AB352" s="10">
        <v>869.29999999999905</v>
      </c>
      <c r="AC352" s="10">
        <v>0.1613</v>
      </c>
      <c r="AD352" s="10">
        <v>0.35680000000000001</v>
      </c>
      <c r="AE352" s="10">
        <v>0.40689999999999898</v>
      </c>
      <c r="AF352" s="10">
        <v>0.1827</v>
      </c>
      <c r="AG352" s="10">
        <v>0.31790000000000002</v>
      </c>
      <c r="AH352">
        <v>0.1055</v>
      </c>
    </row>
    <row r="353" spans="3:34">
      <c r="C353" s="11" t="s">
        <v>576</v>
      </c>
      <c r="D353" s="10" t="s">
        <v>1</v>
      </c>
      <c r="E353" s="10">
        <v>13.71</v>
      </c>
      <c r="F353" s="10">
        <v>19.5399999999999</v>
      </c>
      <c r="G353" s="10">
        <v>82.67</v>
      </c>
      <c r="H353" s="10">
        <v>509.19999999999902</v>
      </c>
      <c r="I353" s="10">
        <v>9.13599999999999E-2</v>
      </c>
      <c r="J353" s="10">
        <v>7.88299999999999E-2</v>
      </c>
      <c r="K353" s="10">
        <v>1.797E-2</v>
      </c>
      <c r="L353" s="10">
        <v>2.0899999999999901E-2</v>
      </c>
      <c r="M353" s="10">
        <v>0.18609999999999899</v>
      </c>
      <c r="N353" s="10">
        <v>6.3469999999999901E-2</v>
      </c>
      <c r="O353" s="10">
        <v>0.36649999999999899</v>
      </c>
      <c r="P353" s="10">
        <v>0.76929999999999898</v>
      </c>
      <c r="Q353" s="10">
        <v>2.597</v>
      </c>
      <c r="R353" s="10">
        <v>26.5</v>
      </c>
      <c r="S353" s="10">
        <v>5.9100000000000003E-3</v>
      </c>
      <c r="T353" s="10">
        <v>1.362E-2</v>
      </c>
      <c r="U353" s="10">
        <v>7.0660000000000002E-3</v>
      </c>
      <c r="V353" s="10">
        <v>6.502E-3</v>
      </c>
      <c r="W353" s="10">
        <v>2.223E-2</v>
      </c>
      <c r="X353" s="10">
        <v>2.3779999999999899E-3</v>
      </c>
      <c r="Y353" s="10">
        <v>14.4499999999999</v>
      </c>
      <c r="Z353" s="10">
        <v>24.3799999999999</v>
      </c>
      <c r="AA353" s="10">
        <v>95.14</v>
      </c>
      <c r="AB353" s="10">
        <v>626.89999999999895</v>
      </c>
      <c r="AC353" s="10">
        <v>0.12139999999999899</v>
      </c>
      <c r="AD353" s="10">
        <v>0.16520000000000001</v>
      </c>
      <c r="AE353" s="10">
        <v>7.127E-2</v>
      </c>
      <c r="AF353" s="10">
        <v>6.3839999999999897E-2</v>
      </c>
      <c r="AG353" s="10">
        <v>0.33129999999999898</v>
      </c>
      <c r="AH353">
        <v>7.7350000000000002E-2</v>
      </c>
    </row>
    <row r="354" spans="3:34">
      <c r="C354" s="11" t="s">
        <v>577</v>
      </c>
      <c r="D354" s="10" t="s">
        <v>1</v>
      </c>
      <c r="E354" s="10">
        <v>13.71</v>
      </c>
      <c r="F354" s="10">
        <v>15.98</v>
      </c>
      <c r="G354" s="10">
        <v>89.78</v>
      </c>
      <c r="H354" s="10">
        <v>611.20000000000005</v>
      </c>
      <c r="I354" s="10">
        <v>8.4580000000000002E-2</v>
      </c>
      <c r="J354" s="10">
        <v>5.8950000000000002E-2</v>
      </c>
      <c r="K354" s="10">
        <v>3.5340000000000003E-2</v>
      </c>
      <c r="L354" s="10">
        <v>2.9440000000000001E-2</v>
      </c>
      <c r="M354" s="10">
        <v>0.1714</v>
      </c>
      <c r="N354" s="10">
        <v>5.8979999999999901E-2</v>
      </c>
      <c r="O354" s="10">
        <v>0.38919999999999899</v>
      </c>
      <c r="P354" s="10">
        <v>1.046</v>
      </c>
      <c r="Q354" s="10">
        <v>2.6440000000000001</v>
      </c>
      <c r="R354" s="10">
        <v>32.74</v>
      </c>
      <c r="S354" s="10">
        <v>7.9760000000000005E-3</v>
      </c>
      <c r="T354" s="10">
        <v>1.295E-2</v>
      </c>
      <c r="U354" s="10">
        <v>1.6080000000000001E-2</v>
      </c>
      <c r="V354" s="10">
        <v>9.0460000000000002E-3</v>
      </c>
      <c r="W354" s="10">
        <v>2.0049999999999901E-2</v>
      </c>
      <c r="X354" s="10">
        <v>2.8300000000000001E-3</v>
      </c>
      <c r="Y354" s="10">
        <v>15.66</v>
      </c>
      <c r="Z354" s="10">
        <v>21.579999999999899</v>
      </c>
      <c r="AA354" s="10">
        <v>101.2</v>
      </c>
      <c r="AB354" s="10">
        <v>750</v>
      </c>
      <c r="AC354" s="10">
        <v>0.1195</v>
      </c>
      <c r="AD354" s="10">
        <v>0.12520000000000001</v>
      </c>
      <c r="AE354" s="10">
        <v>0.11169999999999899</v>
      </c>
      <c r="AF354" s="10">
        <v>7.4529999999999902E-2</v>
      </c>
      <c r="AG354" s="10">
        <v>0.27250000000000002</v>
      </c>
      <c r="AH354">
        <v>7.2340000000000002E-2</v>
      </c>
    </row>
    <row r="355" spans="3:34">
      <c r="C355" s="11" t="s">
        <v>578</v>
      </c>
      <c r="D355" s="10" t="s">
        <v>1</v>
      </c>
      <c r="E355" s="10">
        <v>13.71</v>
      </c>
      <c r="F355" s="10">
        <v>19.600000000000001</v>
      </c>
      <c r="G355" s="10">
        <v>88.68</v>
      </c>
      <c r="H355" s="10">
        <v>592.6</v>
      </c>
      <c r="I355" s="10">
        <v>8.6840000000000001E-2</v>
      </c>
      <c r="J355" s="10">
        <v>6.3299999999999898E-2</v>
      </c>
      <c r="K355" s="10">
        <v>1.342E-2</v>
      </c>
      <c r="L355" s="10">
        <v>2.2929999999999898E-2</v>
      </c>
      <c r="M355" s="10">
        <v>0.1555</v>
      </c>
      <c r="N355" s="10">
        <v>5.6730000000000003E-2</v>
      </c>
      <c r="O355" s="10">
        <v>0.34189999999999898</v>
      </c>
      <c r="P355" s="10">
        <v>1.6779999999999899</v>
      </c>
      <c r="Q355" s="10">
        <v>2.331</v>
      </c>
      <c r="R355" s="10">
        <v>29.6299999999999</v>
      </c>
      <c r="S355" s="10">
        <v>5.836E-3</v>
      </c>
      <c r="T355" s="10">
        <v>1.095E-2</v>
      </c>
      <c r="U355" s="10">
        <v>5.8120000000000003E-3</v>
      </c>
      <c r="V355" s="10">
        <v>7.0390000000000001E-3</v>
      </c>
      <c r="W355" s="10">
        <v>2.0140000000000002E-2</v>
      </c>
      <c r="X355" s="10">
        <v>2.32599999999999E-3</v>
      </c>
      <c r="Y355" s="10">
        <v>15.63</v>
      </c>
      <c r="Z355" s="10">
        <v>28.01</v>
      </c>
      <c r="AA355" s="10">
        <v>100.9</v>
      </c>
      <c r="AB355" s="10">
        <v>749.1</v>
      </c>
      <c r="AC355" s="10">
        <v>0.1118</v>
      </c>
      <c r="AD355" s="10">
        <v>0.11409999999999899</v>
      </c>
      <c r="AE355" s="10">
        <v>4.7530000000000003E-2</v>
      </c>
      <c r="AF355" s="10">
        <v>5.8900000000000001E-2</v>
      </c>
      <c r="AG355" s="10">
        <v>0.25130000000000002</v>
      </c>
      <c r="AH355">
        <v>6.9110000000000005E-2</v>
      </c>
    </row>
    <row r="356" spans="3:34">
      <c r="C356" s="11" t="s">
        <v>579</v>
      </c>
      <c r="D356" s="10" t="s">
        <v>1</v>
      </c>
      <c r="E356" s="10">
        <v>13.71</v>
      </c>
      <c r="F356" s="10">
        <v>15.66</v>
      </c>
      <c r="G356" s="10">
        <v>89.59</v>
      </c>
      <c r="H356" s="10">
        <v>606.5</v>
      </c>
      <c r="I356" s="10">
        <v>7.9659999999999898E-2</v>
      </c>
      <c r="J356" s="10">
        <v>5.5809999999999901E-2</v>
      </c>
      <c r="K356" s="10">
        <v>2.087E-2</v>
      </c>
      <c r="L356" s="10">
        <v>2.6519999999999901E-2</v>
      </c>
      <c r="M356" s="10">
        <v>0.15890000000000001</v>
      </c>
      <c r="N356" s="10">
        <v>5.586E-2</v>
      </c>
      <c r="O356" s="10">
        <v>0.2142</v>
      </c>
      <c r="P356" s="10">
        <v>0.65490000000000004</v>
      </c>
      <c r="Q356" s="10">
        <v>1.6060000000000001</v>
      </c>
      <c r="R356" s="10">
        <v>19.25</v>
      </c>
      <c r="S356" s="10">
        <v>4.8370000000000002E-3</v>
      </c>
      <c r="T356" s="10">
        <v>9.2379999999999893E-3</v>
      </c>
      <c r="U356" s="10">
        <v>9.2130000000000007E-3</v>
      </c>
      <c r="V356" s="10">
        <v>1.076E-2</v>
      </c>
      <c r="W356" s="10">
        <v>1.171E-2</v>
      </c>
      <c r="X356" s="10">
        <v>2.104E-3</v>
      </c>
      <c r="Y356" s="10">
        <v>14.91</v>
      </c>
      <c r="Z356" s="10">
        <v>19.309999999999899</v>
      </c>
      <c r="AA356" s="10">
        <v>96.53</v>
      </c>
      <c r="AB356" s="10">
        <v>688.89999999999895</v>
      </c>
      <c r="AC356" s="10">
        <v>0.10340000000000001</v>
      </c>
      <c r="AD356" s="10">
        <v>0.1017</v>
      </c>
      <c r="AE356" s="10">
        <v>6.2600000000000003E-2</v>
      </c>
      <c r="AF356" s="10">
        <v>8.21599999999999E-2</v>
      </c>
      <c r="AG356" s="10">
        <v>0.21360000000000001</v>
      </c>
      <c r="AH356">
        <v>6.7100000000000007E-2</v>
      </c>
    </row>
    <row r="357" spans="3:34">
      <c r="C357" s="11" t="s">
        <v>580</v>
      </c>
      <c r="D357" s="10" t="s">
        <v>1</v>
      </c>
      <c r="E357" s="10">
        <v>13.71</v>
      </c>
      <c r="F357" s="10">
        <v>17.1999999999999</v>
      </c>
      <c r="G357" s="10">
        <v>71.73</v>
      </c>
      <c r="H357" s="10">
        <v>371.5</v>
      </c>
      <c r="I357" s="10">
        <v>8.9149999999999896E-2</v>
      </c>
      <c r="J357" s="10">
        <v>0.1113</v>
      </c>
      <c r="K357" s="10">
        <v>9.4570000000000001E-2</v>
      </c>
      <c r="L357" s="10">
        <v>3.6130000000000002E-2</v>
      </c>
      <c r="M357" s="10">
        <v>0.1489</v>
      </c>
      <c r="N357" s="10">
        <v>6.6400000000000001E-2</v>
      </c>
      <c r="O357" s="10">
        <v>0.25740000000000002</v>
      </c>
      <c r="P357" s="10">
        <v>1.3759999999999899</v>
      </c>
      <c r="Q357" s="10">
        <v>2.806</v>
      </c>
      <c r="R357" s="10">
        <v>18.149999999999899</v>
      </c>
      <c r="S357" s="10">
        <v>8.5649999999999893E-3</v>
      </c>
      <c r="T357" s="10">
        <v>4.63799999999999E-2</v>
      </c>
      <c r="U357" s="10">
        <v>6.4299999999999899E-2</v>
      </c>
      <c r="V357" s="10">
        <v>1.7680000000000001E-2</v>
      </c>
      <c r="W357" s="10">
        <v>1.516E-2</v>
      </c>
      <c r="X357" s="10">
        <v>4.9760000000000004E-3</v>
      </c>
      <c r="Y357" s="10">
        <v>12.3599999999999</v>
      </c>
      <c r="Z357" s="10">
        <v>26.87</v>
      </c>
      <c r="AA357" s="10">
        <v>90.14</v>
      </c>
      <c r="AB357" s="10">
        <v>476.39999999999901</v>
      </c>
      <c r="AC357" s="10">
        <v>0.1391</v>
      </c>
      <c r="AD357" s="10">
        <v>0.40820000000000001</v>
      </c>
      <c r="AE357" s="10">
        <v>0.47789999999999899</v>
      </c>
      <c r="AF357" s="10">
        <v>0.1555</v>
      </c>
      <c r="AG357" s="10">
        <v>0.254</v>
      </c>
      <c r="AH357">
        <v>9.5320000000000002E-2</v>
      </c>
    </row>
    <row r="358" spans="3:34">
      <c r="C358" s="11" t="s">
        <v>581</v>
      </c>
      <c r="D358" s="10" t="s">
        <v>0</v>
      </c>
      <c r="E358" s="10">
        <v>13.71</v>
      </c>
      <c r="F358" s="10">
        <v>25.42</v>
      </c>
      <c r="G358" s="10">
        <v>112.4</v>
      </c>
      <c r="H358" s="10">
        <v>928.79999999999905</v>
      </c>
      <c r="I358" s="10">
        <v>8.3309999999999898E-2</v>
      </c>
      <c r="J358" s="10">
        <v>0.1109</v>
      </c>
      <c r="K358" s="10">
        <v>0.12039999999999899</v>
      </c>
      <c r="L358" s="10">
        <v>5.7360000000000001E-2</v>
      </c>
      <c r="M358" s="10">
        <v>0.1467</v>
      </c>
      <c r="N358" s="10">
        <v>5.407E-2</v>
      </c>
      <c r="O358" s="10">
        <v>0.51</v>
      </c>
      <c r="P358" s="10">
        <v>1.679</v>
      </c>
      <c r="Q358" s="10">
        <v>3.2829999999999901</v>
      </c>
      <c r="R358" s="10">
        <v>58.38</v>
      </c>
      <c r="S358" s="10">
        <v>8.1089999999999895E-3</v>
      </c>
      <c r="T358" s="10">
        <v>4.308E-2</v>
      </c>
      <c r="U358" s="10">
        <v>4.9419999999999902E-2</v>
      </c>
      <c r="V358" s="10">
        <v>1.7420000000000001E-2</v>
      </c>
      <c r="W358" s="10">
        <v>1.5939999999999899E-2</v>
      </c>
      <c r="X358" s="10">
        <v>3.7390000000000001E-3</v>
      </c>
      <c r="Y358" s="10">
        <v>20.3799999999999</v>
      </c>
      <c r="Z358" s="10">
        <v>35.46</v>
      </c>
      <c r="AA358" s="10">
        <v>132.80000000000001</v>
      </c>
      <c r="AB358" s="10">
        <v>1284</v>
      </c>
      <c r="AC358" s="10">
        <v>0.14360000000000001</v>
      </c>
      <c r="AD358" s="10">
        <v>0.41220000000000001</v>
      </c>
      <c r="AE358" s="10">
        <v>0.50360000000000005</v>
      </c>
      <c r="AF358" s="10">
        <v>0.1739</v>
      </c>
      <c r="AG358" s="10">
        <v>0.25</v>
      </c>
      <c r="AH358">
        <v>7.94399999999999E-2</v>
      </c>
    </row>
    <row r="359" spans="3:34">
      <c r="C359" s="11" t="s">
        <v>582</v>
      </c>
      <c r="D359" s="10" t="s">
        <v>1</v>
      </c>
      <c r="E359" s="10">
        <v>13.71</v>
      </c>
      <c r="F359" s="10">
        <v>15.7899999999999</v>
      </c>
      <c r="G359" s="10">
        <v>88.37</v>
      </c>
      <c r="H359" s="10">
        <v>585.89999999999895</v>
      </c>
      <c r="I359" s="10">
        <v>8.8169999999999901E-2</v>
      </c>
      <c r="J359" s="10">
        <v>6.7180000000000004E-2</v>
      </c>
      <c r="K359" s="10">
        <v>1.055E-2</v>
      </c>
      <c r="L359" s="10">
        <v>9.9369999999999892E-3</v>
      </c>
      <c r="M359" s="10">
        <v>0.14050000000000001</v>
      </c>
      <c r="N359" s="10">
        <v>5.84799999999999E-2</v>
      </c>
      <c r="O359" s="10">
        <v>0.35630000000000001</v>
      </c>
      <c r="P359" s="10">
        <v>0.48330000000000001</v>
      </c>
      <c r="Q359" s="10">
        <v>2.2349999999999901</v>
      </c>
      <c r="R359" s="10">
        <v>29.34</v>
      </c>
      <c r="S359" s="10">
        <v>6.4320000000000002E-3</v>
      </c>
      <c r="T359" s="10">
        <v>1.1560000000000001E-2</v>
      </c>
      <c r="U359" s="10">
        <v>7.7409999999999901E-3</v>
      </c>
      <c r="V359" s="10">
        <v>5.6569999999999902E-3</v>
      </c>
      <c r="W359" s="10">
        <v>1.227E-2</v>
      </c>
      <c r="X359" s="10">
        <v>2.5639999999999899E-3</v>
      </c>
      <c r="Y359" s="10">
        <v>15.27</v>
      </c>
      <c r="Z359" s="10">
        <v>17.5</v>
      </c>
      <c r="AA359" s="10">
        <v>97.9</v>
      </c>
      <c r="AB359" s="10">
        <v>706.6</v>
      </c>
      <c r="AC359" s="10">
        <v>0.1072</v>
      </c>
      <c r="AD359" s="10">
        <v>0.1071</v>
      </c>
      <c r="AE359" s="10">
        <v>3.517E-2</v>
      </c>
      <c r="AF359" s="10">
        <v>3.31199999999999E-2</v>
      </c>
      <c r="AG359" s="10">
        <v>0.18590000000000001</v>
      </c>
      <c r="AH359">
        <v>6.8099999999999897E-2</v>
      </c>
    </row>
    <row r="360" spans="3:34">
      <c r="C360" s="11" t="s">
        <v>583</v>
      </c>
      <c r="D360" s="10" t="s">
        <v>1</v>
      </c>
      <c r="E360" s="10">
        <v>13.71</v>
      </c>
      <c r="F360" s="10">
        <v>18.32</v>
      </c>
      <c r="G360" s="10">
        <v>66.819999999999894</v>
      </c>
      <c r="H360" s="10">
        <v>340.89999999999901</v>
      </c>
      <c r="I360" s="10">
        <v>8.1420000000000006E-2</v>
      </c>
      <c r="J360" s="10">
        <v>4.462E-2</v>
      </c>
      <c r="K360" s="10">
        <v>1.993E-2</v>
      </c>
      <c r="L360" s="10">
        <v>1.111E-2</v>
      </c>
      <c r="M360" s="10">
        <v>0.23719999999999899</v>
      </c>
      <c r="N360" s="10">
        <v>5.7680000000000002E-2</v>
      </c>
      <c r="O360" s="10">
        <v>0.18179999999999899</v>
      </c>
      <c r="P360" s="10">
        <v>2.54199999999999</v>
      </c>
      <c r="Q360" s="10">
        <v>1.2769999999999899</v>
      </c>
      <c r="R360" s="10">
        <v>13.1199999999999</v>
      </c>
      <c r="S360" s="10">
        <v>1.072E-2</v>
      </c>
      <c r="T360" s="10">
        <v>1.3310000000000001E-2</v>
      </c>
      <c r="U360" s="10">
        <v>1.993E-2</v>
      </c>
      <c r="V360" s="10">
        <v>1.111E-2</v>
      </c>
      <c r="W360" s="10">
        <v>1.7170000000000001E-2</v>
      </c>
      <c r="X360" s="10">
        <v>4.4920000000000003E-3</v>
      </c>
      <c r="Y360" s="10">
        <v>10.94</v>
      </c>
      <c r="Z360" s="10">
        <v>23.309999999999899</v>
      </c>
      <c r="AA360" s="10">
        <v>69.349999999999895</v>
      </c>
      <c r="AB360" s="10">
        <v>366.3</v>
      </c>
      <c r="AC360" s="10">
        <v>9.7939999999999902E-2</v>
      </c>
      <c r="AD360" s="10">
        <v>6.5420000000000006E-2</v>
      </c>
      <c r="AE360" s="10">
        <v>3.986E-2</v>
      </c>
      <c r="AF360" s="10">
        <v>2.222E-2</v>
      </c>
      <c r="AG360" s="10">
        <v>0.26989999999999897</v>
      </c>
      <c r="AH360">
        <v>6.7360000000000003E-2</v>
      </c>
    </row>
    <row r="361" spans="3:34">
      <c r="C361" s="11" t="s">
        <v>584</v>
      </c>
      <c r="D361" s="10" t="s">
        <v>0</v>
      </c>
      <c r="E361" s="10">
        <v>13.71</v>
      </c>
      <c r="F361" s="10">
        <v>16.850000000000001</v>
      </c>
      <c r="G361" s="10">
        <v>117.5</v>
      </c>
      <c r="H361" s="10">
        <v>990</v>
      </c>
      <c r="I361" s="10">
        <v>8.9469999999999897E-2</v>
      </c>
      <c r="J361" s="10">
        <v>0.1232</v>
      </c>
      <c r="K361" s="10">
        <v>0.109</v>
      </c>
      <c r="L361" s="10">
        <v>6.2539999999999901E-2</v>
      </c>
      <c r="M361" s="10">
        <v>0.17199999999999899</v>
      </c>
      <c r="N361" s="10">
        <v>5.77999999999999E-2</v>
      </c>
      <c r="O361" s="10">
        <v>0.29859999999999898</v>
      </c>
      <c r="P361" s="10">
        <v>0.59060000000000001</v>
      </c>
      <c r="Q361" s="10">
        <v>1.921</v>
      </c>
      <c r="R361" s="10">
        <v>35.770000000000003</v>
      </c>
      <c r="S361" s="10">
        <v>4.117E-3</v>
      </c>
      <c r="T361" s="10">
        <v>1.55999999999999E-2</v>
      </c>
      <c r="U361" s="10">
        <v>2.9749999999999902E-2</v>
      </c>
      <c r="V361" s="10">
        <v>9.7529999999999908E-3</v>
      </c>
      <c r="W361" s="10">
        <v>1.295E-2</v>
      </c>
      <c r="X361" s="10">
        <v>2.4359999999999898E-3</v>
      </c>
      <c r="Y361" s="10">
        <v>20.3799999999999</v>
      </c>
      <c r="Z361" s="10">
        <v>22.02</v>
      </c>
      <c r="AA361" s="10">
        <v>133.30000000000001</v>
      </c>
      <c r="AB361" s="10">
        <v>1292</v>
      </c>
      <c r="AC361" s="10">
        <v>0.1263</v>
      </c>
      <c r="AD361" s="10">
        <v>0.2666</v>
      </c>
      <c r="AE361" s="10">
        <v>0.42899999999999899</v>
      </c>
      <c r="AF361" s="10">
        <v>0.1535</v>
      </c>
      <c r="AG361" s="10">
        <v>0.28420000000000001</v>
      </c>
      <c r="AH361">
        <v>8.2250000000000004E-2</v>
      </c>
    </row>
    <row r="362" spans="3:34">
      <c r="C362" s="11" t="s">
        <v>585</v>
      </c>
      <c r="D362" s="10" t="s">
        <v>1</v>
      </c>
      <c r="E362" s="10">
        <v>13.71</v>
      </c>
      <c r="F362" s="10">
        <v>24.89</v>
      </c>
      <c r="G362" s="10">
        <v>77.6099999999999</v>
      </c>
      <c r="H362" s="10">
        <v>441.3</v>
      </c>
      <c r="I362" s="10">
        <v>0.102999999999999</v>
      </c>
      <c r="J362" s="10">
        <v>9.2179999999999901E-2</v>
      </c>
      <c r="K362" s="10">
        <v>5.441E-2</v>
      </c>
      <c r="L362" s="10">
        <v>4.274E-2</v>
      </c>
      <c r="M362" s="10">
        <v>0.182</v>
      </c>
      <c r="N362" s="10">
        <v>6.8500000000000005E-2</v>
      </c>
      <c r="O362" s="10">
        <v>0.26229999999999898</v>
      </c>
      <c r="P362" s="10">
        <v>1.204</v>
      </c>
      <c r="Q362" s="10">
        <v>1.865</v>
      </c>
      <c r="R362" s="10">
        <v>19.39</v>
      </c>
      <c r="S362" s="10">
        <v>8.3199999999999906E-3</v>
      </c>
      <c r="T362" s="10">
        <v>2.0250000000000001E-2</v>
      </c>
      <c r="U362" s="10">
        <v>2.334E-2</v>
      </c>
      <c r="V362" s="10">
        <v>1.6650000000000002E-2</v>
      </c>
      <c r="W362" s="10">
        <v>2.094E-2</v>
      </c>
      <c r="X362" s="10">
        <v>3.6740000000000002E-3</v>
      </c>
      <c r="Y362" s="10">
        <v>12.98</v>
      </c>
      <c r="Z362" s="10">
        <v>30.3599999999999</v>
      </c>
      <c r="AA362" s="10">
        <v>84.48</v>
      </c>
      <c r="AB362" s="10">
        <v>513.89999999999895</v>
      </c>
      <c r="AC362" s="10">
        <v>0.131099999999999</v>
      </c>
      <c r="AD362" s="10">
        <v>0.1822</v>
      </c>
      <c r="AE362" s="10">
        <v>0.16089999999999899</v>
      </c>
      <c r="AF362" s="10">
        <v>0.1202</v>
      </c>
      <c r="AG362" s="10">
        <v>0.25990000000000002</v>
      </c>
      <c r="AH362">
        <v>8.251E-2</v>
      </c>
    </row>
    <row r="363" spans="3:34">
      <c r="C363" s="11" t="s">
        <v>586</v>
      </c>
      <c r="D363" s="10" t="s">
        <v>0</v>
      </c>
      <c r="E363" s="10">
        <v>13.71</v>
      </c>
      <c r="F363" s="10">
        <v>28.03</v>
      </c>
      <c r="G363" s="10">
        <v>117.3</v>
      </c>
      <c r="H363" s="10">
        <v>981.6</v>
      </c>
      <c r="I363" s="10">
        <v>9.9970000000000003E-2</v>
      </c>
      <c r="J363" s="10">
        <v>0.13139999999999899</v>
      </c>
      <c r="K363" s="10">
        <v>0.16980000000000001</v>
      </c>
      <c r="L363" s="10">
        <v>8.2930000000000004E-2</v>
      </c>
      <c r="M363" s="10">
        <v>0.17130000000000001</v>
      </c>
      <c r="N363" s="10">
        <v>5.91599999999999E-2</v>
      </c>
      <c r="O363" s="10">
        <v>0.38969999999999899</v>
      </c>
      <c r="P363" s="10">
        <v>1.077</v>
      </c>
      <c r="Q363" s="10">
        <v>2.8730000000000002</v>
      </c>
      <c r="R363" s="10">
        <v>43.95</v>
      </c>
      <c r="S363" s="10">
        <v>4.7140000000000003E-3</v>
      </c>
      <c r="T363" s="10">
        <v>2.0150000000000001E-2</v>
      </c>
      <c r="U363" s="10">
        <v>3.6970000000000003E-2</v>
      </c>
      <c r="V363" s="10">
        <v>1.11E-2</v>
      </c>
      <c r="W363" s="10">
        <v>1.2370000000000001E-2</v>
      </c>
      <c r="X363" s="10">
        <v>2.5560000000000001E-3</v>
      </c>
      <c r="Y363" s="10">
        <v>21.53</v>
      </c>
      <c r="Z363" s="10">
        <v>38.5399999999999</v>
      </c>
      <c r="AA363" s="10">
        <v>145.4</v>
      </c>
      <c r="AB363" s="10">
        <v>1437</v>
      </c>
      <c r="AC363" s="10">
        <v>0.1401</v>
      </c>
      <c r="AD363" s="10">
        <v>0.37619999999999898</v>
      </c>
      <c r="AE363" s="10">
        <v>0.63990000000000002</v>
      </c>
      <c r="AF363" s="10">
        <v>0.19700000000000001</v>
      </c>
      <c r="AG363" s="10">
        <v>0.29720000000000002</v>
      </c>
      <c r="AH363">
        <v>9.07499999999999E-2</v>
      </c>
    </row>
    <row r="364" spans="3:34">
      <c r="C364" s="11" t="s">
        <v>587</v>
      </c>
      <c r="D364" s="10" t="s">
        <v>1</v>
      </c>
      <c r="E364" s="10">
        <v>13.71</v>
      </c>
      <c r="F364" s="10">
        <v>17.66</v>
      </c>
      <c r="G364" s="10">
        <v>95.879999999999896</v>
      </c>
      <c r="H364" s="10">
        <v>674.79999999999905</v>
      </c>
      <c r="I364" s="10">
        <v>9.1789999999999899E-2</v>
      </c>
      <c r="J364" s="10">
        <v>8.8900000000000007E-2</v>
      </c>
      <c r="K364" s="10">
        <v>4.06899999999999E-2</v>
      </c>
      <c r="L364" s="10">
        <v>2.2599999999999901E-2</v>
      </c>
      <c r="M364" s="10">
        <v>0.1893</v>
      </c>
      <c r="N364" s="10">
        <v>5.8860000000000003E-2</v>
      </c>
      <c r="O364" s="10">
        <v>0.22040000000000001</v>
      </c>
      <c r="P364" s="10">
        <v>0.62209999999999899</v>
      </c>
      <c r="Q364" s="10">
        <v>1.482</v>
      </c>
      <c r="R364" s="10">
        <v>19.75</v>
      </c>
      <c r="S364" s="10">
        <v>4.7959999999999904E-3</v>
      </c>
      <c r="T364" s="10">
        <v>1.171E-2</v>
      </c>
      <c r="U364" s="10">
        <v>1.7579999999999901E-2</v>
      </c>
      <c r="V364" s="10">
        <v>6.8970000000000004E-3</v>
      </c>
      <c r="W364" s="10">
        <v>2.2540000000000001E-2</v>
      </c>
      <c r="X364" s="10">
        <v>1.9710000000000001E-3</v>
      </c>
      <c r="Y364" s="10">
        <v>16.43</v>
      </c>
      <c r="Z364" s="10">
        <v>22.739999999999899</v>
      </c>
      <c r="AA364" s="10">
        <v>105.9</v>
      </c>
      <c r="AB364" s="10">
        <v>829.5</v>
      </c>
      <c r="AC364" s="10">
        <v>0.1226</v>
      </c>
      <c r="AD364" s="10">
        <v>0.18809999999999899</v>
      </c>
      <c r="AE364" s="10">
        <v>0.20599999999999899</v>
      </c>
      <c r="AF364" s="10">
        <v>8.3080000000000001E-2</v>
      </c>
      <c r="AG364" s="10">
        <v>0.35999999999999899</v>
      </c>
      <c r="AH364">
        <v>7.2849999999999901E-2</v>
      </c>
    </row>
    <row r="365" spans="3:34">
      <c r="C365" s="11" t="s">
        <v>588</v>
      </c>
      <c r="D365" s="10" t="s">
        <v>1</v>
      </c>
      <c r="E365" s="10">
        <v>13.71</v>
      </c>
      <c r="F365" s="10">
        <v>19.34</v>
      </c>
      <c r="G365" s="10">
        <v>94.25</v>
      </c>
      <c r="H365" s="10">
        <v>659.7</v>
      </c>
      <c r="I365" s="10">
        <v>8.3879999999999899E-2</v>
      </c>
      <c r="J365" s="10">
        <v>7.8E-2</v>
      </c>
      <c r="K365" s="10">
        <v>8.8169999999999901E-2</v>
      </c>
      <c r="L365" s="10">
        <v>2.9250000000000002E-2</v>
      </c>
      <c r="M365" s="10">
        <v>0.14729999999999899</v>
      </c>
      <c r="N365" s="10">
        <v>5.74599999999999E-2</v>
      </c>
      <c r="O365" s="10">
        <v>0.2535</v>
      </c>
      <c r="P365" s="10">
        <v>1.3540000000000001</v>
      </c>
      <c r="Q365" s="10">
        <v>1.994</v>
      </c>
      <c r="R365" s="10">
        <v>23.0399999999999</v>
      </c>
      <c r="S365" s="10">
        <v>4.1469999999999901E-3</v>
      </c>
      <c r="T365" s="10">
        <v>2.0480000000000002E-2</v>
      </c>
      <c r="U365" s="10">
        <v>3.3790000000000001E-2</v>
      </c>
      <c r="V365" s="10">
        <v>8.848E-3</v>
      </c>
      <c r="W365" s="10">
        <v>1.39399999999999E-2</v>
      </c>
      <c r="X365" s="10">
        <v>2.3270000000000001E-3</v>
      </c>
      <c r="Y365" s="10">
        <v>16.3</v>
      </c>
      <c r="Z365" s="10">
        <v>28.39</v>
      </c>
      <c r="AA365" s="10">
        <v>108.099999999999</v>
      </c>
      <c r="AB365" s="10">
        <v>830.5</v>
      </c>
      <c r="AC365" s="10">
        <v>0.1089</v>
      </c>
      <c r="AD365" s="10">
        <v>0.26490000000000002</v>
      </c>
      <c r="AE365" s="10">
        <v>0.37790000000000001</v>
      </c>
      <c r="AF365" s="10">
        <v>9.59399999999999E-2</v>
      </c>
      <c r="AG365" s="10">
        <v>0.24709999999999899</v>
      </c>
      <c r="AH365">
        <v>7.4630000000000002E-2</v>
      </c>
    </row>
    <row r="366" spans="3:34">
      <c r="C366" s="11" t="s">
        <v>590</v>
      </c>
      <c r="D366" s="10" t="s">
        <v>1</v>
      </c>
      <c r="E366" s="10">
        <v>13.71</v>
      </c>
      <c r="F366" s="10">
        <v>21.5399999999999</v>
      </c>
      <c r="G366" s="10">
        <v>76.829999999999899</v>
      </c>
      <c r="H366" s="10">
        <v>432</v>
      </c>
      <c r="I366" s="10">
        <v>6.6129999999999897E-2</v>
      </c>
      <c r="J366" s="10">
        <v>0.106399999999999</v>
      </c>
      <c r="K366" s="10">
        <v>8.7770000000000001E-2</v>
      </c>
      <c r="L366" s="10">
        <v>2.3859999999999899E-2</v>
      </c>
      <c r="M366" s="10">
        <v>0.13489999999999899</v>
      </c>
      <c r="N366" s="10">
        <v>6.6119999999999901E-2</v>
      </c>
      <c r="O366" s="10">
        <v>0.25600000000000001</v>
      </c>
      <c r="P366" s="10">
        <v>1.554</v>
      </c>
      <c r="Q366" s="10">
        <v>1.9550000000000001</v>
      </c>
      <c r="R366" s="10">
        <v>20.239999999999899</v>
      </c>
      <c r="S366" s="10">
        <v>6.8539999999999903E-3</v>
      </c>
      <c r="T366" s="10">
        <v>6.0630000000000003E-2</v>
      </c>
      <c r="U366" s="10">
        <v>6.6629999999999898E-2</v>
      </c>
      <c r="V366" s="10">
        <v>1.553E-2</v>
      </c>
      <c r="W366" s="10">
        <v>2.3539999999999901E-2</v>
      </c>
      <c r="X366" s="10">
        <v>8.9250000000000006E-3</v>
      </c>
      <c r="Y366" s="10">
        <v>12.7899999999999</v>
      </c>
      <c r="Z366" s="10">
        <v>28.18</v>
      </c>
      <c r="AA366" s="10">
        <v>83.51</v>
      </c>
      <c r="AB366" s="10">
        <v>507.19999999999902</v>
      </c>
      <c r="AC366" s="10">
        <v>9.4570000000000001E-2</v>
      </c>
      <c r="AD366" s="10">
        <v>0.33989999999999898</v>
      </c>
      <c r="AE366" s="10">
        <v>0.32179999999999898</v>
      </c>
      <c r="AF366" s="10">
        <v>8.7499999999999897E-2</v>
      </c>
      <c r="AG366" s="10">
        <v>0.23050000000000001</v>
      </c>
      <c r="AH366">
        <v>9.95199999999999E-2</v>
      </c>
    </row>
    <row r="367" spans="3:34">
      <c r="C367" s="11" t="s">
        <v>591</v>
      </c>
      <c r="D367" s="10" t="s">
        <v>0</v>
      </c>
      <c r="E367" s="10">
        <v>13.71</v>
      </c>
      <c r="F367" s="10">
        <v>25</v>
      </c>
      <c r="G367" s="10">
        <v>127.7</v>
      </c>
      <c r="H367" s="10">
        <v>1191</v>
      </c>
      <c r="I367" s="10">
        <v>0.1032</v>
      </c>
      <c r="J367" s="10">
        <v>9.8710000000000006E-2</v>
      </c>
      <c r="K367" s="10">
        <v>0.16550000000000001</v>
      </c>
      <c r="L367" s="10">
        <v>9.0630000000000002E-2</v>
      </c>
      <c r="M367" s="10">
        <v>0.1663</v>
      </c>
      <c r="N367" s="10">
        <v>5.391E-2</v>
      </c>
      <c r="O367" s="10">
        <v>0.46739999999999898</v>
      </c>
      <c r="P367" s="10">
        <v>1.375</v>
      </c>
      <c r="Q367" s="10">
        <v>2.9159999999999902</v>
      </c>
      <c r="R367" s="10">
        <v>56.18</v>
      </c>
      <c r="S367" s="10">
        <v>1.1900000000000001E-2</v>
      </c>
      <c r="T367" s="10">
        <v>1.9290000000000002E-2</v>
      </c>
      <c r="U367" s="10">
        <v>4.9070000000000003E-2</v>
      </c>
      <c r="V367" s="10">
        <v>1.499E-2</v>
      </c>
      <c r="W367" s="10">
        <v>1.6410000000000001E-2</v>
      </c>
      <c r="X367" s="10">
        <v>1.807E-3</v>
      </c>
      <c r="Y367" s="10">
        <v>21.44</v>
      </c>
      <c r="Z367" s="10">
        <v>30.96</v>
      </c>
      <c r="AA367" s="10">
        <v>139.80000000000001</v>
      </c>
      <c r="AB367" s="10">
        <v>1421</v>
      </c>
      <c r="AC367" s="10">
        <v>0.15279999999999899</v>
      </c>
      <c r="AD367" s="10">
        <v>0.1845</v>
      </c>
      <c r="AE367" s="10">
        <v>0.3977</v>
      </c>
      <c r="AF367" s="10">
        <v>0.14660000000000001</v>
      </c>
      <c r="AG367" s="10">
        <v>0.2293</v>
      </c>
      <c r="AH367">
        <v>6.0909999999999902E-2</v>
      </c>
    </row>
    <row r="368" spans="3:34">
      <c r="C368" s="11" t="s">
        <v>592</v>
      </c>
      <c r="D368" s="10" t="s">
        <v>1</v>
      </c>
      <c r="E368" s="10">
        <v>13.71</v>
      </c>
      <c r="F368" s="10">
        <v>28.23</v>
      </c>
      <c r="G368" s="10">
        <v>76.769999999999897</v>
      </c>
      <c r="H368" s="10">
        <v>442.5</v>
      </c>
      <c r="I368" s="10">
        <v>8.4370000000000001E-2</v>
      </c>
      <c r="J368" s="10">
        <v>6.4500000000000002E-2</v>
      </c>
      <c r="K368" s="10">
        <v>4.0550000000000003E-2</v>
      </c>
      <c r="L368" s="10">
        <v>1.9449999999999901E-2</v>
      </c>
      <c r="M368" s="10">
        <v>0.1615</v>
      </c>
      <c r="N368" s="10">
        <v>6.10399999999999E-2</v>
      </c>
      <c r="O368" s="10">
        <v>0.19120000000000001</v>
      </c>
      <c r="P368" s="10">
        <v>1.7050000000000001</v>
      </c>
      <c r="Q368" s="10">
        <v>1.516</v>
      </c>
      <c r="R368" s="10">
        <v>13.8599999999999</v>
      </c>
      <c r="S368" s="10">
        <v>7.3340000000000002E-3</v>
      </c>
      <c r="T368" s="10">
        <v>2.589E-2</v>
      </c>
      <c r="U368" s="10">
        <v>2.9409999999999901E-2</v>
      </c>
      <c r="V368" s="10">
        <v>9.1660000000000005E-3</v>
      </c>
      <c r="W368" s="10">
        <v>1.745E-2</v>
      </c>
      <c r="X368" s="10">
        <v>4.3020000000000003E-3</v>
      </c>
      <c r="Y368" s="10">
        <v>13.09</v>
      </c>
      <c r="Z368" s="10">
        <v>37.880000000000003</v>
      </c>
      <c r="AA368" s="10">
        <v>85.069999999999894</v>
      </c>
      <c r="AB368" s="10">
        <v>523.70000000000005</v>
      </c>
      <c r="AC368" s="10">
        <v>0.1208</v>
      </c>
      <c r="AD368" s="10">
        <v>0.18559999999999899</v>
      </c>
      <c r="AE368" s="10">
        <v>0.18110000000000001</v>
      </c>
      <c r="AF368" s="10">
        <v>7.1160000000000001E-2</v>
      </c>
      <c r="AG368" s="10">
        <v>0.2447</v>
      </c>
      <c r="AH368">
        <v>8.1939999999999902E-2</v>
      </c>
    </row>
    <row r="369" spans="3:34">
      <c r="C369" s="11" t="s">
        <v>593</v>
      </c>
      <c r="D369" s="10" t="s">
        <v>1</v>
      </c>
      <c r="E369" s="10">
        <v>13.71</v>
      </c>
      <c r="F369" s="10">
        <v>13.98</v>
      </c>
      <c r="G369" s="10">
        <v>93.8599999999999</v>
      </c>
      <c r="H369" s="10">
        <v>644.20000000000005</v>
      </c>
      <c r="I369" s="10">
        <v>0.1099</v>
      </c>
      <c r="J369" s="10">
        <v>9.2420000000000002E-2</v>
      </c>
      <c r="K369" s="10">
        <v>6.89499999999999E-2</v>
      </c>
      <c r="L369" s="10">
        <v>6.4949999999999897E-2</v>
      </c>
      <c r="M369" s="10">
        <v>0.16500000000000001</v>
      </c>
      <c r="N369" s="10">
        <v>6.1210000000000001E-2</v>
      </c>
      <c r="O369" s="10">
        <v>0.305999999999999</v>
      </c>
      <c r="P369" s="10">
        <v>0.72130000000000005</v>
      </c>
      <c r="Q369" s="10">
        <v>2.14299999999999</v>
      </c>
      <c r="R369" s="10">
        <v>25.6999999999999</v>
      </c>
      <c r="S369" s="10">
        <v>6.1330000000000004E-3</v>
      </c>
      <c r="T369" s="10">
        <v>1.251E-2</v>
      </c>
      <c r="U369" s="10">
        <v>1.6150000000000001E-2</v>
      </c>
      <c r="V369" s="10">
        <v>1.136E-2</v>
      </c>
      <c r="W369" s="10">
        <v>2.2069999999999899E-2</v>
      </c>
      <c r="X369" s="10">
        <v>3.5630000000000002E-3</v>
      </c>
      <c r="Y369" s="10">
        <v>15.8</v>
      </c>
      <c r="Z369" s="10">
        <v>16.93</v>
      </c>
      <c r="AA369" s="10">
        <v>103.099999999999</v>
      </c>
      <c r="AB369" s="10">
        <v>749.89999999999895</v>
      </c>
      <c r="AC369" s="10">
        <v>0.13469999999999899</v>
      </c>
      <c r="AD369" s="10">
        <v>0.14779999999999899</v>
      </c>
      <c r="AE369" s="10">
        <v>0.13730000000000001</v>
      </c>
      <c r="AF369" s="10">
        <v>0.1069</v>
      </c>
      <c r="AG369" s="10">
        <v>0.2606</v>
      </c>
      <c r="AH369">
        <v>7.8100000000000003E-2</v>
      </c>
    </row>
    <row r="370" spans="3:34">
      <c r="C370" s="11" t="s">
        <v>594</v>
      </c>
      <c r="D370" s="10" t="s">
        <v>1</v>
      </c>
      <c r="E370" s="10">
        <v>13.71</v>
      </c>
      <c r="F370" s="10">
        <v>17.149999999999899</v>
      </c>
      <c r="G370" s="10">
        <v>80.62</v>
      </c>
      <c r="H370" s="10">
        <v>492.89999999999901</v>
      </c>
      <c r="I370" s="10">
        <v>8.5830000000000004E-2</v>
      </c>
      <c r="J370" s="10">
        <v>5.4300000000000001E-2</v>
      </c>
      <c r="K370" s="10">
        <v>2.9659999999999902E-2</v>
      </c>
      <c r="L370" s="10">
        <v>2.2720000000000001E-2</v>
      </c>
      <c r="M370" s="10">
        <v>0.1799</v>
      </c>
      <c r="N370" s="10">
        <v>5.8259999999999902E-2</v>
      </c>
      <c r="O370" s="10">
        <v>0.16919999999999899</v>
      </c>
      <c r="P370" s="10">
        <v>0.66739999999999899</v>
      </c>
      <c r="Q370" s="10">
        <v>1.1160000000000001</v>
      </c>
      <c r="R370" s="10">
        <v>13.32</v>
      </c>
      <c r="S370" s="10">
        <v>3.888E-3</v>
      </c>
      <c r="T370" s="10">
        <v>8.5389999999999893E-3</v>
      </c>
      <c r="U370" s="10">
        <v>1.256E-2</v>
      </c>
      <c r="V370" s="10">
        <v>6.888E-3</v>
      </c>
      <c r="W370" s="10">
        <v>1.6080000000000001E-2</v>
      </c>
      <c r="X370" s="10">
        <v>1.6379999999999899E-3</v>
      </c>
      <c r="Y370" s="10">
        <v>14.34</v>
      </c>
      <c r="Z370" s="10">
        <v>22.149999999999899</v>
      </c>
      <c r="AA370" s="10">
        <v>91.62</v>
      </c>
      <c r="AB370" s="10">
        <v>633.5</v>
      </c>
      <c r="AC370" s="10">
        <v>0.1225</v>
      </c>
      <c r="AD370" s="10">
        <v>0.1517</v>
      </c>
      <c r="AE370" s="10">
        <v>0.18870000000000001</v>
      </c>
      <c r="AF370" s="10">
        <v>9.851E-2</v>
      </c>
      <c r="AG370" s="10">
        <v>0.32700000000000001</v>
      </c>
      <c r="AH370">
        <v>7.3300000000000004E-2</v>
      </c>
    </row>
    <row r="371" spans="3:34">
      <c r="C371" s="11" t="s">
        <v>595</v>
      </c>
      <c r="D371" s="10" t="s">
        <v>1</v>
      </c>
      <c r="E371" s="10">
        <v>13.71</v>
      </c>
      <c r="F371" s="10">
        <v>30.719999999999899</v>
      </c>
      <c r="G371" s="10">
        <v>86.34</v>
      </c>
      <c r="H371" s="10">
        <v>557.20000000000005</v>
      </c>
      <c r="I371" s="10">
        <v>9.2450000000000004E-2</v>
      </c>
      <c r="J371" s="10">
        <v>7.4260000000000007E-2</v>
      </c>
      <c r="K371" s="10">
        <v>2.819E-2</v>
      </c>
      <c r="L371" s="10">
        <v>3.2640000000000002E-2</v>
      </c>
      <c r="M371" s="10">
        <v>0.13750000000000001</v>
      </c>
      <c r="N371" s="10">
        <v>6.0159999999999901E-2</v>
      </c>
      <c r="O371" s="10">
        <v>0.34079999999999899</v>
      </c>
      <c r="P371" s="10">
        <v>1.9239999999999899</v>
      </c>
      <c r="Q371" s="10">
        <v>2.2869999999999902</v>
      </c>
      <c r="R371" s="10">
        <v>28.93</v>
      </c>
      <c r="S371" s="10">
        <v>5.8409999999999903E-3</v>
      </c>
      <c r="T371" s="10">
        <v>1.2460000000000001E-2</v>
      </c>
      <c r="U371" s="10">
        <v>7.9360000000000003E-3</v>
      </c>
      <c r="V371" s="10">
        <v>9.1280000000000007E-3</v>
      </c>
      <c r="W371" s="10">
        <v>1.5640000000000001E-2</v>
      </c>
      <c r="X371" s="10">
        <v>2.9849999999999898E-3</v>
      </c>
      <c r="Y371" s="10">
        <v>15.05</v>
      </c>
      <c r="Z371" s="10">
        <v>41.6099999999999</v>
      </c>
      <c r="AA371" s="10">
        <v>96.689999999999898</v>
      </c>
      <c r="AB371" s="10">
        <v>705.6</v>
      </c>
      <c r="AC371" s="10">
        <v>0.1172</v>
      </c>
      <c r="AD371" s="10">
        <v>0.1421</v>
      </c>
      <c r="AE371" s="10">
        <v>7.0029999999999898E-2</v>
      </c>
      <c r="AF371" s="10">
        <v>7.7630000000000005E-2</v>
      </c>
      <c r="AG371" s="10">
        <v>0.21959999999999899</v>
      </c>
      <c r="AH371">
        <v>7.6749999999999902E-2</v>
      </c>
    </row>
    <row r="372" spans="3:34">
      <c r="C372" s="11" t="s">
        <v>596</v>
      </c>
      <c r="D372" s="10" t="s">
        <v>1</v>
      </c>
      <c r="E372" s="10">
        <v>13.71</v>
      </c>
      <c r="F372" s="10">
        <v>29.2899999999999</v>
      </c>
      <c r="G372" s="10">
        <v>74.87</v>
      </c>
      <c r="H372" s="10">
        <v>415.1</v>
      </c>
      <c r="I372" s="10">
        <v>9.357E-2</v>
      </c>
      <c r="J372" s="10">
        <v>8.57399999999999E-2</v>
      </c>
      <c r="K372" s="10">
        <v>7.15999999999999E-2</v>
      </c>
      <c r="L372" s="10">
        <v>2.017E-2</v>
      </c>
      <c r="M372" s="10">
        <v>0.1799</v>
      </c>
      <c r="N372" s="10">
        <v>6.166E-2</v>
      </c>
      <c r="O372" s="10">
        <v>0.3135</v>
      </c>
      <c r="P372" s="10">
        <v>2.4260000000000002</v>
      </c>
      <c r="Q372" s="10">
        <v>2.1499999999999901</v>
      </c>
      <c r="R372" s="10">
        <v>23.1299999999999</v>
      </c>
      <c r="S372" s="10">
        <v>9.861E-3</v>
      </c>
      <c r="T372" s="10">
        <v>2.418E-2</v>
      </c>
      <c r="U372" s="10">
        <v>4.2750000000000003E-2</v>
      </c>
      <c r="V372" s="10">
        <v>9.2149999999999906E-3</v>
      </c>
      <c r="W372" s="10">
        <v>2.4750000000000001E-2</v>
      </c>
      <c r="X372" s="10">
        <v>2.1280000000000001E-3</v>
      </c>
      <c r="Y372" s="10">
        <v>13.1199999999999</v>
      </c>
      <c r="Z372" s="10">
        <v>38.81</v>
      </c>
      <c r="AA372" s="10">
        <v>86.04</v>
      </c>
      <c r="AB372" s="10">
        <v>527.79999999999905</v>
      </c>
      <c r="AC372" s="10">
        <v>0.1406</v>
      </c>
      <c r="AD372" s="10">
        <v>0.2031</v>
      </c>
      <c r="AE372" s="10">
        <v>0.2923</v>
      </c>
      <c r="AF372" s="10">
        <v>6.8349999999999897E-2</v>
      </c>
      <c r="AG372" s="10">
        <v>0.28839999999999899</v>
      </c>
      <c r="AH372">
        <v>7.22E-2</v>
      </c>
    </row>
    <row r="373" spans="3:34">
      <c r="C373" s="11" t="s">
        <v>597</v>
      </c>
      <c r="D373" s="10" t="s">
        <v>1</v>
      </c>
      <c r="E373" s="10">
        <v>13.71</v>
      </c>
      <c r="F373" s="10">
        <v>25.25</v>
      </c>
      <c r="G373" s="10">
        <v>84.099999999999895</v>
      </c>
      <c r="H373" s="10">
        <v>537.89999999999895</v>
      </c>
      <c r="I373" s="10">
        <v>8.7910000000000002E-2</v>
      </c>
      <c r="J373" s="10">
        <v>5.2049999999999902E-2</v>
      </c>
      <c r="K373" s="10">
        <v>2.7720000000000002E-2</v>
      </c>
      <c r="L373" s="10">
        <v>2.068E-2</v>
      </c>
      <c r="M373" s="10">
        <v>0.16189999999999899</v>
      </c>
      <c r="N373" s="10">
        <v>5.5840000000000001E-2</v>
      </c>
      <c r="O373" s="10">
        <v>0.2084</v>
      </c>
      <c r="P373" s="10">
        <v>1.35</v>
      </c>
      <c r="Q373" s="10">
        <v>1.3140000000000001</v>
      </c>
      <c r="R373" s="10">
        <v>17.579999999999899</v>
      </c>
      <c r="S373" s="10">
        <v>5.7679999999999901E-3</v>
      </c>
      <c r="T373" s="10">
        <v>8.0820000000000006E-3</v>
      </c>
      <c r="U373" s="10">
        <v>1.5100000000000001E-2</v>
      </c>
      <c r="V373" s="10">
        <v>6.4510000000000001E-3</v>
      </c>
      <c r="W373" s="10">
        <v>1.34699999999999E-2</v>
      </c>
      <c r="X373" s="10">
        <v>1.828E-3</v>
      </c>
      <c r="Y373" s="10">
        <v>14.35</v>
      </c>
      <c r="Z373" s="10">
        <v>34.229999999999897</v>
      </c>
      <c r="AA373" s="10">
        <v>91.29</v>
      </c>
      <c r="AB373" s="10">
        <v>632.89999999999895</v>
      </c>
      <c r="AC373" s="10">
        <v>0.12889999999999899</v>
      </c>
      <c r="AD373" s="10">
        <v>0.10630000000000001</v>
      </c>
      <c r="AE373" s="10">
        <v>0.13900000000000001</v>
      </c>
      <c r="AF373" s="10">
        <v>6.0049999999999902E-2</v>
      </c>
      <c r="AG373" s="10">
        <v>0.24440000000000001</v>
      </c>
      <c r="AH373">
        <v>6.7879999999999899E-2</v>
      </c>
    </row>
    <row r="374" spans="3:34">
      <c r="C374" s="11" t="s">
        <v>599</v>
      </c>
      <c r="D374" s="10" t="s">
        <v>1</v>
      </c>
      <c r="E374" s="10">
        <v>13.71</v>
      </c>
      <c r="F374" s="10">
        <v>28.1999999999999</v>
      </c>
      <c r="G374" s="10">
        <v>61.68</v>
      </c>
      <c r="H374" s="10">
        <v>290.89999999999901</v>
      </c>
      <c r="I374" s="10">
        <v>7.9839999999999897E-2</v>
      </c>
      <c r="J374" s="10">
        <v>4.6260000000000003E-2</v>
      </c>
      <c r="K374" s="10">
        <v>1.541E-2</v>
      </c>
      <c r="L374" s="10">
        <v>1.043E-2</v>
      </c>
      <c r="M374" s="10">
        <v>0.16209999999999899</v>
      </c>
      <c r="N374" s="10">
        <v>5.9520000000000003E-2</v>
      </c>
      <c r="O374" s="10">
        <v>0.17810000000000001</v>
      </c>
      <c r="P374" s="10">
        <v>1.6870000000000001</v>
      </c>
      <c r="Q374" s="10">
        <v>1.2430000000000001</v>
      </c>
      <c r="R374" s="10">
        <v>11.2799999999999</v>
      </c>
      <c r="S374" s="10">
        <v>6.5880000000000001E-3</v>
      </c>
      <c r="T374" s="10">
        <v>1.2699999999999901E-2</v>
      </c>
      <c r="U374" s="10">
        <v>1.4500000000000001E-2</v>
      </c>
      <c r="V374" s="10">
        <v>6.1040000000000001E-3</v>
      </c>
      <c r="W374" s="10">
        <v>1.5740000000000001E-2</v>
      </c>
      <c r="X374" s="10">
        <v>2.2680000000000001E-3</v>
      </c>
      <c r="Y374" s="10">
        <v>10.67</v>
      </c>
      <c r="Z374" s="10">
        <v>36.92</v>
      </c>
      <c r="AA374" s="10">
        <v>68.03</v>
      </c>
      <c r="AB374" s="10">
        <v>349.89999999999901</v>
      </c>
      <c r="AC374" s="10">
        <v>0.111</v>
      </c>
      <c r="AD374" s="10">
        <v>0.1109</v>
      </c>
      <c r="AE374" s="10">
        <v>7.1900000000000006E-2</v>
      </c>
      <c r="AF374" s="10">
        <v>4.8660000000000002E-2</v>
      </c>
      <c r="AG374" s="10">
        <v>0.2321</v>
      </c>
      <c r="AH374">
        <v>7.2109999999999896E-2</v>
      </c>
    </row>
    <row r="375" spans="3:34">
      <c r="C375" s="11" t="s">
        <v>601</v>
      </c>
      <c r="D375" s="10" t="s">
        <v>0</v>
      </c>
      <c r="E375" s="10">
        <v>13.71</v>
      </c>
      <c r="F375" s="10">
        <v>26.27</v>
      </c>
      <c r="G375" s="10">
        <v>186.9</v>
      </c>
      <c r="H375" s="10">
        <v>2501</v>
      </c>
      <c r="I375" s="10">
        <v>0.1084</v>
      </c>
      <c r="J375" s="10">
        <v>0.1988</v>
      </c>
      <c r="K375" s="10">
        <v>0.36349999999999899</v>
      </c>
      <c r="L375" s="10">
        <v>0.168899999999999</v>
      </c>
      <c r="M375" s="10">
        <v>0.20610000000000001</v>
      </c>
      <c r="N375" s="10">
        <v>5.6230000000000002E-2</v>
      </c>
      <c r="O375" s="10">
        <v>2.5470000000000002</v>
      </c>
      <c r="P375" s="10">
        <v>1.306</v>
      </c>
      <c r="Q375" s="10">
        <v>18.649999999999899</v>
      </c>
      <c r="R375" s="10">
        <v>542.20000000000005</v>
      </c>
      <c r="S375" s="10">
        <v>7.6499999999999901E-3</v>
      </c>
      <c r="T375" s="10">
        <v>5.3740000000000003E-2</v>
      </c>
      <c r="U375" s="10">
        <v>8.0549999999999899E-2</v>
      </c>
      <c r="V375" s="10">
        <v>2.598E-2</v>
      </c>
      <c r="W375" s="10">
        <v>1.6969999999999898E-2</v>
      </c>
      <c r="X375" s="10">
        <v>4.5580000000000004E-3</v>
      </c>
      <c r="Y375" s="10">
        <v>36.0399999999999</v>
      </c>
      <c r="Z375" s="10">
        <v>31.37</v>
      </c>
      <c r="AA375" s="10">
        <v>251.19999999999899</v>
      </c>
      <c r="AB375" s="10">
        <v>4254</v>
      </c>
      <c r="AC375" s="10">
        <v>0.13569999999999899</v>
      </c>
      <c r="AD375" s="10">
        <v>0.42559999999999898</v>
      </c>
      <c r="AE375" s="10">
        <v>0.68330000000000002</v>
      </c>
      <c r="AF375" s="10">
        <v>0.26250000000000001</v>
      </c>
      <c r="AG375" s="10">
        <v>0.2641</v>
      </c>
      <c r="AH375">
        <v>7.4270000000000003E-2</v>
      </c>
    </row>
    <row r="376" spans="3:34">
      <c r="C376" s="11" t="s">
        <v>602</v>
      </c>
      <c r="D376" s="10" t="s">
        <v>1</v>
      </c>
      <c r="E376" s="10">
        <v>13.71</v>
      </c>
      <c r="F376" s="10">
        <v>26.989999999999899</v>
      </c>
      <c r="G376" s="10">
        <v>92.25</v>
      </c>
      <c r="H376" s="10">
        <v>646.1</v>
      </c>
      <c r="I376" s="10">
        <v>6.9949999999999901E-2</v>
      </c>
      <c r="J376" s="10">
        <v>5.2229999999999902E-2</v>
      </c>
      <c r="K376" s="10">
        <v>3.4759999999999902E-2</v>
      </c>
      <c r="L376" s="10">
        <v>1.737E-2</v>
      </c>
      <c r="M376" s="10">
        <v>0.17069999999999899</v>
      </c>
      <c r="N376" s="10">
        <v>5.4330000000000003E-2</v>
      </c>
      <c r="O376" s="10">
        <v>0.23150000000000001</v>
      </c>
      <c r="P376" s="10">
        <v>0.91120000000000001</v>
      </c>
      <c r="Q376" s="10">
        <v>1.7270000000000001</v>
      </c>
      <c r="R376" s="10">
        <v>20.52</v>
      </c>
      <c r="S376" s="10">
        <v>5.3559999999999901E-3</v>
      </c>
      <c r="T376" s="10">
        <v>1.6789999999999899E-2</v>
      </c>
      <c r="U376" s="10">
        <v>1.9709999999999901E-2</v>
      </c>
      <c r="V376" s="10">
        <v>6.3699999999999903E-3</v>
      </c>
      <c r="W376" s="10">
        <v>1.414E-2</v>
      </c>
      <c r="X376" s="10">
        <v>1.892E-3</v>
      </c>
      <c r="Y376" s="10">
        <v>15.4</v>
      </c>
      <c r="Z376" s="10">
        <v>31.98</v>
      </c>
      <c r="AA376" s="10">
        <v>100.4</v>
      </c>
      <c r="AB376" s="10">
        <v>734.6</v>
      </c>
      <c r="AC376" s="10">
        <v>0.1017</v>
      </c>
      <c r="AD376" s="10">
        <v>0.14599999999999899</v>
      </c>
      <c r="AE376" s="10">
        <v>0.1472</v>
      </c>
      <c r="AF376" s="10">
        <v>5.5629999999999902E-2</v>
      </c>
      <c r="AG376" s="10">
        <v>0.23449999999999899</v>
      </c>
      <c r="AH376">
        <v>6.4640000000000003E-2</v>
      </c>
    </row>
    <row r="377" spans="3:34">
      <c r="C377" s="11" t="s">
        <v>603</v>
      </c>
      <c r="D377" s="10" t="s">
        <v>1</v>
      </c>
      <c r="E377" s="10">
        <v>13.71</v>
      </c>
      <c r="F377" s="10">
        <v>18.3599999999999</v>
      </c>
      <c r="G377" s="10">
        <v>73.879999999999896</v>
      </c>
      <c r="H377" s="10">
        <v>412.69999999999902</v>
      </c>
      <c r="I377" s="10">
        <v>8.5080000000000003E-2</v>
      </c>
      <c r="J377" s="10">
        <v>5.8549999999999901E-2</v>
      </c>
      <c r="K377" s="10">
        <v>3.3669999999999901E-2</v>
      </c>
      <c r="L377" s="10">
        <v>1.7770000000000001E-2</v>
      </c>
      <c r="M377" s="10">
        <v>0.15160000000000001</v>
      </c>
      <c r="N377" s="10">
        <v>5.8590000000000003E-2</v>
      </c>
      <c r="O377" s="10">
        <v>0.18160000000000001</v>
      </c>
      <c r="P377" s="10">
        <v>0.76559999999999895</v>
      </c>
      <c r="Q377" s="10">
        <v>1.3029999999999899</v>
      </c>
      <c r="R377" s="10">
        <v>12.89</v>
      </c>
      <c r="S377" s="10">
        <v>6.7089999999999901E-3</v>
      </c>
      <c r="T377" s="10">
        <v>1.7010000000000001E-2</v>
      </c>
      <c r="U377" s="10">
        <v>2.0799999999999898E-2</v>
      </c>
      <c r="V377" s="10">
        <v>7.4970000000000002E-3</v>
      </c>
      <c r="W377" s="10">
        <v>2.1239999999999901E-2</v>
      </c>
      <c r="X377" s="10">
        <v>2.7680000000000001E-3</v>
      </c>
      <c r="Y377" s="10">
        <v>12.77</v>
      </c>
      <c r="Z377" s="10">
        <v>24.02</v>
      </c>
      <c r="AA377" s="10">
        <v>82.68</v>
      </c>
      <c r="AB377" s="10">
        <v>495.1</v>
      </c>
      <c r="AC377" s="10">
        <v>0.13420000000000001</v>
      </c>
      <c r="AD377" s="10">
        <v>0.18079999999999899</v>
      </c>
      <c r="AE377" s="10">
        <v>0.186</v>
      </c>
      <c r="AF377" s="10">
        <v>8.2879999999999898E-2</v>
      </c>
      <c r="AG377" s="10">
        <v>0.32100000000000001</v>
      </c>
      <c r="AH377">
        <v>7.8630000000000005E-2</v>
      </c>
    </row>
    <row r="378" spans="3:34">
      <c r="C378" s="11" t="s">
        <v>604</v>
      </c>
      <c r="D378" s="10" t="s">
        <v>1</v>
      </c>
      <c r="E378" s="10">
        <v>13.71</v>
      </c>
      <c r="F378" s="10">
        <v>18.219999999999899</v>
      </c>
      <c r="G378" s="10">
        <v>84.28</v>
      </c>
      <c r="H378" s="10">
        <v>537.29999999999905</v>
      </c>
      <c r="I378" s="10">
        <v>7.4660000000000004E-2</v>
      </c>
      <c r="J378" s="10">
        <v>5.994E-2</v>
      </c>
      <c r="K378" s="10">
        <v>4.8590000000000001E-2</v>
      </c>
      <c r="L378" s="10">
        <v>2.87E-2</v>
      </c>
      <c r="M378" s="10">
        <v>0.1454</v>
      </c>
      <c r="N378" s="10">
        <v>5.5489999999999901E-2</v>
      </c>
      <c r="O378" s="10">
        <v>0.20230000000000001</v>
      </c>
      <c r="P378" s="10">
        <v>0.68500000000000005</v>
      </c>
      <c r="Q378" s="10">
        <v>1.236</v>
      </c>
      <c r="R378" s="10">
        <v>16.89</v>
      </c>
      <c r="S378" s="10">
        <v>5.9690000000000003E-3</v>
      </c>
      <c r="T378" s="10">
        <v>1.4930000000000001E-2</v>
      </c>
      <c r="U378" s="10">
        <v>1.5640000000000001E-2</v>
      </c>
      <c r="V378" s="10">
        <v>8.463E-3</v>
      </c>
      <c r="W378" s="10">
        <v>1.093E-2</v>
      </c>
      <c r="X378" s="10">
        <v>1.6720000000000001E-3</v>
      </c>
      <c r="Y378" s="10">
        <v>14.9</v>
      </c>
      <c r="Z378" s="10">
        <v>23.89</v>
      </c>
      <c r="AA378" s="10">
        <v>95.099999999999895</v>
      </c>
      <c r="AB378" s="10">
        <v>687.6</v>
      </c>
      <c r="AC378" s="10">
        <v>0.12820000000000001</v>
      </c>
      <c r="AD378" s="10">
        <v>0.19650000000000001</v>
      </c>
      <c r="AE378" s="10">
        <v>0.18759999999999899</v>
      </c>
      <c r="AF378" s="10">
        <v>0.1045</v>
      </c>
      <c r="AG378" s="10">
        <v>0.2235</v>
      </c>
      <c r="AH378">
        <v>6.9250000000000006E-2</v>
      </c>
    </row>
    <row r="379" spans="3:34">
      <c r="C379" s="11" t="s">
        <v>605</v>
      </c>
      <c r="D379" s="10" t="s">
        <v>1</v>
      </c>
      <c r="E379" s="10">
        <v>13.71</v>
      </c>
      <c r="F379" s="10">
        <v>20.1299999999999</v>
      </c>
      <c r="G379" s="10">
        <v>86.87</v>
      </c>
      <c r="H379" s="10">
        <v>542.89999999999895</v>
      </c>
      <c r="I379" s="10">
        <v>8.28399999999999E-2</v>
      </c>
      <c r="J379" s="10">
        <v>0.12230000000000001</v>
      </c>
      <c r="K379" s="10">
        <v>0.10100000000000001</v>
      </c>
      <c r="L379" s="10">
        <v>2.8330000000000001E-2</v>
      </c>
      <c r="M379" s="10">
        <v>0.16009999999999899</v>
      </c>
      <c r="N379" s="10">
        <v>6.4320000000000002E-2</v>
      </c>
      <c r="O379" s="10">
        <v>0.28100000000000003</v>
      </c>
      <c r="P379" s="10">
        <v>0.8135</v>
      </c>
      <c r="Q379" s="10">
        <v>3.3690000000000002</v>
      </c>
      <c r="R379" s="10">
        <v>23.809999999999899</v>
      </c>
      <c r="S379" s="10">
        <v>4.9290000000000002E-3</v>
      </c>
      <c r="T379" s="10">
        <v>6.6570000000000004E-2</v>
      </c>
      <c r="U379" s="10">
        <v>7.6829999999999898E-2</v>
      </c>
      <c r="V379" s="10">
        <v>1.3679999999999901E-2</v>
      </c>
      <c r="W379" s="10">
        <v>1.52599999999999E-2</v>
      </c>
      <c r="X379" s="10">
        <v>8.1329999999999892E-3</v>
      </c>
      <c r="Y379" s="10">
        <v>15.44</v>
      </c>
      <c r="Z379" s="10">
        <v>25.5</v>
      </c>
      <c r="AA379" s="10">
        <v>115</v>
      </c>
      <c r="AB379" s="10">
        <v>733.5</v>
      </c>
      <c r="AC379" s="10">
        <v>0.1201</v>
      </c>
      <c r="AD379" s="10">
        <v>0.56459999999999899</v>
      </c>
      <c r="AE379" s="10">
        <v>0.65559999999999896</v>
      </c>
      <c r="AF379" s="10">
        <v>0.13569999999999899</v>
      </c>
      <c r="AG379" s="10">
        <v>0.28449999999999898</v>
      </c>
      <c r="AH379">
        <v>0.1249</v>
      </c>
    </row>
    <row r="380" spans="3:34">
      <c r="C380" s="11" t="s">
        <v>606</v>
      </c>
      <c r="D380" s="10" t="s">
        <v>1</v>
      </c>
      <c r="E380" s="10">
        <v>13.71</v>
      </c>
      <c r="F380" s="10">
        <v>20.739999999999899</v>
      </c>
      <c r="G380" s="10">
        <v>85.98</v>
      </c>
      <c r="H380" s="10">
        <v>536.89999999999895</v>
      </c>
      <c r="I380" s="10">
        <v>8.6749999999999897E-2</v>
      </c>
      <c r="J380" s="10">
        <v>0.1089</v>
      </c>
      <c r="K380" s="10">
        <v>0.1085</v>
      </c>
      <c r="L380" s="10">
        <v>3.5099999999999902E-2</v>
      </c>
      <c r="M380" s="10">
        <v>0.15620000000000001</v>
      </c>
      <c r="N380" s="10">
        <v>6.0199999999999899E-2</v>
      </c>
      <c r="O380" s="10">
        <v>0.31519999999999898</v>
      </c>
      <c r="P380" s="10">
        <v>0.78839999999999899</v>
      </c>
      <c r="Q380" s="10">
        <v>2.3119999999999901</v>
      </c>
      <c r="R380" s="10">
        <v>27.399999999999899</v>
      </c>
      <c r="S380" s="10">
        <v>7.2950000000000003E-3</v>
      </c>
      <c r="T380" s="10">
        <v>3.1789999999999902E-2</v>
      </c>
      <c r="U380" s="10">
        <v>4.6149999999999899E-2</v>
      </c>
      <c r="V380" s="10">
        <v>1.2540000000000001E-2</v>
      </c>
      <c r="W380" s="10">
        <v>1.5610000000000001E-2</v>
      </c>
      <c r="X380" s="10">
        <v>3.2299999999999898E-3</v>
      </c>
      <c r="Y380" s="10">
        <v>14.8</v>
      </c>
      <c r="Z380" s="10">
        <v>25.46</v>
      </c>
      <c r="AA380" s="10">
        <v>100.9</v>
      </c>
      <c r="AB380" s="10">
        <v>689.1</v>
      </c>
      <c r="AC380" s="10">
        <v>0.1351</v>
      </c>
      <c r="AD380" s="10">
        <v>0.35489999999999899</v>
      </c>
      <c r="AE380" s="10">
        <v>0.45040000000000002</v>
      </c>
      <c r="AF380" s="10">
        <v>0.1181</v>
      </c>
      <c r="AG380" s="10">
        <v>0.25629999999999897</v>
      </c>
      <c r="AH380">
        <v>8.1739999999999896E-2</v>
      </c>
    </row>
    <row r="381" spans="3:34">
      <c r="C381" s="11" t="s">
        <v>607</v>
      </c>
      <c r="D381" s="10" t="s">
        <v>1</v>
      </c>
      <c r="E381" s="10">
        <v>13.71</v>
      </c>
      <c r="F381" s="10">
        <v>18.100000000000001</v>
      </c>
      <c r="G381" s="10">
        <v>61.06</v>
      </c>
      <c r="H381" s="10">
        <v>286.3</v>
      </c>
      <c r="I381" s="10">
        <v>8.3110000000000003E-2</v>
      </c>
      <c r="J381" s="10">
        <v>5.4280000000000002E-2</v>
      </c>
      <c r="K381" s="10">
        <v>1.47899999999999E-2</v>
      </c>
      <c r="L381" s="10">
        <v>5.7689999999999903E-3</v>
      </c>
      <c r="M381" s="10">
        <v>0.16800000000000001</v>
      </c>
      <c r="N381" s="10">
        <v>6.4119999999999899E-2</v>
      </c>
      <c r="O381" s="10">
        <v>0.34160000000000001</v>
      </c>
      <c r="P381" s="10">
        <v>1.3120000000000001</v>
      </c>
      <c r="Q381" s="10">
        <v>2.2749999999999901</v>
      </c>
      <c r="R381" s="10">
        <v>20.98</v>
      </c>
      <c r="S381" s="10">
        <v>1.098E-2</v>
      </c>
      <c r="T381" s="10">
        <v>1.257E-2</v>
      </c>
      <c r="U381" s="10">
        <v>1.031E-2</v>
      </c>
      <c r="V381" s="10">
        <v>3.934E-3</v>
      </c>
      <c r="W381" s="10">
        <v>2.6929999999999898E-2</v>
      </c>
      <c r="X381" s="10">
        <v>2.9789999999999899E-3</v>
      </c>
      <c r="Y381" s="10">
        <v>11.15</v>
      </c>
      <c r="Z381" s="10">
        <v>24.62</v>
      </c>
      <c r="AA381" s="10">
        <v>71.1099999999999</v>
      </c>
      <c r="AB381" s="10">
        <v>380.19999999999902</v>
      </c>
      <c r="AC381" s="10">
        <v>0.13880000000000001</v>
      </c>
      <c r="AD381" s="10">
        <v>0.1255</v>
      </c>
      <c r="AE381" s="10">
        <v>6.4089999999999897E-2</v>
      </c>
      <c r="AF381" s="10">
        <v>2.5000000000000001E-2</v>
      </c>
      <c r="AG381" s="10">
        <v>0.30570000000000003</v>
      </c>
      <c r="AH381">
        <v>7.8750000000000001E-2</v>
      </c>
    </row>
    <row r="382" spans="3:34">
      <c r="C382" s="11" t="s">
        <v>609</v>
      </c>
      <c r="D382" s="10" t="s">
        <v>1</v>
      </c>
      <c r="E382" s="10">
        <v>13.71</v>
      </c>
      <c r="F382" s="10">
        <v>18.18</v>
      </c>
      <c r="G382" s="10">
        <v>76.379999999999896</v>
      </c>
      <c r="H382" s="10">
        <v>408.8</v>
      </c>
      <c r="I382" s="10">
        <v>0.11749999999999899</v>
      </c>
      <c r="J382" s="10">
        <v>0.14829999999999899</v>
      </c>
      <c r="K382" s="10">
        <v>0.10199999999999899</v>
      </c>
      <c r="L382" s="10">
        <v>5.5640000000000002E-2</v>
      </c>
      <c r="M382" s="10">
        <v>0.19570000000000001</v>
      </c>
      <c r="N382" s="10">
        <v>7.2550000000000003E-2</v>
      </c>
      <c r="O382" s="10">
        <v>0.41010000000000002</v>
      </c>
      <c r="P382" s="10">
        <v>1.74</v>
      </c>
      <c r="Q382" s="10">
        <v>3.0270000000000001</v>
      </c>
      <c r="R382" s="10">
        <v>27.85</v>
      </c>
      <c r="S382" s="10">
        <v>1.4590000000000001E-2</v>
      </c>
      <c r="T382" s="10">
        <v>3.2059999999999901E-2</v>
      </c>
      <c r="U382" s="10">
        <v>4.9610000000000001E-2</v>
      </c>
      <c r="V382" s="10">
        <v>1.8409999999999899E-2</v>
      </c>
      <c r="W382" s="10">
        <v>1.8069999999999899E-2</v>
      </c>
      <c r="X382" s="10">
        <v>5.2170000000000003E-3</v>
      </c>
      <c r="Y382" s="10">
        <v>13.3599999999999</v>
      </c>
      <c r="Z382" s="10">
        <v>25.399999999999899</v>
      </c>
      <c r="AA382" s="10">
        <v>88.14</v>
      </c>
      <c r="AB382" s="10">
        <v>528.1</v>
      </c>
      <c r="AC382" s="10">
        <v>0.17799999999999899</v>
      </c>
      <c r="AD382" s="10">
        <v>0.2878</v>
      </c>
      <c r="AE382" s="10">
        <v>0.318599999999999</v>
      </c>
      <c r="AF382" s="10">
        <v>0.1416</v>
      </c>
      <c r="AG382" s="10">
        <v>0.26600000000000001</v>
      </c>
      <c r="AH382">
        <v>9.2700000000000005E-2</v>
      </c>
    </row>
    <row r="383" spans="3:34">
      <c r="C383" s="11" t="s">
        <v>611</v>
      </c>
      <c r="D383" s="10" t="s">
        <v>1</v>
      </c>
      <c r="E383" s="10">
        <v>13.71</v>
      </c>
      <c r="F383" s="10">
        <v>28.14</v>
      </c>
      <c r="G383" s="10">
        <v>76.849999999999895</v>
      </c>
      <c r="H383" s="10">
        <v>449.89999999999901</v>
      </c>
      <c r="I383" s="10">
        <v>8.7520000000000001E-2</v>
      </c>
      <c r="J383" s="10">
        <v>5.9999999999999901E-2</v>
      </c>
      <c r="K383" s="10">
        <v>2.367E-2</v>
      </c>
      <c r="L383" s="10">
        <v>2.3769999999999899E-2</v>
      </c>
      <c r="M383" s="10">
        <v>0.18540000000000001</v>
      </c>
      <c r="N383" s="10">
        <v>5.6980000000000003E-2</v>
      </c>
      <c r="O383" s="10">
        <v>0.60609999999999897</v>
      </c>
      <c r="P383" s="10">
        <v>2.64299999999999</v>
      </c>
      <c r="Q383" s="10">
        <v>4.0990000000000002</v>
      </c>
      <c r="R383" s="10">
        <v>44.96</v>
      </c>
      <c r="S383" s="10">
        <v>7.5170000000000002E-3</v>
      </c>
      <c r="T383" s="10">
        <v>1.555E-2</v>
      </c>
      <c r="U383" s="10">
        <v>1.465E-2</v>
      </c>
      <c r="V383" s="10">
        <v>1.183E-2</v>
      </c>
      <c r="W383" s="10">
        <v>2.0469999999999901E-2</v>
      </c>
      <c r="X383" s="10">
        <v>3.8830000000000002E-3</v>
      </c>
      <c r="Y383" s="10">
        <v>13.6</v>
      </c>
      <c r="Z383" s="10">
        <v>33.329999999999899</v>
      </c>
      <c r="AA383" s="10">
        <v>87.239999999999895</v>
      </c>
      <c r="AB383" s="10">
        <v>567.6</v>
      </c>
      <c r="AC383" s="10">
        <v>0.1041</v>
      </c>
      <c r="AD383" s="10">
        <v>9.7259999999999902E-2</v>
      </c>
      <c r="AE383" s="10">
        <v>5.52399999999999E-2</v>
      </c>
      <c r="AF383" s="10">
        <v>5.5469999999999901E-2</v>
      </c>
      <c r="AG383" s="10">
        <v>0.2404</v>
      </c>
      <c r="AH383">
        <v>6.6390000000000005E-2</v>
      </c>
    </row>
    <row r="384" spans="3:34">
      <c r="C384" s="11" t="s">
        <v>612</v>
      </c>
      <c r="D384" s="10" t="s">
        <v>1</v>
      </c>
      <c r="E384" s="10">
        <v>13.71</v>
      </c>
      <c r="F384" s="10">
        <v>14.93</v>
      </c>
      <c r="G384" s="10">
        <v>96.45</v>
      </c>
      <c r="H384" s="10">
        <v>686.89999999999895</v>
      </c>
      <c r="I384" s="10">
        <v>8.0979999999999899E-2</v>
      </c>
      <c r="J384" s="10">
        <v>8.5489999999999899E-2</v>
      </c>
      <c r="K384" s="10">
        <v>5.5390000000000002E-2</v>
      </c>
      <c r="L384" s="10">
        <v>3.2210000000000003E-2</v>
      </c>
      <c r="M384" s="10">
        <v>0.16869999999999899</v>
      </c>
      <c r="N384" s="10">
        <v>5.66899999999999E-2</v>
      </c>
      <c r="O384" s="10">
        <v>0.24460000000000001</v>
      </c>
      <c r="P384" s="10">
        <v>0.43340000000000001</v>
      </c>
      <c r="Q384" s="10">
        <v>1.8260000000000001</v>
      </c>
      <c r="R384" s="10">
        <v>23.309999999999899</v>
      </c>
      <c r="S384" s="10">
        <v>3.271E-3</v>
      </c>
      <c r="T384" s="10">
        <v>1.77E-2</v>
      </c>
      <c r="U384" s="10">
        <v>2.3099999999999898E-2</v>
      </c>
      <c r="V384" s="10">
        <v>8.3990000000000002E-3</v>
      </c>
      <c r="W384" s="10">
        <v>1.1480000000000001E-2</v>
      </c>
      <c r="X384" s="10">
        <v>2.379E-3</v>
      </c>
      <c r="Y384" s="10">
        <v>17.18</v>
      </c>
      <c r="Z384" s="10">
        <v>18.219999999999899</v>
      </c>
      <c r="AA384" s="10">
        <v>112</v>
      </c>
      <c r="AB384" s="10">
        <v>906.6</v>
      </c>
      <c r="AC384" s="10">
        <v>0.1065</v>
      </c>
      <c r="AD384" s="10">
        <v>0.27910000000000001</v>
      </c>
      <c r="AE384" s="10">
        <v>0.31509999999999899</v>
      </c>
      <c r="AF384" s="10">
        <v>0.1147</v>
      </c>
      <c r="AG384" s="10">
        <v>0.26879999999999898</v>
      </c>
      <c r="AH384">
        <v>8.2729999999999901E-2</v>
      </c>
    </row>
    <row r="385" spans="3:34">
      <c r="C385" s="11" t="s">
        <v>613</v>
      </c>
      <c r="D385" s="10" t="s">
        <v>1</v>
      </c>
      <c r="E385" s="10">
        <v>13.71</v>
      </c>
      <c r="F385" s="10">
        <v>29.969999999999899</v>
      </c>
      <c r="G385" s="10">
        <v>77.42</v>
      </c>
      <c r="H385" s="10">
        <v>465.39999999999901</v>
      </c>
      <c r="I385" s="10">
        <v>7.6990000000000003E-2</v>
      </c>
      <c r="J385" s="10">
        <v>3.3980000000000003E-2</v>
      </c>
      <c r="K385" s="10">
        <v>0</v>
      </c>
      <c r="L385" s="10">
        <v>0</v>
      </c>
      <c r="M385" s="10">
        <v>0.1701</v>
      </c>
      <c r="N385" s="10">
        <v>5.96E-2</v>
      </c>
      <c r="O385" s="10">
        <v>0.44550000000000001</v>
      </c>
      <c r="P385" s="10">
        <v>3.64699999999999</v>
      </c>
      <c r="Q385" s="10">
        <v>2.8839999999999901</v>
      </c>
      <c r="R385" s="10">
        <v>35.130000000000003</v>
      </c>
      <c r="S385" s="10">
        <v>7.339E-3</v>
      </c>
      <c r="T385" s="10">
        <v>8.2430000000000003E-3</v>
      </c>
      <c r="U385" s="10">
        <v>0</v>
      </c>
      <c r="V385" s="10">
        <v>0</v>
      </c>
      <c r="W385" s="10">
        <v>3.141E-2</v>
      </c>
      <c r="X385" s="10">
        <v>3.1359999999999899E-3</v>
      </c>
      <c r="Y385" s="10">
        <v>13.4499999999999</v>
      </c>
      <c r="Z385" s="10">
        <v>38.049999999999898</v>
      </c>
      <c r="AA385" s="10">
        <v>85.079999999999899</v>
      </c>
      <c r="AB385" s="10">
        <v>558.89999999999895</v>
      </c>
      <c r="AC385" s="10">
        <v>9.4219999999999901E-2</v>
      </c>
      <c r="AD385" s="10">
        <v>5.2130000000000003E-2</v>
      </c>
      <c r="AE385" s="10">
        <v>0</v>
      </c>
      <c r="AF385" s="10">
        <v>0</v>
      </c>
      <c r="AG385" s="10">
        <v>0.2409</v>
      </c>
      <c r="AH385">
        <v>6.7430000000000004E-2</v>
      </c>
    </row>
    <row r="386" spans="3:34">
      <c r="C386" s="11" t="s">
        <v>614</v>
      </c>
      <c r="D386" s="10" t="s">
        <v>1</v>
      </c>
      <c r="E386" s="10">
        <v>13.71</v>
      </c>
      <c r="F386" s="10">
        <v>15.6199999999999</v>
      </c>
      <c r="G386" s="10">
        <v>70.409999999999897</v>
      </c>
      <c r="H386" s="10">
        <v>358.89999999999901</v>
      </c>
      <c r="I386" s="10">
        <v>0.1007</v>
      </c>
      <c r="J386" s="10">
        <v>0.1069</v>
      </c>
      <c r="K386" s="10">
        <v>5.1150000000000001E-2</v>
      </c>
      <c r="L386" s="10">
        <v>1.5709999999999901E-2</v>
      </c>
      <c r="M386" s="10">
        <v>0.18609999999999899</v>
      </c>
      <c r="N386" s="10">
        <v>6.837E-2</v>
      </c>
      <c r="O386" s="10">
        <v>0.1482</v>
      </c>
      <c r="P386" s="10">
        <v>0.53800000000000003</v>
      </c>
      <c r="Q386" s="10">
        <v>1.3009999999999899</v>
      </c>
      <c r="R386" s="10">
        <v>9.5969999999999906</v>
      </c>
      <c r="S386" s="10">
        <v>4.4739999999999901E-3</v>
      </c>
      <c r="T386" s="10">
        <v>3.0929999999999899E-2</v>
      </c>
      <c r="U386" s="10">
        <v>2.7570000000000001E-2</v>
      </c>
      <c r="V386" s="10">
        <v>6.6909999999999904E-3</v>
      </c>
      <c r="W386" s="10">
        <v>1.2120000000000001E-2</v>
      </c>
      <c r="X386" s="10">
        <v>4.6719999999999904E-3</v>
      </c>
      <c r="Y386" s="10">
        <v>11.94</v>
      </c>
      <c r="Z386" s="10">
        <v>19.350000000000001</v>
      </c>
      <c r="AA386" s="10">
        <v>80.78</v>
      </c>
      <c r="AB386" s="10">
        <v>433.1</v>
      </c>
      <c r="AC386" s="10">
        <v>0.13320000000000001</v>
      </c>
      <c r="AD386" s="10">
        <v>0.38979999999999898</v>
      </c>
      <c r="AE386" s="10">
        <v>0.33650000000000002</v>
      </c>
      <c r="AF386" s="10">
        <v>7.9659999999999898E-2</v>
      </c>
      <c r="AG386" s="10">
        <v>0.2581</v>
      </c>
      <c r="AH386">
        <v>0.108</v>
      </c>
    </row>
    <row r="387" spans="3:34">
      <c r="C387" s="11" t="s">
        <v>615</v>
      </c>
      <c r="D387" s="10" t="s">
        <v>1</v>
      </c>
      <c r="E387" s="10">
        <v>13.71</v>
      </c>
      <c r="F387" s="10">
        <v>15.73</v>
      </c>
      <c r="G387" s="10">
        <v>82.89</v>
      </c>
      <c r="H387" s="10">
        <v>506.89999999999901</v>
      </c>
      <c r="I387" s="10">
        <v>9.0399999999999897E-2</v>
      </c>
      <c r="J387" s="10">
        <v>8.269E-2</v>
      </c>
      <c r="K387" s="10">
        <v>5.8349999999999902E-2</v>
      </c>
      <c r="L387" s="10">
        <v>3.0779999999999901E-2</v>
      </c>
      <c r="M387" s="10">
        <v>0.17050000000000001</v>
      </c>
      <c r="N387" s="10">
        <v>5.9130000000000002E-2</v>
      </c>
      <c r="O387" s="10">
        <v>0.14990000000000001</v>
      </c>
      <c r="P387" s="10">
        <v>0.48749999999999899</v>
      </c>
      <c r="Q387" s="10">
        <v>1.1950000000000001</v>
      </c>
      <c r="R387" s="10">
        <v>11.64</v>
      </c>
      <c r="S387" s="10">
        <v>4.8729999999999902E-3</v>
      </c>
      <c r="T387" s="10">
        <v>1.796E-2</v>
      </c>
      <c r="U387" s="10">
        <v>3.3180000000000001E-2</v>
      </c>
      <c r="V387" s="10">
        <v>8.3599999999999907E-3</v>
      </c>
      <c r="W387" s="10">
        <v>1.601E-2</v>
      </c>
      <c r="X387" s="10">
        <v>2.2889999999999898E-3</v>
      </c>
      <c r="Y387" s="10">
        <v>14.09</v>
      </c>
      <c r="Z387" s="10">
        <v>19.350000000000001</v>
      </c>
      <c r="AA387" s="10">
        <v>93.219999999999899</v>
      </c>
      <c r="AB387" s="10">
        <v>605.79999999999905</v>
      </c>
      <c r="AC387" s="10">
        <v>0.1326</v>
      </c>
      <c r="AD387" s="10">
        <v>0.26100000000000001</v>
      </c>
      <c r="AE387" s="10">
        <v>0.34760000000000002</v>
      </c>
      <c r="AF387" s="10">
        <v>9.783E-2</v>
      </c>
      <c r="AG387" s="10">
        <v>0.30059999999999898</v>
      </c>
      <c r="AH387">
        <v>7.8020000000000006E-2</v>
      </c>
    </row>
    <row r="388" spans="3:34">
      <c r="C388" s="11" t="s">
        <v>616</v>
      </c>
      <c r="D388" s="10" t="s">
        <v>1</v>
      </c>
      <c r="E388" s="10">
        <v>13.71</v>
      </c>
      <c r="F388" s="10">
        <v>20.53</v>
      </c>
      <c r="G388" s="10">
        <v>92.409999999999897</v>
      </c>
      <c r="H388" s="10">
        <v>618.39999999999895</v>
      </c>
      <c r="I388" s="10">
        <v>8.931E-2</v>
      </c>
      <c r="J388" s="10">
        <v>0.1108</v>
      </c>
      <c r="K388" s="10">
        <v>5.0630000000000001E-2</v>
      </c>
      <c r="L388" s="10">
        <v>3.058E-2</v>
      </c>
      <c r="M388" s="10">
        <v>0.15060000000000001</v>
      </c>
      <c r="N388" s="10">
        <v>6.00899999999999E-2</v>
      </c>
      <c r="O388" s="10">
        <v>0.3478</v>
      </c>
      <c r="P388" s="10">
        <v>1.018</v>
      </c>
      <c r="Q388" s="10">
        <v>2.7490000000000001</v>
      </c>
      <c r="R388" s="10">
        <v>31.01</v>
      </c>
      <c r="S388" s="10">
        <v>4.1070000000000004E-3</v>
      </c>
      <c r="T388" s="10">
        <v>3.288E-2</v>
      </c>
      <c r="U388" s="10">
        <v>2.8209999999999898E-2</v>
      </c>
      <c r="V388" s="10">
        <v>1.35E-2</v>
      </c>
      <c r="W388" s="10">
        <v>1.61E-2</v>
      </c>
      <c r="X388" s="10">
        <v>2.7439999999999899E-3</v>
      </c>
      <c r="Y388" s="10">
        <v>16.4499999999999</v>
      </c>
      <c r="Z388" s="10">
        <v>27.26</v>
      </c>
      <c r="AA388" s="10">
        <v>112.099999999999</v>
      </c>
      <c r="AB388" s="10">
        <v>828.5</v>
      </c>
      <c r="AC388" s="10">
        <v>0.1153</v>
      </c>
      <c r="AD388" s="10">
        <v>0.34289999999999898</v>
      </c>
      <c r="AE388" s="10">
        <v>0.25119999999999898</v>
      </c>
      <c r="AF388" s="10">
        <v>0.13389999999999899</v>
      </c>
      <c r="AG388" s="10">
        <v>0.25340000000000001</v>
      </c>
      <c r="AH388">
        <v>7.85799999999999E-2</v>
      </c>
    </row>
    <row r="389" spans="3:34">
      <c r="C389" s="11" t="s">
        <v>617</v>
      </c>
      <c r="D389" s="10" t="s">
        <v>1</v>
      </c>
      <c r="E389" s="10">
        <v>13.71</v>
      </c>
      <c r="F389" s="10">
        <v>16.62</v>
      </c>
      <c r="G389" s="10">
        <v>88.969999999999899</v>
      </c>
      <c r="H389" s="10">
        <v>599.39999999999895</v>
      </c>
      <c r="I389" s="10">
        <v>6.8279999999999896E-2</v>
      </c>
      <c r="J389" s="10">
        <v>5.3190000000000001E-2</v>
      </c>
      <c r="K389" s="10">
        <v>2.2239999999999899E-2</v>
      </c>
      <c r="L389" s="10">
        <v>1.3390000000000001E-2</v>
      </c>
      <c r="M389" s="10">
        <v>0.18129999999999899</v>
      </c>
      <c r="N389" s="10">
        <v>5.5359999999999902E-2</v>
      </c>
      <c r="O389" s="10">
        <v>0.1555</v>
      </c>
      <c r="P389" s="10">
        <v>0.57620000000000005</v>
      </c>
      <c r="Q389" s="10">
        <v>1.3919999999999899</v>
      </c>
      <c r="R389" s="10">
        <v>14.0299999999999</v>
      </c>
      <c r="S389" s="10">
        <v>3.3080000000000002E-3</v>
      </c>
      <c r="T389" s="10">
        <v>1.315E-2</v>
      </c>
      <c r="U389" s="10">
        <v>9.9039999999999892E-3</v>
      </c>
      <c r="V389" s="10">
        <v>4.8320000000000004E-3</v>
      </c>
      <c r="W389" s="10">
        <v>1.316E-2</v>
      </c>
      <c r="X389" s="10">
        <v>2.0950000000000001E-3</v>
      </c>
      <c r="Y389" s="10">
        <v>15.14</v>
      </c>
      <c r="Z389" s="10">
        <v>21.8</v>
      </c>
      <c r="AA389" s="10">
        <v>101.2</v>
      </c>
      <c r="AB389" s="10">
        <v>718.89999999999895</v>
      </c>
      <c r="AC389" s="10">
        <v>9.3840000000000007E-2</v>
      </c>
      <c r="AD389" s="10">
        <v>0.2006</v>
      </c>
      <c r="AE389" s="10">
        <v>0.1384</v>
      </c>
      <c r="AF389" s="10">
        <v>6.22199999999999E-2</v>
      </c>
      <c r="AG389" s="10">
        <v>0.26790000000000003</v>
      </c>
      <c r="AH389">
        <v>7.6980000000000007E-2</v>
      </c>
    </row>
    <row r="390" spans="3:34">
      <c r="C390" s="11" t="s">
        <v>618</v>
      </c>
      <c r="D390" s="10" t="s">
        <v>1</v>
      </c>
      <c r="E390" s="10">
        <v>13.71</v>
      </c>
      <c r="F390" s="10">
        <v>14.59</v>
      </c>
      <c r="G390" s="10">
        <v>73.989999999999895</v>
      </c>
      <c r="H390" s="10">
        <v>404.89999999999901</v>
      </c>
      <c r="I390" s="10">
        <v>0.1046</v>
      </c>
      <c r="J390" s="10">
        <v>8.2280000000000006E-2</v>
      </c>
      <c r="K390" s="10">
        <v>5.3080000000000002E-2</v>
      </c>
      <c r="L390" s="10">
        <v>1.9689999999999899E-2</v>
      </c>
      <c r="M390" s="10">
        <v>0.1779</v>
      </c>
      <c r="N390" s="10">
        <v>6.5740000000000007E-2</v>
      </c>
      <c r="O390" s="10">
        <v>0.2034</v>
      </c>
      <c r="P390" s="10">
        <v>1.1659999999999899</v>
      </c>
      <c r="Q390" s="10">
        <v>1.56699999999999</v>
      </c>
      <c r="R390" s="10">
        <v>14.34</v>
      </c>
      <c r="S390" s="10">
        <v>4.9569999999999901E-3</v>
      </c>
      <c r="T390" s="10">
        <v>2.1139999999999898E-2</v>
      </c>
      <c r="U390" s="10">
        <v>4.156E-2</v>
      </c>
      <c r="V390" s="10">
        <v>8.038E-3</v>
      </c>
      <c r="W390" s="10">
        <v>1.8429999999999901E-2</v>
      </c>
      <c r="X390" s="10">
        <v>3.614E-3</v>
      </c>
      <c r="Y390" s="10">
        <v>12.4</v>
      </c>
      <c r="Z390" s="10">
        <v>21.899999999999899</v>
      </c>
      <c r="AA390" s="10">
        <v>82.04</v>
      </c>
      <c r="AB390" s="10">
        <v>467.6</v>
      </c>
      <c r="AC390" s="10">
        <v>0.13519999999999899</v>
      </c>
      <c r="AD390" s="10">
        <v>0.20100000000000001</v>
      </c>
      <c r="AE390" s="10">
        <v>0.2596</v>
      </c>
      <c r="AF390" s="10">
        <v>7.4310000000000001E-2</v>
      </c>
      <c r="AG390" s="10">
        <v>0.29409999999999897</v>
      </c>
      <c r="AH390">
        <v>9.1800000000000007E-2</v>
      </c>
    </row>
    <row r="391" spans="3:34">
      <c r="C391" s="11" t="s">
        <v>620</v>
      </c>
      <c r="D391" s="10" t="s">
        <v>1</v>
      </c>
      <c r="E391" s="10">
        <v>13.71</v>
      </c>
      <c r="F391" s="10">
        <v>18.03</v>
      </c>
      <c r="G391" s="10">
        <v>78.290000000000006</v>
      </c>
      <c r="H391" s="10">
        <v>455.3</v>
      </c>
      <c r="I391" s="10">
        <v>9.0870000000000006E-2</v>
      </c>
      <c r="J391" s="10">
        <v>7.8380000000000005E-2</v>
      </c>
      <c r="K391" s="10">
        <v>2.9159999999999901E-2</v>
      </c>
      <c r="L391" s="10">
        <v>1.5270000000000001E-2</v>
      </c>
      <c r="M391" s="10">
        <v>0.1464</v>
      </c>
      <c r="N391" s="10">
        <v>6.2839999999999896E-2</v>
      </c>
      <c r="O391" s="10">
        <v>0.21940000000000001</v>
      </c>
      <c r="P391" s="10">
        <v>1.18999999999999</v>
      </c>
      <c r="Q391" s="10">
        <v>1.6779999999999899</v>
      </c>
      <c r="R391" s="10">
        <v>16.260000000000002</v>
      </c>
      <c r="S391" s="10">
        <v>4.91099999999999E-3</v>
      </c>
      <c r="T391" s="10">
        <v>1.6660000000000001E-2</v>
      </c>
      <c r="U391" s="10">
        <v>1.397E-2</v>
      </c>
      <c r="V391" s="10">
        <v>5.1609999999999902E-3</v>
      </c>
      <c r="W391" s="10">
        <v>1.4540000000000001E-2</v>
      </c>
      <c r="X391" s="10">
        <v>1.8580000000000001E-3</v>
      </c>
      <c r="Y391" s="10">
        <v>13.34</v>
      </c>
      <c r="Z391" s="10">
        <v>27.87</v>
      </c>
      <c r="AA391" s="10">
        <v>88.829999999999899</v>
      </c>
      <c r="AB391" s="10">
        <v>547.39999999999895</v>
      </c>
      <c r="AC391" s="10">
        <v>0.1208</v>
      </c>
      <c r="AD391" s="10">
        <v>0.22789999999999899</v>
      </c>
      <c r="AE391" s="10">
        <v>0.16200000000000001</v>
      </c>
      <c r="AF391" s="10">
        <v>5.6899999999999902E-2</v>
      </c>
      <c r="AG391" s="10">
        <v>0.24060000000000001</v>
      </c>
      <c r="AH391">
        <v>7.72899999999999E-2</v>
      </c>
    </row>
    <row r="392" spans="3:34">
      <c r="C392" s="11" t="s">
        <v>621</v>
      </c>
      <c r="D392" s="10" t="s">
        <v>1</v>
      </c>
      <c r="E392" s="10">
        <v>13.71</v>
      </c>
      <c r="F392" s="10">
        <v>19.239999999999899</v>
      </c>
      <c r="G392" s="10">
        <v>88.73</v>
      </c>
      <c r="H392" s="10">
        <v>602.89999999999895</v>
      </c>
      <c r="I392" s="10">
        <v>7.9909999999999898E-2</v>
      </c>
      <c r="J392" s="10">
        <v>5.3260000000000002E-2</v>
      </c>
      <c r="K392" s="10">
        <v>2.9950000000000001E-2</v>
      </c>
      <c r="L392" s="10">
        <v>2.07E-2</v>
      </c>
      <c r="M392" s="10">
        <v>0.15790000000000001</v>
      </c>
      <c r="N392" s="10">
        <v>5.59399999999999E-2</v>
      </c>
      <c r="O392" s="10">
        <v>0.33160000000000001</v>
      </c>
      <c r="P392" s="10">
        <v>0.9264</v>
      </c>
      <c r="Q392" s="10">
        <v>2.056</v>
      </c>
      <c r="R392" s="10">
        <v>28.41</v>
      </c>
      <c r="S392" s="10">
        <v>3.7039999999999899E-3</v>
      </c>
      <c r="T392" s="10">
        <v>2.5503945422535201E-2</v>
      </c>
      <c r="U392" s="10">
        <v>1.52999999999999E-2</v>
      </c>
      <c r="V392" s="10">
        <v>6.2750000000000002E-3</v>
      </c>
      <c r="W392" s="10">
        <v>1.06199999999999E-2</v>
      </c>
      <c r="X392" s="10">
        <v>2.2169999999999898E-3</v>
      </c>
      <c r="Y392" s="10">
        <v>16.41</v>
      </c>
      <c r="Z392" s="10">
        <v>26.42</v>
      </c>
      <c r="AA392" s="10">
        <v>104.4</v>
      </c>
      <c r="AB392" s="10">
        <v>830.5</v>
      </c>
      <c r="AC392" s="10">
        <v>0.106399999999999</v>
      </c>
      <c r="AD392" s="10">
        <v>0.14149999999999899</v>
      </c>
      <c r="AE392" s="10">
        <v>0.1673</v>
      </c>
      <c r="AF392" s="10">
        <v>8.1500000000000003E-2</v>
      </c>
      <c r="AG392" s="10">
        <v>0.2356</v>
      </c>
      <c r="AH392">
        <v>7.603E-2</v>
      </c>
    </row>
    <row r="393" spans="3:34">
      <c r="C393" s="11" t="s">
        <v>624</v>
      </c>
      <c r="D393" s="10" t="s">
        <v>1</v>
      </c>
      <c r="E393" s="10">
        <v>13.71</v>
      </c>
      <c r="F393" s="10">
        <v>11.2799999999999</v>
      </c>
      <c r="G393" s="10">
        <v>102.8</v>
      </c>
      <c r="H393" s="10">
        <v>747.2</v>
      </c>
      <c r="I393" s="10">
        <v>0.1043</v>
      </c>
      <c r="J393" s="10">
        <v>0.12989999999999899</v>
      </c>
      <c r="K393" s="10">
        <v>0.1191</v>
      </c>
      <c r="L393" s="10">
        <v>6.2109999999999901E-2</v>
      </c>
      <c r="M393" s="10">
        <v>0.1784</v>
      </c>
      <c r="N393" s="10">
        <v>6.2590000000000007E-2</v>
      </c>
      <c r="O393" s="10">
        <v>0.16300000000000001</v>
      </c>
      <c r="P393" s="10">
        <v>0.3871</v>
      </c>
      <c r="Q393" s="10">
        <v>1.143</v>
      </c>
      <c r="R393" s="10">
        <v>13.8699999999999</v>
      </c>
      <c r="S393" s="10">
        <v>6.0340000000000003E-3</v>
      </c>
      <c r="T393" s="10">
        <v>1.8200000000000001E-2</v>
      </c>
      <c r="U393" s="10">
        <v>3.3360000000000001E-2</v>
      </c>
      <c r="V393" s="10">
        <v>1.0670000000000001E-2</v>
      </c>
      <c r="W393" s="10">
        <v>1.175E-2</v>
      </c>
      <c r="X393" s="10">
        <v>2.2560000000000002E-3</v>
      </c>
      <c r="Y393" s="10">
        <v>17.010000000000002</v>
      </c>
      <c r="Z393" s="10">
        <v>14.1999999999999</v>
      </c>
      <c r="AA393" s="10">
        <v>112.5</v>
      </c>
      <c r="AB393" s="10">
        <v>854.29999999999905</v>
      </c>
      <c r="AC393" s="10">
        <v>0.15409999999999899</v>
      </c>
      <c r="AD393" s="10">
        <v>0.2979</v>
      </c>
      <c r="AE393" s="10">
        <v>0.40039999999999898</v>
      </c>
      <c r="AF393" s="10">
        <v>0.1452</v>
      </c>
      <c r="AG393" s="10">
        <v>0.25569999999999898</v>
      </c>
      <c r="AH393">
        <v>8.1809999999999897E-2</v>
      </c>
    </row>
    <row r="394" spans="3:34">
      <c r="C394" s="11" t="s">
        <v>625</v>
      </c>
      <c r="D394" s="10" t="s">
        <v>1</v>
      </c>
      <c r="E394" s="10">
        <v>13.71</v>
      </c>
      <c r="F394" s="10">
        <v>16.41</v>
      </c>
      <c r="G394" s="10">
        <v>82.849999999999895</v>
      </c>
      <c r="H394" s="10">
        <v>476.69999999999902</v>
      </c>
      <c r="I394" s="10">
        <v>9.5140000000000002E-2</v>
      </c>
      <c r="J394" s="10">
        <v>0.15110000000000001</v>
      </c>
      <c r="K394" s="10">
        <v>0.15440000000000001</v>
      </c>
      <c r="L394" s="10">
        <v>4.8460000000000003E-2</v>
      </c>
      <c r="M394" s="10">
        <v>0.2082</v>
      </c>
      <c r="N394" s="10">
        <v>7.3249999999999899E-2</v>
      </c>
      <c r="O394" s="10">
        <v>0.3921</v>
      </c>
      <c r="P394" s="10">
        <v>1.2070000000000001</v>
      </c>
      <c r="Q394" s="10">
        <v>5.0039999999999898</v>
      </c>
      <c r="R394" s="10">
        <v>30.19</v>
      </c>
      <c r="S394" s="10">
        <v>7.234E-3</v>
      </c>
      <c r="T394" s="10">
        <v>7.4709999999999901E-2</v>
      </c>
      <c r="U394" s="10">
        <v>0.1114</v>
      </c>
      <c r="V394" s="10">
        <v>2.7210000000000002E-2</v>
      </c>
      <c r="W394" s="10">
        <v>3.2320000000000002E-2</v>
      </c>
      <c r="X394" s="10">
        <v>9.6270000000000001E-3</v>
      </c>
      <c r="Y394" s="10">
        <v>13.7799999999999</v>
      </c>
      <c r="Z394" s="10">
        <v>21.03</v>
      </c>
      <c r="AA394" s="10">
        <v>97.819999999999894</v>
      </c>
      <c r="AB394" s="10">
        <v>580.6</v>
      </c>
      <c r="AC394" s="10">
        <v>0.11749999999999899</v>
      </c>
      <c r="AD394" s="10">
        <v>0.40610000000000002</v>
      </c>
      <c r="AE394" s="10">
        <v>0.48959999999999898</v>
      </c>
      <c r="AF394" s="10">
        <v>0.13420000000000001</v>
      </c>
      <c r="AG394" s="10">
        <v>0.3231</v>
      </c>
      <c r="AH394">
        <v>0.10340000000000001</v>
      </c>
    </row>
    <row r="395" spans="3:34">
      <c r="C395" s="11" t="s">
        <v>627</v>
      </c>
      <c r="D395" s="10" t="s">
        <v>0</v>
      </c>
      <c r="E395" s="10">
        <v>13.71</v>
      </c>
      <c r="F395" s="10">
        <v>18.82</v>
      </c>
      <c r="G395" s="10">
        <v>128.099999999999</v>
      </c>
      <c r="H395" s="10">
        <v>1167</v>
      </c>
      <c r="I395" s="10">
        <v>0.1089</v>
      </c>
      <c r="J395" s="10">
        <v>0.14480000000000001</v>
      </c>
      <c r="K395" s="10">
        <v>0.225599999999999</v>
      </c>
      <c r="L395" s="10">
        <v>0.11940000000000001</v>
      </c>
      <c r="M395" s="10">
        <v>0.18229999999999899</v>
      </c>
      <c r="N395" s="10">
        <v>6.1150000000000003E-2</v>
      </c>
      <c r="O395" s="10">
        <v>0.56589999999999896</v>
      </c>
      <c r="P395" s="10">
        <v>1.4079999999999899</v>
      </c>
      <c r="Q395" s="10">
        <v>3.63099999999999</v>
      </c>
      <c r="R395" s="10">
        <v>67.739999999999895</v>
      </c>
      <c r="S395" s="10">
        <v>5.2880000000000002E-3</v>
      </c>
      <c r="T395" s="10">
        <v>2.8330000000000001E-2</v>
      </c>
      <c r="U395" s="10">
        <v>4.2560000000000001E-2</v>
      </c>
      <c r="V395" s="10">
        <v>1.176E-2</v>
      </c>
      <c r="W395" s="10">
        <v>1.7170000000000001E-2</v>
      </c>
      <c r="X395" s="10">
        <v>3.2109999999999899E-3</v>
      </c>
      <c r="Y395" s="10">
        <v>23.96</v>
      </c>
      <c r="Z395" s="10">
        <v>30.39</v>
      </c>
      <c r="AA395" s="10">
        <v>153.9</v>
      </c>
      <c r="AB395" s="10">
        <v>1740</v>
      </c>
      <c r="AC395" s="10">
        <v>0.15140000000000001</v>
      </c>
      <c r="AD395" s="10">
        <v>0.3725</v>
      </c>
      <c r="AE395" s="10">
        <v>0.59360000000000002</v>
      </c>
      <c r="AF395" s="10">
        <v>0.20599999999999899</v>
      </c>
      <c r="AG395" s="10">
        <v>0.3266</v>
      </c>
      <c r="AH395">
        <v>9.0090000000000003E-2</v>
      </c>
    </row>
    <row r="396" spans="3:34">
      <c r="C396" s="11" t="s">
        <v>628</v>
      </c>
      <c r="D396" s="10" t="s">
        <v>1</v>
      </c>
      <c r="E396" s="10">
        <v>13.71</v>
      </c>
      <c r="F396" s="10">
        <v>16.170000000000002</v>
      </c>
      <c r="G396" s="10">
        <v>75.489999999999895</v>
      </c>
      <c r="H396" s="10">
        <v>420.5</v>
      </c>
      <c r="I396" s="10">
        <v>0.1128</v>
      </c>
      <c r="J396" s="10">
        <v>9.2630000000000004E-2</v>
      </c>
      <c r="K396" s="10">
        <v>4.2790000000000002E-2</v>
      </c>
      <c r="L396" s="10">
        <v>3.1320000000000001E-2</v>
      </c>
      <c r="M396" s="10">
        <v>0.18529999999999899</v>
      </c>
      <c r="N396" s="10">
        <v>6.40099999999999E-2</v>
      </c>
      <c r="O396" s="10">
        <v>0.37130000000000002</v>
      </c>
      <c r="P396" s="10">
        <v>1.1539999999999899</v>
      </c>
      <c r="Q396" s="10">
        <v>2.5539999999999901</v>
      </c>
      <c r="R396" s="10">
        <v>27.57</v>
      </c>
      <c r="S396" s="10">
        <v>8.9980000000000008E-3</v>
      </c>
      <c r="T396" s="10">
        <v>1.29199999999999E-2</v>
      </c>
      <c r="U396" s="10">
        <v>1.8509999999999902E-2</v>
      </c>
      <c r="V396" s="10">
        <v>1.167E-2</v>
      </c>
      <c r="W396" s="10">
        <v>2.1520000000000001E-2</v>
      </c>
      <c r="X396" s="10">
        <v>3.2130000000000001E-3</v>
      </c>
      <c r="Y396" s="10">
        <v>13.32</v>
      </c>
      <c r="Z396" s="10">
        <v>21.59</v>
      </c>
      <c r="AA396" s="10">
        <v>86.569999999999894</v>
      </c>
      <c r="AB396" s="10">
        <v>549.79999999999905</v>
      </c>
      <c r="AC396" s="10">
        <v>0.15260000000000001</v>
      </c>
      <c r="AD396" s="10">
        <v>0.1477</v>
      </c>
      <c r="AE396" s="10">
        <v>0.14899999999999899</v>
      </c>
      <c r="AF396" s="10">
        <v>9.8150000000000001E-2</v>
      </c>
      <c r="AG396" s="10">
        <v>0.28039999999999898</v>
      </c>
      <c r="AH396">
        <v>8.0240000000000006E-2</v>
      </c>
    </row>
    <row r="397" spans="3:34">
      <c r="C397" s="11" t="s">
        <v>630</v>
      </c>
      <c r="D397" s="10" t="s">
        <v>1</v>
      </c>
      <c r="E397" s="10">
        <v>13.71</v>
      </c>
      <c r="F397" s="10">
        <v>22.44</v>
      </c>
      <c r="G397" s="10">
        <v>78.180000000000007</v>
      </c>
      <c r="H397" s="10">
        <v>466.5</v>
      </c>
      <c r="I397" s="10">
        <v>8.1920000000000007E-2</v>
      </c>
      <c r="J397" s="10">
        <v>5.19999999999999E-2</v>
      </c>
      <c r="K397" s="10">
        <v>1.7139999999999898E-2</v>
      </c>
      <c r="L397" s="10">
        <v>1.261E-2</v>
      </c>
      <c r="M397" s="10">
        <v>0.15440000000000001</v>
      </c>
      <c r="N397" s="10">
        <v>5.9760000000000001E-2</v>
      </c>
      <c r="O397" s="10">
        <v>0.22389999999999899</v>
      </c>
      <c r="P397" s="10">
        <v>1.139</v>
      </c>
      <c r="Q397" s="10">
        <v>1.577</v>
      </c>
      <c r="R397" s="10">
        <v>18.0399999999999</v>
      </c>
      <c r="S397" s="10">
        <v>5.0959999999999903E-3</v>
      </c>
      <c r="T397" s="10">
        <v>1.205E-2</v>
      </c>
      <c r="U397" s="10">
        <v>9.41E-3</v>
      </c>
      <c r="V397" s="10">
        <v>4.5510000000000004E-3</v>
      </c>
      <c r="W397" s="10">
        <v>1.6080000000000001E-2</v>
      </c>
      <c r="X397" s="10">
        <v>2.3990000000000001E-3</v>
      </c>
      <c r="Y397" s="10">
        <v>14.17</v>
      </c>
      <c r="Z397" s="10">
        <v>31.989999999999899</v>
      </c>
      <c r="AA397" s="10">
        <v>92.739999999999895</v>
      </c>
      <c r="AB397" s="10">
        <v>622.89999999999895</v>
      </c>
      <c r="AC397" s="10">
        <v>0.12559999999999899</v>
      </c>
      <c r="AD397" s="10">
        <v>0.1804</v>
      </c>
      <c r="AE397" s="10">
        <v>0.123</v>
      </c>
      <c r="AF397" s="10">
        <v>6.3350000000000004E-2</v>
      </c>
      <c r="AG397" s="10">
        <v>0.31</v>
      </c>
      <c r="AH397">
        <v>8.2030000000000006E-2</v>
      </c>
    </row>
    <row r="398" spans="3:34">
      <c r="C398" s="11" t="s">
        <v>631</v>
      </c>
      <c r="D398" s="10" t="s">
        <v>1</v>
      </c>
      <c r="E398" s="10">
        <v>13.71</v>
      </c>
      <c r="F398" s="10">
        <v>13.23</v>
      </c>
      <c r="G398" s="10">
        <v>114.599999999999</v>
      </c>
      <c r="H398" s="10">
        <v>992.1</v>
      </c>
      <c r="I398" s="10">
        <v>7.8380000000000005E-2</v>
      </c>
      <c r="J398" s="10">
        <v>6.2170000000000003E-2</v>
      </c>
      <c r="K398" s="10">
        <v>4.4450000000000003E-2</v>
      </c>
      <c r="L398" s="10">
        <v>4.1779999999999901E-2</v>
      </c>
      <c r="M398" s="10">
        <v>0.122</v>
      </c>
      <c r="N398" s="10">
        <v>5.24299999999999E-2</v>
      </c>
      <c r="O398" s="10">
        <v>0.4834</v>
      </c>
      <c r="P398" s="10">
        <v>1.046</v>
      </c>
      <c r="Q398" s="10">
        <v>3.16299999999999</v>
      </c>
      <c r="R398" s="10">
        <v>50.95</v>
      </c>
      <c r="S398" s="10">
        <v>4.3689999999999901E-3</v>
      </c>
      <c r="T398" s="10">
        <v>8.2740000000000001E-3</v>
      </c>
      <c r="U398" s="10">
        <v>1.153E-2</v>
      </c>
      <c r="V398" s="10">
        <v>7.437E-3</v>
      </c>
      <c r="W398" s="10">
        <v>1.302E-2</v>
      </c>
      <c r="X398" s="10">
        <v>1.3090000000000001E-3</v>
      </c>
      <c r="Y398" s="10">
        <v>19.82</v>
      </c>
      <c r="Z398" s="10">
        <v>18.420000000000002</v>
      </c>
      <c r="AA398" s="10">
        <v>127.099999999999</v>
      </c>
      <c r="AB398" s="10">
        <v>1210</v>
      </c>
      <c r="AC398" s="10">
        <v>9.8619999999999902E-2</v>
      </c>
      <c r="AD398" s="10">
        <v>9.9760000000000001E-2</v>
      </c>
      <c r="AE398" s="10">
        <v>0.1048</v>
      </c>
      <c r="AF398" s="10">
        <v>8.3409999999999901E-2</v>
      </c>
      <c r="AG398" s="10">
        <v>0.17829999999999899</v>
      </c>
      <c r="AH398">
        <v>5.8709999999999901E-2</v>
      </c>
    </row>
    <row r="399" spans="3:34">
      <c r="C399" s="11" t="s">
        <v>632</v>
      </c>
      <c r="D399" s="10" t="s">
        <v>0</v>
      </c>
      <c r="E399" s="10">
        <v>13.71</v>
      </c>
      <c r="F399" s="10">
        <v>20.559999999999899</v>
      </c>
      <c r="G399" s="10">
        <v>118.4</v>
      </c>
      <c r="H399" s="10">
        <v>1007</v>
      </c>
      <c r="I399" s="10">
        <v>0.100099999999999</v>
      </c>
      <c r="J399" s="10">
        <v>0.12889999999999899</v>
      </c>
      <c r="K399" s="10">
        <v>0.11700000000000001</v>
      </c>
      <c r="L399" s="10">
        <v>7.7619999999999897E-2</v>
      </c>
      <c r="M399" s="10">
        <v>0.21160000000000001</v>
      </c>
      <c r="N399" s="10">
        <v>6.07699999999999E-2</v>
      </c>
      <c r="O399" s="10">
        <v>0.75480000000000003</v>
      </c>
      <c r="P399" s="10">
        <v>1.288</v>
      </c>
      <c r="Q399" s="10">
        <v>5.35299999999999</v>
      </c>
      <c r="R399" s="10">
        <v>89.739999999999895</v>
      </c>
      <c r="S399" s="10">
        <v>7.9970000000000006E-3</v>
      </c>
      <c r="T399" s="10">
        <v>2.7E-2</v>
      </c>
      <c r="U399" s="10">
        <v>3.737E-2</v>
      </c>
      <c r="V399" s="10">
        <v>1.6480000000000002E-2</v>
      </c>
      <c r="W399" s="10">
        <v>2.8969999999999899E-2</v>
      </c>
      <c r="X399" s="10">
        <v>3.9960000000000004E-3</v>
      </c>
      <c r="Y399" s="10">
        <v>21.53</v>
      </c>
      <c r="Z399" s="10">
        <v>26.059999999999899</v>
      </c>
      <c r="AA399" s="10">
        <v>143.4</v>
      </c>
      <c r="AB399" s="10">
        <v>1426</v>
      </c>
      <c r="AC399" s="10">
        <v>0.13089999999999899</v>
      </c>
      <c r="AD399" s="10">
        <v>0.23269999999999899</v>
      </c>
      <c r="AE399" s="10">
        <v>0.25440000000000002</v>
      </c>
      <c r="AF399" s="10">
        <v>0.1489</v>
      </c>
      <c r="AG399" s="10">
        <v>0.3251</v>
      </c>
      <c r="AH399">
        <v>7.6249999999999901E-2</v>
      </c>
    </row>
    <row r="400" spans="3:34">
      <c r="C400" s="11" t="s">
        <v>633</v>
      </c>
      <c r="D400" s="10" t="s">
        <v>1</v>
      </c>
      <c r="E400" s="10">
        <v>13.71</v>
      </c>
      <c r="F400" s="10">
        <v>12.83</v>
      </c>
      <c r="G400" s="10">
        <v>78.829999999999899</v>
      </c>
      <c r="H400" s="10">
        <v>477.3</v>
      </c>
      <c r="I400" s="10">
        <v>7.3719999999999897E-2</v>
      </c>
      <c r="J400" s="10">
        <v>4.0430000000000001E-2</v>
      </c>
      <c r="K400" s="10">
        <v>7.1729999999999901E-3</v>
      </c>
      <c r="L400" s="10">
        <v>1.149E-2</v>
      </c>
      <c r="M400" s="10">
        <v>0.1613</v>
      </c>
      <c r="N400" s="10">
        <v>6.0130000000000003E-2</v>
      </c>
      <c r="O400" s="10">
        <v>0.3276</v>
      </c>
      <c r="P400" s="10">
        <v>1.486</v>
      </c>
      <c r="Q400" s="10">
        <v>2.1080000000000001</v>
      </c>
      <c r="R400" s="10">
        <v>24.6</v>
      </c>
      <c r="S400" s="10">
        <v>1.039E-2</v>
      </c>
      <c r="T400" s="10">
        <v>1.0030000000000001E-2</v>
      </c>
      <c r="U400" s="10">
        <v>6.4159999999999903E-3</v>
      </c>
      <c r="V400" s="10">
        <v>7.8949999999999906E-3</v>
      </c>
      <c r="W400" s="10">
        <v>2.869E-2</v>
      </c>
      <c r="X400" s="10">
        <v>4.8209999999999902E-3</v>
      </c>
      <c r="Y400" s="10">
        <v>13.19</v>
      </c>
      <c r="Z400" s="10">
        <v>16.3599999999999</v>
      </c>
      <c r="AA400" s="10">
        <v>83.239999999999895</v>
      </c>
      <c r="AB400" s="10">
        <v>534</v>
      </c>
      <c r="AC400" s="10">
        <v>9.4390000000000002E-2</v>
      </c>
      <c r="AD400" s="10">
        <v>6.4769999999999897E-2</v>
      </c>
      <c r="AE400" s="10">
        <v>1.6740000000000001E-2</v>
      </c>
      <c r="AF400" s="10">
        <v>2.6800000000000001E-2</v>
      </c>
      <c r="AG400" s="10">
        <v>0.22800000000000001</v>
      </c>
      <c r="AH400">
        <v>7.0279999999999898E-2</v>
      </c>
    </row>
    <row r="401" spans="3:34">
      <c r="C401" s="11" t="s">
        <v>634</v>
      </c>
      <c r="D401" s="10" t="s">
        <v>1</v>
      </c>
      <c r="E401" s="10">
        <v>13.71</v>
      </c>
      <c r="F401" s="10">
        <v>20.5399999999999</v>
      </c>
      <c r="G401" s="10">
        <v>84.06</v>
      </c>
      <c r="H401" s="10">
        <v>538.70000000000005</v>
      </c>
      <c r="I401" s="10">
        <v>7.3349999999999901E-2</v>
      </c>
      <c r="J401" s="10">
        <v>5.2749999999999901E-2</v>
      </c>
      <c r="K401" s="10">
        <v>1.7999999999999901E-2</v>
      </c>
      <c r="L401" s="10">
        <v>1.256E-2</v>
      </c>
      <c r="M401" s="10">
        <v>0.17130000000000001</v>
      </c>
      <c r="N401" s="10">
        <v>5.8880000000000002E-2</v>
      </c>
      <c r="O401" s="10">
        <v>0.32369999999999899</v>
      </c>
      <c r="P401" s="10">
        <v>1.4730000000000001</v>
      </c>
      <c r="Q401" s="10">
        <v>2.3260000000000001</v>
      </c>
      <c r="R401" s="10">
        <v>26.07</v>
      </c>
      <c r="S401" s="10">
        <v>7.8019999999999904E-3</v>
      </c>
      <c r="T401" s="10">
        <v>2.052E-2</v>
      </c>
      <c r="U401" s="10">
        <v>1.341E-2</v>
      </c>
      <c r="V401" s="10">
        <v>5.5640000000000004E-3</v>
      </c>
      <c r="W401" s="10">
        <v>2.086E-2</v>
      </c>
      <c r="X401" s="10">
        <v>2.7009999999999899E-3</v>
      </c>
      <c r="Y401" s="10">
        <v>14.5</v>
      </c>
      <c r="Z401" s="10">
        <v>28.46</v>
      </c>
      <c r="AA401" s="10">
        <v>95.29</v>
      </c>
      <c r="AB401" s="10">
        <v>648.29999999999905</v>
      </c>
      <c r="AC401" s="10">
        <v>0.1118</v>
      </c>
      <c r="AD401" s="10">
        <v>0.1646</v>
      </c>
      <c r="AE401" s="10">
        <v>7.6980000000000007E-2</v>
      </c>
      <c r="AF401" s="10">
        <v>4.1950000000000001E-2</v>
      </c>
      <c r="AG401" s="10">
        <v>0.268699999999999</v>
      </c>
      <c r="AH401">
        <v>7.4289999999999898E-2</v>
      </c>
    </row>
    <row r="402" spans="3:34">
      <c r="C402" s="11" t="s">
        <v>635</v>
      </c>
      <c r="D402" s="10" t="s">
        <v>1</v>
      </c>
      <c r="E402" s="10">
        <v>13.71</v>
      </c>
      <c r="F402" s="10">
        <v>20.21</v>
      </c>
      <c r="G402" s="10">
        <v>96.12</v>
      </c>
      <c r="H402" s="10">
        <v>680.89999999999895</v>
      </c>
      <c r="I402" s="10">
        <v>9.58699999999999E-2</v>
      </c>
      <c r="J402" s="10">
        <v>8.3449999999999899E-2</v>
      </c>
      <c r="K402" s="10">
        <v>6.8239999999999898E-2</v>
      </c>
      <c r="L402" s="10">
        <v>4.9509999999999901E-2</v>
      </c>
      <c r="M402" s="10">
        <v>0.1487</v>
      </c>
      <c r="N402" s="10">
        <v>5.7480000000000003E-2</v>
      </c>
      <c r="O402" s="10">
        <v>0.23230000000000001</v>
      </c>
      <c r="P402" s="10">
        <v>1.6359999999999899</v>
      </c>
      <c r="Q402" s="10">
        <v>1.5960000000000001</v>
      </c>
      <c r="R402" s="10">
        <v>21.84</v>
      </c>
      <c r="S402" s="10">
        <v>5.4149999999999901E-3</v>
      </c>
      <c r="T402" s="10">
        <v>1.371E-2</v>
      </c>
      <c r="U402" s="10">
        <v>2.1530000000000001E-2</v>
      </c>
      <c r="V402" s="10">
        <v>1.183E-2</v>
      </c>
      <c r="W402" s="10">
        <v>1.959E-2</v>
      </c>
      <c r="X402" s="10">
        <v>1.812E-3</v>
      </c>
      <c r="Y402" s="10">
        <v>16.010000000000002</v>
      </c>
      <c r="Z402" s="10">
        <v>28.48</v>
      </c>
      <c r="AA402" s="10">
        <v>103.9</v>
      </c>
      <c r="AB402" s="10">
        <v>783.6</v>
      </c>
      <c r="AC402" s="10">
        <v>0.1216</v>
      </c>
      <c r="AD402" s="10">
        <v>0.13880000000000001</v>
      </c>
      <c r="AE402" s="10">
        <v>0.17</v>
      </c>
      <c r="AF402" s="10">
        <v>0.1017</v>
      </c>
      <c r="AG402" s="10">
        <v>0.2369</v>
      </c>
      <c r="AH402">
        <v>6.5989999999999896E-2</v>
      </c>
    </row>
    <row r="403" spans="3:34">
      <c r="C403" s="11" t="s">
        <v>636</v>
      </c>
      <c r="D403" s="10" t="s">
        <v>1</v>
      </c>
      <c r="E403" s="10">
        <v>13.71</v>
      </c>
      <c r="F403" s="10">
        <v>18.170000000000002</v>
      </c>
      <c r="G403" s="10">
        <v>82.689999999999898</v>
      </c>
      <c r="H403" s="10">
        <v>485.6</v>
      </c>
      <c r="I403" s="10">
        <v>0.1076</v>
      </c>
      <c r="J403" s="10">
        <v>0.13339999999999899</v>
      </c>
      <c r="K403" s="10">
        <v>8.0170000000000005E-2</v>
      </c>
      <c r="L403" s="10">
        <v>5.074E-2</v>
      </c>
      <c r="M403" s="10">
        <v>0.1641</v>
      </c>
      <c r="N403" s="10">
        <v>6.8540000000000004E-2</v>
      </c>
      <c r="O403" s="10">
        <v>0.2324</v>
      </c>
      <c r="P403" s="10">
        <v>0.63319999999999899</v>
      </c>
      <c r="Q403" s="10">
        <v>1.696</v>
      </c>
      <c r="R403" s="10">
        <v>18.399999999999899</v>
      </c>
      <c r="S403" s="10">
        <v>5.7039999999999903E-3</v>
      </c>
      <c r="T403" s="10">
        <v>2.5020000000000001E-2</v>
      </c>
      <c r="U403" s="10">
        <v>2.6360000000000001E-2</v>
      </c>
      <c r="V403" s="10">
        <v>1.03199999999999E-2</v>
      </c>
      <c r="W403" s="10">
        <v>1.7590000000000001E-2</v>
      </c>
      <c r="X403" s="10">
        <v>3.5630000000000002E-3</v>
      </c>
      <c r="Y403" s="10">
        <v>14.38</v>
      </c>
      <c r="Z403" s="10">
        <v>22.149999999999899</v>
      </c>
      <c r="AA403" s="10">
        <v>95.29</v>
      </c>
      <c r="AB403" s="10">
        <v>633.70000000000005</v>
      </c>
      <c r="AC403" s="10">
        <v>0.15329999999999899</v>
      </c>
      <c r="AD403" s="10">
        <v>0.38419999999999899</v>
      </c>
      <c r="AE403" s="10">
        <v>0.35820000000000002</v>
      </c>
      <c r="AF403" s="10">
        <v>0.14069999999999899</v>
      </c>
      <c r="AG403" s="10">
        <v>0.32300000000000001</v>
      </c>
      <c r="AH403">
        <v>0.1033</v>
      </c>
    </row>
    <row r="404" spans="3:34">
      <c r="C404" s="11" t="s">
        <v>637</v>
      </c>
      <c r="D404" s="10" t="s">
        <v>1</v>
      </c>
      <c r="E404" s="10">
        <v>13.71</v>
      </c>
      <c r="F404" s="10">
        <v>17.309999999999899</v>
      </c>
      <c r="G404" s="10">
        <v>80.45</v>
      </c>
      <c r="H404" s="10">
        <v>480.1</v>
      </c>
      <c r="I404" s="10">
        <v>8.9279999999999901E-2</v>
      </c>
      <c r="J404" s="10">
        <v>7.6300000000000007E-2</v>
      </c>
      <c r="K404" s="10">
        <v>3.60899999999999E-2</v>
      </c>
      <c r="L404" s="10">
        <v>2.3689999999999899E-2</v>
      </c>
      <c r="M404" s="10">
        <v>0.15260000000000001</v>
      </c>
      <c r="N404" s="10">
        <v>6.046E-2</v>
      </c>
      <c r="O404" s="10">
        <v>0.1532</v>
      </c>
      <c r="P404" s="10">
        <v>0.78100000000000003</v>
      </c>
      <c r="Q404" s="10">
        <v>1.2529999999999899</v>
      </c>
      <c r="R404" s="10">
        <v>11.91</v>
      </c>
      <c r="S404" s="10">
        <v>3.7959999999999899E-3</v>
      </c>
      <c r="T404" s="10">
        <v>1.371E-2</v>
      </c>
      <c r="U404" s="10">
        <v>1.346E-2</v>
      </c>
      <c r="V404" s="10">
        <v>7.0959999999999903E-3</v>
      </c>
      <c r="W404" s="10">
        <v>1.536E-2</v>
      </c>
      <c r="X404" s="10">
        <v>1.5410000000000001E-3</v>
      </c>
      <c r="Y404" s="10">
        <v>14.06</v>
      </c>
      <c r="Z404" s="10">
        <v>24.34</v>
      </c>
      <c r="AA404" s="10">
        <v>92.819999999999894</v>
      </c>
      <c r="AB404" s="10">
        <v>607.29999999999905</v>
      </c>
      <c r="AC404" s="10">
        <v>0.12759999999999899</v>
      </c>
      <c r="AD404" s="10">
        <v>0.25059999999999899</v>
      </c>
      <c r="AE404" s="10">
        <v>0.20280000000000001</v>
      </c>
      <c r="AF404" s="10">
        <v>0.1053</v>
      </c>
      <c r="AG404" s="10">
        <v>0.30349999999999899</v>
      </c>
      <c r="AH404">
        <v>7.66099999999999E-2</v>
      </c>
    </row>
    <row r="405" spans="3:34">
      <c r="C405" s="11" t="s">
        <v>638</v>
      </c>
      <c r="D405" s="10" t="s">
        <v>0</v>
      </c>
      <c r="E405" s="10">
        <v>13.71</v>
      </c>
      <c r="F405" s="10">
        <v>17.52</v>
      </c>
      <c r="G405" s="10">
        <v>121.3</v>
      </c>
      <c r="H405" s="10">
        <v>1068</v>
      </c>
      <c r="I405" s="10">
        <v>0.1012</v>
      </c>
      <c r="J405" s="10">
        <v>0.13170000000000001</v>
      </c>
      <c r="K405" s="10">
        <v>0.14910000000000001</v>
      </c>
      <c r="L405" s="10">
        <v>9.1829999999999898E-2</v>
      </c>
      <c r="M405" s="10">
        <v>0.1832</v>
      </c>
      <c r="N405" s="10">
        <v>6.6970000000000002E-2</v>
      </c>
      <c r="O405" s="10">
        <v>0.7923</v>
      </c>
      <c r="P405" s="10">
        <v>1.0449999999999899</v>
      </c>
      <c r="Q405" s="10">
        <v>4.851</v>
      </c>
      <c r="R405" s="10">
        <v>95.769999999999897</v>
      </c>
      <c r="S405" s="10">
        <v>7.9740000000000002E-3</v>
      </c>
      <c r="T405" s="10">
        <v>3.2140000000000002E-2</v>
      </c>
      <c r="U405" s="10">
        <v>4.4350000000000001E-2</v>
      </c>
      <c r="V405" s="10">
        <v>1.5730000000000001E-2</v>
      </c>
      <c r="W405" s="10">
        <v>1.617E-2</v>
      </c>
      <c r="X405" s="10">
        <v>5.2550000000000001E-3</v>
      </c>
      <c r="Y405" s="10">
        <v>22.75</v>
      </c>
      <c r="Z405" s="10">
        <v>22.8799999999999</v>
      </c>
      <c r="AA405" s="10">
        <v>146.4</v>
      </c>
      <c r="AB405" s="10">
        <v>1600</v>
      </c>
      <c r="AC405" s="10">
        <v>0.14119999999999899</v>
      </c>
      <c r="AD405" s="10">
        <v>0.30890000000000001</v>
      </c>
      <c r="AE405" s="10">
        <v>0.3533</v>
      </c>
      <c r="AF405" s="10">
        <v>0.1663</v>
      </c>
      <c r="AG405" s="10">
        <v>0.251</v>
      </c>
      <c r="AH405">
        <v>9.4450000000000006E-2</v>
      </c>
    </row>
    <row r="406" spans="3:34">
      <c r="C406" s="11" t="s">
        <v>639</v>
      </c>
      <c r="D406" s="10" t="s">
        <v>0</v>
      </c>
      <c r="E406" s="10">
        <v>13.71</v>
      </c>
      <c r="F406" s="10">
        <v>21.239999999999899</v>
      </c>
      <c r="G406" s="10">
        <v>137.80000000000001</v>
      </c>
      <c r="H406" s="10">
        <v>1320</v>
      </c>
      <c r="I406" s="10">
        <v>0.1085</v>
      </c>
      <c r="J406" s="10">
        <v>0.16439999999999899</v>
      </c>
      <c r="K406" s="10">
        <v>0.218799999999999</v>
      </c>
      <c r="L406" s="10">
        <v>0.11210000000000001</v>
      </c>
      <c r="M406" s="10">
        <v>0.18479999999999899</v>
      </c>
      <c r="N406" s="10">
        <v>6.22199999999999E-2</v>
      </c>
      <c r="O406" s="10">
        <v>0.59040000000000004</v>
      </c>
      <c r="P406" s="10">
        <v>1.216</v>
      </c>
      <c r="Q406" s="10">
        <v>4.2060000000000004</v>
      </c>
      <c r="R406" s="10">
        <v>75.09</v>
      </c>
      <c r="S406" s="10">
        <v>6.6660000000000001E-3</v>
      </c>
      <c r="T406" s="10">
        <v>2.7910000000000001E-2</v>
      </c>
      <c r="U406" s="10">
        <v>4.0620000000000003E-2</v>
      </c>
      <c r="V406" s="10">
        <v>1.47899999999999E-2</v>
      </c>
      <c r="W406" s="10">
        <v>1.11699999999999E-2</v>
      </c>
      <c r="X406" s="10">
        <v>3.7269999999999899E-3</v>
      </c>
      <c r="Y406" s="10">
        <v>23.8599999999999</v>
      </c>
      <c r="Z406" s="10">
        <v>30.76</v>
      </c>
      <c r="AA406" s="10">
        <v>163.19999999999899</v>
      </c>
      <c r="AB406" s="10">
        <v>1760</v>
      </c>
      <c r="AC406" s="10">
        <v>0.1464</v>
      </c>
      <c r="AD406" s="10">
        <v>0.35970000000000002</v>
      </c>
      <c r="AE406" s="10">
        <v>0.51790000000000003</v>
      </c>
      <c r="AF406" s="10">
        <v>0.21129999999999899</v>
      </c>
      <c r="AG406" s="10">
        <v>0.248</v>
      </c>
      <c r="AH406">
        <v>8.9990000000000001E-2</v>
      </c>
    </row>
    <row r="407" spans="3:34">
      <c r="C407" s="11" t="s">
        <v>640</v>
      </c>
      <c r="D407" s="10" t="s">
        <v>1</v>
      </c>
      <c r="E407" s="10">
        <v>13.71</v>
      </c>
      <c r="F407" s="10">
        <v>16.739999999999899</v>
      </c>
      <c r="G407" s="10">
        <v>98.73</v>
      </c>
      <c r="H407" s="10">
        <v>689.39999999999895</v>
      </c>
      <c r="I407" s="10">
        <v>9.8830000000000001E-2</v>
      </c>
      <c r="J407" s="10">
        <v>0.13639999999999899</v>
      </c>
      <c r="K407" s="10">
        <v>7.7210000000000001E-2</v>
      </c>
      <c r="L407" s="10">
        <v>6.1420000000000002E-2</v>
      </c>
      <c r="M407" s="10">
        <v>0.1668</v>
      </c>
      <c r="N407" s="10">
        <v>6.8690000000000001E-2</v>
      </c>
      <c r="O407" s="10">
        <v>0.372</v>
      </c>
      <c r="P407" s="10">
        <v>0.84230000000000005</v>
      </c>
      <c r="Q407" s="10">
        <v>2.3039999999999901</v>
      </c>
      <c r="R407" s="10">
        <v>34.840000000000003</v>
      </c>
      <c r="S407" s="10">
        <v>4.1229999999999904E-3</v>
      </c>
      <c r="T407" s="10">
        <v>1.8190000000000001E-2</v>
      </c>
      <c r="U407" s="10">
        <v>1.9959999999999901E-2</v>
      </c>
      <c r="V407" s="10">
        <v>1.004E-2</v>
      </c>
      <c r="W407" s="10">
        <v>1.055E-2</v>
      </c>
      <c r="X407" s="10">
        <v>3.2369999999999899E-3</v>
      </c>
      <c r="Y407" s="10">
        <v>16.760000000000002</v>
      </c>
      <c r="Z407" s="10">
        <v>20.43</v>
      </c>
      <c r="AA407" s="10">
        <v>109.7</v>
      </c>
      <c r="AB407" s="10">
        <v>856.89999999999895</v>
      </c>
      <c r="AC407" s="10">
        <v>0.1135</v>
      </c>
      <c r="AD407" s="10">
        <v>0.21759999999999899</v>
      </c>
      <c r="AE407" s="10">
        <v>0.18559999999999899</v>
      </c>
      <c r="AF407" s="10">
        <v>0.1018</v>
      </c>
      <c r="AG407" s="10">
        <v>0.2177</v>
      </c>
      <c r="AH407">
        <v>8.5489999999999899E-2</v>
      </c>
    </row>
    <row r="408" spans="3:34">
      <c r="C408" s="11" t="s">
        <v>641</v>
      </c>
      <c r="D408" s="10" t="s">
        <v>0</v>
      </c>
      <c r="E408" s="10">
        <v>13.71</v>
      </c>
      <c r="F408" s="10">
        <v>24.489999999999899</v>
      </c>
      <c r="G408" s="10">
        <v>92.329999999999899</v>
      </c>
      <c r="H408" s="10">
        <v>595.89999999999895</v>
      </c>
      <c r="I408" s="10">
        <v>0.1162</v>
      </c>
      <c r="J408" s="10">
        <v>0.1681</v>
      </c>
      <c r="K408" s="10">
        <v>0.13569999999999899</v>
      </c>
      <c r="L408" s="10">
        <v>6.75899999999999E-2</v>
      </c>
      <c r="M408" s="10">
        <v>0.22750000000000001</v>
      </c>
      <c r="N408" s="10">
        <v>7.2370000000000004E-2</v>
      </c>
      <c r="O408" s="10">
        <v>0.47510000000000002</v>
      </c>
      <c r="P408" s="10">
        <v>1.528</v>
      </c>
      <c r="Q408" s="10">
        <v>2.9740000000000002</v>
      </c>
      <c r="R408" s="10">
        <v>39.049999999999898</v>
      </c>
      <c r="S408" s="10">
        <v>9.6799999999999907E-3</v>
      </c>
      <c r="T408" s="10">
        <v>3.85599999999999E-2</v>
      </c>
      <c r="U408" s="10">
        <v>3.4759999999999902E-2</v>
      </c>
      <c r="V408" s="10">
        <v>1.6160000000000001E-2</v>
      </c>
      <c r="W408" s="10">
        <v>2.4340000000000001E-2</v>
      </c>
      <c r="X408" s="10">
        <v>6.9950000000000003E-3</v>
      </c>
      <c r="Y408" s="10">
        <v>16.010000000000002</v>
      </c>
      <c r="Z408" s="10">
        <v>32.939999999999898</v>
      </c>
      <c r="AA408" s="10">
        <v>106</v>
      </c>
      <c r="AB408" s="10">
        <v>788</v>
      </c>
      <c r="AC408" s="10">
        <v>0.1794</v>
      </c>
      <c r="AD408" s="10">
        <v>0.39660000000000001</v>
      </c>
      <c r="AE408" s="10">
        <v>0.33810000000000001</v>
      </c>
      <c r="AF408" s="10">
        <v>0.15210000000000001</v>
      </c>
      <c r="AG408" s="10">
        <v>0.36509999999999898</v>
      </c>
      <c r="AH408">
        <v>0.1183</v>
      </c>
    </row>
    <row r="409" spans="3:34">
      <c r="C409" s="11" t="s">
        <v>642</v>
      </c>
      <c r="D409" s="10" t="s">
        <v>1</v>
      </c>
      <c r="E409" s="10">
        <v>13.71</v>
      </c>
      <c r="F409" s="10">
        <v>16.32</v>
      </c>
      <c r="G409" s="10">
        <v>81.25</v>
      </c>
      <c r="H409" s="10">
        <v>476.3</v>
      </c>
      <c r="I409" s="10">
        <v>0.1158</v>
      </c>
      <c r="J409" s="10">
        <v>0.1085</v>
      </c>
      <c r="K409" s="10">
        <v>5.9279999999999902E-2</v>
      </c>
      <c r="L409" s="10">
        <v>3.279E-2</v>
      </c>
      <c r="M409" s="10">
        <v>0.1943</v>
      </c>
      <c r="N409" s="10">
        <v>6.6119999999999901E-2</v>
      </c>
      <c r="O409" s="10">
        <v>0.25769999999999899</v>
      </c>
      <c r="P409" s="10">
        <v>1.095</v>
      </c>
      <c r="Q409" s="10">
        <v>1.5660000000000001</v>
      </c>
      <c r="R409" s="10">
        <v>18.489999999999899</v>
      </c>
      <c r="S409" s="10">
        <v>9.7020000000000006E-3</v>
      </c>
      <c r="T409" s="10">
        <v>1.567E-2</v>
      </c>
      <c r="U409" s="10">
        <v>2.5749999999999901E-2</v>
      </c>
      <c r="V409" s="10">
        <v>1.1610000000000001E-2</v>
      </c>
      <c r="W409" s="10">
        <v>2.801E-2</v>
      </c>
      <c r="X409" s="10">
        <v>2.48E-3</v>
      </c>
      <c r="Y409" s="10">
        <v>13.57</v>
      </c>
      <c r="Z409" s="10">
        <v>21.399999999999899</v>
      </c>
      <c r="AA409" s="10">
        <v>86.67</v>
      </c>
      <c r="AB409" s="10">
        <v>552</v>
      </c>
      <c r="AC409" s="10">
        <v>0.158</v>
      </c>
      <c r="AD409" s="10">
        <v>0.17510000000000001</v>
      </c>
      <c r="AE409" s="10">
        <v>0.18890000000000001</v>
      </c>
      <c r="AF409" s="10">
        <v>8.4110000000000004E-2</v>
      </c>
      <c r="AG409" s="10">
        <v>0.3155</v>
      </c>
      <c r="AH409">
        <v>7.5380000000000003E-2</v>
      </c>
    </row>
    <row r="410" spans="3:34">
      <c r="C410" s="11" t="s">
        <v>643</v>
      </c>
      <c r="D410" s="10" t="s">
        <v>0</v>
      </c>
      <c r="E410" s="10">
        <v>13.71</v>
      </c>
      <c r="F410" s="10">
        <v>19.829999999999899</v>
      </c>
      <c r="G410" s="10">
        <v>152.099999999999</v>
      </c>
      <c r="H410" s="10">
        <v>1682</v>
      </c>
      <c r="I410" s="10">
        <v>9.3420000000000003E-2</v>
      </c>
      <c r="J410" s="10">
        <v>0.1275</v>
      </c>
      <c r="K410" s="10">
        <v>0.1676</v>
      </c>
      <c r="L410" s="10">
        <v>0.1003</v>
      </c>
      <c r="M410" s="10">
        <v>0.150499999999999</v>
      </c>
      <c r="N410" s="10">
        <v>5.484E-2</v>
      </c>
      <c r="O410" s="10">
        <v>1.2909999999999899</v>
      </c>
      <c r="P410" s="10">
        <v>0.74519999999999897</v>
      </c>
      <c r="Q410" s="10">
        <v>9.6349999999999891</v>
      </c>
      <c r="R410" s="10">
        <v>180.19999999999899</v>
      </c>
      <c r="S410" s="10">
        <v>5.7530000000000003E-3</v>
      </c>
      <c r="T410" s="10">
        <v>3.356E-2</v>
      </c>
      <c r="U410" s="10">
        <v>3.97599999999999E-2</v>
      </c>
      <c r="V410" s="10">
        <v>2.1559999999999899E-2</v>
      </c>
      <c r="W410" s="10">
        <v>2.2009999999999901E-2</v>
      </c>
      <c r="X410" s="10">
        <v>2.8969999999999899E-3</v>
      </c>
      <c r="Y410" s="10">
        <v>30.7899999999999</v>
      </c>
      <c r="Z410" s="10">
        <v>23.87</v>
      </c>
      <c r="AA410" s="10">
        <v>211.5</v>
      </c>
      <c r="AB410" s="10">
        <v>2782</v>
      </c>
      <c r="AC410" s="10">
        <v>0.11990000000000001</v>
      </c>
      <c r="AD410" s="10">
        <v>0.36249999999999899</v>
      </c>
      <c r="AE410" s="10">
        <v>0.37940000000000002</v>
      </c>
      <c r="AF410" s="10">
        <v>0.22639999999999899</v>
      </c>
      <c r="AG410" s="10">
        <v>0.2908</v>
      </c>
      <c r="AH410">
        <v>7.2770000000000001E-2</v>
      </c>
    </row>
    <row r="411" spans="3:34">
      <c r="C411" s="11" t="s">
        <v>645</v>
      </c>
      <c r="D411" s="10" t="s">
        <v>1</v>
      </c>
      <c r="E411" s="10">
        <v>13.71</v>
      </c>
      <c r="F411" s="10">
        <v>13.14</v>
      </c>
      <c r="G411" s="10">
        <v>64.12</v>
      </c>
      <c r="H411" s="10">
        <v>272.5</v>
      </c>
      <c r="I411" s="10">
        <v>0.1255</v>
      </c>
      <c r="J411" s="10">
        <v>0.22040000000000001</v>
      </c>
      <c r="K411" s="10">
        <v>0.1188</v>
      </c>
      <c r="L411" s="10">
        <v>7.0379999999999901E-2</v>
      </c>
      <c r="M411" s="10">
        <v>0.20569999999999899</v>
      </c>
      <c r="N411" s="10">
        <v>9.5750000000000002E-2</v>
      </c>
      <c r="O411" s="10">
        <v>0.27439999999999898</v>
      </c>
      <c r="P411" s="10">
        <v>1.3899999999999899</v>
      </c>
      <c r="Q411" s="10">
        <v>1.7869999999999899</v>
      </c>
      <c r="R411" s="10">
        <v>17.670000000000002</v>
      </c>
      <c r="S411" s="10">
        <v>2.1770000000000001E-2</v>
      </c>
      <c r="T411" s="10">
        <v>4.888E-2</v>
      </c>
      <c r="U411" s="10">
        <v>5.1889999999999901E-2</v>
      </c>
      <c r="V411" s="10">
        <v>1.4500000000000001E-2</v>
      </c>
      <c r="W411" s="10">
        <v>2.632E-2</v>
      </c>
      <c r="X411" s="10">
        <v>1.1480000000000001E-2</v>
      </c>
      <c r="Y411" s="10">
        <v>10.6</v>
      </c>
      <c r="Z411" s="10">
        <v>18.0399999999999</v>
      </c>
      <c r="AA411" s="10">
        <v>69.469999999999899</v>
      </c>
      <c r="AB411" s="10">
        <v>328.1</v>
      </c>
      <c r="AC411" s="10">
        <v>0.2006</v>
      </c>
      <c r="AD411" s="10">
        <v>0.36630000000000001</v>
      </c>
      <c r="AE411" s="10">
        <v>0.2913</v>
      </c>
      <c r="AF411" s="10">
        <v>0.1075</v>
      </c>
      <c r="AG411" s="10">
        <v>0.2848</v>
      </c>
      <c r="AH411">
        <v>0.13639999999999899</v>
      </c>
    </row>
    <row r="412" spans="3:34">
      <c r="C412" s="11" t="s">
        <v>649</v>
      </c>
      <c r="D412" s="10" t="s">
        <v>0</v>
      </c>
      <c r="E412" s="10">
        <v>13.71</v>
      </c>
      <c r="F412" s="10">
        <v>23.9499999999999</v>
      </c>
      <c r="G412" s="10">
        <v>103.8</v>
      </c>
      <c r="H412" s="10">
        <v>731.29999999999905</v>
      </c>
      <c r="I412" s="10">
        <v>0.1183</v>
      </c>
      <c r="J412" s="10">
        <v>0.187</v>
      </c>
      <c r="K412" s="10">
        <v>0.20300000000000001</v>
      </c>
      <c r="L412" s="10">
        <v>8.5199999999999901E-2</v>
      </c>
      <c r="M412" s="10">
        <v>0.1807</v>
      </c>
      <c r="N412" s="10">
        <v>7.0830000000000004E-2</v>
      </c>
      <c r="O412" s="10">
        <v>0.33310000000000001</v>
      </c>
      <c r="P412" s="10">
        <v>1.9610000000000001</v>
      </c>
      <c r="Q412" s="10">
        <v>2.9369999999999901</v>
      </c>
      <c r="R412" s="10">
        <v>32.520000000000003</v>
      </c>
      <c r="S412" s="10">
        <v>9.5379999999999892E-3</v>
      </c>
      <c r="T412" s="10">
        <v>4.9399999999999902E-2</v>
      </c>
      <c r="U412" s="10">
        <v>6.019E-2</v>
      </c>
      <c r="V412" s="10">
        <v>2.0410000000000001E-2</v>
      </c>
      <c r="W412" s="10">
        <v>2.1049999999999899E-2</v>
      </c>
      <c r="X412" s="10">
        <v>6.0000000000000001E-3</v>
      </c>
      <c r="Y412" s="10">
        <v>17.1099999999999</v>
      </c>
      <c r="Z412" s="10">
        <v>36.329999999999899</v>
      </c>
      <c r="AA412" s="10">
        <v>117.7</v>
      </c>
      <c r="AB412" s="10">
        <v>909.39999999999895</v>
      </c>
      <c r="AC412" s="10">
        <v>0.17319999999999899</v>
      </c>
      <c r="AD412" s="10">
        <v>0.49669999999999898</v>
      </c>
      <c r="AE412" s="10">
        <v>0.59109999999999896</v>
      </c>
      <c r="AF412" s="10">
        <v>0.21629999999999899</v>
      </c>
      <c r="AG412" s="10">
        <v>0.30130000000000001</v>
      </c>
      <c r="AH412">
        <v>0.1067</v>
      </c>
    </row>
    <row r="413" spans="3:34">
      <c r="C413" s="11" t="s">
        <v>650</v>
      </c>
      <c r="D413" s="10" t="s">
        <v>1</v>
      </c>
      <c r="E413" s="10">
        <v>13.71</v>
      </c>
      <c r="F413" s="10">
        <v>14.69</v>
      </c>
      <c r="G413" s="10">
        <v>76.31</v>
      </c>
      <c r="H413" s="10">
        <v>426</v>
      </c>
      <c r="I413" s="10">
        <v>8.0990000000000006E-2</v>
      </c>
      <c r="J413" s="10">
        <v>9.6610000000000001E-2</v>
      </c>
      <c r="K413" s="10">
        <v>6.726E-2</v>
      </c>
      <c r="L413" s="10">
        <v>2.639E-2</v>
      </c>
      <c r="M413" s="10">
        <v>0.14990000000000001</v>
      </c>
      <c r="N413" s="10">
        <v>6.7580000000000001E-2</v>
      </c>
      <c r="O413" s="10">
        <v>0.19239999999999899</v>
      </c>
      <c r="P413" s="10">
        <v>0.64170000000000005</v>
      </c>
      <c r="Q413" s="10">
        <v>1.345</v>
      </c>
      <c r="R413" s="10">
        <v>13.0399999999999</v>
      </c>
      <c r="S413" s="10">
        <v>6.9820000000000004E-3</v>
      </c>
      <c r="T413" s="10">
        <v>3.916E-2</v>
      </c>
      <c r="U413" s="10">
        <v>4.01699999999999E-2</v>
      </c>
      <c r="V413" s="10">
        <v>1.528E-2</v>
      </c>
      <c r="W413" s="10">
        <v>2.2599999999999901E-2</v>
      </c>
      <c r="X413" s="10">
        <v>6.8219999999999904E-3</v>
      </c>
      <c r="Y413" s="10">
        <v>12.4499999999999</v>
      </c>
      <c r="Z413" s="10">
        <v>17.600000000000001</v>
      </c>
      <c r="AA413" s="10">
        <v>81.25</v>
      </c>
      <c r="AB413" s="10">
        <v>473.8</v>
      </c>
      <c r="AC413" s="10">
        <v>0.10730000000000001</v>
      </c>
      <c r="AD413" s="10">
        <v>0.27929999999999899</v>
      </c>
      <c r="AE413" s="10">
        <v>0.26900000000000002</v>
      </c>
      <c r="AF413" s="10">
        <v>0.1056</v>
      </c>
      <c r="AG413" s="10">
        <v>0.26040000000000002</v>
      </c>
      <c r="AH413">
        <v>9.8790000000000003E-2</v>
      </c>
    </row>
    <row r="414" spans="3:34">
      <c r="C414" s="11" t="s">
        <v>653</v>
      </c>
      <c r="D414" s="10" t="s">
        <v>1</v>
      </c>
      <c r="E414" s="10">
        <v>13.71</v>
      </c>
      <c r="F414" s="10">
        <v>13.66</v>
      </c>
      <c r="G414" s="10">
        <v>94.29</v>
      </c>
      <c r="H414" s="10">
        <v>658.79999999999905</v>
      </c>
      <c r="I414" s="10">
        <v>9.8320000000000005E-2</v>
      </c>
      <c r="J414" s="10">
        <v>8.9179999999999898E-2</v>
      </c>
      <c r="K414" s="10">
        <v>8.2220000000000001E-2</v>
      </c>
      <c r="L414" s="10">
        <v>4.3490000000000001E-2</v>
      </c>
      <c r="M414" s="10">
        <v>0.1739</v>
      </c>
      <c r="N414" s="10">
        <v>5.6399999999999902E-2</v>
      </c>
      <c r="O414" s="10">
        <v>0.41649999999999898</v>
      </c>
      <c r="P414" s="10">
        <v>0.62370000000000003</v>
      </c>
      <c r="Q414" s="10">
        <v>2.5609999999999902</v>
      </c>
      <c r="R414" s="10">
        <v>37.1099999999999</v>
      </c>
      <c r="S414" s="10">
        <v>4.9529999999999904E-3</v>
      </c>
      <c r="T414" s="10">
        <v>1.8120000000000001E-2</v>
      </c>
      <c r="U414" s="10">
        <v>3.0349999999999901E-2</v>
      </c>
      <c r="V414" s="10">
        <v>8.6479999999999908E-3</v>
      </c>
      <c r="W414" s="10">
        <v>1.53899999999999E-2</v>
      </c>
      <c r="X414" s="10">
        <v>2.281E-3</v>
      </c>
      <c r="Y414" s="10">
        <v>16.760000000000002</v>
      </c>
      <c r="Z414" s="10">
        <v>17.239999999999899</v>
      </c>
      <c r="AA414" s="10">
        <v>108.5</v>
      </c>
      <c r="AB414" s="10">
        <v>862</v>
      </c>
      <c r="AC414" s="10">
        <v>0.12230000000000001</v>
      </c>
      <c r="AD414" s="10">
        <v>0.1928</v>
      </c>
      <c r="AE414" s="10">
        <v>0.2492</v>
      </c>
      <c r="AF414" s="10">
        <v>9.18599999999999E-2</v>
      </c>
      <c r="AG414" s="10">
        <v>0.2626</v>
      </c>
      <c r="AH414">
        <v>7.0480000000000001E-2</v>
      </c>
    </row>
    <row r="415" spans="3:34">
      <c r="C415" s="11" t="s">
        <v>654</v>
      </c>
      <c r="D415" s="10" t="s">
        <v>0</v>
      </c>
      <c r="E415" s="10">
        <v>13.71</v>
      </c>
      <c r="F415" s="10">
        <v>19.07</v>
      </c>
      <c r="G415" s="10">
        <v>97.26</v>
      </c>
      <c r="H415" s="10">
        <v>701.89999999999895</v>
      </c>
      <c r="I415" s="10">
        <v>9.2149999999999899E-2</v>
      </c>
      <c r="J415" s="10">
        <v>8.5970000000000005E-2</v>
      </c>
      <c r="K415" s="10">
        <v>7.4859999999999899E-2</v>
      </c>
      <c r="L415" s="10">
        <v>4.335E-2</v>
      </c>
      <c r="M415" s="10">
        <v>0.15609999999999899</v>
      </c>
      <c r="N415" s="10">
        <v>5.9150000000000001E-2</v>
      </c>
      <c r="O415" s="10">
        <v>0.38600000000000001</v>
      </c>
      <c r="P415" s="10">
        <v>1.198</v>
      </c>
      <c r="Q415" s="10">
        <v>2.6299999999999901</v>
      </c>
      <c r="R415" s="10">
        <v>38.49</v>
      </c>
      <c r="S415" s="10">
        <v>4.9519999999999903E-3</v>
      </c>
      <c r="T415" s="10">
        <v>1.6299999999999901E-2</v>
      </c>
      <c r="U415" s="10">
        <v>2.9669999999999901E-2</v>
      </c>
      <c r="V415" s="10">
        <v>9.4230000000000008E-3</v>
      </c>
      <c r="W415" s="10">
        <v>1.1520000000000001E-2</v>
      </c>
      <c r="X415" s="10">
        <v>1.7179999999999899E-3</v>
      </c>
      <c r="Y415" s="10">
        <v>17.579999999999899</v>
      </c>
      <c r="Z415" s="10">
        <v>28.059999999999899</v>
      </c>
      <c r="AA415" s="10">
        <v>113.8</v>
      </c>
      <c r="AB415" s="10">
        <v>967</v>
      </c>
      <c r="AC415" s="10">
        <v>0.1246</v>
      </c>
      <c r="AD415" s="10">
        <v>0.21010000000000001</v>
      </c>
      <c r="AE415" s="10">
        <v>0.28660000000000002</v>
      </c>
      <c r="AF415" s="10">
        <v>0.112</v>
      </c>
      <c r="AG415" s="10">
        <v>0.22819999999999899</v>
      </c>
      <c r="AH415">
        <v>6.9540000000000005E-2</v>
      </c>
    </row>
    <row r="416" spans="3:34">
      <c r="C416" s="11" t="s">
        <v>655</v>
      </c>
      <c r="D416" s="10" t="s">
        <v>1</v>
      </c>
      <c r="E416" s="10">
        <v>13.71</v>
      </c>
      <c r="F416" s="10">
        <v>18.6099999999999</v>
      </c>
      <c r="G416" s="10">
        <v>72.760000000000005</v>
      </c>
      <c r="H416" s="10">
        <v>391.19999999999902</v>
      </c>
      <c r="I416" s="10">
        <v>0.10489999999999899</v>
      </c>
      <c r="J416" s="10">
        <v>8.4989999999999899E-2</v>
      </c>
      <c r="K416" s="10">
        <v>4.3020000000000003E-2</v>
      </c>
      <c r="L416" s="10">
        <v>2.5940000000000001E-2</v>
      </c>
      <c r="M416" s="10">
        <v>0.19270000000000001</v>
      </c>
      <c r="N416" s="10">
        <v>6.2109999999999901E-2</v>
      </c>
      <c r="O416" s="10">
        <v>0.24299999999999899</v>
      </c>
      <c r="P416" s="10">
        <v>1.01</v>
      </c>
      <c r="Q416" s="10">
        <v>1.4910000000000001</v>
      </c>
      <c r="R416" s="10">
        <v>18.190000000000001</v>
      </c>
      <c r="S416" s="10">
        <v>8.5769999999999891E-3</v>
      </c>
      <c r="T416" s="10">
        <v>1.6410000000000001E-2</v>
      </c>
      <c r="U416" s="10">
        <v>2.0990000000000002E-2</v>
      </c>
      <c r="V416" s="10">
        <v>1.107E-2</v>
      </c>
      <c r="W416" s="10">
        <v>2.4340000000000001E-2</v>
      </c>
      <c r="X416" s="10">
        <v>1.217E-3</v>
      </c>
      <c r="Y416" s="10">
        <v>12.47</v>
      </c>
      <c r="Z416" s="10">
        <v>23.03</v>
      </c>
      <c r="AA416" s="10">
        <v>79.150000000000006</v>
      </c>
      <c r="AB416" s="10">
        <v>478.6</v>
      </c>
      <c r="AC416" s="10">
        <v>0.14829999999999899</v>
      </c>
      <c r="AD416" s="10">
        <v>0.15740000000000001</v>
      </c>
      <c r="AE416" s="10">
        <v>0.16239999999999899</v>
      </c>
      <c r="AF416" s="10">
        <v>8.5419999999999899E-2</v>
      </c>
      <c r="AG416" s="10">
        <v>0.305999999999999</v>
      </c>
      <c r="AH416">
        <v>6.7830000000000001E-2</v>
      </c>
    </row>
    <row r="417" spans="3:34">
      <c r="C417" s="11" t="s">
        <v>656</v>
      </c>
      <c r="D417" s="10" t="s">
        <v>0</v>
      </c>
      <c r="E417" s="10">
        <v>13.71</v>
      </c>
      <c r="F417" s="10">
        <v>20.579999999999899</v>
      </c>
      <c r="G417" s="10">
        <v>120.8</v>
      </c>
      <c r="H417" s="10">
        <v>1052</v>
      </c>
      <c r="I417" s="10">
        <v>0.10680000000000001</v>
      </c>
      <c r="J417" s="10">
        <v>0.124799999999999</v>
      </c>
      <c r="K417" s="10">
        <v>0.15690000000000001</v>
      </c>
      <c r="L417" s="10">
        <v>9.45099999999999E-2</v>
      </c>
      <c r="M417" s="10">
        <v>0.186</v>
      </c>
      <c r="N417" s="10">
        <v>5.94099999999999E-2</v>
      </c>
      <c r="O417" s="10">
        <v>0.54490000000000005</v>
      </c>
      <c r="P417" s="10">
        <v>0.92249999999999899</v>
      </c>
      <c r="Q417" s="10">
        <v>3.218</v>
      </c>
      <c r="R417" s="10">
        <v>67.3599999999999</v>
      </c>
      <c r="S417" s="10">
        <v>6.1760000000000001E-3</v>
      </c>
      <c r="T417" s="10">
        <v>1.8769999999999901E-2</v>
      </c>
      <c r="U417" s="10">
        <v>2.913E-2</v>
      </c>
      <c r="V417" s="10">
        <v>1.0460000000000001E-2</v>
      </c>
      <c r="W417" s="10">
        <v>1.559E-2</v>
      </c>
      <c r="X417" s="10">
        <v>2.725E-3</v>
      </c>
      <c r="Y417" s="10">
        <v>21.8599999999999</v>
      </c>
      <c r="Z417" s="10">
        <v>26.1999999999999</v>
      </c>
      <c r="AA417" s="10">
        <v>142.19999999999899</v>
      </c>
      <c r="AB417" s="10">
        <v>1493</v>
      </c>
      <c r="AC417" s="10">
        <v>0.1492</v>
      </c>
      <c r="AD417" s="10">
        <v>0.25359999999999899</v>
      </c>
      <c r="AE417" s="10">
        <v>0.37590000000000001</v>
      </c>
      <c r="AF417" s="10">
        <v>0.151</v>
      </c>
      <c r="AG417" s="10">
        <v>0.30740000000000001</v>
      </c>
      <c r="AH417">
        <v>7.8630000000000005E-2</v>
      </c>
    </row>
    <row r="418" spans="3:34">
      <c r="C418" s="11" t="s">
        <v>657</v>
      </c>
      <c r="D418" s="10" t="s">
        <v>0</v>
      </c>
      <c r="E418" s="10">
        <v>13.71</v>
      </c>
      <c r="F418" s="10">
        <v>20.260000000000002</v>
      </c>
      <c r="G418" s="10">
        <v>130.5</v>
      </c>
      <c r="H418" s="10">
        <v>1214</v>
      </c>
      <c r="I418" s="10">
        <v>0.1037</v>
      </c>
      <c r="J418" s="10">
        <v>0.13100000000000001</v>
      </c>
      <c r="K418" s="10">
        <v>0.1411</v>
      </c>
      <c r="L418" s="10">
        <v>9.4310000000000005E-2</v>
      </c>
      <c r="M418" s="10">
        <v>0.1802</v>
      </c>
      <c r="N418" s="10">
        <v>6.18799999999999E-2</v>
      </c>
      <c r="O418" s="10">
        <v>0.50790000000000002</v>
      </c>
      <c r="P418" s="10">
        <v>0.87370000000000003</v>
      </c>
      <c r="Q418" s="10">
        <v>3.6539999999999901</v>
      </c>
      <c r="R418" s="10">
        <v>59.7</v>
      </c>
      <c r="S418" s="10">
        <v>5.0889999999999902E-3</v>
      </c>
      <c r="T418" s="10">
        <v>2.3029999999999901E-2</v>
      </c>
      <c r="U418" s="10">
        <v>3.0519999999999901E-2</v>
      </c>
      <c r="V418" s="10">
        <v>1.1780000000000001E-2</v>
      </c>
      <c r="W418" s="10">
        <v>1.057E-2</v>
      </c>
      <c r="X418" s="10">
        <v>3.3909999999999899E-3</v>
      </c>
      <c r="Y418" s="10">
        <v>23.73</v>
      </c>
      <c r="Z418" s="10">
        <v>25.23</v>
      </c>
      <c r="AA418" s="10">
        <v>160.5</v>
      </c>
      <c r="AB418" s="10">
        <v>1646</v>
      </c>
      <c r="AC418" s="10">
        <v>0.14169999999999899</v>
      </c>
      <c r="AD418" s="10">
        <v>0.33090000000000003</v>
      </c>
      <c r="AE418" s="10">
        <v>0.41849999999999898</v>
      </c>
      <c r="AF418" s="10">
        <v>0.1613</v>
      </c>
      <c r="AG418" s="10">
        <v>0.25490000000000002</v>
      </c>
      <c r="AH418">
        <v>9.13599999999999E-2</v>
      </c>
    </row>
    <row r="419" spans="3:34">
      <c r="C419" s="11" t="s">
        <v>658</v>
      </c>
      <c r="D419" s="10" t="s">
        <v>1</v>
      </c>
      <c r="E419" s="10">
        <v>13.71</v>
      </c>
      <c r="F419" s="10">
        <v>18.219999999999899</v>
      </c>
      <c r="G419" s="10">
        <v>84.45</v>
      </c>
      <c r="H419" s="10">
        <v>493.1</v>
      </c>
      <c r="I419" s="10">
        <v>0.12180000000000001</v>
      </c>
      <c r="J419" s="10">
        <v>0.1661</v>
      </c>
      <c r="K419" s="10">
        <v>4.8250000000000001E-2</v>
      </c>
      <c r="L419" s="10">
        <v>5.3030000000000001E-2</v>
      </c>
      <c r="M419" s="10">
        <v>0.1709</v>
      </c>
      <c r="N419" s="10">
        <v>7.25299999999999E-2</v>
      </c>
      <c r="O419" s="10">
        <v>0.44259999999999899</v>
      </c>
      <c r="P419" s="10">
        <v>1.169</v>
      </c>
      <c r="Q419" s="10">
        <v>3.1760000000000002</v>
      </c>
      <c r="R419" s="10">
        <v>34.369999999999898</v>
      </c>
      <c r="S419" s="10">
        <v>5.2729999999999904E-3</v>
      </c>
      <c r="T419" s="10">
        <v>2.3290000000000002E-2</v>
      </c>
      <c r="U419" s="10">
        <v>1.405E-2</v>
      </c>
      <c r="V419" s="10">
        <v>1.244E-2</v>
      </c>
      <c r="W419" s="10">
        <v>1.8159999999999898E-2</v>
      </c>
      <c r="X419" s="10">
        <v>3.2989999999999899E-3</v>
      </c>
      <c r="Y419" s="10">
        <v>15.05</v>
      </c>
      <c r="Z419" s="10">
        <v>24.37</v>
      </c>
      <c r="AA419" s="10">
        <v>99.31</v>
      </c>
      <c r="AB419" s="10">
        <v>674.7</v>
      </c>
      <c r="AC419" s="10">
        <v>0.14560000000000001</v>
      </c>
      <c r="AD419" s="10">
        <v>0.29609999999999898</v>
      </c>
      <c r="AE419" s="10">
        <v>0.1246</v>
      </c>
      <c r="AF419" s="10">
        <v>0.1096</v>
      </c>
      <c r="AG419" s="10">
        <v>0.25819999999999899</v>
      </c>
      <c r="AH419">
        <v>8.8929999999999898E-2</v>
      </c>
    </row>
    <row r="420" spans="3:34">
      <c r="C420" s="11" t="s">
        <v>659</v>
      </c>
      <c r="D420" s="10" t="s">
        <v>1</v>
      </c>
      <c r="E420" s="10">
        <v>13.71</v>
      </c>
      <c r="F420" s="10">
        <v>16.6999999999999</v>
      </c>
      <c r="G420" s="10">
        <v>82.51</v>
      </c>
      <c r="H420" s="10">
        <v>493.8</v>
      </c>
      <c r="I420" s="10">
        <v>0.1125</v>
      </c>
      <c r="J420" s="10">
        <v>0.11169999999999899</v>
      </c>
      <c r="K420" s="10">
        <v>3.8800000000000001E-2</v>
      </c>
      <c r="L420" s="10">
        <v>2.9950000000000001E-2</v>
      </c>
      <c r="M420" s="10">
        <v>0.21199999999999899</v>
      </c>
      <c r="N420" s="10">
        <v>6.62299999999999E-2</v>
      </c>
      <c r="O420" s="10">
        <v>0.38340000000000002</v>
      </c>
      <c r="P420" s="10">
        <v>1.0029999999999899</v>
      </c>
      <c r="Q420" s="10">
        <v>2.4950000000000001</v>
      </c>
      <c r="R420" s="10">
        <v>28.62</v>
      </c>
      <c r="S420" s="10">
        <v>7.509E-3</v>
      </c>
      <c r="T420" s="10">
        <v>1.5610000000000001E-2</v>
      </c>
      <c r="U420" s="10">
        <v>1.9769999999999899E-2</v>
      </c>
      <c r="V420" s="10">
        <v>9.1990000000000006E-3</v>
      </c>
      <c r="W420" s="10">
        <v>1.805E-2</v>
      </c>
      <c r="X420" s="10">
        <v>3.6289999999999899E-3</v>
      </c>
      <c r="Y420" s="10">
        <v>14.4499999999999</v>
      </c>
      <c r="Z420" s="10">
        <v>21.739999999999899</v>
      </c>
      <c r="AA420" s="10">
        <v>93.629999999999896</v>
      </c>
      <c r="AB420" s="10">
        <v>624.1</v>
      </c>
      <c r="AC420" s="10">
        <v>0.14749999999999899</v>
      </c>
      <c r="AD420" s="10">
        <v>0.19789999999999899</v>
      </c>
      <c r="AE420" s="10">
        <v>0.14230000000000001</v>
      </c>
      <c r="AF420" s="10">
        <v>8.0449999999999897E-2</v>
      </c>
      <c r="AG420" s="10">
        <v>0.30709999999999898</v>
      </c>
      <c r="AH420">
        <v>8.5569999999999896E-2</v>
      </c>
    </row>
    <row r="421" spans="3:34">
      <c r="C421" s="11" t="s">
        <v>661</v>
      </c>
      <c r="D421" s="10" t="s">
        <v>0</v>
      </c>
      <c r="E421" s="10">
        <v>13.71</v>
      </c>
      <c r="F421" s="10">
        <v>21.6</v>
      </c>
      <c r="G421" s="10">
        <v>165.5</v>
      </c>
      <c r="H421" s="10">
        <v>1841</v>
      </c>
      <c r="I421" s="10">
        <v>0.102999999999999</v>
      </c>
      <c r="J421" s="10">
        <v>0.21060000000000001</v>
      </c>
      <c r="K421" s="10">
        <v>0.23100000000000001</v>
      </c>
      <c r="L421" s="10">
        <v>0.14710000000000001</v>
      </c>
      <c r="M421" s="10">
        <v>0.1991</v>
      </c>
      <c r="N421" s="10">
        <v>6.7390000000000005E-2</v>
      </c>
      <c r="O421" s="10">
        <v>0.99150000000000005</v>
      </c>
      <c r="P421" s="10">
        <v>0.90039999999999898</v>
      </c>
      <c r="Q421" s="10">
        <v>7.0499999999999901</v>
      </c>
      <c r="R421" s="10">
        <v>139.9</v>
      </c>
      <c r="S421" s="10">
        <v>4.9890000000000004E-3</v>
      </c>
      <c r="T421" s="10">
        <v>3.2120000000000003E-2</v>
      </c>
      <c r="U421" s="10">
        <v>3.5709999999999902E-2</v>
      </c>
      <c r="V421" s="10">
        <v>1.5970000000000002E-2</v>
      </c>
      <c r="W421" s="10">
        <v>1.8790000000000001E-2</v>
      </c>
      <c r="X421" s="10">
        <v>4.7600000000000003E-3</v>
      </c>
      <c r="Y421" s="10">
        <v>29.92</v>
      </c>
      <c r="Z421" s="10">
        <v>26.93</v>
      </c>
      <c r="AA421" s="10">
        <v>205.69999999999899</v>
      </c>
      <c r="AB421" s="10">
        <v>2642</v>
      </c>
      <c r="AC421" s="10">
        <v>0.13420000000000001</v>
      </c>
      <c r="AD421" s="10">
        <v>0.41880000000000001</v>
      </c>
      <c r="AE421" s="10">
        <v>0.46579999999999899</v>
      </c>
      <c r="AF421" s="10">
        <v>0.2475</v>
      </c>
      <c r="AG421" s="10">
        <v>0.31569999999999898</v>
      </c>
      <c r="AH421">
        <v>9.6710000000000004E-2</v>
      </c>
    </row>
    <row r="422" spans="3:34">
      <c r="C422" s="11" t="s">
        <v>662</v>
      </c>
      <c r="D422" s="10" t="s">
        <v>1</v>
      </c>
      <c r="E422" s="10">
        <v>13.71</v>
      </c>
      <c r="F422" s="10">
        <v>19.829999999999899</v>
      </c>
      <c r="G422" s="10">
        <v>71.299999999999898</v>
      </c>
      <c r="H422" s="10">
        <v>388.1</v>
      </c>
      <c r="I422" s="10">
        <v>8.5110000000000005E-2</v>
      </c>
      <c r="J422" s="10">
        <v>4.4130000000000003E-2</v>
      </c>
      <c r="K422" s="10">
        <v>5.0670000000000003E-3</v>
      </c>
      <c r="L422" s="10">
        <v>5.6639999999999902E-3</v>
      </c>
      <c r="M422" s="10">
        <v>0.16370000000000001</v>
      </c>
      <c r="N422" s="10">
        <v>6.343E-2</v>
      </c>
      <c r="O422" s="10">
        <v>0.13439999999999899</v>
      </c>
      <c r="P422" s="10">
        <v>1.083</v>
      </c>
      <c r="Q422" s="10">
        <v>0.98119999999999896</v>
      </c>
      <c r="R422" s="10">
        <v>9.3320000000000007</v>
      </c>
      <c r="S422" s="10">
        <v>4.1999999999999902E-3</v>
      </c>
      <c r="T422" s="10">
        <v>5.8999999999999903E-3</v>
      </c>
      <c r="U422" s="10">
        <v>3.846E-3</v>
      </c>
      <c r="V422" s="10">
        <v>4.065E-3</v>
      </c>
      <c r="W422" s="10">
        <v>1.487E-2</v>
      </c>
      <c r="X422" s="10">
        <v>2.2950000000000002E-3</v>
      </c>
      <c r="Y422" s="10">
        <v>11.93</v>
      </c>
      <c r="Z422" s="10">
        <v>26.43</v>
      </c>
      <c r="AA422" s="10">
        <v>76.379999999999896</v>
      </c>
      <c r="AB422" s="10">
        <v>435.89999999999901</v>
      </c>
      <c r="AC422" s="10">
        <v>0.1108</v>
      </c>
      <c r="AD422" s="10">
        <v>7.7229999999999896E-2</v>
      </c>
      <c r="AE422" s="10">
        <v>2.5329999999999901E-2</v>
      </c>
      <c r="AF422" s="10">
        <v>2.8320000000000001E-2</v>
      </c>
      <c r="AG422" s="10">
        <v>0.25569999999999898</v>
      </c>
      <c r="AH422">
        <v>7.6130000000000003E-2</v>
      </c>
    </row>
    <row r="423" spans="3:34">
      <c r="C423" s="11" t="s">
        <v>663</v>
      </c>
      <c r="D423" s="10" t="s">
        <v>1</v>
      </c>
      <c r="E423" s="10">
        <v>13.71</v>
      </c>
      <c r="F423" s="10">
        <v>18.68</v>
      </c>
      <c r="G423" s="10">
        <v>88.73</v>
      </c>
      <c r="H423" s="10">
        <v>571</v>
      </c>
      <c r="I423" s="10">
        <v>9.9159999999999901E-2</v>
      </c>
      <c r="J423" s="10">
        <v>0.107</v>
      </c>
      <c r="K423" s="10">
        <v>5.3850000000000002E-2</v>
      </c>
      <c r="L423" s="10">
        <v>3.7830000000000003E-2</v>
      </c>
      <c r="M423" s="10">
        <v>0.1714</v>
      </c>
      <c r="N423" s="10">
        <v>6.8430000000000005E-2</v>
      </c>
      <c r="O423" s="10">
        <v>0.319099999999999</v>
      </c>
      <c r="P423" s="10">
        <v>1.2490000000000001</v>
      </c>
      <c r="Q423" s="10">
        <v>2.28399999999999</v>
      </c>
      <c r="R423" s="10">
        <v>26.4499999999999</v>
      </c>
      <c r="S423" s="10">
        <v>6.7390000000000002E-3</v>
      </c>
      <c r="T423" s="10">
        <v>2.2509999999999902E-2</v>
      </c>
      <c r="U423" s="10">
        <v>2.086E-2</v>
      </c>
      <c r="V423" s="10">
        <v>1.3520000000000001E-2</v>
      </c>
      <c r="W423" s="10">
        <v>1.8700000000000001E-2</v>
      </c>
      <c r="X423" s="10">
        <v>3.7469999999999899E-3</v>
      </c>
      <c r="Y423" s="10">
        <v>15.1099999999999</v>
      </c>
      <c r="Z423" s="10">
        <v>25.6299999999999</v>
      </c>
      <c r="AA423" s="10">
        <v>99.43</v>
      </c>
      <c r="AB423" s="10">
        <v>701.89999999999895</v>
      </c>
      <c r="AC423" s="10">
        <v>0.14249999999999899</v>
      </c>
      <c r="AD423" s="10">
        <v>0.256599999999999</v>
      </c>
      <c r="AE423" s="10">
        <v>0.19350000000000001</v>
      </c>
      <c r="AF423" s="10">
        <v>0.12839999999999899</v>
      </c>
      <c r="AG423" s="10">
        <v>0.28489999999999899</v>
      </c>
      <c r="AH423">
        <v>9.0310000000000001E-2</v>
      </c>
    </row>
    <row r="424" spans="3:34">
      <c r="C424" s="11" t="s">
        <v>664</v>
      </c>
      <c r="D424" s="10" t="s">
        <v>1</v>
      </c>
      <c r="E424" s="10">
        <v>13.71</v>
      </c>
      <c r="F424" s="10">
        <v>15.68</v>
      </c>
      <c r="G424" s="10">
        <v>63</v>
      </c>
      <c r="H424" s="10">
        <v>293.19999999999902</v>
      </c>
      <c r="I424" s="10">
        <v>9.4920000000000004E-2</v>
      </c>
      <c r="J424" s="10">
        <v>8.4190000000000001E-2</v>
      </c>
      <c r="K424" s="10">
        <v>2.3300000000000001E-2</v>
      </c>
      <c r="L424" s="10">
        <v>2.4160000000000001E-2</v>
      </c>
      <c r="M424" s="10">
        <v>0.13869999999999899</v>
      </c>
      <c r="N424" s="10">
        <v>6.8909999999999902E-2</v>
      </c>
      <c r="O424" s="10">
        <v>0.249799999999999</v>
      </c>
      <c r="P424" s="10">
        <v>1.216</v>
      </c>
      <c r="Q424" s="10">
        <v>1.976</v>
      </c>
      <c r="R424" s="10">
        <v>15.24</v>
      </c>
      <c r="S424" s="10">
        <v>8.7320000000000002E-3</v>
      </c>
      <c r="T424" s="10">
        <v>2.0420000000000001E-2</v>
      </c>
      <c r="U424" s="10">
        <v>1.06199999999999E-2</v>
      </c>
      <c r="V424" s="10">
        <v>6.8009999999999902E-3</v>
      </c>
      <c r="W424" s="10">
        <v>1.8239999999999899E-2</v>
      </c>
      <c r="X424" s="10">
        <v>3.4940000000000001E-3</v>
      </c>
      <c r="Y424" s="10">
        <v>11.24</v>
      </c>
      <c r="Z424" s="10">
        <v>22.989999999999899</v>
      </c>
      <c r="AA424" s="10">
        <v>74.319999999999894</v>
      </c>
      <c r="AB424" s="10">
        <v>376.5</v>
      </c>
      <c r="AC424" s="10">
        <v>0.1419</v>
      </c>
      <c r="AD424" s="10">
        <v>0.2243</v>
      </c>
      <c r="AE424" s="10">
        <v>8.4339999999999901E-2</v>
      </c>
      <c r="AF424" s="10">
        <v>6.5280000000000005E-2</v>
      </c>
      <c r="AG424" s="10">
        <v>0.25019999999999898</v>
      </c>
      <c r="AH424">
        <v>9.2090000000000005E-2</v>
      </c>
    </row>
    <row r="425" spans="3:34">
      <c r="C425" s="11" t="s">
        <v>665</v>
      </c>
      <c r="D425" s="10" t="s">
        <v>1</v>
      </c>
      <c r="E425" s="10">
        <v>13.71</v>
      </c>
      <c r="F425" s="10">
        <v>13.1</v>
      </c>
      <c r="G425" s="10">
        <v>54.53</v>
      </c>
      <c r="H425" s="10">
        <v>221.3</v>
      </c>
      <c r="I425" s="10">
        <v>0.1036</v>
      </c>
      <c r="J425" s="10">
        <v>7.6319999999999902E-2</v>
      </c>
      <c r="K425" s="10">
        <v>2.5649999999999899E-2</v>
      </c>
      <c r="L425" s="10">
        <v>1.5100000000000001E-2</v>
      </c>
      <c r="M425" s="10">
        <v>0.1678</v>
      </c>
      <c r="N425" s="10">
        <v>7.1260000000000004E-2</v>
      </c>
      <c r="O425" s="10">
        <v>0.12670000000000001</v>
      </c>
      <c r="P425" s="10">
        <v>0.67930000000000001</v>
      </c>
      <c r="Q425" s="10">
        <v>1.069</v>
      </c>
      <c r="R425" s="10">
        <v>7.2539999999999898</v>
      </c>
      <c r="S425" s="10">
        <v>7.8969999999999908E-3</v>
      </c>
      <c r="T425" s="10">
        <v>1.762E-2</v>
      </c>
      <c r="U425" s="10">
        <v>1.8010000000000002E-2</v>
      </c>
      <c r="V425" s="10">
        <v>7.3200000000000001E-3</v>
      </c>
      <c r="W425" s="10">
        <v>1.592E-2</v>
      </c>
      <c r="X425" s="10">
        <v>3.9249999999999901E-3</v>
      </c>
      <c r="Y425" s="10">
        <v>9.4730000000000008</v>
      </c>
      <c r="Z425" s="10">
        <v>18.4499999999999</v>
      </c>
      <c r="AA425" s="10">
        <v>63.299999999999898</v>
      </c>
      <c r="AB425" s="10">
        <v>275.60000000000002</v>
      </c>
      <c r="AC425" s="10">
        <v>0.1641</v>
      </c>
      <c r="AD425" s="10">
        <v>0.2235</v>
      </c>
      <c r="AE425" s="10">
        <v>0.1754</v>
      </c>
      <c r="AF425" s="10">
        <v>8.5120000000000001E-2</v>
      </c>
      <c r="AG425" s="10">
        <v>0.29830000000000001</v>
      </c>
      <c r="AH425">
        <v>0.10489999999999899</v>
      </c>
    </row>
    <row r="426" spans="3:34">
      <c r="C426" s="11" t="s">
        <v>666</v>
      </c>
      <c r="D426" s="10" t="s">
        <v>1</v>
      </c>
      <c r="E426" s="10">
        <v>13.71</v>
      </c>
      <c r="F426" s="10">
        <v>18.75</v>
      </c>
      <c r="G426" s="10">
        <v>87.439999999999898</v>
      </c>
      <c r="H426" s="10">
        <v>551.1</v>
      </c>
      <c r="I426" s="10">
        <v>0.1075</v>
      </c>
      <c r="J426" s="10">
        <v>0.1138</v>
      </c>
      <c r="K426" s="10">
        <v>4.2009999999999902E-2</v>
      </c>
      <c r="L426" s="10">
        <v>3.1519999999999902E-2</v>
      </c>
      <c r="M426" s="10">
        <v>0.17230000000000001</v>
      </c>
      <c r="N426" s="10">
        <v>6.3170000000000004E-2</v>
      </c>
      <c r="O426" s="10">
        <v>0.19980000000000001</v>
      </c>
      <c r="P426" s="10">
        <v>0.60680000000000001</v>
      </c>
      <c r="Q426" s="10">
        <v>1.4430000000000001</v>
      </c>
      <c r="R426" s="10">
        <v>16.07</v>
      </c>
      <c r="S426" s="10">
        <v>4.4130000000000003E-3</v>
      </c>
      <c r="T426" s="10">
        <v>1.443E-2</v>
      </c>
      <c r="U426" s="10">
        <v>1.50899999999999E-2</v>
      </c>
      <c r="V426" s="10">
        <v>7.3689999999999901E-3</v>
      </c>
      <c r="W426" s="10">
        <v>1.354E-2</v>
      </c>
      <c r="X426" s="10">
        <v>1.787E-3</v>
      </c>
      <c r="Y426" s="10">
        <v>15.35</v>
      </c>
      <c r="Z426" s="10">
        <v>25.16</v>
      </c>
      <c r="AA426" s="10">
        <v>101.9</v>
      </c>
      <c r="AB426" s="10">
        <v>719.79999999999905</v>
      </c>
      <c r="AC426" s="10">
        <v>0.16239999999999899</v>
      </c>
      <c r="AD426" s="10">
        <v>0.31240000000000001</v>
      </c>
      <c r="AE426" s="10">
        <v>0.26540000000000002</v>
      </c>
      <c r="AF426" s="10">
        <v>0.14269999999999899</v>
      </c>
      <c r="AG426" s="10">
        <v>0.3518</v>
      </c>
      <c r="AH426">
        <v>8.6650000000000005E-2</v>
      </c>
    </row>
    <row r="427" spans="3:34">
      <c r="C427" s="11" t="s">
        <v>669</v>
      </c>
      <c r="D427" s="10" t="s">
        <v>1</v>
      </c>
      <c r="E427" s="10">
        <v>13.71</v>
      </c>
      <c r="F427" s="10">
        <v>13.44</v>
      </c>
      <c r="G427" s="10">
        <v>77.829999999999899</v>
      </c>
      <c r="H427" s="10">
        <v>445.19999999999902</v>
      </c>
      <c r="I427" s="10">
        <v>0.11</v>
      </c>
      <c r="J427" s="10">
        <v>9.0090000000000003E-2</v>
      </c>
      <c r="K427" s="10">
        <v>3.7810000000000003E-2</v>
      </c>
      <c r="L427" s="10">
        <v>2.7980000000000001E-2</v>
      </c>
      <c r="M427" s="10">
        <v>0.16569999999999899</v>
      </c>
      <c r="N427" s="10">
        <v>6.608E-2</v>
      </c>
      <c r="O427" s="10">
        <v>0.25130000000000002</v>
      </c>
      <c r="P427" s="10">
        <v>0.504</v>
      </c>
      <c r="Q427" s="10">
        <v>1.714</v>
      </c>
      <c r="R427" s="10">
        <v>18.5399999999999</v>
      </c>
      <c r="S427" s="10">
        <v>7.3270000000000002E-3</v>
      </c>
      <c r="T427" s="10">
        <v>1.153E-2</v>
      </c>
      <c r="U427" s="10">
        <v>1.7979999999999899E-2</v>
      </c>
      <c r="V427" s="10">
        <v>7.986E-3</v>
      </c>
      <c r="W427" s="10">
        <v>1.9619999999999901E-2</v>
      </c>
      <c r="X427" s="10">
        <v>2.2339999999999899E-3</v>
      </c>
      <c r="Y427" s="10">
        <v>13.4499999999999</v>
      </c>
      <c r="Z427" s="10">
        <v>15.77</v>
      </c>
      <c r="AA427" s="10">
        <v>86.92</v>
      </c>
      <c r="AB427" s="10">
        <v>549.89999999999895</v>
      </c>
      <c r="AC427" s="10">
        <v>0.15210000000000001</v>
      </c>
      <c r="AD427" s="10">
        <v>0.16320000000000001</v>
      </c>
      <c r="AE427" s="10">
        <v>0.16220000000000001</v>
      </c>
      <c r="AF427" s="10">
        <v>7.3929999999999899E-2</v>
      </c>
      <c r="AG427" s="10">
        <v>0.27810000000000001</v>
      </c>
      <c r="AH427">
        <v>8.0519999999999897E-2</v>
      </c>
    </row>
    <row r="428" spans="3:34">
      <c r="C428" s="11" t="s">
        <v>670</v>
      </c>
      <c r="D428" s="10" t="s">
        <v>1</v>
      </c>
      <c r="E428" s="10">
        <v>13.71</v>
      </c>
      <c r="F428" s="10">
        <v>17.559999999999899</v>
      </c>
      <c r="G428" s="10">
        <v>75.89</v>
      </c>
      <c r="H428" s="10">
        <v>422.89999999999901</v>
      </c>
      <c r="I428" s="10">
        <v>0.10730000000000001</v>
      </c>
      <c r="J428" s="10">
        <v>9.7129999999999897E-2</v>
      </c>
      <c r="K428" s="10">
        <v>5.2819999999999902E-2</v>
      </c>
      <c r="L428" s="10">
        <v>4.4400000000000002E-2</v>
      </c>
      <c r="M428" s="10">
        <v>0.1598</v>
      </c>
      <c r="N428" s="10">
        <v>6.6769999999999899E-2</v>
      </c>
      <c r="O428" s="10">
        <v>0.43840000000000001</v>
      </c>
      <c r="P428" s="10">
        <v>1.907</v>
      </c>
      <c r="Q428" s="10">
        <v>3.149</v>
      </c>
      <c r="R428" s="10">
        <v>30.66</v>
      </c>
      <c r="S428" s="10">
        <v>6.587E-3</v>
      </c>
      <c r="T428" s="10">
        <v>1.8149999999999899E-2</v>
      </c>
      <c r="U428" s="10">
        <v>1.737E-2</v>
      </c>
      <c r="V428" s="10">
        <v>1.316E-2</v>
      </c>
      <c r="W428" s="10">
        <v>1.8350000000000002E-2</v>
      </c>
      <c r="X428" s="10">
        <v>2.3180000000000002E-3</v>
      </c>
      <c r="Y428" s="10">
        <v>13.5</v>
      </c>
      <c r="Z428" s="10">
        <v>27.98</v>
      </c>
      <c r="AA428" s="10">
        <v>88.519999999999897</v>
      </c>
      <c r="AB428" s="10">
        <v>552.29999999999905</v>
      </c>
      <c r="AC428" s="10">
        <v>0.13489999999999899</v>
      </c>
      <c r="AD428" s="10">
        <v>0.18540000000000001</v>
      </c>
      <c r="AE428" s="10">
        <v>0.1366</v>
      </c>
      <c r="AF428" s="10">
        <v>0.10100000000000001</v>
      </c>
      <c r="AG428" s="10">
        <v>0.24779999999999899</v>
      </c>
      <c r="AH428">
        <v>7.757E-2</v>
      </c>
    </row>
    <row r="429" spans="3:34">
      <c r="C429" s="11" t="s">
        <v>673</v>
      </c>
      <c r="D429" s="10" t="s">
        <v>0</v>
      </c>
      <c r="E429" s="10">
        <v>13.71</v>
      </c>
      <c r="F429" s="10">
        <v>20.67</v>
      </c>
      <c r="G429" s="10">
        <v>134.69999999999899</v>
      </c>
      <c r="H429" s="10">
        <v>1299</v>
      </c>
      <c r="I429" s="10">
        <v>9.1560000000000002E-2</v>
      </c>
      <c r="J429" s="10">
        <v>0.1313</v>
      </c>
      <c r="K429" s="10">
        <v>0.15229999999999899</v>
      </c>
      <c r="L429" s="10">
        <v>0.10150000000000001</v>
      </c>
      <c r="M429" s="10">
        <v>0.21659999999999899</v>
      </c>
      <c r="N429" s="10">
        <v>5.4190000000000002E-2</v>
      </c>
      <c r="O429" s="10">
        <v>0.83360000000000001</v>
      </c>
      <c r="P429" s="10">
        <v>1.736</v>
      </c>
      <c r="Q429" s="10">
        <v>5.1680000000000001</v>
      </c>
      <c r="R429" s="10">
        <v>100.4</v>
      </c>
      <c r="S429" s="10">
        <v>4.9379999999999901E-3</v>
      </c>
      <c r="T429" s="10">
        <v>3.0890000000000001E-2</v>
      </c>
      <c r="U429" s="10">
        <v>4.0930000000000001E-2</v>
      </c>
      <c r="V429" s="10">
        <v>1.6990000000000002E-2</v>
      </c>
      <c r="W429" s="10">
        <v>2.8160000000000001E-2</v>
      </c>
      <c r="X429" s="10">
        <v>2.7190000000000001E-3</v>
      </c>
      <c r="Y429" s="10">
        <v>23.23</v>
      </c>
      <c r="Z429" s="10">
        <v>27.149999999999899</v>
      </c>
      <c r="AA429" s="10">
        <v>152</v>
      </c>
      <c r="AB429" s="10">
        <v>1645</v>
      </c>
      <c r="AC429" s="10">
        <v>0.10970000000000001</v>
      </c>
      <c r="AD429" s="10">
        <v>0.25340000000000001</v>
      </c>
      <c r="AE429" s="10">
        <v>0.30919999999999898</v>
      </c>
      <c r="AF429" s="10">
        <v>0.1613</v>
      </c>
      <c r="AG429" s="10">
        <v>0.32200000000000001</v>
      </c>
      <c r="AH429">
        <v>6.386E-2</v>
      </c>
    </row>
    <row r="430" spans="3:34">
      <c r="C430" s="11" t="s">
        <v>674</v>
      </c>
      <c r="D430" s="10" t="s">
        <v>1</v>
      </c>
      <c r="E430" s="10">
        <v>13.71</v>
      </c>
      <c r="F430" s="10">
        <v>17.62</v>
      </c>
      <c r="G430" s="10">
        <v>70.790000000000006</v>
      </c>
      <c r="H430" s="10">
        <v>365.6</v>
      </c>
      <c r="I430" s="10">
        <v>9.6869999999999901E-2</v>
      </c>
      <c r="J430" s="10">
        <v>9.7519999999999898E-2</v>
      </c>
      <c r="K430" s="10">
        <v>5.2630000000000003E-2</v>
      </c>
      <c r="L430" s="10">
        <v>2.7879999999999901E-2</v>
      </c>
      <c r="M430" s="10">
        <v>0.16189999999999899</v>
      </c>
      <c r="N430" s="10">
        <v>6.4079999999999901E-2</v>
      </c>
      <c r="O430" s="10">
        <v>0.1507</v>
      </c>
      <c r="P430" s="10">
        <v>1.583</v>
      </c>
      <c r="Q430" s="10">
        <v>1.165</v>
      </c>
      <c r="R430" s="10">
        <v>10.09</v>
      </c>
      <c r="S430" s="10">
        <v>9.5010000000000008E-3</v>
      </c>
      <c r="T430" s="10">
        <v>3.37799999999999E-2</v>
      </c>
      <c r="U430" s="10">
        <v>4.4010000000000001E-2</v>
      </c>
      <c r="V430" s="10">
        <v>1.346E-2</v>
      </c>
      <c r="W430" s="10">
        <v>1.3220000000000001E-2</v>
      </c>
      <c r="X430" s="10">
        <v>3.5339999999999898E-3</v>
      </c>
      <c r="Y430" s="10">
        <v>11.6199999999999</v>
      </c>
      <c r="Z430" s="10">
        <v>26.51</v>
      </c>
      <c r="AA430" s="10">
        <v>76.430000000000007</v>
      </c>
      <c r="AB430" s="10">
        <v>407.5</v>
      </c>
      <c r="AC430" s="10">
        <v>0.14280000000000001</v>
      </c>
      <c r="AD430" s="10">
        <v>0.251</v>
      </c>
      <c r="AE430" s="10">
        <v>0.21229999999999899</v>
      </c>
      <c r="AF430" s="10">
        <v>9.8610000000000003E-2</v>
      </c>
      <c r="AG430" s="10">
        <v>0.22889999999999899</v>
      </c>
      <c r="AH430">
        <v>8.2780000000000006E-2</v>
      </c>
    </row>
    <row r="431" spans="3:34">
      <c r="C431" s="11" t="s">
        <v>675</v>
      </c>
      <c r="D431" s="10" t="s">
        <v>0</v>
      </c>
      <c r="E431" s="10">
        <v>13.71</v>
      </c>
      <c r="F431" s="10">
        <v>20.8599999999999</v>
      </c>
      <c r="G431" s="10">
        <v>137.80000000000001</v>
      </c>
      <c r="H431" s="10">
        <v>1308</v>
      </c>
      <c r="I431" s="10">
        <v>0.1046</v>
      </c>
      <c r="J431" s="10">
        <v>0.1739</v>
      </c>
      <c r="K431" s="10">
        <v>0.20849999999999899</v>
      </c>
      <c r="L431" s="10">
        <v>0.13220000000000001</v>
      </c>
      <c r="M431" s="10">
        <v>0.2127</v>
      </c>
      <c r="N431" s="10">
        <v>6.2509999999999899E-2</v>
      </c>
      <c r="O431" s="10">
        <v>0.6986</v>
      </c>
      <c r="P431" s="10">
        <v>0.99009999999999898</v>
      </c>
      <c r="Q431" s="10">
        <v>4.7060000000000004</v>
      </c>
      <c r="R431" s="10">
        <v>87.78</v>
      </c>
      <c r="S431" s="10">
        <v>4.5779999999999901E-3</v>
      </c>
      <c r="T431" s="10">
        <v>2.6159999999999899E-2</v>
      </c>
      <c r="U431" s="10">
        <v>4.0050000000000002E-2</v>
      </c>
      <c r="V431" s="10">
        <v>1.421E-2</v>
      </c>
      <c r="W431" s="10">
        <v>1.9480000000000001E-2</v>
      </c>
      <c r="X431" s="10">
        <v>2.689E-3</v>
      </c>
      <c r="Y431" s="10">
        <v>24.3</v>
      </c>
      <c r="Z431" s="10">
        <v>25.48</v>
      </c>
      <c r="AA431" s="10">
        <v>160.19999999999899</v>
      </c>
      <c r="AB431" s="10">
        <v>1809</v>
      </c>
      <c r="AC431" s="10">
        <v>0.1268</v>
      </c>
      <c r="AD431" s="10">
        <v>0.3135</v>
      </c>
      <c r="AE431" s="10">
        <v>0.44330000000000003</v>
      </c>
      <c r="AF431" s="10">
        <v>0.21479999999999899</v>
      </c>
      <c r="AG431" s="10">
        <v>0.30769999999999897</v>
      </c>
      <c r="AH431">
        <v>7.5689999999999896E-2</v>
      </c>
    </row>
    <row r="432" spans="3:34">
      <c r="C432" s="11" t="s">
        <v>676</v>
      </c>
      <c r="D432" s="10" t="s">
        <v>0</v>
      </c>
      <c r="E432" s="10">
        <v>13.71</v>
      </c>
      <c r="F432" s="10">
        <v>22.55</v>
      </c>
      <c r="G432" s="10">
        <v>93.769999999999897</v>
      </c>
      <c r="H432" s="10">
        <v>629.79999999999905</v>
      </c>
      <c r="I432" s="10">
        <v>0.1038</v>
      </c>
      <c r="J432" s="10">
        <v>0.1154</v>
      </c>
      <c r="K432" s="10">
        <v>0.14630000000000001</v>
      </c>
      <c r="L432" s="10">
        <v>6.139E-2</v>
      </c>
      <c r="M432" s="10">
        <v>0.19259999999999899</v>
      </c>
      <c r="N432" s="10">
        <v>5.9819999999999901E-2</v>
      </c>
      <c r="O432" s="10">
        <v>0.20269999999999899</v>
      </c>
      <c r="P432" s="10">
        <v>1.851</v>
      </c>
      <c r="Q432" s="10">
        <v>1.895</v>
      </c>
      <c r="R432" s="10">
        <v>18.5399999999999</v>
      </c>
      <c r="S432" s="10">
        <v>6.1130000000000004E-3</v>
      </c>
      <c r="T432" s="10">
        <v>2.5829999999999902E-2</v>
      </c>
      <c r="U432" s="10">
        <v>4.6449999999999901E-2</v>
      </c>
      <c r="V432" s="10">
        <v>1.2760000000000001E-2</v>
      </c>
      <c r="W432" s="10">
        <v>1.451E-2</v>
      </c>
      <c r="X432" s="10">
        <v>3.7559999999999898E-3</v>
      </c>
      <c r="Y432" s="10">
        <v>15.2899999999999</v>
      </c>
      <c r="Z432" s="10">
        <v>34.270000000000003</v>
      </c>
      <c r="AA432" s="10">
        <v>104.3</v>
      </c>
      <c r="AB432" s="10">
        <v>728.29999999999905</v>
      </c>
      <c r="AC432" s="10">
        <v>0.13800000000000001</v>
      </c>
      <c r="AD432" s="10">
        <v>0.27329999999999899</v>
      </c>
      <c r="AE432" s="10">
        <v>0.4234</v>
      </c>
      <c r="AF432" s="10">
        <v>0.13619999999999899</v>
      </c>
      <c r="AG432" s="10">
        <v>0.26979999999999899</v>
      </c>
      <c r="AH432">
        <v>8.3510000000000001E-2</v>
      </c>
    </row>
    <row r="433" spans="3:34">
      <c r="C433" s="11" t="s">
        <v>677</v>
      </c>
      <c r="D433" s="10" t="s">
        <v>1</v>
      </c>
      <c r="E433" s="10">
        <v>13.71</v>
      </c>
      <c r="F433" s="10">
        <v>24.44</v>
      </c>
      <c r="G433" s="10">
        <v>76.37</v>
      </c>
      <c r="H433" s="10">
        <v>406.39999999999901</v>
      </c>
      <c r="I433" s="10">
        <v>0.1236</v>
      </c>
      <c r="J433" s="10">
        <v>0.1552</v>
      </c>
      <c r="K433" s="10">
        <v>4.5150000000000003E-2</v>
      </c>
      <c r="L433" s="10">
        <v>4.5310000000000003E-2</v>
      </c>
      <c r="M433" s="10">
        <v>0.21310000000000001</v>
      </c>
      <c r="N433" s="10">
        <v>7.4050000000000005E-2</v>
      </c>
      <c r="O433" s="10">
        <v>0.29570000000000002</v>
      </c>
      <c r="P433" s="10">
        <v>1.978</v>
      </c>
      <c r="Q433" s="10">
        <v>2.1579999999999901</v>
      </c>
      <c r="R433" s="10">
        <v>20.9499999999999</v>
      </c>
      <c r="S433" s="10">
        <v>1.2880000000000001E-2</v>
      </c>
      <c r="T433" s="10">
        <v>3.4950000000000002E-2</v>
      </c>
      <c r="U433" s="10">
        <v>1.865E-2</v>
      </c>
      <c r="V433" s="10">
        <v>1.7659999999999901E-2</v>
      </c>
      <c r="W433" s="10">
        <v>1.55999999999999E-2</v>
      </c>
      <c r="X433" s="10">
        <v>5.8240000000000002E-3</v>
      </c>
      <c r="Y433" s="10">
        <v>12.98</v>
      </c>
      <c r="Z433" s="10">
        <v>32.189999999999898</v>
      </c>
      <c r="AA433" s="10">
        <v>86.12</v>
      </c>
      <c r="AB433" s="10">
        <v>487.69999999999902</v>
      </c>
      <c r="AC433" s="10">
        <v>0.17680000000000001</v>
      </c>
      <c r="AD433" s="10">
        <v>0.3251</v>
      </c>
      <c r="AE433" s="10">
        <v>0.13950000000000001</v>
      </c>
      <c r="AF433" s="10">
        <v>0.1308</v>
      </c>
      <c r="AG433" s="10">
        <v>0.28029999999999899</v>
      </c>
      <c r="AH433">
        <v>9.96999999999999E-2</v>
      </c>
    </row>
    <row r="434" spans="3:34">
      <c r="C434" s="11" t="s">
        <v>680</v>
      </c>
      <c r="D434" s="10" t="s">
        <v>1</v>
      </c>
      <c r="E434" s="10">
        <v>13.71</v>
      </c>
      <c r="F434" s="10">
        <v>14.44</v>
      </c>
      <c r="G434" s="10">
        <v>74.650000000000006</v>
      </c>
      <c r="H434" s="10">
        <v>402.89999999999901</v>
      </c>
      <c r="I434" s="10">
        <v>9.9839999999999901E-2</v>
      </c>
      <c r="J434" s="10">
        <v>0.112</v>
      </c>
      <c r="K434" s="10">
        <v>6.7369999999999902E-2</v>
      </c>
      <c r="L434" s="10">
        <v>2.5940000000000001E-2</v>
      </c>
      <c r="M434" s="10">
        <v>0.18179999999999899</v>
      </c>
      <c r="N434" s="10">
        <v>6.7820000000000005E-2</v>
      </c>
      <c r="O434" s="10">
        <v>0.27839999999999898</v>
      </c>
      <c r="P434" s="10">
        <v>1.768</v>
      </c>
      <c r="Q434" s="10">
        <v>1.6279999999999899</v>
      </c>
      <c r="R434" s="10">
        <v>20.8599999999999</v>
      </c>
      <c r="S434" s="10">
        <v>1.21499999999999E-2</v>
      </c>
      <c r="T434" s="10">
        <v>4.11199999999999E-2</v>
      </c>
      <c r="U434" s="10">
        <v>5.5530000000000003E-2</v>
      </c>
      <c r="V434" s="10">
        <v>1.494E-2</v>
      </c>
      <c r="W434" s="10">
        <v>1.84E-2</v>
      </c>
      <c r="X434" s="10">
        <v>5.5120000000000004E-3</v>
      </c>
      <c r="Y434" s="10">
        <v>12.26</v>
      </c>
      <c r="Z434" s="10">
        <v>19.68</v>
      </c>
      <c r="AA434" s="10">
        <v>78.78</v>
      </c>
      <c r="AB434" s="10">
        <v>457.8</v>
      </c>
      <c r="AC434" s="10">
        <v>0.13450000000000001</v>
      </c>
      <c r="AD434" s="10">
        <v>0.21179999999999899</v>
      </c>
      <c r="AE434" s="10">
        <v>0.1797</v>
      </c>
      <c r="AF434" s="10">
        <v>6.9180000000000005E-2</v>
      </c>
      <c r="AG434" s="10">
        <v>0.2329</v>
      </c>
      <c r="AH434">
        <v>8.1339999999999898E-2</v>
      </c>
    </row>
    <row r="435" spans="3:34">
      <c r="C435" s="11" t="s">
        <v>681</v>
      </c>
      <c r="D435" s="10" t="s">
        <v>1</v>
      </c>
      <c r="E435" s="10">
        <v>13.71</v>
      </c>
      <c r="F435" s="10">
        <v>24.989999999999899</v>
      </c>
      <c r="G435" s="10">
        <v>95.81</v>
      </c>
      <c r="H435" s="10">
        <v>656.39999999999895</v>
      </c>
      <c r="I435" s="10">
        <v>8.8370000000000004E-2</v>
      </c>
      <c r="J435" s="10">
        <v>0.123</v>
      </c>
      <c r="K435" s="10">
        <v>0.1009</v>
      </c>
      <c r="L435" s="10">
        <v>3.88999999999999E-2</v>
      </c>
      <c r="M435" s="10">
        <v>0.18720000000000001</v>
      </c>
      <c r="N435" s="10">
        <v>6.3409999999999897E-2</v>
      </c>
      <c r="O435" s="10">
        <v>0.25419999999999898</v>
      </c>
      <c r="P435" s="10">
        <v>1.079</v>
      </c>
      <c r="Q435" s="10">
        <v>2.6150000000000002</v>
      </c>
      <c r="R435" s="10">
        <v>23.1099999999999</v>
      </c>
      <c r="S435" s="10">
        <v>7.1380000000000002E-3</v>
      </c>
      <c r="T435" s="10">
        <v>4.6530000000000002E-2</v>
      </c>
      <c r="U435" s="10">
        <v>3.8289999999999901E-2</v>
      </c>
      <c r="V435" s="10">
        <v>1.162E-2</v>
      </c>
      <c r="W435" s="10">
        <v>2.068E-2</v>
      </c>
      <c r="X435" s="10">
        <v>6.1110000000000001E-3</v>
      </c>
      <c r="Y435" s="10">
        <v>16.219999999999899</v>
      </c>
      <c r="Z435" s="10">
        <v>31.73</v>
      </c>
      <c r="AA435" s="10">
        <v>113.5</v>
      </c>
      <c r="AB435" s="10">
        <v>808.89999999999895</v>
      </c>
      <c r="AC435" s="10">
        <v>0.13400000000000001</v>
      </c>
      <c r="AD435" s="10">
        <v>0.42020000000000002</v>
      </c>
      <c r="AE435" s="10">
        <v>0.40400000000000003</v>
      </c>
      <c r="AF435" s="10">
        <v>0.1205</v>
      </c>
      <c r="AG435" s="10">
        <v>0.31869999999999898</v>
      </c>
      <c r="AH435">
        <v>0.1023</v>
      </c>
    </row>
    <row r="436" spans="3:34">
      <c r="C436" s="11" t="s">
        <v>684</v>
      </c>
      <c r="D436" s="10" t="s">
        <v>1</v>
      </c>
      <c r="E436" s="10">
        <v>13.71</v>
      </c>
      <c r="F436" s="10">
        <v>20.6999999999999</v>
      </c>
      <c r="G436" s="10">
        <v>89.769999999999897</v>
      </c>
      <c r="H436" s="10">
        <v>584.79999999999905</v>
      </c>
      <c r="I436" s="10">
        <v>9.5780000000000004E-2</v>
      </c>
      <c r="J436" s="10">
        <v>0.1018</v>
      </c>
      <c r="K436" s="10">
        <v>3.6880000000000003E-2</v>
      </c>
      <c r="L436" s="10">
        <v>2.3689999999999899E-2</v>
      </c>
      <c r="M436" s="10">
        <v>0.16200000000000001</v>
      </c>
      <c r="N436" s="10">
        <v>6.6879999999999898E-2</v>
      </c>
      <c r="O436" s="10">
        <v>0.27200000000000002</v>
      </c>
      <c r="P436" s="10">
        <v>1.0469999999999899</v>
      </c>
      <c r="Q436" s="10">
        <v>2.0760000000000001</v>
      </c>
      <c r="R436" s="10">
        <v>23.12</v>
      </c>
      <c r="S436" s="10">
        <v>6.2979999999999902E-3</v>
      </c>
      <c r="T436" s="10">
        <v>2.172E-2</v>
      </c>
      <c r="U436" s="10">
        <v>2.615E-2</v>
      </c>
      <c r="V436" s="10">
        <v>9.0609999999999892E-3</v>
      </c>
      <c r="W436" s="10">
        <v>1.49E-2</v>
      </c>
      <c r="X436" s="10">
        <v>3.5990000000000002E-3</v>
      </c>
      <c r="Y436" s="10">
        <v>15.05</v>
      </c>
      <c r="Z436" s="10">
        <v>24.75</v>
      </c>
      <c r="AA436" s="10">
        <v>99.17</v>
      </c>
      <c r="AB436" s="10">
        <v>688.6</v>
      </c>
      <c r="AC436" s="10">
        <v>0.12640000000000001</v>
      </c>
      <c r="AD436" s="10">
        <v>0.20369999999999899</v>
      </c>
      <c r="AE436" s="10">
        <v>0.13769999999999899</v>
      </c>
      <c r="AF436" s="10">
        <v>6.84499999999999E-2</v>
      </c>
      <c r="AG436" s="10">
        <v>0.22489999999999899</v>
      </c>
      <c r="AH436">
        <v>8.4919999999999898E-2</v>
      </c>
    </row>
    <row r="437" spans="3:34">
      <c r="C437" s="11" t="s">
        <v>685</v>
      </c>
      <c r="D437" s="10" t="s">
        <v>1</v>
      </c>
      <c r="E437" s="10">
        <v>13.71</v>
      </c>
      <c r="F437" s="10">
        <v>23.23</v>
      </c>
      <c r="G437" s="10">
        <v>87.189999999999898</v>
      </c>
      <c r="H437" s="10">
        <v>573.20000000000005</v>
      </c>
      <c r="I437" s="10">
        <v>9.2460000000000001E-2</v>
      </c>
      <c r="J437" s="10">
        <v>6.7470000000000002E-2</v>
      </c>
      <c r="K437" s="10">
        <v>2.9739999999999898E-2</v>
      </c>
      <c r="L437" s="10">
        <v>2.443E-2</v>
      </c>
      <c r="M437" s="10">
        <v>0.16639999999999899</v>
      </c>
      <c r="N437" s="10">
        <v>5.8009999999999902E-2</v>
      </c>
      <c r="O437" s="10">
        <v>0.34599999999999898</v>
      </c>
      <c r="P437" s="10">
        <v>1.3360000000000001</v>
      </c>
      <c r="Q437" s="10">
        <v>2.0659999999999901</v>
      </c>
      <c r="R437" s="10">
        <v>31.239999999999899</v>
      </c>
      <c r="S437" s="10">
        <v>5.868E-3</v>
      </c>
      <c r="T437" s="10">
        <v>2.0990000000000002E-2</v>
      </c>
      <c r="U437" s="10">
        <v>2.0209999999999902E-2</v>
      </c>
      <c r="V437" s="10">
        <v>9.0639999999999905E-3</v>
      </c>
      <c r="W437" s="10">
        <v>2.087E-2</v>
      </c>
      <c r="X437" s="10">
        <v>2.5829999999999898E-3</v>
      </c>
      <c r="Y437" s="10">
        <v>15.35</v>
      </c>
      <c r="Z437" s="10">
        <v>29.09</v>
      </c>
      <c r="AA437" s="10">
        <v>97.579999999999899</v>
      </c>
      <c r="AB437" s="10">
        <v>729.79999999999905</v>
      </c>
      <c r="AC437" s="10">
        <v>0.1216</v>
      </c>
      <c r="AD437" s="10">
        <v>0.1517</v>
      </c>
      <c r="AE437" s="10">
        <v>0.10489999999999899</v>
      </c>
      <c r="AF437" s="10">
        <v>7.1739999999999901E-2</v>
      </c>
      <c r="AG437" s="10">
        <v>0.26419999999999899</v>
      </c>
      <c r="AH437">
        <v>6.9529999999999897E-2</v>
      </c>
    </row>
    <row r="438" spans="3:34">
      <c r="C438" s="11" t="s">
        <v>686</v>
      </c>
      <c r="D438" s="10" t="s">
        <v>1</v>
      </c>
      <c r="E438" s="10">
        <v>13.71</v>
      </c>
      <c r="F438" s="10">
        <v>16.350000000000001</v>
      </c>
      <c r="G438" s="10">
        <v>65.31</v>
      </c>
      <c r="H438" s="10">
        <v>324.89999999999901</v>
      </c>
      <c r="I438" s="10">
        <v>9.4339999999999896E-2</v>
      </c>
      <c r="J438" s="10">
        <v>4.9939999999999901E-2</v>
      </c>
      <c r="K438" s="10">
        <v>1.0120000000000001E-2</v>
      </c>
      <c r="L438" s="10">
        <v>5.4949999999999903E-3</v>
      </c>
      <c r="M438" s="10">
        <v>0.1885</v>
      </c>
      <c r="N438" s="10">
        <v>6.2010000000000003E-2</v>
      </c>
      <c r="O438" s="10">
        <v>0.2104</v>
      </c>
      <c r="P438" s="10">
        <v>0.96699999999999897</v>
      </c>
      <c r="Q438" s="10">
        <v>1.3560000000000001</v>
      </c>
      <c r="R438" s="10">
        <v>12.97</v>
      </c>
      <c r="S438" s="10">
        <v>7.0860000000000003E-3</v>
      </c>
      <c r="T438" s="10">
        <v>7.247E-3</v>
      </c>
      <c r="U438" s="10">
        <v>1.0120000000000001E-2</v>
      </c>
      <c r="V438" s="10">
        <v>5.4949999999999903E-3</v>
      </c>
      <c r="W438" s="10">
        <v>1.55999999999999E-2</v>
      </c>
      <c r="X438" s="10">
        <v>2.6059999999999898E-3</v>
      </c>
      <c r="Y438" s="10">
        <v>11.25</v>
      </c>
      <c r="Z438" s="10">
        <v>21.77</v>
      </c>
      <c r="AA438" s="10">
        <v>71.12</v>
      </c>
      <c r="AB438" s="10">
        <v>384.89999999999901</v>
      </c>
      <c r="AC438" s="10">
        <v>0.1285</v>
      </c>
      <c r="AD438" s="10">
        <v>8.8419999999999901E-2</v>
      </c>
      <c r="AE438" s="10">
        <v>4.38399999999999E-2</v>
      </c>
      <c r="AF438" s="10">
        <v>2.3810000000000001E-2</v>
      </c>
      <c r="AG438" s="10">
        <v>0.2681</v>
      </c>
      <c r="AH438">
        <v>7.399E-2</v>
      </c>
    </row>
    <row r="439" spans="3:34">
      <c r="C439" s="11" t="s">
        <v>687</v>
      </c>
      <c r="D439" s="10" t="s">
        <v>1</v>
      </c>
      <c r="E439" s="10">
        <v>13.71</v>
      </c>
      <c r="F439" s="10">
        <v>16.579999999999899</v>
      </c>
      <c r="G439" s="10">
        <v>65.849999999999895</v>
      </c>
      <c r="H439" s="10">
        <v>320.8</v>
      </c>
      <c r="I439" s="10">
        <v>8.8770000000000002E-2</v>
      </c>
      <c r="J439" s="10">
        <v>8.0659999999999898E-2</v>
      </c>
      <c r="K439" s="10">
        <v>4.3580000000000001E-2</v>
      </c>
      <c r="L439" s="10">
        <v>2.4379999999999898E-2</v>
      </c>
      <c r="M439" s="10">
        <v>0.16689999999999899</v>
      </c>
      <c r="N439" s="10">
        <v>6.7140000000000005E-2</v>
      </c>
      <c r="O439" s="10">
        <v>0.1144</v>
      </c>
      <c r="P439" s="10">
        <v>1.0229999999999899</v>
      </c>
      <c r="Q439" s="10">
        <v>0.98870000000000002</v>
      </c>
      <c r="R439" s="10">
        <v>7.3259999999999899</v>
      </c>
      <c r="S439" s="10">
        <v>1.027E-2</v>
      </c>
      <c r="T439" s="10">
        <v>3.0839999999999899E-2</v>
      </c>
      <c r="U439" s="10">
        <v>2.613E-2</v>
      </c>
      <c r="V439" s="10">
        <v>1.0970000000000001E-2</v>
      </c>
      <c r="W439" s="10">
        <v>2.2769999999999901E-2</v>
      </c>
      <c r="X439" s="10">
        <v>5.8900000000000003E-3</v>
      </c>
      <c r="Y439" s="10">
        <v>10.83</v>
      </c>
      <c r="Z439" s="10">
        <v>22.0399999999999</v>
      </c>
      <c r="AA439" s="10">
        <v>71.079999999999899</v>
      </c>
      <c r="AB439" s="10">
        <v>357.39999999999901</v>
      </c>
      <c r="AC439" s="10">
        <v>0.14610000000000001</v>
      </c>
      <c r="AD439" s="10">
        <v>0.22459999999999899</v>
      </c>
      <c r="AE439" s="10">
        <v>0.17829999999999899</v>
      </c>
      <c r="AF439" s="10">
        <v>8.3330000000000001E-2</v>
      </c>
      <c r="AG439" s="10">
        <v>0.26910000000000001</v>
      </c>
      <c r="AH439">
        <v>9.4789999999999902E-2</v>
      </c>
    </row>
    <row r="440" spans="3:34">
      <c r="C440" s="11" t="s">
        <v>688</v>
      </c>
      <c r="D440" s="10" t="s">
        <v>1</v>
      </c>
      <c r="E440" s="10">
        <v>13.71</v>
      </c>
      <c r="F440" s="10">
        <v>19.34</v>
      </c>
      <c r="G440" s="10">
        <v>61.049999999999898</v>
      </c>
      <c r="H440" s="10">
        <v>285.69999999999902</v>
      </c>
      <c r="I440" s="10">
        <v>8.4909999999999902E-2</v>
      </c>
      <c r="J440" s="10">
        <v>5.02999999999999E-2</v>
      </c>
      <c r="K440" s="10">
        <v>2.3369999999999901E-2</v>
      </c>
      <c r="L440" s="10">
        <v>9.6150000000000003E-3</v>
      </c>
      <c r="M440" s="10">
        <v>0.158</v>
      </c>
      <c r="N440" s="10">
        <v>6.2350000000000003E-2</v>
      </c>
      <c r="O440" s="10">
        <v>0.29570000000000002</v>
      </c>
      <c r="P440" s="10">
        <v>1.363</v>
      </c>
      <c r="Q440" s="10">
        <v>2.0539999999999901</v>
      </c>
      <c r="R440" s="10">
        <v>18.239999999999899</v>
      </c>
      <c r="S440" s="10">
        <v>7.4400000000000004E-3</v>
      </c>
      <c r="T440" s="10">
        <v>1.123E-2</v>
      </c>
      <c r="U440" s="10">
        <v>2.3369999999999901E-2</v>
      </c>
      <c r="V440" s="10">
        <v>9.6150000000000003E-3</v>
      </c>
      <c r="W440" s="10">
        <v>2.2030000000000001E-2</v>
      </c>
      <c r="X440" s="10">
        <v>4.1539999999999902E-3</v>
      </c>
      <c r="Y440" s="10">
        <v>10.93</v>
      </c>
      <c r="Z440" s="10">
        <v>25.59</v>
      </c>
      <c r="AA440" s="10">
        <v>69.099999999999895</v>
      </c>
      <c r="AB440" s="10">
        <v>364.19999999999902</v>
      </c>
      <c r="AC440" s="10">
        <v>0.11990000000000001</v>
      </c>
      <c r="AD440" s="10">
        <v>9.5460000000000003E-2</v>
      </c>
      <c r="AE440" s="10">
        <v>9.35E-2</v>
      </c>
      <c r="AF440" s="10">
        <v>3.8460000000000001E-2</v>
      </c>
      <c r="AG440" s="10">
        <v>0.25519999999999898</v>
      </c>
      <c r="AH440">
        <v>7.9200000000000007E-2</v>
      </c>
    </row>
    <row r="441" spans="3:34">
      <c r="C441" s="11" t="s">
        <v>690</v>
      </c>
      <c r="D441" s="10" t="s">
        <v>1</v>
      </c>
      <c r="E441" s="10">
        <v>13.71</v>
      </c>
      <c r="F441" s="10">
        <v>21.48</v>
      </c>
      <c r="G441" s="10">
        <v>68.510000000000005</v>
      </c>
      <c r="H441" s="10">
        <v>360.5</v>
      </c>
      <c r="I441" s="10">
        <v>7.4310000000000001E-2</v>
      </c>
      <c r="J441" s="10">
        <v>4.2270000000000002E-2</v>
      </c>
      <c r="K441" s="10">
        <v>0</v>
      </c>
      <c r="L441" s="10">
        <v>0</v>
      </c>
      <c r="M441" s="10">
        <v>0.1661</v>
      </c>
      <c r="N441" s="10">
        <v>5.9479999999999901E-2</v>
      </c>
      <c r="O441" s="10">
        <v>0.31630000000000003</v>
      </c>
      <c r="P441" s="10">
        <v>1.304</v>
      </c>
      <c r="Q441" s="10">
        <v>2.1150000000000002</v>
      </c>
      <c r="R441" s="10">
        <v>20.67</v>
      </c>
      <c r="S441" s="10">
        <v>9.5790000000000007E-3</v>
      </c>
      <c r="T441" s="10">
        <v>1.1039999999999901E-2</v>
      </c>
      <c r="U441" s="10">
        <v>0</v>
      </c>
      <c r="V441" s="10">
        <v>0</v>
      </c>
      <c r="W441" s="10">
        <v>3.0040000000000001E-2</v>
      </c>
      <c r="X441" s="10">
        <v>2.22799999999999E-3</v>
      </c>
      <c r="Y441" s="10">
        <v>11.66</v>
      </c>
      <c r="Z441" s="10">
        <v>24.77</v>
      </c>
      <c r="AA441" s="10">
        <v>74.079999999999899</v>
      </c>
      <c r="AB441" s="10">
        <v>412.3</v>
      </c>
      <c r="AC441" s="10">
        <v>0.100099999999999</v>
      </c>
      <c r="AD441" s="10">
        <v>7.3480000000000004E-2</v>
      </c>
      <c r="AE441" s="10">
        <v>0</v>
      </c>
      <c r="AF441" s="10">
        <v>0</v>
      </c>
      <c r="AG441" s="10">
        <v>0.24579999999999899</v>
      </c>
      <c r="AH441">
        <v>6.5920000000000006E-2</v>
      </c>
    </row>
    <row r="442" spans="3:34">
      <c r="C442" s="11" t="s">
        <v>691</v>
      </c>
      <c r="D442" s="10" t="s">
        <v>1</v>
      </c>
      <c r="E442" s="10">
        <v>13.71</v>
      </c>
      <c r="F442" s="10">
        <v>22.44</v>
      </c>
      <c r="G442" s="10">
        <v>71.489999999999895</v>
      </c>
      <c r="H442" s="10">
        <v>378.39999999999901</v>
      </c>
      <c r="I442" s="10">
        <v>9.5659999999999898E-2</v>
      </c>
      <c r="J442" s="10">
        <v>8.1939999999999902E-2</v>
      </c>
      <c r="K442" s="10">
        <v>4.8239999999999901E-2</v>
      </c>
      <c r="L442" s="10">
        <v>2.257E-2</v>
      </c>
      <c r="M442" s="10">
        <v>0.20300000000000001</v>
      </c>
      <c r="N442" s="10">
        <v>6.5519999999999898E-2</v>
      </c>
      <c r="O442" s="10">
        <v>0.28000000000000003</v>
      </c>
      <c r="P442" s="10">
        <v>1.4670000000000001</v>
      </c>
      <c r="Q442" s="10">
        <v>1.994</v>
      </c>
      <c r="R442" s="10">
        <v>17.850000000000001</v>
      </c>
      <c r="S442" s="10">
        <v>3.4949999999999899E-3</v>
      </c>
      <c r="T442" s="10">
        <v>3.0509999999999898E-2</v>
      </c>
      <c r="U442" s="10">
        <v>3.4450000000000001E-2</v>
      </c>
      <c r="V442" s="10">
        <v>1.0240000000000001E-2</v>
      </c>
      <c r="W442" s="10">
        <v>2.912E-2</v>
      </c>
      <c r="X442" s="10">
        <v>4.7229999999999902E-3</v>
      </c>
      <c r="Y442" s="10">
        <v>12.02</v>
      </c>
      <c r="Z442" s="10">
        <v>28.26</v>
      </c>
      <c r="AA442" s="10">
        <v>77.799999999999898</v>
      </c>
      <c r="AB442" s="10">
        <v>436.6</v>
      </c>
      <c r="AC442" s="10">
        <v>0.1087</v>
      </c>
      <c r="AD442" s="10">
        <v>0.1782</v>
      </c>
      <c r="AE442" s="10">
        <v>0.15640000000000001</v>
      </c>
      <c r="AF442" s="10">
        <v>6.4130000000000006E-2</v>
      </c>
      <c r="AG442" s="10">
        <v>0.31690000000000002</v>
      </c>
      <c r="AH442">
        <v>8.0320000000000003E-2</v>
      </c>
    </row>
    <row r="443" spans="3:34">
      <c r="C443" s="11" t="s">
        <v>692</v>
      </c>
      <c r="D443" s="10" t="s">
        <v>1</v>
      </c>
      <c r="E443" s="10">
        <v>13.71</v>
      </c>
      <c r="F443" s="10">
        <v>29.43</v>
      </c>
      <c r="G443" s="10">
        <v>81.349999999999895</v>
      </c>
      <c r="H443" s="10">
        <v>507.89999999999901</v>
      </c>
      <c r="I443" s="10">
        <v>8.276E-2</v>
      </c>
      <c r="J443" s="10">
        <v>4.2340000000000003E-2</v>
      </c>
      <c r="K443" s="10">
        <v>1.9970000000000002E-2</v>
      </c>
      <c r="L443" s="10">
        <v>1.499E-2</v>
      </c>
      <c r="M443" s="10">
        <v>0.15390000000000001</v>
      </c>
      <c r="N443" s="10">
        <v>5.6370000000000003E-2</v>
      </c>
      <c r="O443" s="10">
        <v>0.2409</v>
      </c>
      <c r="P443" s="10">
        <v>1.367</v>
      </c>
      <c r="Q443" s="10">
        <v>1.4770000000000001</v>
      </c>
      <c r="R443" s="10">
        <v>18.760000000000002</v>
      </c>
      <c r="S443" s="10">
        <v>8.8350000000000008E-3</v>
      </c>
      <c r="T443" s="10">
        <v>1.2330000000000001E-2</v>
      </c>
      <c r="U443" s="10">
        <v>1.328E-2</v>
      </c>
      <c r="V443" s="10">
        <v>9.3050000000000008E-3</v>
      </c>
      <c r="W443" s="10">
        <v>1.8970000000000001E-2</v>
      </c>
      <c r="X443" s="10">
        <v>1.7260000000000001E-3</v>
      </c>
      <c r="Y443" s="10">
        <v>13.8699999999999</v>
      </c>
      <c r="Z443" s="10">
        <v>36</v>
      </c>
      <c r="AA443" s="10">
        <v>88.099999999999895</v>
      </c>
      <c r="AB443" s="10">
        <v>594.70000000000005</v>
      </c>
      <c r="AC443" s="10">
        <v>0.1234</v>
      </c>
      <c r="AD443" s="10">
        <v>0.106399999999999</v>
      </c>
      <c r="AE443" s="10">
        <v>8.6529999999999899E-2</v>
      </c>
      <c r="AF443" s="10">
        <v>6.4979999999999899E-2</v>
      </c>
      <c r="AG443" s="10">
        <v>0.2407</v>
      </c>
      <c r="AH443">
        <v>6.4839999999999898E-2</v>
      </c>
    </row>
    <row r="444" spans="3:34">
      <c r="C444" s="11" t="s">
        <v>694</v>
      </c>
      <c r="D444" s="10" t="s">
        <v>1</v>
      </c>
      <c r="E444" s="10">
        <v>13.71</v>
      </c>
      <c r="F444" s="10">
        <v>28.92</v>
      </c>
      <c r="G444" s="10">
        <v>82.5</v>
      </c>
      <c r="H444" s="10">
        <v>514.29999999999905</v>
      </c>
      <c r="I444" s="10">
        <v>8.12299999999999E-2</v>
      </c>
      <c r="J444" s="10">
        <v>5.824E-2</v>
      </c>
      <c r="K444" s="10">
        <v>6.1949999999999901E-2</v>
      </c>
      <c r="L444" s="10">
        <v>2.3429999999999899E-2</v>
      </c>
      <c r="M444" s="10">
        <v>0.15659999999999899</v>
      </c>
      <c r="N444" s="10">
        <v>5.7079999999999902E-2</v>
      </c>
      <c r="O444" s="10">
        <v>0.21160000000000001</v>
      </c>
      <c r="P444" s="10">
        <v>1.36</v>
      </c>
      <c r="Q444" s="10">
        <v>1.502</v>
      </c>
      <c r="R444" s="10">
        <v>16.829999999999899</v>
      </c>
      <c r="S444" s="10">
        <v>8.4119999999999907E-3</v>
      </c>
      <c r="T444" s="10">
        <v>2.1530000000000001E-2</v>
      </c>
      <c r="U444" s="10">
        <v>3.8980000000000001E-2</v>
      </c>
      <c r="V444" s="10">
        <v>7.62E-3</v>
      </c>
      <c r="W444" s="10">
        <v>1.695E-2</v>
      </c>
      <c r="X444" s="10">
        <v>2.8010000000000001E-3</v>
      </c>
      <c r="Y444" s="10">
        <v>13.89</v>
      </c>
      <c r="Z444" s="10">
        <v>35.74</v>
      </c>
      <c r="AA444" s="10">
        <v>88.84</v>
      </c>
      <c r="AB444" s="10">
        <v>595.70000000000005</v>
      </c>
      <c r="AC444" s="10">
        <v>0.1227</v>
      </c>
      <c r="AD444" s="10">
        <v>0.16200000000000001</v>
      </c>
      <c r="AE444" s="10">
        <v>0.24390000000000001</v>
      </c>
      <c r="AF444" s="10">
        <v>6.4930000000000002E-2</v>
      </c>
      <c r="AG444" s="10">
        <v>0.23719999999999899</v>
      </c>
      <c r="AH444">
        <v>7.2419999999999901E-2</v>
      </c>
    </row>
    <row r="445" spans="3:34">
      <c r="C445" s="11" t="s">
        <v>695</v>
      </c>
      <c r="D445" s="10" t="s">
        <v>1</v>
      </c>
      <c r="E445" s="10">
        <v>13.71</v>
      </c>
      <c r="F445" s="10">
        <v>27.6099999999999</v>
      </c>
      <c r="G445" s="10">
        <v>65.67</v>
      </c>
      <c r="H445" s="10">
        <v>321.39999999999901</v>
      </c>
      <c r="I445" s="10">
        <v>9.0300000000000005E-2</v>
      </c>
      <c r="J445" s="10">
        <v>7.6579999999999898E-2</v>
      </c>
      <c r="K445" s="10">
        <v>5.9990000000000002E-2</v>
      </c>
      <c r="L445" s="10">
        <v>2.7380000000000002E-2</v>
      </c>
      <c r="M445" s="10">
        <v>0.1593</v>
      </c>
      <c r="N445" s="10">
        <v>6.1269999999999901E-2</v>
      </c>
      <c r="O445" s="10">
        <v>0.21990000000000001</v>
      </c>
      <c r="P445" s="10">
        <v>2.2389999999999901</v>
      </c>
      <c r="Q445" s="10">
        <v>1.4370000000000001</v>
      </c>
      <c r="R445" s="10">
        <v>14.46</v>
      </c>
      <c r="S445" s="10">
        <v>1.205E-2</v>
      </c>
      <c r="T445" s="10">
        <v>2.7359999999999898E-2</v>
      </c>
      <c r="U445" s="10">
        <v>4.8039999999999902E-2</v>
      </c>
      <c r="V445" s="10">
        <v>1.721E-2</v>
      </c>
      <c r="W445" s="10">
        <v>1.8429999999999901E-2</v>
      </c>
      <c r="X445" s="10">
        <v>4.9379999999999901E-3</v>
      </c>
      <c r="Y445" s="10">
        <v>10.84</v>
      </c>
      <c r="Z445" s="10">
        <v>34.909999999999897</v>
      </c>
      <c r="AA445" s="10">
        <v>69.569999999999894</v>
      </c>
      <c r="AB445" s="10">
        <v>357.6</v>
      </c>
      <c r="AC445" s="10">
        <v>0.1384</v>
      </c>
      <c r="AD445" s="10">
        <v>0.17100000000000001</v>
      </c>
      <c r="AE445" s="10">
        <v>0.2</v>
      </c>
      <c r="AF445" s="10">
        <v>9.1270000000000004E-2</v>
      </c>
      <c r="AG445" s="10">
        <v>0.22259999999999899</v>
      </c>
      <c r="AH445">
        <v>8.2830000000000001E-2</v>
      </c>
    </row>
    <row r="446" spans="3:34">
      <c r="C446" s="11" t="s">
        <v>697</v>
      </c>
      <c r="D446" s="10" t="s">
        <v>1</v>
      </c>
      <c r="E446" s="10">
        <v>13.71</v>
      </c>
      <c r="F446" s="10">
        <v>27.8799999999999</v>
      </c>
      <c r="G446" s="10">
        <v>59.259999999999899</v>
      </c>
      <c r="H446" s="10">
        <v>271.3</v>
      </c>
      <c r="I446" s="10">
        <v>8.12299999999999E-2</v>
      </c>
      <c r="J446" s="10">
        <v>4.97099999999999E-2</v>
      </c>
      <c r="K446" s="10">
        <v>0</v>
      </c>
      <c r="L446" s="10">
        <v>0</v>
      </c>
      <c r="M446" s="10">
        <v>0.17419999999999899</v>
      </c>
      <c r="N446" s="10">
        <v>6.0589999999999901E-2</v>
      </c>
      <c r="O446" s="10">
        <v>0.53749999999999898</v>
      </c>
      <c r="P446" s="10">
        <v>2.927</v>
      </c>
      <c r="Q446" s="10">
        <v>3.6179999999999901</v>
      </c>
      <c r="R446" s="10">
        <v>29.1099999999999</v>
      </c>
      <c r="S446" s="10">
        <v>1.159E-2</v>
      </c>
      <c r="T446" s="10">
        <v>1.124E-2</v>
      </c>
      <c r="U446" s="10">
        <v>0</v>
      </c>
      <c r="V446" s="10">
        <v>0</v>
      </c>
      <c r="W446" s="10">
        <v>3.0040000000000001E-2</v>
      </c>
      <c r="X446" s="10">
        <v>3.3240000000000001E-3</v>
      </c>
      <c r="Y446" s="10">
        <v>10.49</v>
      </c>
      <c r="Z446" s="10">
        <v>34.24</v>
      </c>
      <c r="AA446" s="10">
        <v>66.5</v>
      </c>
      <c r="AB446" s="10">
        <v>330.6</v>
      </c>
      <c r="AC446" s="10">
        <v>0.10730000000000001</v>
      </c>
      <c r="AD446" s="10">
        <v>7.1580000000000005E-2</v>
      </c>
      <c r="AE446" s="10">
        <v>0</v>
      </c>
      <c r="AF446" s="10">
        <v>0</v>
      </c>
      <c r="AG446" s="10">
        <v>0.2475</v>
      </c>
      <c r="AH446">
        <v>6.9690000000000002E-2</v>
      </c>
    </row>
    <row r="447" spans="3:34">
      <c r="C447" s="11" t="s">
        <v>698</v>
      </c>
      <c r="D447" s="10" t="s">
        <v>1</v>
      </c>
      <c r="E447" s="10">
        <v>13.71</v>
      </c>
      <c r="F447" s="10">
        <v>22.68</v>
      </c>
      <c r="G447" s="10">
        <v>96.39</v>
      </c>
      <c r="H447" s="10">
        <v>657.1</v>
      </c>
      <c r="I447" s="10">
        <v>8.473E-2</v>
      </c>
      <c r="J447" s="10">
        <v>0.13300000000000001</v>
      </c>
      <c r="K447" s="10">
        <v>0.10290000000000001</v>
      </c>
      <c r="L447" s="10">
        <v>3.73599999999999E-2</v>
      </c>
      <c r="M447" s="10">
        <v>0.1454</v>
      </c>
      <c r="N447" s="10">
        <v>6.14699999999999E-2</v>
      </c>
      <c r="O447" s="10">
        <v>0.22539999999999899</v>
      </c>
      <c r="P447" s="10">
        <v>1.1080000000000001</v>
      </c>
      <c r="Q447" s="10">
        <v>2.2240000000000002</v>
      </c>
      <c r="R447" s="10">
        <v>19.5399999999999</v>
      </c>
      <c r="S447" s="10">
        <v>4.2420000000000001E-3</v>
      </c>
      <c r="T447" s="10">
        <v>4.6390000000000001E-2</v>
      </c>
      <c r="U447" s="10">
        <v>6.5780000000000005E-2</v>
      </c>
      <c r="V447" s="10">
        <v>1.6060000000000001E-2</v>
      </c>
      <c r="W447" s="10">
        <v>1.6379999999999902E-2</v>
      </c>
      <c r="X447" s="10">
        <v>4.4060000000000002E-3</v>
      </c>
      <c r="Y447" s="10">
        <v>15.48</v>
      </c>
      <c r="Z447" s="10">
        <v>27.27</v>
      </c>
      <c r="AA447" s="10">
        <v>105.9</v>
      </c>
      <c r="AB447" s="10">
        <v>733.5</v>
      </c>
      <c r="AC447" s="10">
        <v>0.1026</v>
      </c>
      <c r="AD447" s="10">
        <v>0.31709999999999899</v>
      </c>
      <c r="AE447" s="10">
        <v>0.36620000000000003</v>
      </c>
      <c r="AF447" s="10">
        <v>0.1105</v>
      </c>
      <c r="AG447" s="10">
        <v>0.2258</v>
      </c>
      <c r="AH447">
        <v>8.004E-2</v>
      </c>
    </row>
    <row r="448" spans="3:34">
      <c r="C448" s="11" t="s">
        <v>699</v>
      </c>
      <c r="D448" s="10" t="s">
        <v>1</v>
      </c>
      <c r="E448" s="10">
        <v>13.71</v>
      </c>
      <c r="F448" s="10">
        <v>23.93</v>
      </c>
      <c r="G448" s="10">
        <v>74.519999999999897</v>
      </c>
      <c r="H448" s="10">
        <v>403.5</v>
      </c>
      <c r="I448" s="10">
        <v>9.2609999999999901E-2</v>
      </c>
      <c r="J448" s="10">
        <v>0.1021</v>
      </c>
      <c r="K448" s="10">
        <v>0.11119999999999899</v>
      </c>
      <c r="L448" s="10">
        <v>4.1050000000000003E-2</v>
      </c>
      <c r="M448" s="10">
        <v>0.13880000000000001</v>
      </c>
      <c r="N448" s="10">
        <v>6.5699999999999897E-2</v>
      </c>
      <c r="O448" s="10">
        <v>0.23880000000000001</v>
      </c>
      <c r="P448" s="10">
        <v>2.9039999999999901</v>
      </c>
      <c r="Q448" s="10">
        <v>1.93599999999999</v>
      </c>
      <c r="R448" s="10">
        <v>16.969999999999899</v>
      </c>
      <c r="S448" s="10">
        <v>8.2000000000000007E-3</v>
      </c>
      <c r="T448" s="10">
        <v>2.9819999999999899E-2</v>
      </c>
      <c r="U448" s="10">
        <v>5.738E-2</v>
      </c>
      <c r="V448" s="10">
        <v>1.2670000000000001E-2</v>
      </c>
      <c r="W448" s="10">
        <v>1.4880000000000001E-2</v>
      </c>
      <c r="X448" s="10">
        <v>4.738E-3</v>
      </c>
      <c r="Y448" s="10">
        <v>12.48</v>
      </c>
      <c r="Z448" s="10">
        <v>37.159999999999897</v>
      </c>
      <c r="AA448" s="10">
        <v>82.28</v>
      </c>
      <c r="AB448" s="10">
        <v>474.19999999999902</v>
      </c>
      <c r="AC448" s="10">
        <v>0.1298</v>
      </c>
      <c r="AD448" s="10">
        <v>0.25169999999999898</v>
      </c>
      <c r="AE448" s="10">
        <v>0.36299999999999899</v>
      </c>
      <c r="AF448" s="10">
        <v>9.6530000000000005E-2</v>
      </c>
      <c r="AG448" s="10">
        <v>0.2112</v>
      </c>
      <c r="AH448">
        <v>8.7319999999999898E-2</v>
      </c>
    </row>
    <row r="449" spans="3:34">
      <c r="C449" s="11" t="s">
        <v>700</v>
      </c>
      <c r="D449" s="10" t="s">
        <v>1</v>
      </c>
      <c r="E449" s="10">
        <v>13.71</v>
      </c>
      <c r="F449" s="10">
        <v>27.149999999999899</v>
      </c>
      <c r="G449" s="10">
        <v>91.379999999999896</v>
      </c>
      <c r="H449" s="10">
        <v>600.39999999999895</v>
      </c>
      <c r="I449" s="10">
        <v>9.9290000000000003E-2</v>
      </c>
      <c r="J449" s="10">
        <v>0.11260000000000001</v>
      </c>
      <c r="K449" s="10">
        <v>4.462E-2</v>
      </c>
      <c r="L449" s="10">
        <v>4.3040000000000002E-2</v>
      </c>
      <c r="M449" s="10">
        <v>0.1537</v>
      </c>
      <c r="N449" s="10">
        <v>6.1710000000000001E-2</v>
      </c>
      <c r="O449" s="10">
        <v>0.36449999999999899</v>
      </c>
      <c r="P449" s="10">
        <v>1.492</v>
      </c>
      <c r="Q449" s="10">
        <v>2.8879999999999901</v>
      </c>
      <c r="R449" s="10">
        <v>29.84</v>
      </c>
      <c r="S449" s="10">
        <v>7.2560000000000003E-3</v>
      </c>
      <c r="T449" s="10">
        <v>2.6780000000000002E-2</v>
      </c>
      <c r="U449" s="10">
        <v>2.0709999999999899E-2</v>
      </c>
      <c r="V449" s="10">
        <v>1.626E-2</v>
      </c>
      <c r="W449" s="10">
        <v>2.0799999999999898E-2</v>
      </c>
      <c r="X449" s="10">
        <v>5.3039999999999901E-3</v>
      </c>
      <c r="Y449" s="10">
        <v>15.3</v>
      </c>
      <c r="Z449" s="10">
        <v>33.17</v>
      </c>
      <c r="AA449" s="10">
        <v>100.2</v>
      </c>
      <c r="AB449" s="10">
        <v>706.7</v>
      </c>
      <c r="AC449" s="10">
        <v>0.1241</v>
      </c>
      <c r="AD449" s="10">
        <v>0.22639999999999899</v>
      </c>
      <c r="AE449" s="10">
        <v>0.1326</v>
      </c>
      <c r="AF449" s="10">
        <v>0.1048</v>
      </c>
      <c r="AG449" s="10">
        <v>0.22500000000000001</v>
      </c>
      <c r="AH449">
        <v>8.3210000000000006E-2</v>
      </c>
    </row>
    <row r="450" spans="3:34">
      <c r="C450" s="11" t="s">
        <v>701</v>
      </c>
      <c r="D450" s="10" t="s">
        <v>1</v>
      </c>
      <c r="E450" s="10">
        <v>13.71</v>
      </c>
      <c r="F450" s="10">
        <v>29.37</v>
      </c>
      <c r="G450" s="10">
        <v>70.67</v>
      </c>
      <c r="H450" s="10">
        <v>386</v>
      </c>
      <c r="I450" s="10">
        <v>7.4490000000000001E-2</v>
      </c>
      <c r="J450" s="10">
        <v>3.5580000000000001E-2</v>
      </c>
      <c r="K450" s="10">
        <v>0</v>
      </c>
      <c r="L450" s="10">
        <v>0</v>
      </c>
      <c r="M450" s="10">
        <v>0.106</v>
      </c>
      <c r="N450" s="10">
        <v>5.5019999999999902E-2</v>
      </c>
      <c r="O450" s="10">
        <v>0.31409999999999899</v>
      </c>
      <c r="P450" s="10">
        <v>3.8959999999999901</v>
      </c>
      <c r="Q450" s="10">
        <v>2.0409999999999902</v>
      </c>
      <c r="R450" s="10">
        <v>22.809999999999899</v>
      </c>
      <c r="S450" s="10">
        <v>7.5940000000000001E-3</v>
      </c>
      <c r="T450" s="10">
        <v>8.8780000000000005E-3</v>
      </c>
      <c r="U450" s="10">
        <v>0</v>
      </c>
      <c r="V450" s="10">
        <v>0</v>
      </c>
      <c r="W450" s="10">
        <v>1.9890000000000001E-2</v>
      </c>
      <c r="X450" s="10">
        <v>1.7730000000000001E-3</v>
      </c>
      <c r="Y450" s="10">
        <v>11.92</v>
      </c>
      <c r="Z450" s="10">
        <v>38.299999999999898</v>
      </c>
      <c r="AA450" s="10">
        <v>75.189999999999898</v>
      </c>
      <c r="AB450" s="10">
        <v>439.6</v>
      </c>
      <c r="AC450" s="10">
        <v>9.2670000000000002E-2</v>
      </c>
      <c r="AD450" s="10">
        <v>5.4940000000000003E-2</v>
      </c>
      <c r="AE450" s="10">
        <v>0</v>
      </c>
      <c r="AF450" s="10">
        <v>0</v>
      </c>
      <c r="AG450" s="10">
        <v>0.15659999999999899</v>
      </c>
      <c r="AH450">
        <v>5.9049999999999901E-2</v>
      </c>
    </row>
    <row r="451" spans="3:34">
      <c r="C451" s="11" t="s">
        <v>702</v>
      </c>
      <c r="D451" s="10" t="s">
        <v>0</v>
      </c>
      <c r="E451" s="10">
        <v>13.71</v>
      </c>
      <c r="F451" s="10">
        <v>30.62</v>
      </c>
      <c r="G451" s="10">
        <v>103.4</v>
      </c>
      <c r="H451" s="10">
        <v>716.89999999999895</v>
      </c>
      <c r="I451" s="10">
        <v>9.6345422535211098E-2</v>
      </c>
      <c r="J451" s="10">
        <v>0.2087</v>
      </c>
      <c r="K451" s="10">
        <v>0.255</v>
      </c>
      <c r="L451" s="10">
        <v>9.4289999999999902E-2</v>
      </c>
      <c r="M451" s="10">
        <v>0.21279999999999899</v>
      </c>
      <c r="N451" s="10">
        <v>7.152E-2</v>
      </c>
      <c r="O451" s="10">
        <v>0.26019999999999899</v>
      </c>
      <c r="P451" s="10">
        <v>1.2050000000000001</v>
      </c>
      <c r="Q451" s="10">
        <v>2.3620000000000001</v>
      </c>
      <c r="R451" s="10">
        <v>22.649999999999899</v>
      </c>
      <c r="S451" s="10">
        <v>4.6249999999999902E-3</v>
      </c>
      <c r="T451" s="10">
        <v>4.84399999999999E-2</v>
      </c>
      <c r="U451" s="10">
        <v>7.3590000000000003E-2</v>
      </c>
      <c r="V451" s="10">
        <v>1.6080000000000001E-2</v>
      </c>
      <c r="W451" s="10">
        <v>2.137E-2</v>
      </c>
      <c r="X451" s="10">
        <v>6.1419999999999903E-3</v>
      </c>
      <c r="Y451" s="10">
        <v>17.52</v>
      </c>
      <c r="Z451" s="10">
        <v>42.7899999999999</v>
      </c>
      <c r="AA451" s="10">
        <v>128.69999999999899</v>
      </c>
      <c r="AB451" s="10">
        <v>915</v>
      </c>
      <c r="AC451" s="10">
        <v>0.14169999999999899</v>
      </c>
      <c r="AD451" s="10">
        <v>0.79169999999999896</v>
      </c>
      <c r="AE451" s="10">
        <v>1.1699999999999899</v>
      </c>
      <c r="AF451" s="10">
        <v>0.2356</v>
      </c>
      <c r="AG451" s="10">
        <v>0.40889999999999899</v>
      </c>
      <c r="AH451">
        <v>0.1409</v>
      </c>
    </row>
    <row r="452" spans="3:34">
      <c r="C452" s="11" t="s">
        <v>703</v>
      </c>
      <c r="D452" s="10" t="s">
        <v>0</v>
      </c>
      <c r="E452" s="10">
        <v>13.71</v>
      </c>
      <c r="F452" s="10">
        <v>25.09</v>
      </c>
      <c r="G452" s="10">
        <v>143</v>
      </c>
      <c r="H452" s="10">
        <v>1347</v>
      </c>
      <c r="I452" s="10">
        <v>0.1099</v>
      </c>
      <c r="J452" s="10">
        <v>0.22359999999999899</v>
      </c>
      <c r="K452" s="10">
        <v>0.31740000000000002</v>
      </c>
      <c r="L452" s="10">
        <v>0.1474</v>
      </c>
      <c r="M452" s="10">
        <v>0.21490000000000001</v>
      </c>
      <c r="N452" s="10">
        <v>6.8790000000000004E-2</v>
      </c>
      <c r="O452" s="10">
        <v>0.96220000000000006</v>
      </c>
      <c r="P452" s="10">
        <v>1.026</v>
      </c>
      <c r="Q452" s="10">
        <v>8.7579999999999902</v>
      </c>
      <c r="R452" s="10">
        <v>118.8</v>
      </c>
      <c r="S452" s="10">
        <v>6.3990000000000002E-3</v>
      </c>
      <c r="T452" s="10">
        <v>4.3099999999999902E-2</v>
      </c>
      <c r="U452" s="10">
        <v>7.8450000000000006E-2</v>
      </c>
      <c r="V452" s="10">
        <v>2.6239999999999899E-2</v>
      </c>
      <c r="W452" s="10">
        <v>2.0570000000000001E-2</v>
      </c>
      <c r="X452" s="10">
        <v>6.2129999999999902E-3</v>
      </c>
      <c r="Y452" s="10">
        <v>24.2899999999999</v>
      </c>
      <c r="Z452" s="10">
        <v>29.41</v>
      </c>
      <c r="AA452" s="10">
        <v>179.099999999999</v>
      </c>
      <c r="AB452" s="10">
        <v>1819</v>
      </c>
      <c r="AC452" s="10">
        <v>0.14069999999999899</v>
      </c>
      <c r="AD452" s="10">
        <v>0.41860000000000003</v>
      </c>
      <c r="AE452" s="10">
        <v>0.65990000000000004</v>
      </c>
      <c r="AF452" s="10">
        <v>0.25419999999999898</v>
      </c>
      <c r="AG452" s="10">
        <v>0.29289999999999899</v>
      </c>
      <c r="AH452">
        <v>9.8729999999999901E-2</v>
      </c>
    </row>
    <row r="453" spans="3:34">
      <c r="C453" s="11" t="s">
        <v>704</v>
      </c>
      <c r="D453" s="10" t="s">
        <v>0</v>
      </c>
      <c r="E453" s="10">
        <v>13.71</v>
      </c>
      <c r="F453" s="10">
        <v>22.39</v>
      </c>
      <c r="G453" s="10">
        <v>142</v>
      </c>
      <c r="H453" s="10">
        <v>1479</v>
      </c>
      <c r="I453" s="10">
        <v>0.111</v>
      </c>
      <c r="J453" s="10">
        <v>0.1159</v>
      </c>
      <c r="K453" s="10">
        <v>0.24390000000000001</v>
      </c>
      <c r="L453" s="10">
        <v>0.1389</v>
      </c>
      <c r="M453" s="10">
        <v>0.1726</v>
      </c>
      <c r="N453" s="10">
        <v>5.6230000000000002E-2</v>
      </c>
      <c r="O453" s="10">
        <v>1.1759999999999899</v>
      </c>
      <c r="P453" s="10">
        <v>1.256</v>
      </c>
      <c r="Q453" s="10">
        <v>7.673</v>
      </c>
      <c r="R453" s="10">
        <v>158.69999999999899</v>
      </c>
      <c r="S453" s="10">
        <v>1.03E-2</v>
      </c>
      <c r="T453" s="10">
        <v>2.8910000000000002E-2</v>
      </c>
      <c r="U453" s="10">
        <v>5.1979999999999901E-2</v>
      </c>
      <c r="V453" s="10">
        <v>2.4539999999999899E-2</v>
      </c>
      <c r="W453" s="10">
        <v>1.1140000000000001E-2</v>
      </c>
      <c r="X453" s="10">
        <v>4.2389999999999902E-3</v>
      </c>
      <c r="Y453" s="10">
        <v>25.4499999999999</v>
      </c>
      <c r="Z453" s="10">
        <v>26.399999999999899</v>
      </c>
      <c r="AA453" s="10">
        <v>166.099999999999</v>
      </c>
      <c r="AB453" s="10">
        <v>2027</v>
      </c>
      <c r="AC453" s="10">
        <v>0.14099999999999899</v>
      </c>
      <c r="AD453" s="10">
        <v>0.21129999999999899</v>
      </c>
      <c r="AE453" s="10">
        <v>0.41070000000000001</v>
      </c>
      <c r="AF453" s="10">
        <v>0.22159999999999899</v>
      </c>
      <c r="AG453" s="10">
        <v>0.20599999999999899</v>
      </c>
      <c r="AH453">
        <v>7.1150000000000005E-2</v>
      </c>
    </row>
    <row r="454" spans="3:34">
      <c r="C454" s="11" t="s">
        <v>707</v>
      </c>
      <c r="D454" s="10" t="s">
        <v>0</v>
      </c>
      <c r="E454" s="10">
        <v>13.71</v>
      </c>
      <c r="F454" s="10">
        <v>29.329999999999899</v>
      </c>
      <c r="G454" s="10">
        <v>140.099999999999</v>
      </c>
      <c r="H454" s="10">
        <v>1265</v>
      </c>
      <c r="I454" s="10">
        <v>0.1178</v>
      </c>
      <c r="J454" s="10">
        <v>0.27700000000000002</v>
      </c>
      <c r="K454" s="10">
        <v>0.35139999999999899</v>
      </c>
      <c r="L454" s="10">
        <v>0.152</v>
      </c>
      <c r="M454" s="10">
        <v>0.2397</v>
      </c>
      <c r="N454" s="10">
        <v>7.016E-2</v>
      </c>
      <c r="O454" s="10">
        <v>0.72599999999999898</v>
      </c>
      <c r="P454" s="10">
        <v>1.595</v>
      </c>
      <c r="Q454" s="10">
        <v>5.7720000000000002</v>
      </c>
      <c r="R454" s="10">
        <v>86.219999999999899</v>
      </c>
      <c r="S454" s="10">
        <v>6.522E-3</v>
      </c>
      <c r="T454" s="10">
        <v>6.1580000000000003E-2</v>
      </c>
      <c r="U454" s="10">
        <v>7.11699999999999E-2</v>
      </c>
      <c r="V454" s="10">
        <v>1.6639999999999901E-2</v>
      </c>
      <c r="W454" s="10">
        <v>2.324E-2</v>
      </c>
      <c r="X454" s="10">
        <v>6.1850000000000004E-3</v>
      </c>
      <c r="Y454" s="10">
        <v>25.739999999999899</v>
      </c>
      <c r="Z454" s="10">
        <v>39.42</v>
      </c>
      <c r="AA454" s="10">
        <v>184.599999999999</v>
      </c>
      <c r="AB454" s="10">
        <v>1821</v>
      </c>
      <c r="AC454" s="10">
        <v>0.16500000000000001</v>
      </c>
      <c r="AD454" s="10">
        <v>0.86809999999999898</v>
      </c>
      <c r="AE454" s="10">
        <v>0.93869999999999898</v>
      </c>
      <c r="AF454" s="10">
        <v>0.26500000000000001</v>
      </c>
      <c r="AG454" s="10">
        <v>0.40870000000000001</v>
      </c>
      <c r="AH454">
        <v>0.124</v>
      </c>
    </row>
    <row r="455" spans="3:34">
      <c r="C455" s="11" t="s">
        <v>708</v>
      </c>
      <c r="D455" s="10" t="s">
        <v>1</v>
      </c>
      <c r="E455" s="10">
        <v>13.71</v>
      </c>
      <c r="F455" s="10">
        <v>24.5399999999999</v>
      </c>
      <c r="G455" s="10">
        <v>47.92</v>
      </c>
      <c r="H455" s="10">
        <v>181</v>
      </c>
      <c r="I455" s="10">
        <v>5.2630000000000003E-2</v>
      </c>
      <c r="J455" s="10">
        <v>4.3619999999999902E-2</v>
      </c>
      <c r="K455" s="10">
        <v>0</v>
      </c>
      <c r="L455" s="10">
        <v>0</v>
      </c>
      <c r="M455" s="10">
        <v>0.15870000000000001</v>
      </c>
      <c r="N455" s="10">
        <v>5.8840000000000003E-2</v>
      </c>
      <c r="O455" s="10">
        <v>0.38569999999999899</v>
      </c>
      <c r="P455" s="10">
        <v>1.4279999999999899</v>
      </c>
      <c r="Q455" s="10">
        <v>2.548</v>
      </c>
      <c r="R455" s="10">
        <v>19.149999999999899</v>
      </c>
      <c r="S455" s="10">
        <v>7.1890000000000001E-3</v>
      </c>
      <c r="T455" s="10">
        <v>4.6600000000000001E-3</v>
      </c>
      <c r="U455" s="10">
        <v>0</v>
      </c>
      <c r="V455" s="10">
        <v>0</v>
      </c>
      <c r="W455" s="10">
        <v>2.6759999999999898E-2</v>
      </c>
      <c r="X455" s="10">
        <v>2.7829999999999899E-3</v>
      </c>
      <c r="Y455" s="10">
        <v>9.4559999999999906</v>
      </c>
      <c r="Z455" s="10">
        <v>30.37</v>
      </c>
      <c r="AA455" s="10">
        <v>59.159999999999897</v>
      </c>
      <c r="AB455" s="10">
        <v>268.60000000000002</v>
      </c>
      <c r="AC455" s="10">
        <v>8.9959999999999901E-2</v>
      </c>
      <c r="AD455" s="10">
        <v>6.44399999999999E-2</v>
      </c>
      <c r="AE455" s="10">
        <v>0</v>
      </c>
      <c r="AF455" s="10">
        <v>0</v>
      </c>
      <c r="AG455" s="10">
        <v>0.28710000000000002</v>
      </c>
      <c r="AH455">
        <v>7.0389999999999897E-2</v>
      </c>
    </row>
    <row r="456" spans="3:34">
      <c r="C456" s="11" t="s">
        <v>705</v>
      </c>
      <c r="D456" s="10" t="s">
        <v>0</v>
      </c>
      <c r="E456" s="10">
        <v>13.71</v>
      </c>
      <c r="F456" s="10">
        <v>28.25</v>
      </c>
      <c r="G456" s="10">
        <v>131.19999999999899</v>
      </c>
      <c r="H456" s="10">
        <v>1261</v>
      </c>
      <c r="I456" s="10">
        <v>9.7799999999999901E-2</v>
      </c>
      <c r="J456" s="10">
        <v>0.10340000000000001</v>
      </c>
      <c r="K456" s="10">
        <v>0.14399999999999899</v>
      </c>
      <c r="L456" s="10">
        <v>9.79099999999999E-2</v>
      </c>
      <c r="M456" s="10">
        <v>0.175199999999999</v>
      </c>
      <c r="N456" s="10">
        <v>5.53299999999999E-2</v>
      </c>
      <c r="O456" s="10">
        <v>0.76549999999999896</v>
      </c>
      <c r="P456" s="10">
        <v>2.4630000000000001</v>
      </c>
      <c r="Q456" s="10">
        <v>5.2030000000000003</v>
      </c>
      <c r="R456" s="10">
        <v>99.04</v>
      </c>
      <c r="S456" s="10">
        <v>5.7689999999999903E-3</v>
      </c>
      <c r="T456" s="10">
        <v>2.4230000000000002E-2</v>
      </c>
      <c r="U456" s="10">
        <v>3.95E-2</v>
      </c>
      <c r="V456" s="10">
        <v>1.678E-2</v>
      </c>
      <c r="W456" s="10">
        <v>1.898E-2</v>
      </c>
      <c r="X456" s="10">
        <v>2.4979999999999898E-3</v>
      </c>
      <c r="Y456" s="10">
        <v>23.69</v>
      </c>
      <c r="Z456" s="10">
        <v>38.25</v>
      </c>
      <c r="AA456" s="10">
        <v>155</v>
      </c>
      <c r="AB456" s="10">
        <v>1731</v>
      </c>
      <c r="AC456" s="10">
        <v>0.1166</v>
      </c>
      <c r="AD456" s="10">
        <v>0.19220000000000001</v>
      </c>
      <c r="AE456" s="10">
        <v>0.32150000000000001</v>
      </c>
      <c r="AF456" s="10">
        <v>0.1628</v>
      </c>
      <c r="AG456" s="10">
        <v>0.25719999999999898</v>
      </c>
      <c r="AH456">
        <v>6.6369999999999901E-2</v>
      </c>
    </row>
    <row r="457" spans="3:34">
      <c r="C457" s="11" t="s">
        <v>678</v>
      </c>
      <c r="D457" s="10" t="s">
        <v>1</v>
      </c>
      <c r="E457" s="10">
        <v>13.71</v>
      </c>
      <c r="F457" s="10">
        <v>25.489999999999899</v>
      </c>
      <c r="G457" s="10">
        <v>47.979999999999897</v>
      </c>
      <c r="H457" s="10">
        <v>178.8</v>
      </c>
      <c r="I457" s="10">
        <v>8.0979999999999899E-2</v>
      </c>
      <c r="J457" s="10">
        <v>4.87799999999999E-2</v>
      </c>
      <c r="K457" s="10">
        <v>0</v>
      </c>
      <c r="L457" s="10">
        <v>0</v>
      </c>
      <c r="M457" s="10">
        <v>0.187</v>
      </c>
      <c r="N457" s="10">
        <v>7.2849999999999901E-2</v>
      </c>
      <c r="O457" s="10">
        <v>0.37769999999999898</v>
      </c>
      <c r="P457" s="10">
        <v>1.462</v>
      </c>
      <c r="Q457" s="10">
        <v>2.492</v>
      </c>
      <c r="R457" s="10">
        <v>19.14</v>
      </c>
      <c r="S457" s="10">
        <v>1.26599999999999E-2</v>
      </c>
      <c r="T457" s="10">
        <v>9.6919999999999906E-3</v>
      </c>
      <c r="U457" s="10">
        <v>0</v>
      </c>
      <c r="V457" s="10">
        <v>0</v>
      </c>
      <c r="W457" s="10">
        <v>2.8819999999999901E-2</v>
      </c>
      <c r="X457" s="10">
        <v>6.8719999999999901E-3</v>
      </c>
      <c r="Y457" s="10">
        <v>9.077</v>
      </c>
      <c r="Z457" s="10">
        <v>30.92</v>
      </c>
      <c r="AA457" s="10">
        <v>57.17</v>
      </c>
      <c r="AB457" s="10">
        <v>248</v>
      </c>
      <c r="AC457" s="10">
        <v>0.12559999999999899</v>
      </c>
      <c r="AD457" s="10">
        <v>8.3400000000000002E-2</v>
      </c>
      <c r="AE457" s="10">
        <v>0</v>
      </c>
      <c r="AF457" s="10">
        <v>0</v>
      </c>
      <c r="AG457" s="10">
        <v>0.30580000000000002</v>
      </c>
      <c r="AH457">
        <v>9.9379999999999899E-2</v>
      </c>
    </row>
    <row r="458" spans="3:34">
      <c r="C458" s="11" t="s">
        <v>544</v>
      </c>
      <c r="D458" s="10" t="s">
        <v>1</v>
      </c>
      <c r="E458" s="10">
        <v>13.71</v>
      </c>
      <c r="F458" s="10">
        <v>14.9499999999999</v>
      </c>
      <c r="G458" s="10">
        <v>78.290000000000006</v>
      </c>
      <c r="H458" s="10">
        <v>469.1</v>
      </c>
      <c r="I458" s="10">
        <v>8.6819999999999897E-2</v>
      </c>
      <c r="J458" s="10">
        <v>4.5710000000000001E-2</v>
      </c>
      <c r="K458" s="10">
        <v>2.1090000000000001E-2</v>
      </c>
      <c r="L458" s="10">
        <v>2.0539999999999899E-2</v>
      </c>
      <c r="M458" s="10">
        <v>0.15709999999999899</v>
      </c>
      <c r="N458" s="10">
        <v>5.7079999999999902E-2</v>
      </c>
      <c r="O458" s="10">
        <v>0.38329999999999897</v>
      </c>
      <c r="P458" s="10">
        <v>0.90780000000000005</v>
      </c>
      <c r="Q458" s="10">
        <v>2.6019999999999901</v>
      </c>
      <c r="R458" s="10">
        <v>30.149999999999899</v>
      </c>
      <c r="S458" s="10">
        <v>7.7019999999999901E-3</v>
      </c>
      <c r="T458" s="10">
        <v>8.4910000000000003E-3</v>
      </c>
      <c r="U458" s="10">
        <v>1.307E-2</v>
      </c>
      <c r="V458" s="10">
        <v>1.03E-2</v>
      </c>
      <c r="W458" s="10">
        <v>2.9700000000000001E-2</v>
      </c>
      <c r="X458" s="10">
        <v>1.4319999999999899E-3</v>
      </c>
      <c r="Y458" s="10">
        <v>13.18</v>
      </c>
      <c r="Z458" s="10">
        <v>16.850000000000001</v>
      </c>
      <c r="AA458" s="10">
        <v>84.1099999999999</v>
      </c>
      <c r="AB458" s="10">
        <v>533.1</v>
      </c>
      <c r="AC458" s="10">
        <v>0.1048</v>
      </c>
      <c r="AD458" s="10">
        <v>6.744E-2</v>
      </c>
      <c r="AE458" s="10">
        <v>4.92099999999999E-2</v>
      </c>
      <c r="AF458" s="10">
        <v>4.793E-2</v>
      </c>
      <c r="AG458" s="10">
        <v>0.2298</v>
      </c>
      <c r="AH458">
        <v>5.9740000000000001E-2</v>
      </c>
    </row>
    <row r="459" spans="3:34">
      <c r="C459" s="11" t="s">
        <v>420</v>
      </c>
      <c r="D459" s="10" t="s">
        <v>0</v>
      </c>
      <c r="E459" s="10">
        <v>13.71</v>
      </c>
      <c r="F459" s="10">
        <v>26.6</v>
      </c>
      <c r="G459" s="10">
        <v>126.2</v>
      </c>
      <c r="H459" s="10">
        <v>1138</v>
      </c>
      <c r="I459" s="10">
        <v>0.10199999999999899</v>
      </c>
      <c r="J459" s="10">
        <v>0.14530000000000001</v>
      </c>
      <c r="K459" s="10">
        <v>0.19209999999999899</v>
      </c>
      <c r="L459" s="10">
        <v>9.6640000000000004E-2</v>
      </c>
      <c r="M459" s="10">
        <v>0.19020000000000001</v>
      </c>
      <c r="N459" s="10">
        <v>6.2199999999999901E-2</v>
      </c>
      <c r="O459" s="10">
        <v>0.6361</v>
      </c>
      <c r="P459" s="10">
        <v>1.0009999999999899</v>
      </c>
      <c r="Q459" s="10">
        <v>4.32099999999999</v>
      </c>
      <c r="R459" s="10">
        <v>69.650000000000006</v>
      </c>
      <c r="S459" s="10">
        <v>7.3920000000000001E-3</v>
      </c>
      <c r="T459" s="10">
        <v>2.4490000000000001E-2</v>
      </c>
      <c r="U459" s="10">
        <v>3.9879999999999902E-2</v>
      </c>
      <c r="V459" s="10">
        <v>1.2930000000000001E-2</v>
      </c>
      <c r="W459" s="10">
        <v>1.435E-2</v>
      </c>
      <c r="X459" s="10">
        <v>3.4459999999999899E-3</v>
      </c>
      <c r="Y459" s="10">
        <v>23.719999999999899</v>
      </c>
      <c r="Z459" s="10">
        <v>35.899999999999899</v>
      </c>
      <c r="AA459" s="10">
        <v>159.80000000000001</v>
      </c>
      <c r="AB459" s="10">
        <v>1724</v>
      </c>
      <c r="AC459" s="10">
        <v>0.1782</v>
      </c>
      <c r="AD459" s="10">
        <v>0.3841</v>
      </c>
      <c r="AE459" s="10">
        <v>0.57540000000000002</v>
      </c>
      <c r="AF459" s="10">
        <v>0.18720000000000001</v>
      </c>
      <c r="AG459" s="10">
        <v>0.32579999999999898</v>
      </c>
      <c r="AH459">
        <v>9.7199999999999898E-2</v>
      </c>
    </row>
    <row r="460" spans="3:34">
      <c r="C460" s="11" t="s">
        <v>517</v>
      </c>
      <c r="D460" s="10" t="s">
        <v>1</v>
      </c>
      <c r="E460" s="10">
        <v>13.71</v>
      </c>
      <c r="F460" s="10">
        <v>28.21</v>
      </c>
      <c r="G460" s="10">
        <v>85.89</v>
      </c>
      <c r="H460" s="10">
        <v>562.1</v>
      </c>
      <c r="I460" s="10">
        <v>7.5170000000000001E-2</v>
      </c>
      <c r="J460" s="10">
        <v>4.7260000000000003E-2</v>
      </c>
      <c r="K460" s="10">
        <v>1.2710000000000001E-2</v>
      </c>
      <c r="L460" s="10">
        <v>1.11699999999999E-2</v>
      </c>
      <c r="M460" s="10">
        <v>0.1421</v>
      </c>
      <c r="N460" s="10">
        <v>5.7630000000000001E-2</v>
      </c>
      <c r="O460" s="10">
        <v>0.168899999999999</v>
      </c>
      <c r="P460" s="10">
        <v>1.1499999999999899</v>
      </c>
      <c r="Q460" s="10">
        <v>1.3999999999999899</v>
      </c>
      <c r="R460" s="10">
        <v>14.91</v>
      </c>
      <c r="S460" s="10">
        <v>4.9420000000000002E-3</v>
      </c>
      <c r="T460" s="10">
        <v>1.2030000000000001E-2</v>
      </c>
      <c r="U460" s="10">
        <v>7.5079999999999904E-3</v>
      </c>
      <c r="V460" s="10">
        <v>5.17899999999999E-3</v>
      </c>
      <c r="W460" s="10">
        <v>1.4420000000000001E-2</v>
      </c>
      <c r="X460" s="10">
        <v>1.684E-3</v>
      </c>
      <c r="Y460" s="10">
        <v>14.69</v>
      </c>
      <c r="Z460" s="10">
        <v>35.630000000000003</v>
      </c>
      <c r="AA460" s="10">
        <v>97.1099999999999</v>
      </c>
      <c r="AB460" s="10">
        <v>680.6</v>
      </c>
      <c r="AC460" s="10">
        <v>0.1108</v>
      </c>
      <c r="AD460" s="10">
        <v>0.1457</v>
      </c>
      <c r="AE460" s="10">
        <v>7.9339999999999897E-2</v>
      </c>
      <c r="AF460" s="10">
        <v>5.781E-2</v>
      </c>
      <c r="AG460" s="10">
        <v>0.26939999999999897</v>
      </c>
      <c r="AH460">
        <v>7.0610000000000006E-2</v>
      </c>
    </row>
    <row r="461" spans="3:34">
      <c r="C461" s="11" t="s">
        <v>372</v>
      </c>
      <c r="D461" s="10" t="s">
        <v>1</v>
      </c>
      <c r="E461" s="10">
        <v>13.71</v>
      </c>
      <c r="F461" s="10">
        <v>33.81</v>
      </c>
      <c r="G461" s="10">
        <v>70.790000000000006</v>
      </c>
      <c r="H461" s="10">
        <v>386.8</v>
      </c>
      <c r="I461" s="10">
        <v>7.7799999999999897E-2</v>
      </c>
      <c r="J461" s="10">
        <v>3.5740000000000001E-2</v>
      </c>
      <c r="K461" s="10">
        <v>4.9670000000000001E-3</v>
      </c>
      <c r="L461" s="10">
        <v>6.4339999999999901E-3</v>
      </c>
      <c r="M461" s="10">
        <v>0.1845</v>
      </c>
      <c r="N461" s="10">
        <v>5.8279999999999901E-2</v>
      </c>
      <c r="O461" s="10">
        <v>0.22389999999999899</v>
      </c>
      <c r="P461" s="10">
        <v>1.647</v>
      </c>
      <c r="Q461" s="10">
        <v>1.4890000000000001</v>
      </c>
      <c r="R461" s="10">
        <v>15.46</v>
      </c>
      <c r="S461" s="10">
        <v>4.359E-3</v>
      </c>
      <c r="T461" s="10">
        <v>6.8129999999999901E-3</v>
      </c>
      <c r="U461" s="10">
        <v>3.2230000000000002E-3</v>
      </c>
      <c r="V461" s="10">
        <v>3.4190000000000002E-3</v>
      </c>
      <c r="W461" s="10">
        <v>1.916E-2</v>
      </c>
      <c r="X461" s="10">
        <v>2.5339999999999898E-3</v>
      </c>
      <c r="Y461" s="10">
        <v>12.3599999999999</v>
      </c>
      <c r="Z461" s="10">
        <v>41.78</v>
      </c>
      <c r="AA461" s="10">
        <v>78.439999999999898</v>
      </c>
      <c r="AB461" s="10">
        <v>470.89999999999901</v>
      </c>
      <c r="AC461" s="10">
        <v>9.9940000000000001E-2</v>
      </c>
      <c r="AD461" s="10">
        <v>6.8849999999999897E-2</v>
      </c>
      <c r="AE461" s="10">
        <v>2.3179999999999899E-2</v>
      </c>
      <c r="AF461" s="10">
        <v>3.0020000000000002E-2</v>
      </c>
      <c r="AG461" s="10">
        <v>0.29110000000000003</v>
      </c>
      <c r="AH461">
        <v>7.3069999999999899E-2</v>
      </c>
    </row>
    <row r="462" spans="3:34">
      <c r="C462" s="11" t="s">
        <v>386</v>
      </c>
      <c r="D462" s="10" t="s">
        <v>1</v>
      </c>
      <c r="E462" s="10">
        <v>13.71</v>
      </c>
      <c r="F462" s="10">
        <v>17.43</v>
      </c>
      <c r="G462" s="10">
        <v>84.129999999999896</v>
      </c>
      <c r="H462" s="10">
        <v>541.6</v>
      </c>
      <c r="I462" s="10">
        <v>7.2150000000000006E-2</v>
      </c>
      <c r="J462" s="10">
        <v>4.5240000000000002E-2</v>
      </c>
      <c r="K462" s="10">
        <v>4.3360000000000003E-2</v>
      </c>
      <c r="L462" s="10">
        <v>1.1050000000000001E-2</v>
      </c>
      <c r="M462" s="10">
        <v>0.1487</v>
      </c>
      <c r="N462" s="10">
        <v>5.63499999999999E-2</v>
      </c>
      <c r="O462" s="10">
        <v>0.16300000000000001</v>
      </c>
      <c r="P462" s="10">
        <v>1.601</v>
      </c>
      <c r="Q462" s="10">
        <v>0.873</v>
      </c>
      <c r="R462" s="10">
        <v>13.56</v>
      </c>
      <c r="S462" s="10">
        <v>6.2610000000000001E-3</v>
      </c>
      <c r="T462" s="10">
        <v>1.5689999999999898E-2</v>
      </c>
      <c r="U462" s="10">
        <v>3.0790000000000001E-2</v>
      </c>
      <c r="V462" s="10">
        <v>5.3829999999999902E-3</v>
      </c>
      <c r="W462" s="10">
        <v>1.9619999999999901E-2</v>
      </c>
      <c r="X462" s="10">
        <v>2.2499999999999899E-3</v>
      </c>
      <c r="Y462" s="10">
        <v>13.94</v>
      </c>
      <c r="Z462" s="10">
        <v>27.82</v>
      </c>
      <c r="AA462" s="10">
        <v>88.28</v>
      </c>
      <c r="AB462" s="10">
        <v>602</v>
      </c>
      <c r="AC462" s="10">
        <v>0.1101</v>
      </c>
      <c r="AD462" s="10">
        <v>0.15079999999999899</v>
      </c>
      <c r="AE462" s="10">
        <v>0.2298</v>
      </c>
      <c r="AF462" s="10">
        <v>4.9700000000000001E-2</v>
      </c>
      <c r="AG462" s="10">
        <v>0.2767</v>
      </c>
      <c r="AH462">
        <v>7.1980000000000002E-2</v>
      </c>
    </row>
    <row r="463" spans="3:34">
      <c r="C463" s="11" t="s">
        <v>648</v>
      </c>
      <c r="D463" s="10" t="s">
        <v>1</v>
      </c>
      <c r="E463" s="10">
        <v>13.71</v>
      </c>
      <c r="F463" s="10">
        <v>15.6999999999999</v>
      </c>
      <c r="G463" s="10">
        <v>104.7</v>
      </c>
      <c r="H463" s="10">
        <v>819.79999999999905</v>
      </c>
      <c r="I463" s="10">
        <v>9.4270000000000007E-2</v>
      </c>
      <c r="J463" s="10">
        <v>6.7119999999999902E-2</v>
      </c>
      <c r="K463" s="10">
        <v>5.5259999999999899E-2</v>
      </c>
      <c r="L463" s="10">
        <v>4.56299999999999E-2</v>
      </c>
      <c r="M463" s="10">
        <v>0.1711</v>
      </c>
      <c r="N463" s="10">
        <v>5.6570000000000002E-2</v>
      </c>
      <c r="O463" s="10">
        <v>0.206699999999999</v>
      </c>
      <c r="P463" s="10">
        <v>0.47060000000000002</v>
      </c>
      <c r="Q463" s="10">
        <v>1.1459999999999899</v>
      </c>
      <c r="R463" s="10">
        <v>20.67</v>
      </c>
      <c r="S463" s="10">
        <v>7.3940000000000004E-3</v>
      </c>
      <c r="T463" s="10">
        <v>1.2030000000000001E-2</v>
      </c>
      <c r="U463" s="10">
        <v>2.47E-2</v>
      </c>
      <c r="V463" s="10">
        <v>1.431E-2</v>
      </c>
      <c r="W463" s="10">
        <v>1.3440000000000001E-2</v>
      </c>
      <c r="X463" s="10">
        <v>2.5690000000000001E-3</v>
      </c>
      <c r="Y463" s="10">
        <v>17.32</v>
      </c>
      <c r="Z463" s="10">
        <v>17.760000000000002</v>
      </c>
      <c r="AA463" s="10">
        <v>109.8</v>
      </c>
      <c r="AB463" s="10">
        <v>928.2</v>
      </c>
      <c r="AC463" s="10">
        <v>0.13539999999999899</v>
      </c>
      <c r="AD463" s="10">
        <v>0.1361</v>
      </c>
      <c r="AE463" s="10">
        <v>0.19470000000000001</v>
      </c>
      <c r="AF463" s="10">
        <v>0.13569999999999899</v>
      </c>
      <c r="AG463" s="10">
        <v>0.23</v>
      </c>
      <c r="AH463">
        <v>7.2300000000000003E-2</v>
      </c>
    </row>
    <row r="464" spans="3:34">
      <c r="C464" s="11" t="s">
        <v>301</v>
      </c>
      <c r="D464" s="10" t="s">
        <v>0</v>
      </c>
      <c r="E464" s="10">
        <v>13.71</v>
      </c>
      <c r="F464" s="10">
        <v>15.94</v>
      </c>
      <c r="G464" s="10">
        <v>126.3</v>
      </c>
      <c r="H464" s="10">
        <v>1157</v>
      </c>
      <c r="I464" s="10">
        <v>8.6940000000000003E-2</v>
      </c>
      <c r="J464" s="10">
        <v>0.118499999999999</v>
      </c>
      <c r="K464" s="10">
        <v>0.1193</v>
      </c>
      <c r="L464" s="10">
        <v>9.6670000000000006E-2</v>
      </c>
      <c r="M464" s="10">
        <v>0.1741</v>
      </c>
      <c r="N464" s="10">
        <v>5.176E-2</v>
      </c>
      <c r="O464" s="10">
        <v>1</v>
      </c>
      <c r="P464" s="10">
        <v>0.63360000000000005</v>
      </c>
      <c r="Q464" s="10">
        <v>6.9710000000000001</v>
      </c>
      <c r="R464" s="10">
        <v>119.3</v>
      </c>
      <c r="S464" s="10">
        <v>9.4059999999999908E-3</v>
      </c>
      <c r="T464" s="10">
        <v>3.0550000000000001E-2</v>
      </c>
      <c r="U464" s="10">
        <v>4.3439999999999902E-2</v>
      </c>
      <c r="V464" s="10">
        <v>2.794E-2</v>
      </c>
      <c r="W464" s="10">
        <v>3.1559999999999901E-2</v>
      </c>
      <c r="X464" s="10">
        <v>3.362E-3</v>
      </c>
      <c r="Y464" s="10">
        <v>22.03</v>
      </c>
      <c r="Z464" s="10">
        <v>17.809999999999899</v>
      </c>
      <c r="AA464" s="10">
        <v>146.599999999999</v>
      </c>
      <c r="AB464" s="10">
        <v>1495</v>
      </c>
      <c r="AC464" s="10">
        <v>0.1124</v>
      </c>
      <c r="AD464" s="10">
        <v>0.2016</v>
      </c>
      <c r="AE464" s="10">
        <v>0.22639999999999899</v>
      </c>
      <c r="AF464" s="10">
        <v>0.1777</v>
      </c>
      <c r="AG464" s="10">
        <v>0.24429999999999899</v>
      </c>
      <c r="AH464">
        <v>6.2509999999999899E-2</v>
      </c>
    </row>
    <row r="465" spans="3:34">
      <c r="C465" s="11" t="s">
        <v>190</v>
      </c>
      <c r="D465" s="10" t="s">
        <v>1</v>
      </c>
      <c r="E465" s="10">
        <v>13.71</v>
      </c>
      <c r="F465" s="10">
        <v>21.6</v>
      </c>
      <c r="G465" s="10">
        <v>74.719999999999899</v>
      </c>
      <c r="H465" s="10">
        <v>427.89999999999901</v>
      </c>
      <c r="I465" s="10">
        <v>8.6370000000000002E-2</v>
      </c>
      <c r="J465" s="10">
        <v>4.9660000000000003E-2</v>
      </c>
      <c r="K465" s="10">
        <v>1.6570000000000001E-2</v>
      </c>
      <c r="L465" s="10">
        <v>1.115E-2</v>
      </c>
      <c r="M465" s="10">
        <v>0.14949999999999899</v>
      </c>
      <c r="N465" s="10">
        <v>5.8880000000000002E-2</v>
      </c>
      <c r="O465" s="10">
        <v>0.40620000000000001</v>
      </c>
      <c r="P465" s="10">
        <v>1.21</v>
      </c>
      <c r="Q465" s="10">
        <v>2.63499999999999</v>
      </c>
      <c r="R465" s="10">
        <v>28.469999999999899</v>
      </c>
      <c r="S465" s="10">
        <v>5.8570000000000002E-3</v>
      </c>
      <c r="T465" s="10">
        <v>9.7579999999999906E-3</v>
      </c>
      <c r="U465" s="10">
        <v>1.1679999999999901E-2</v>
      </c>
      <c r="V465" s="10">
        <v>7.4450000000000002E-3</v>
      </c>
      <c r="W465" s="10">
        <v>2.4060000000000002E-2</v>
      </c>
      <c r="X465" s="10">
        <v>1.769E-3</v>
      </c>
      <c r="Y465" s="10">
        <v>12.98</v>
      </c>
      <c r="Z465" s="10">
        <v>25.719999999999899</v>
      </c>
      <c r="AA465" s="10">
        <v>82.98</v>
      </c>
      <c r="AB465" s="10">
        <v>516.5</v>
      </c>
      <c r="AC465" s="10">
        <v>0.1085</v>
      </c>
      <c r="AD465" s="10">
        <v>8.6150000000000004E-2</v>
      </c>
      <c r="AE465" s="10">
        <v>5.5230000000000001E-2</v>
      </c>
      <c r="AF465" s="10">
        <v>3.7150000000000002E-2</v>
      </c>
      <c r="AG465" s="10">
        <v>0.24329999999999899</v>
      </c>
      <c r="AH465">
        <v>6.5629999999999897E-2</v>
      </c>
    </row>
    <row r="466" spans="3:34">
      <c r="C466" s="11" t="s">
        <v>693</v>
      </c>
      <c r="D466" s="10" t="s">
        <v>1</v>
      </c>
      <c r="E466" s="10">
        <v>13.71</v>
      </c>
      <c r="F466" s="10">
        <v>21.94</v>
      </c>
      <c r="G466" s="10">
        <v>59.009999999999899</v>
      </c>
      <c r="H466" s="10">
        <v>264</v>
      </c>
      <c r="I466" s="10">
        <v>9.2399999999999899E-2</v>
      </c>
      <c r="J466" s="10">
        <v>5.6050000000000003E-2</v>
      </c>
      <c r="K466" s="10">
        <v>3.9960000000000002E-2</v>
      </c>
      <c r="L466" s="10">
        <v>1.282E-2</v>
      </c>
      <c r="M466" s="10">
        <v>0.16919999999999899</v>
      </c>
      <c r="N466" s="10">
        <v>6.5759999999999902E-2</v>
      </c>
      <c r="O466" s="10">
        <v>0.30130000000000001</v>
      </c>
      <c r="P466" s="10">
        <v>1.879</v>
      </c>
      <c r="Q466" s="10">
        <v>2.121</v>
      </c>
      <c r="R466" s="10">
        <v>17.8599999999999</v>
      </c>
      <c r="S466" s="10">
        <v>1.094E-2</v>
      </c>
      <c r="T466" s="10">
        <v>1.8339999999999902E-2</v>
      </c>
      <c r="U466" s="10">
        <v>3.9960000000000002E-2</v>
      </c>
      <c r="V466" s="10">
        <v>1.282E-2</v>
      </c>
      <c r="W466" s="10">
        <v>3.7589999999999901E-2</v>
      </c>
      <c r="X466" s="10">
        <v>4.6230000000000004E-3</v>
      </c>
      <c r="Y466" s="10">
        <v>9.8450000000000006</v>
      </c>
      <c r="Z466" s="10">
        <v>25.05</v>
      </c>
      <c r="AA466" s="10">
        <v>62.8599999999999</v>
      </c>
      <c r="AB466" s="10">
        <v>295.8</v>
      </c>
      <c r="AC466" s="10">
        <v>0.1103</v>
      </c>
      <c r="AD466" s="10">
        <v>8.2979999999999901E-2</v>
      </c>
      <c r="AE466" s="10">
        <v>7.9930000000000001E-2</v>
      </c>
      <c r="AF466" s="10">
        <v>2.564E-2</v>
      </c>
      <c r="AG466" s="10">
        <v>0.243499999999999</v>
      </c>
      <c r="AH466">
        <v>7.3929999999999899E-2</v>
      </c>
    </row>
    <row r="467" spans="3:34">
      <c r="C467" s="11" t="s">
        <v>679</v>
      </c>
      <c r="D467" s="10" t="s">
        <v>1</v>
      </c>
      <c r="E467" s="10">
        <v>13.71</v>
      </c>
      <c r="F467" s="10">
        <v>25.44</v>
      </c>
      <c r="G467" s="10">
        <v>48.34</v>
      </c>
      <c r="H467" s="10">
        <v>170.4</v>
      </c>
      <c r="I467" s="10">
        <v>8.6679999999999896E-2</v>
      </c>
      <c r="J467" s="10">
        <v>0.11990000000000001</v>
      </c>
      <c r="K467" s="10">
        <v>9.2520000000000005E-2</v>
      </c>
      <c r="L467" s="10">
        <v>1.36399999999999E-2</v>
      </c>
      <c r="M467" s="10">
        <v>0.20369999999999899</v>
      </c>
      <c r="N467" s="10">
        <v>7.7509999999999898E-2</v>
      </c>
      <c r="O467" s="10">
        <v>0.21959999999999899</v>
      </c>
      <c r="P467" s="10">
        <v>1.4790000000000001</v>
      </c>
      <c r="Q467" s="10">
        <v>1.4450000000000001</v>
      </c>
      <c r="R467" s="10">
        <v>11.73</v>
      </c>
      <c r="S467" s="10">
        <v>1.54699999999999E-2</v>
      </c>
      <c r="T467" s="10">
        <v>6.4570000000000002E-2</v>
      </c>
      <c r="U467" s="10">
        <v>9.2520000000000005E-2</v>
      </c>
      <c r="V467" s="10">
        <v>1.36399999999999E-2</v>
      </c>
      <c r="W467" s="10">
        <v>2.1049999999999899E-2</v>
      </c>
      <c r="X467" s="10">
        <v>7.5510000000000004E-3</v>
      </c>
      <c r="Y467" s="10">
        <v>8.6780000000000008</v>
      </c>
      <c r="Z467" s="10">
        <v>31.89</v>
      </c>
      <c r="AA467" s="10">
        <v>54.49</v>
      </c>
      <c r="AB467" s="10">
        <v>223.599999999999</v>
      </c>
      <c r="AC467" s="10">
        <v>0.15959999999999899</v>
      </c>
      <c r="AD467" s="10">
        <v>0.30640000000000001</v>
      </c>
      <c r="AE467" s="10">
        <v>0.33929999999999899</v>
      </c>
      <c r="AF467" s="10">
        <v>0.05</v>
      </c>
      <c r="AG467" s="10">
        <v>0.27900000000000003</v>
      </c>
      <c r="AH467">
        <v>0.1066</v>
      </c>
    </row>
    <row r="468" spans="3:34">
      <c r="C468" s="11" t="s">
        <v>407</v>
      </c>
      <c r="D468" s="10" t="s">
        <v>1</v>
      </c>
      <c r="E468" s="10">
        <v>13.71</v>
      </c>
      <c r="F468" s="10">
        <v>21.84</v>
      </c>
      <c r="G468" s="10">
        <v>87.159999999999897</v>
      </c>
      <c r="H468" s="10">
        <v>561</v>
      </c>
      <c r="I468" s="10">
        <v>7.9560000000000006E-2</v>
      </c>
      <c r="J468" s="10">
        <v>8.25899999999999E-2</v>
      </c>
      <c r="K468" s="10">
        <v>4.0719999999999902E-2</v>
      </c>
      <c r="L468" s="10">
        <v>2.1420000000000002E-2</v>
      </c>
      <c r="M468" s="10">
        <v>0.16350000000000001</v>
      </c>
      <c r="N468" s="10">
        <v>5.8590000000000003E-2</v>
      </c>
      <c r="O468" s="10">
        <v>0.33800000000000002</v>
      </c>
      <c r="P468" s="10">
        <v>1.9159999999999899</v>
      </c>
      <c r="Q468" s="10">
        <v>2.5910000000000002</v>
      </c>
      <c r="R468" s="10">
        <v>26.76</v>
      </c>
      <c r="S468" s="10">
        <v>5.4359999999999903E-3</v>
      </c>
      <c r="T468" s="10">
        <v>2.4060000000000002E-2</v>
      </c>
      <c r="U468" s="10">
        <v>3.099E-2</v>
      </c>
      <c r="V468" s="10">
        <v>9.9190000000000007E-3</v>
      </c>
      <c r="W468" s="10">
        <v>2.0299999999999901E-2</v>
      </c>
      <c r="X468" s="10">
        <v>3.009E-3</v>
      </c>
      <c r="Y468" s="10">
        <v>14.8</v>
      </c>
      <c r="Z468" s="10">
        <v>30.0399999999999</v>
      </c>
      <c r="AA468" s="10">
        <v>97.659999999999897</v>
      </c>
      <c r="AB468" s="10">
        <v>661.5</v>
      </c>
      <c r="AC468" s="10">
        <v>0.10050000000000001</v>
      </c>
      <c r="AD468" s="10">
        <v>0.17299999999999899</v>
      </c>
      <c r="AE468" s="10">
        <v>0.14530000000000001</v>
      </c>
      <c r="AF468" s="10">
        <v>6.1890000000000001E-2</v>
      </c>
      <c r="AG468" s="10">
        <v>0.24460000000000001</v>
      </c>
      <c r="AH468">
        <v>7.02399999999999E-2</v>
      </c>
    </row>
    <row r="469" spans="3:34">
      <c r="C469" s="11" t="s">
        <v>208</v>
      </c>
      <c r="D469" s="10" t="s">
        <v>1</v>
      </c>
      <c r="E469" s="10">
        <v>13.71</v>
      </c>
      <c r="F469" s="10">
        <v>17.329999999999899</v>
      </c>
      <c r="G469" s="10">
        <v>58.7899999999999</v>
      </c>
      <c r="H469" s="10">
        <v>250.5</v>
      </c>
      <c r="I469" s="10">
        <v>0.1066</v>
      </c>
      <c r="J469" s="10">
        <v>0.14130000000000001</v>
      </c>
      <c r="K469" s="10">
        <v>0.313</v>
      </c>
      <c r="L469" s="10">
        <v>4.37499999999999E-2</v>
      </c>
      <c r="M469" s="10">
        <v>0.21110000000000001</v>
      </c>
      <c r="N469" s="10">
        <v>8.0460000000000004E-2</v>
      </c>
      <c r="O469" s="10">
        <v>0.32740000000000002</v>
      </c>
      <c r="P469" s="10">
        <v>1.194</v>
      </c>
      <c r="Q469" s="10">
        <v>1.885</v>
      </c>
      <c r="R469" s="10">
        <v>17.670000000000002</v>
      </c>
      <c r="S469" s="10">
        <v>9.5490000000000002E-3</v>
      </c>
      <c r="T469" s="10">
        <v>8.60599999999999E-2</v>
      </c>
      <c r="U469" s="10">
        <v>0.30380000000000001</v>
      </c>
      <c r="V469" s="10">
        <v>3.322E-2</v>
      </c>
      <c r="W469" s="10">
        <v>4.197E-2</v>
      </c>
      <c r="X469" s="10">
        <v>9.5589999999999894E-3</v>
      </c>
      <c r="Y469" s="10">
        <v>10.31</v>
      </c>
      <c r="Z469" s="10">
        <v>22.649999999999899</v>
      </c>
      <c r="AA469" s="10">
        <v>65.5</v>
      </c>
      <c r="AB469" s="10">
        <v>324.69999999999902</v>
      </c>
      <c r="AC469" s="10">
        <v>0.1482</v>
      </c>
      <c r="AD469" s="10">
        <v>0.4365</v>
      </c>
      <c r="AE469" s="10">
        <v>1.252</v>
      </c>
      <c r="AF469" s="10">
        <v>0.17499999999999899</v>
      </c>
      <c r="AG469" s="10">
        <v>0.42280000000000001</v>
      </c>
      <c r="AH469">
        <v>0.11749999999999899</v>
      </c>
    </row>
    <row r="470" spans="3:34">
      <c r="C470" s="11" t="s">
        <v>286</v>
      </c>
      <c r="D470" s="10" t="s">
        <v>0</v>
      </c>
      <c r="E470" s="10">
        <v>13.71</v>
      </c>
      <c r="F470" s="10">
        <v>16.579999999999899</v>
      </c>
      <c r="G470" s="10">
        <v>78.989999999999895</v>
      </c>
      <c r="H470" s="10">
        <v>432</v>
      </c>
      <c r="I470" s="10">
        <v>0.1091</v>
      </c>
      <c r="J470" s="10">
        <v>0.17</v>
      </c>
      <c r="K470" s="10">
        <v>0.16589999999999899</v>
      </c>
      <c r="L470" s="10">
        <v>7.4149999999999897E-2</v>
      </c>
      <c r="M470" s="10">
        <v>0.26779999999999898</v>
      </c>
      <c r="N470" s="10">
        <v>7.3709999999999901E-2</v>
      </c>
      <c r="O470" s="10">
        <v>0.31969999999999898</v>
      </c>
      <c r="P470" s="10">
        <v>1.4259999999999899</v>
      </c>
      <c r="Q470" s="10">
        <v>2.2810000000000001</v>
      </c>
      <c r="R470" s="10">
        <v>24.719999999999899</v>
      </c>
      <c r="S470" s="10">
        <v>5.4270000000000004E-3</v>
      </c>
      <c r="T470" s="10">
        <v>3.6330000000000001E-2</v>
      </c>
      <c r="U470" s="10">
        <v>4.6489999999999899E-2</v>
      </c>
      <c r="V470" s="10">
        <v>1.8429999999999901E-2</v>
      </c>
      <c r="W470" s="10">
        <v>5.62799999999999E-2</v>
      </c>
      <c r="X470" s="10">
        <v>4.6350000000000002E-3</v>
      </c>
      <c r="Y470" s="10">
        <v>13.74</v>
      </c>
      <c r="Z470" s="10">
        <v>26.3799999999999</v>
      </c>
      <c r="AA470" s="10">
        <v>91.93</v>
      </c>
      <c r="AB470" s="10">
        <v>591.70000000000005</v>
      </c>
      <c r="AC470" s="10">
        <v>0.13850000000000001</v>
      </c>
      <c r="AD470" s="10">
        <v>0.40920000000000001</v>
      </c>
      <c r="AE470" s="10">
        <v>0.45040000000000002</v>
      </c>
      <c r="AF470" s="10">
        <v>0.1865</v>
      </c>
      <c r="AG470" s="10">
        <v>0.57740000000000002</v>
      </c>
      <c r="AH470">
        <v>0.102999999999999</v>
      </c>
    </row>
    <row r="471" spans="3:34">
      <c r="C471" s="11" t="s">
        <v>279</v>
      </c>
      <c r="D471" s="10" t="s">
        <v>1</v>
      </c>
      <c r="E471" s="10">
        <v>13.71</v>
      </c>
      <c r="F471" s="10">
        <v>13.39</v>
      </c>
      <c r="G471" s="10">
        <v>73</v>
      </c>
      <c r="H471" s="10">
        <v>384.8</v>
      </c>
      <c r="I471" s="10">
        <v>0.1164</v>
      </c>
      <c r="J471" s="10">
        <v>0.11360000000000001</v>
      </c>
      <c r="K471" s="10">
        <v>4.6350000000000002E-2</v>
      </c>
      <c r="L471" s="10">
        <v>4.7960000000000003E-2</v>
      </c>
      <c r="M471" s="10">
        <v>0.17710000000000001</v>
      </c>
      <c r="N471" s="10">
        <v>6.0720000000000003E-2</v>
      </c>
      <c r="O471" s="10">
        <v>0.33839999999999898</v>
      </c>
      <c r="P471" s="10">
        <v>1.343</v>
      </c>
      <c r="Q471" s="10">
        <v>1.851</v>
      </c>
      <c r="R471" s="10">
        <v>26.329999999999899</v>
      </c>
      <c r="S471" s="10">
        <v>1.1270000000000001E-2</v>
      </c>
      <c r="T471" s="10">
        <v>3.49799999999999E-2</v>
      </c>
      <c r="U471" s="10">
        <v>2.1870000000000001E-2</v>
      </c>
      <c r="V471" s="10">
        <v>1.9650000000000001E-2</v>
      </c>
      <c r="W471" s="10">
        <v>1.5800000000000002E-2</v>
      </c>
      <c r="X471" s="10">
        <v>3.4420000000000002E-3</v>
      </c>
      <c r="Y471" s="10">
        <v>11.92</v>
      </c>
      <c r="Z471" s="10">
        <v>15.77</v>
      </c>
      <c r="AA471" s="10">
        <v>76.53</v>
      </c>
      <c r="AB471" s="10">
        <v>434</v>
      </c>
      <c r="AC471" s="10">
        <v>0.13669999999999899</v>
      </c>
      <c r="AD471" s="10">
        <v>0.1822</v>
      </c>
      <c r="AE471" s="10">
        <v>8.6690000000000003E-2</v>
      </c>
      <c r="AF471" s="10">
        <v>8.6110000000000006E-2</v>
      </c>
      <c r="AG471" s="10">
        <v>0.2102</v>
      </c>
      <c r="AH471">
        <v>6.78399999999999E-2</v>
      </c>
    </row>
    <row r="472" spans="3:34">
      <c r="C472" s="11" t="s">
        <v>558</v>
      </c>
      <c r="D472" s="10" t="s">
        <v>1</v>
      </c>
      <c r="E472" s="10">
        <v>13.71</v>
      </c>
      <c r="F472" s="10">
        <v>12.17</v>
      </c>
      <c r="G472" s="10">
        <v>80.879999999999896</v>
      </c>
      <c r="H472" s="10">
        <v>495</v>
      </c>
      <c r="I472" s="10">
        <v>8.78499999999999E-2</v>
      </c>
      <c r="J472" s="10">
        <v>5.7939999999999901E-2</v>
      </c>
      <c r="K472" s="10">
        <v>2.3599999999999899E-2</v>
      </c>
      <c r="L472" s="10">
        <v>2.402E-2</v>
      </c>
      <c r="M472" s="10">
        <v>0.1583</v>
      </c>
      <c r="N472" s="10">
        <v>6.275E-2</v>
      </c>
      <c r="O472" s="10">
        <v>0.2253</v>
      </c>
      <c r="P472" s="10">
        <v>0.64570000000000005</v>
      </c>
      <c r="Q472" s="10">
        <v>1.5269999999999899</v>
      </c>
      <c r="R472" s="10">
        <v>17.37</v>
      </c>
      <c r="S472" s="10">
        <v>6.1310000000000002E-3</v>
      </c>
      <c r="T472" s="10">
        <v>1.2630000000000001E-2</v>
      </c>
      <c r="U472" s="10">
        <v>9.0749999999999893E-3</v>
      </c>
      <c r="V472" s="10">
        <v>8.2310000000000005E-3</v>
      </c>
      <c r="W472" s="10">
        <v>1.7129999999999899E-2</v>
      </c>
      <c r="X472" s="10">
        <v>4.4140000000000004E-3</v>
      </c>
      <c r="Y472" s="10">
        <v>13.65</v>
      </c>
      <c r="Z472" s="10">
        <v>16.920000000000002</v>
      </c>
      <c r="AA472" s="10">
        <v>88.12</v>
      </c>
      <c r="AB472" s="10">
        <v>566.89999999999895</v>
      </c>
      <c r="AC472" s="10">
        <v>0.13139999999999899</v>
      </c>
      <c r="AD472" s="10">
        <v>0.16070000000000001</v>
      </c>
      <c r="AE472" s="10">
        <v>9.3850000000000003E-2</v>
      </c>
      <c r="AF472" s="10">
        <v>8.2239999999999897E-2</v>
      </c>
      <c r="AG472" s="10">
        <v>0.27750000000000002</v>
      </c>
      <c r="AH472">
        <v>9.4640000000000002E-2</v>
      </c>
    </row>
    <row r="473" spans="3:34">
      <c r="C473" s="11" t="s">
        <v>226</v>
      </c>
      <c r="D473" s="10" t="s">
        <v>0</v>
      </c>
      <c r="E473" s="10">
        <v>13.71</v>
      </c>
      <c r="F473" s="10">
        <v>21.46</v>
      </c>
      <c r="G473" s="10">
        <v>94.25</v>
      </c>
      <c r="H473" s="10">
        <v>648.20000000000005</v>
      </c>
      <c r="I473" s="10">
        <v>9.4439999999999899E-2</v>
      </c>
      <c r="J473" s="10">
        <v>9.9470000000000003E-2</v>
      </c>
      <c r="K473" s="10">
        <v>0.12039999999999899</v>
      </c>
      <c r="L473" s="10">
        <v>4.938E-2</v>
      </c>
      <c r="M473" s="10">
        <v>0.20749999999999899</v>
      </c>
      <c r="N473" s="10">
        <v>5.636E-2</v>
      </c>
      <c r="O473" s="10">
        <v>0.4204</v>
      </c>
      <c r="P473" s="10">
        <v>2.2200000000000002</v>
      </c>
      <c r="Q473" s="10">
        <v>3.3010000000000002</v>
      </c>
      <c r="R473" s="10">
        <v>38.869999999999898</v>
      </c>
      <c r="S473" s="10">
        <v>9.3690000000000006E-3</v>
      </c>
      <c r="T473" s="10">
        <v>2.9829999999999902E-2</v>
      </c>
      <c r="U473" s="10">
        <v>5.3710000000000001E-2</v>
      </c>
      <c r="V473" s="10">
        <v>1.7610000000000001E-2</v>
      </c>
      <c r="W473" s="10">
        <v>2.418E-2</v>
      </c>
      <c r="X473" s="10">
        <v>3.2490000000000002E-3</v>
      </c>
      <c r="Y473" s="10">
        <v>16.21</v>
      </c>
      <c r="Z473" s="10">
        <v>29.25</v>
      </c>
      <c r="AA473" s="10">
        <v>108.4</v>
      </c>
      <c r="AB473" s="10">
        <v>808.89999999999895</v>
      </c>
      <c r="AC473" s="10">
        <v>0.13059999999999899</v>
      </c>
      <c r="AD473" s="10">
        <v>0.1976</v>
      </c>
      <c r="AE473" s="10">
        <v>0.33489999999999898</v>
      </c>
      <c r="AF473" s="10">
        <v>0.1225</v>
      </c>
      <c r="AG473" s="10">
        <v>0.30199999999999899</v>
      </c>
      <c r="AH473">
        <v>6.8459999999999896E-2</v>
      </c>
    </row>
    <row r="474" spans="3:34">
      <c r="C474" s="11" t="s">
        <v>549</v>
      </c>
      <c r="D474" s="10" t="s">
        <v>1</v>
      </c>
      <c r="E474" s="10">
        <v>13.71</v>
      </c>
      <c r="F474" s="10">
        <v>17.920000000000002</v>
      </c>
      <c r="G474" s="10">
        <v>78.409999999999897</v>
      </c>
      <c r="H474" s="10">
        <v>466.1</v>
      </c>
      <c r="I474" s="10">
        <v>8.68499999999999E-2</v>
      </c>
      <c r="J474" s="10">
        <v>6.5259999999999901E-2</v>
      </c>
      <c r="K474" s="10">
        <v>3.211E-2</v>
      </c>
      <c r="L474" s="10">
        <v>2.6530000000000001E-2</v>
      </c>
      <c r="M474" s="10">
        <v>0.1966</v>
      </c>
      <c r="N474" s="10">
        <v>5.5969999999999902E-2</v>
      </c>
      <c r="O474" s="10">
        <v>0.3342</v>
      </c>
      <c r="P474" s="10">
        <v>1.7809999999999899</v>
      </c>
      <c r="Q474" s="10">
        <v>2.0790000000000002</v>
      </c>
      <c r="R474" s="10">
        <v>25.7899999999999</v>
      </c>
      <c r="S474" s="10">
        <v>5.888E-3</v>
      </c>
      <c r="T474" s="10">
        <v>2.3099999999999898E-2</v>
      </c>
      <c r="U474" s="10">
        <v>2.0590000000000001E-2</v>
      </c>
      <c r="V474" s="10">
        <v>1.07499999999999E-2</v>
      </c>
      <c r="W474" s="10">
        <v>2.5780000000000001E-2</v>
      </c>
      <c r="X474" s="10">
        <v>2.2669999999999899E-3</v>
      </c>
      <c r="Y474" s="10">
        <v>14.1</v>
      </c>
      <c r="Z474" s="10">
        <v>28.8799999999999</v>
      </c>
      <c r="AA474" s="10">
        <v>89</v>
      </c>
      <c r="AB474" s="10">
        <v>610.20000000000005</v>
      </c>
      <c r="AC474" s="10">
        <v>0.124</v>
      </c>
      <c r="AD474" s="10">
        <v>0.17949999999999899</v>
      </c>
      <c r="AE474" s="10">
        <v>0.13769999999999899</v>
      </c>
      <c r="AF474" s="10">
        <v>9.5320000000000002E-2</v>
      </c>
      <c r="AG474" s="10">
        <v>0.34549999999999897</v>
      </c>
      <c r="AH474">
        <v>6.8959999999999896E-2</v>
      </c>
    </row>
    <row r="475" spans="3:34">
      <c r="C475" s="11" t="s">
        <v>330</v>
      </c>
      <c r="D475" s="10" t="s">
        <v>0</v>
      </c>
      <c r="E475" s="10">
        <v>13.71</v>
      </c>
      <c r="F475" s="10">
        <v>23.12</v>
      </c>
      <c r="G475" s="10">
        <v>94.37</v>
      </c>
      <c r="H475" s="10">
        <v>609.89999999999895</v>
      </c>
      <c r="I475" s="10">
        <v>0.1075</v>
      </c>
      <c r="J475" s="10">
        <v>0.24129999999999899</v>
      </c>
      <c r="K475" s="10">
        <v>0.1981</v>
      </c>
      <c r="L475" s="10">
        <v>6.6180000000000003E-2</v>
      </c>
      <c r="M475" s="10">
        <v>0.2384</v>
      </c>
      <c r="N475" s="10">
        <v>7.5420000000000001E-2</v>
      </c>
      <c r="O475" s="10">
        <v>0.28599999999999898</v>
      </c>
      <c r="P475" s="10">
        <v>2.1099999999999901</v>
      </c>
      <c r="Q475" s="10">
        <v>2.1120000000000001</v>
      </c>
      <c r="R475" s="10">
        <v>31.719999999999899</v>
      </c>
      <c r="S475" s="10">
        <v>7.9699999999999892E-3</v>
      </c>
      <c r="T475" s="10">
        <v>0.13539999999999899</v>
      </c>
      <c r="U475" s="10">
        <v>0.1166</v>
      </c>
      <c r="V475" s="10">
        <v>1.6660000000000001E-2</v>
      </c>
      <c r="W475" s="10">
        <v>5.1130000000000002E-2</v>
      </c>
      <c r="X475" s="10">
        <v>1.172E-2</v>
      </c>
      <c r="Y475" s="10">
        <v>15.74</v>
      </c>
      <c r="Z475" s="10">
        <v>37.18</v>
      </c>
      <c r="AA475" s="10">
        <v>106.4</v>
      </c>
      <c r="AB475" s="10">
        <v>762.39999999999895</v>
      </c>
      <c r="AC475" s="10">
        <v>0.15329999999999899</v>
      </c>
      <c r="AD475" s="10">
        <v>0.93269999999999897</v>
      </c>
      <c r="AE475" s="10">
        <v>0.8488</v>
      </c>
      <c r="AF475" s="10">
        <v>0.1772</v>
      </c>
      <c r="AG475" s="10">
        <v>0.51659999999999895</v>
      </c>
      <c r="AH475">
        <v>0.14460000000000001</v>
      </c>
    </row>
    <row r="476" spans="3:34">
      <c r="C476" s="11" t="s">
        <v>446</v>
      </c>
      <c r="D476" s="10" t="s">
        <v>1</v>
      </c>
      <c r="E476" s="10">
        <v>13.71</v>
      </c>
      <c r="F476" s="10">
        <v>15.82</v>
      </c>
      <c r="G476" s="10">
        <v>84.069999999999894</v>
      </c>
      <c r="H476" s="10">
        <v>537.29999999999905</v>
      </c>
      <c r="I476" s="10">
        <v>8.5110000000000005E-2</v>
      </c>
      <c r="J476" s="10">
        <v>5.2510000000000001E-2</v>
      </c>
      <c r="K476" s="10">
        <v>1.4610000000000001E-3</v>
      </c>
      <c r="L476" s="10">
        <v>3.261E-3</v>
      </c>
      <c r="M476" s="10">
        <v>0.16320000000000001</v>
      </c>
      <c r="N476" s="10">
        <v>5.8939999999999902E-2</v>
      </c>
      <c r="O476" s="10">
        <v>0.1903</v>
      </c>
      <c r="P476" s="10">
        <v>0.57350000000000001</v>
      </c>
      <c r="Q476" s="10">
        <v>1.204</v>
      </c>
      <c r="R476" s="10">
        <v>15.5</v>
      </c>
      <c r="S476" s="10">
        <v>3.6319999999999898E-3</v>
      </c>
      <c r="T476" s="10">
        <v>7.8609999999999895E-3</v>
      </c>
      <c r="U476" s="10">
        <v>1.1280000000000001E-3</v>
      </c>
      <c r="V476" s="10">
        <v>2.3860000000000001E-3</v>
      </c>
      <c r="W476" s="10">
        <v>1.3440000000000001E-2</v>
      </c>
      <c r="X476" s="10">
        <v>2.5850000000000001E-3</v>
      </c>
      <c r="Y476" s="10">
        <v>14.41</v>
      </c>
      <c r="Z476" s="10">
        <v>20.4499999999999</v>
      </c>
      <c r="AA476" s="10">
        <v>92</v>
      </c>
      <c r="AB476" s="10">
        <v>636.89999999999895</v>
      </c>
      <c r="AC476" s="10">
        <v>0.1128</v>
      </c>
      <c r="AD476" s="10">
        <v>0.1346</v>
      </c>
      <c r="AE476" s="10">
        <v>1.12E-2</v>
      </c>
      <c r="AF476" s="10">
        <v>2.5000000000000001E-2</v>
      </c>
      <c r="AG476" s="10">
        <v>0.2651</v>
      </c>
      <c r="AH476">
        <v>8.3849999999999897E-2</v>
      </c>
    </row>
    <row r="477" spans="3:34">
      <c r="C477" s="11" t="s">
        <v>626</v>
      </c>
      <c r="D477" s="10" t="s">
        <v>1</v>
      </c>
      <c r="E477" s="10">
        <v>13.71</v>
      </c>
      <c r="F477" s="10">
        <v>16.850000000000001</v>
      </c>
      <c r="G477" s="10">
        <v>94.209999999999894</v>
      </c>
      <c r="H477" s="10">
        <v>666</v>
      </c>
      <c r="I477" s="10">
        <v>8.6410000000000001E-2</v>
      </c>
      <c r="J477" s="10">
        <v>6.6979999999999901E-2</v>
      </c>
      <c r="K477" s="10">
        <v>5.1920000000000001E-2</v>
      </c>
      <c r="L477" s="10">
        <v>2.7910000000000001E-2</v>
      </c>
      <c r="M477" s="10">
        <v>0.1409</v>
      </c>
      <c r="N477" s="10">
        <v>5.355E-2</v>
      </c>
      <c r="O477" s="10">
        <v>0.22040000000000001</v>
      </c>
      <c r="P477" s="10">
        <v>1.006</v>
      </c>
      <c r="Q477" s="10">
        <v>1.4710000000000001</v>
      </c>
      <c r="R477" s="10">
        <v>19.98</v>
      </c>
      <c r="S477" s="10">
        <v>3.53499999999999E-3</v>
      </c>
      <c r="T477" s="10">
        <v>1.393E-2</v>
      </c>
      <c r="U477" s="10">
        <v>1.7999999999999901E-2</v>
      </c>
      <c r="V477" s="10">
        <v>6.1440000000000002E-3</v>
      </c>
      <c r="W477" s="10">
        <v>1.2540000000000001E-2</v>
      </c>
      <c r="X477" s="10">
        <v>1.219E-3</v>
      </c>
      <c r="Y477" s="10">
        <v>16.46</v>
      </c>
      <c r="Z477" s="10">
        <v>25.44</v>
      </c>
      <c r="AA477" s="10">
        <v>106</v>
      </c>
      <c r="AB477" s="10">
        <v>831</v>
      </c>
      <c r="AC477" s="10">
        <v>0.1142</v>
      </c>
      <c r="AD477" s="10">
        <v>0.20699999999999899</v>
      </c>
      <c r="AE477" s="10">
        <v>0.2437</v>
      </c>
      <c r="AF477" s="10">
        <v>7.8280000000000002E-2</v>
      </c>
      <c r="AG477" s="10">
        <v>0.2455</v>
      </c>
      <c r="AH477">
        <v>6.5960000000000005E-2</v>
      </c>
    </row>
    <row r="478" spans="3:34">
      <c r="C478" s="11" t="s">
        <v>452</v>
      </c>
      <c r="D478" s="10" t="s">
        <v>1</v>
      </c>
      <c r="E478" s="10">
        <v>13.71</v>
      </c>
      <c r="F478" s="10">
        <v>13.3699999999999</v>
      </c>
      <c r="G478" s="10">
        <v>82.29</v>
      </c>
      <c r="H478" s="10">
        <v>504.1</v>
      </c>
      <c r="I478" s="10">
        <v>8.7940000000000004E-2</v>
      </c>
      <c r="J478" s="10">
        <v>7.9479999999999898E-2</v>
      </c>
      <c r="K478" s="10">
        <v>4.052E-2</v>
      </c>
      <c r="L478" s="10">
        <v>2.5479999999999899E-2</v>
      </c>
      <c r="M478" s="10">
        <v>0.16009999999999899</v>
      </c>
      <c r="N478" s="10">
        <v>6.1400000000000003E-2</v>
      </c>
      <c r="O478" s="10">
        <v>0.32650000000000001</v>
      </c>
      <c r="P478" s="10">
        <v>0.65939999999999899</v>
      </c>
      <c r="Q478" s="10">
        <v>2.3460000000000001</v>
      </c>
      <c r="R478" s="10">
        <v>25.18</v>
      </c>
      <c r="S478" s="10">
        <v>6.4939999999999902E-3</v>
      </c>
      <c r="T478" s="10">
        <v>2.768E-2</v>
      </c>
      <c r="U478" s="10">
        <v>3.1370000000000002E-2</v>
      </c>
      <c r="V478" s="10">
        <v>1.069E-2</v>
      </c>
      <c r="W478" s="10">
        <v>1.7309999999999898E-2</v>
      </c>
      <c r="X478" s="10">
        <v>4.3920000000000001E-3</v>
      </c>
      <c r="Y478" s="10">
        <v>14.19</v>
      </c>
      <c r="Z478" s="10">
        <v>16.399999999999899</v>
      </c>
      <c r="AA478" s="10">
        <v>92.04</v>
      </c>
      <c r="AB478" s="10">
        <v>618.79999999999905</v>
      </c>
      <c r="AC478" s="10">
        <v>0.11940000000000001</v>
      </c>
      <c r="AD478" s="10">
        <v>0.2208</v>
      </c>
      <c r="AE478" s="10">
        <v>0.1769</v>
      </c>
      <c r="AF478" s="10">
        <v>8.4110000000000004E-2</v>
      </c>
      <c r="AG478" s="10">
        <v>0.25640000000000002</v>
      </c>
      <c r="AH478">
        <v>8.2530000000000006E-2</v>
      </c>
    </row>
    <row r="479" spans="3:34">
      <c r="C479" s="11" t="s">
        <v>501</v>
      </c>
      <c r="D479" s="10" t="s">
        <v>1</v>
      </c>
      <c r="E479" s="10">
        <v>13.71</v>
      </c>
      <c r="F479" s="10">
        <v>21.57</v>
      </c>
      <c r="G479" s="10">
        <v>85.239999999999895</v>
      </c>
      <c r="H479" s="10">
        <v>546.1</v>
      </c>
      <c r="I479" s="10">
        <v>8.5819999999999896E-2</v>
      </c>
      <c r="J479" s="10">
        <v>6.3729999999999898E-2</v>
      </c>
      <c r="K479" s="10">
        <v>3.34399999999999E-2</v>
      </c>
      <c r="L479" s="10">
        <v>2.4240000000000001E-2</v>
      </c>
      <c r="M479" s="10">
        <v>0.181499999999999</v>
      </c>
      <c r="N479" s="10">
        <v>5.69599999999999E-2</v>
      </c>
      <c r="O479" s="10">
        <v>0.2621</v>
      </c>
      <c r="P479" s="10">
        <v>1.5389999999999899</v>
      </c>
      <c r="Q479" s="10">
        <v>2.028</v>
      </c>
      <c r="R479" s="10">
        <v>20.98</v>
      </c>
      <c r="S479" s="10">
        <v>5.4980000000000003E-3</v>
      </c>
      <c r="T479" s="10">
        <v>2.0449999999999899E-2</v>
      </c>
      <c r="U479" s="10">
        <v>1.7950000000000001E-2</v>
      </c>
      <c r="V479" s="10">
        <v>6.3990000000000002E-3</v>
      </c>
      <c r="W479" s="10">
        <v>1.8290000000000001E-2</v>
      </c>
      <c r="X479" s="10">
        <v>1.9559999999999899E-3</v>
      </c>
      <c r="Y479" s="10">
        <v>14.1999999999999</v>
      </c>
      <c r="Z479" s="10">
        <v>29.1999999999999</v>
      </c>
      <c r="AA479" s="10">
        <v>92.939999999999898</v>
      </c>
      <c r="AB479" s="10">
        <v>621.20000000000005</v>
      </c>
      <c r="AC479" s="10">
        <v>0.114</v>
      </c>
      <c r="AD479" s="10">
        <v>0.16669999999999899</v>
      </c>
      <c r="AE479" s="10">
        <v>0.1212</v>
      </c>
      <c r="AF479" s="10">
        <v>5.6140000000000002E-2</v>
      </c>
      <c r="AG479" s="10">
        <v>0.26369999999999899</v>
      </c>
      <c r="AH479">
        <v>6.658E-2</v>
      </c>
    </row>
    <row r="480" spans="3:34">
      <c r="C480" s="11" t="s">
        <v>183</v>
      </c>
      <c r="D480" s="10" t="s">
        <v>0</v>
      </c>
      <c r="E480" s="10">
        <v>13.71</v>
      </c>
      <c r="F480" s="10">
        <v>20.28</v>
      </c>
      <c r="G480" s="10">
        <v>87.319999999999894</v>
      </c>
      <c r="H480" s="10">
        <v>545.20000000000005</v>
      </c>
      <c r="I480" s="10">
        <v>0.1041</v>
      </c>
      <c r="J480" s="10">
        <v>0.14360000000000001</v>
      </c>
      <c r="K480" s="10">
        <v>9.8470000000000002E-2</v>
      </c>
      <c r="L480" s="10">
        <v>6.1580000000000003E-2</v>
      </c>
      <c r="M480" s="10">
        <v>0.19739999999999899</v>
      </c>
      <c r="N480" s="10">
        <v>6.7820000000000005E-2</v>
      </c>
      <c r="O480" s="10">
        <v>0.37040000000000001</v>
      </c>
      <c r="P480" s="10">
        <v>0.82489999999999897</v>
      </c>
      <c r="Q480" s="10">
        <v>2.427</v>
      </c>
      <c r="R480" s="10">
        <v>31.329999999999899</v>
      </c>
      <c r="S480" s="10">
        <v>5.0720000000000001E-3</v>
      </c>
      <c r="T480" s="10">
        <v>2.147E-2</v>
      </c>
      <c r="U480" s="10">
        <v>2.1850000000000001E-2</v>
      </c>
      <c r="V480" s="10">
        <v>9.5600000000000008E-3</v>
      </c>
      <c r="W480" s="10">
        <v>1.719E-2</v>
      </c>
      <c r="X480" s="10">
        <v>3.3170000000000001E-3</v>
      </c>
      <c r="Y480" s="10">
        <v>17.3799999999999</v>
      </c>
      <c r="Z480" s="10">
        <v>28</v>
      </c>
      <c r="AA480" s="10">
        <v>113.099999999999</v>
      </c>
      <c r="AB480" s="10">
        <v>907.2</v>
      </c>
      <c r="AC480" s="10">
        <v>0.153</v>
      </c>
      <c r="AD480" s="10">
        <v>0.37240000000000001</v>
      </c>
      <c r="AE480" s="10">
        <v>0.3664</v>
      </c>
      <c r="AF480" s="10">
        <v>0.1492</v>
      </c>
      <c r="AG480" s="10">
        <v>0.37390000000000001</v>
      </c>
      <c r="AH480">
        <v>0.1027</v>
      </c>
    </row>
    <row r="481" spans="3:34">
      <c r="C481" s="11" t="s">
        <v>398</v>
      </c>
      <c r="D481" s="10" t="s">
        <v>0</v>
      </c>
      <c r="E481" s="10">
        <v>13.71</v>
      </c>
      <c r="F481" s="10">
        <v>23.1999999999999</v>
      </c>
      <c r="G481" s="10">
        <v>110.2</v>
      </c>
      <c r="H481" s="10">
        <v>773.5</v>
      </c>
      <c r="I481" s="10">
        <v>0.1109</v>
      </c>
      <c r="J481" s="10">
        <v>0.31140000000000001</v>
      </c>
      <c r="K481" s="10">
        <v>0.31759999999999899</v>
      </c>
      <c r="L481" s="10">
        <v>0.13769999999999899</v>
      </c>
      <c r="M481" s="10">
        <v>0.2495</v>
      </c>
      <c r="N481" s="10">
        <v>8.1040000000000001E-2</v>
      </c>
      <c r="O481" s="10">
        <v>1.292</v>
      </c>
      <c r="P481" s="10">
        <v>2.4540000000000002</v>
      </c>
      <c r="Q481" s="10">
        <v>10.1199999999999</v>
      </c>
      <c r="R481" s="10">
        <v>138.5</v>
      </c>
      <c r="S481" s="10">
        <v>1.2359999999999901E-2</v>
      </c>
      <c r="T481" s="10">
        <v>5.9950000000000003E-2</v>
      </c>
      <c r="U481" s="10">
        <v>8.2320000000000004E-2</v>
      </c>
      <c r="V481" s="10">
        <v>3.024E-2</v>
      </c>
      <c r="W481" s="10">
        <v>2.3369999999999901E-2</v>
      </c>
      <c r="X481" s="10">
        <v>6.0419999999999901E-3</v>
      </c>
      <c r="Y481" s="10">
        <v>19.850000000000001</v>
      </c>
      <c r="Z481" s="10">
        <v>31.64</v>
      </c>
      <c r="AA481" s="10">
        <v>143.69999999999899</v>
      </c>
      <c r="AB481" s="10">
        <v>1226</v>
      </c>
      <c r="AC481" s="10">
        <v>0.15040000000000001</v>
      </c>
      <c r="AD481" s="10">
        <v>0.51719999999999899</v>
      </c>
      <c r="AE481" s="10">
        <v>0.61809999999999898</v>
      </c>
      <c r="AF481" s="10">
        <v>0.2462</v>
      </c>
      <c r="AG481" s="10">
        <v>0.32769999999999899</v>
      </c>
      <c r="AH481">
        <v>0.1019</v>
      </c>
    </row>
    <row r="482" spans="3:34">
      <c r="C482" s="11" t="s">
        <v>315</v>
      </c>
      <c r="D482" s="10" t="s">
        <v>1</v>
      </c>
      <c r="E482" s="10">
        <v>13.71</v>
      </c>
      <c r="F482" s="10">
        <v>14.4499999999999</v>
      </c>
      <c r="G482" s="10">
        <v>54.42</v>
      </c>
      <c r="H482" s="10">
        <v>227.19999999999899</v>
      </c>
      <c r="I482" s="10">
        <v>9.1380000000000003E-2</v>
      </c>
      <c r="J482" s="10">
        <v>4.2759999999999902E-2</v>
      </c>
      <c r="K482" s="10">
        <v>0</v>
      </c>
      <c r="L482" s="10">
        <v>0</v>
      </c>
      <c r="M482" s="10">
        <v>0.17219999999999899</v>
      </c>
      <c r="N482" s="10">
        <v>6.7239999999999897E-2</v>
      </c>
      <c r="O482" s="10">
        <v>0.22040000000000001</v>
      </c>
      <c r="P482" s="10">
        <v>0.7873</v>
      </c>
      <c r="Q482" s="10">
        <v>1.4350000000000001</v>
      </c>
      <c r="R482" s="10">
        <v>11.3599999999999</v>
      </c>
      <c r="S482" s="10">
        <v>9.1719999999999892E-3</v>
      </c>
      <c r="T482" s="10">
        <v>8.0070000000000002E-3</v>
      </c>
      <c r="U482" s="10">
        <v>0</v>
      </c>
      <c r="V482" s="10">
        <v>0</v>
      </c>
      <c r="W482" s="10">
        <v>2.7109999999999902E-2</v>
      </c>
      <c r="X482" s="10">
        <v>3.3990000000000001E-3</v>
      </c>
      <c r="Y482" s="10">
        <v>9.2620000000000005</v>
      </c>
      <c r="Z482" s="10">
        <v>17.0399999999999</v>
      </c>
      <c r="AA482" s="10">
        <v>58.3599999999999</v>
      </c>
      <c r="AB482" s="10">
        <v>259.19999999999902</v>
      </c>
      <c r="AC482" s="10">
        <v>0.1162</v>
      </c>
      <c r="AD482" s="10">
        <v>7.0569999999999897E-2</v>
      </c>
      <c r="AE482" s="10">
        <v>0</v>
      </c>
      <c r="AF482" s="10">
        <v>0</v>
      </c>
      <c r="AG482" s="10">
        <v>0.25919999999999899</v>
      </c>
      <c r="AH482">
        <v>7.8479999999999897E-2</v>
      </c>
    </row>
    <row r="483" spans="3:34">
      <c r="C483" s="11" t="s">
        <v>397</v>
      </c>
      <c r="D483" s="10" t="s">
        <v>0</v>
      </c>
      <c r="E483" s="10">
        <v>13.71</v>
      </c>
      <c r="F483" s="10">
        <v>17.27</v>
      </c>
      <c r="G483" s="10">
        <v>103.2</v>
      </c>
      <c r="H483" s="10">
        <v>713.29999999999905</v>
      </c>
      <c r="I483" s="10">
        <v>0.13350000000000001</v>
      </c>
      <c r="J483" s="10">
        <v>0.22839999999999899</v>
      </c>
      <c r="K483" s="10">
        <v>0.24479999999999899</v>
      </c>
      <c r="L483" s="10">
        <v>0.1242</v>
      </c>
      <c r="M483" s="10">
        <v>0.23980000000000001</v>
      </c>
      <c r="N483" s="10">
        <v>7.596E-2</v>
      </c>
      <c r="O483" s="10">
        <v>0.65920000000000001</v>
      </c>
      <c r="P483" s="10">
        <v>1.0589999999999899</v>
      </c>
      <c r="Q483" s="10">
        <v>4.0609999999999902</v>
      </c>
      <c r="R483" s="10">
        <v>59.46</v>
      </c>
      <c r="S483" s="10">
        <v>1.01499999999999E-2</v>
      </c>
      <c r="T483" s="10">
        <v>4.58799999999999E-2</v>
      </c>
      <c r="U483" s="10">
        <v>4.9829999999999902E-2</v>
      </c>
      <c r="V483" s="10">
        <v>2.1270000000000001E-2</v>
      </c>
      <c r="W483" s="10">
        <v>1.8839999999999898E-2</v>
      </c>
      <c r="X483" s="10">
        <v>8.6599999999999906E-3</v>
      </c>
      <c r="Y483" s="10">
        <v>17.73</v>
      </c>
      <c r="Z483" s="10">
        <v>22.66</v>
      </c>
      <c r="AA483" s="10">
        <v>119.8</v>
      </c>
      <c r="AB483" s="10">
        <v>928.79999999999905</v>
      </c>
      <c r="AC483" s="10">
        <v>0.17649999999999899</v>
      </c>
      <c r="AD483" s="10">
        <v>0.45029999999999898</v>
      </c>
      <c r="AE483" s="10">
        <v>0.44290000000000002</v>
      </c>
      <c r="AF483" s="10">
        <v>0.22289999999999899</v>
      </c>
      <c r="AG483" s="10">
        <v>0.32579999999999898</v>
      </c>
      <c r="AH483">
        <v>0.1191</v>
      </c>
    </row>
    <row r="484" spans="3:34">
      <c r="C484" s="11" t="s">
        <v>483</v>
      </c>
      <c r="D484" s="10" t="s">
        <v>0</v>
      </c>
      <c r="E484" s="10">
        <v>13.71</v>
      </c>
      <c r="F484" s="10">
        <v>21.68</v>
      </c>
      <c r="G484" s="10">
        <v>129.9</v>
      </c>
      <c r="H484" s="10">
        <v>1194</v>
      </c>
      <c r="I484" s="10">
        <v>9.7970000000000002E-2</v>
      </c>
      <c r="J484" s="10">
        <v>0.13389999999999899</v>
      </c>
      <c r="K484" s="10">
        <v>0.18629999999999899</v>
      </c>
      <c r="L484" s="10">
        <v>0.1103</v>
      </c>
      <c r="M484" s="10">
        <v>0.2082</v>
      </c>
      <c r="N484" s="10">
        <v>5.7149999999999902E-2</v>
      </c>
      <c r="O484" s="10">
        <v>0.62260000000000004</v>
      </c>
      <c r="P484" s="10">
        <v>2.28399999999999</v>
      </c>
      <c r="Q484" s="10">
        <v>5.173</v>
      </c>
      <c r="R484" s="10">
        <v>67.659999999999897</v>
      </c>
      <c r="S484" s="10">
        <v>4.7559999999999903E-3</v>
      </c>
      <c r="T484" s="10">
        <v>3.3680000000000002E-2</v>
      </c>
      <c r="U484" s="10">
        <v>4.3450000000000003E-2</v>
      </c>
      <c r="V484" s="10">
        <v>1.806E-2</v>
      </c>
      <c r="W484" s="10">
        <v>3.7560000000000003E-2</v>
      </c>
      <c r="X484" s="10">
        <v>3.2880000000000001E-3</v>
      </c>
      <c r="Y484" s="10">
        <v>22.75</v>
      </c>
      <c r="Z484" s="10">
        <v>34.659999999999897</v>
      </c>
      <c r="AA484" s="10">
        <v>157.599999999999</v>
      </c>
      <c r="AB484" s="10">
        <v>1540</v>
      </c>
      <c r="AC484" s="10">
        <v>0.12180000000000001</v>
      </c>
      <c r="AD484" s="10">
        <v>0.3458</v>
      </c>
      <c r="AE484" s="10">
        <v>0.47339999999999899</v>
      </c>
      <c r="AF484" s="10">
        <v>0.22550000000000001</v>
      </c>
      <c r="AG484" s="10">
        <v>0.40450000000000003</v>
      </c>
      <c r="AH484">
        <v>7.918E-2</v>
      </c>
    </row>
    <row r="485" spans="3:34">
      <c r="C485" s="11" t="s">
        <v>142</v>
      </c>
      <c r="D485" s="10" t="s">
        <v>0</v>
      </c>
      <c r="E485" s="10">
        <v>19.690000000000001</v>
      </c>
      <c r="F485" s="10">
        <v>21.25</v>
      </c>
      <c r="G485" s="10">
        <v>130</v>
      </c>
      <c r="H485" s="10">
        <v>1203</v>
      </c>
      <c r="I485" s="10">
        <v>0.1096</v>
      </c>
      <c r="J485" s="10">
        <v>0.15989999999999899</v>
      </c>
      <c r="K485" s="10">
        <v>0.19739999999999899</v>
      </c>
      <c r="L485" s="10">
        <v>0.12790000000000001</v>
      </c>
      <c r="M485" s="10">
        <v>0.2069</v>
      </c>
      <c r="N485" s="10">
        <v>5.9990000000000002E-2</v>
      </c>
      <c r="O485" s="10">
        <v>0.74560000000000004</v>
      </c>
      <c r="P485" s="10">
        <v>0.78690000000000004</v>
      </c>
      <c r="Q485" s="10">
        <v>4.585</v>
      </c>
      <c r="R485" s="10">
        <v>94.03</v>
      </c>
      <c r="S485" s="10">
        <v>6.1500000000000001E-3</v>
      </c>
      <c r="T485" s="10">
        <v>4.0059999999999901E-2</v>
      </c>
      <c r="U485" s="10">
        <v>3.832E-2</v>
      </c>
      <c r="V485" s="10">
        <v>2.0580000000000001E-2</v>
      </c>
      <c r="W485" s="10">
        <v>2.2499999999999899E-2</v>
      </c>
      <c r="X485" s="10">
        <v>4.5710000000000004E-3</v>
      </c>
      <c r="Y485" s="10">
        <v>23.57</v>
      </c>
      <c r="Z485" s="10">
        <v>25.53</v>
      </c>
      <c r="AA485" s="10">
        <v>152.5</v>
      </c>
      <c r="AB485" s="10">
        <v>1709</v>
      </c>
      <c r="AC485" s="10">
        <v>0.1444</v>
      </c>
      <c r="AD485" s="10">
        <v>0.42449999999999899</v>
      </c>
      <c r="AE485" s="10">
        <v>0.45040000000000002</v>
      </c>
      <c r="AF485" s="10">
        <v>0.24299999999999899</v>
      </c>
      <c r="AG485" s="10">
        <v>0.36130000000000001</v>
      </c>
      <c r="AH485">
        <v>8.7580000000000005E-2</v>
      </c>
    </row>
    <row r="486" spans="3:34">
      <c r="C486" s="11" t="s">
        <v>651</v>
      </c>
      <c r="D486" s="10" t="s">
        <v>1</v>
      </c>
      <c r="E486" s="10">
        <v>13.71</v>
      </c>
      <c r="F486" s="10">
        <v>14.6999999999999</v>
      </c>
      <c r="G486" s="10">
        <v>94.659999999999897</v>
      </c>
      <c r="H486" s="10">
        <v>680.7</v>
      </c>
      <c r="I486" s="10">
        <v>8.4720000000000004E-2</v>
      </c>
      <c r="J486" s="10">
        <v>5.0160000000000003E-2</v>
      </c>
      <c r="K486" s="10">
        <v>3.4160000000000003E-2</v>
      </c>
      <c r="L486" s="10">
        <v>2.5409999999999901E-2</v>
      </c>
      <c r="M486" s="10">
        <v>0.16589999999999899</v>
      </c>
      <c r="N486" s="10">
        <v>5.348E-2</v>
      </c>
      <c r="O486" s="10">
        <v>0.21820000000000001</v>
      </c>
      <c r="P486" s="10">
        <v>0.62319999999999898</v>
      </c>
      <c r="Q486" s="10">
        <v>1.677</v>
      </c>
      <c r="R486" s="10">
        <v>20.719999999999899</v>
      </c>
      <c r="S486" s="10">
        <v>6.7080000000000004E-3</v>
      </c>
      <c r="T486" s="10">
        <v>1.197E-2</v>
      </c>
      <c r="U486" s="10">
        <v>1.482E-2</v>
      </c>
      <c r="V486" s="10">
        <v>1.056E-2</v>
      </c>
      <c r="W486" s="10">
        <v>1.5800000000000002E-2</v>
      </c>
      <c r="X486" s="10">
        <v>1.779E-3</v>
      </c>
      <c r="Y486" s="10">
        <v>15.6099999999999</v>
      </c>
      <c r="Z486" s="10">
        <v>17.579999999999899</v>
      </c>
      <c r="AA486" s="10">
        <v>101.7</v>
      </c>
      <c r="AB486" s="10">
        <v>760.2</v>
      </c>
      <c r="AC486" s="10">
        <v>0.1139</v>
      </c>
      <c r="AD486" s="10">
        <v>0.1011</v>
      </c>
      <c r="AE486" s="10">
        <v>0.1101</v>
      </c>
      <c r="AF486" s="10">
        <v>7.9549999999999899E-2</v>
      </c>
      <c r="AG486" s="10">
        <v>0.2334</v>
      </c>
      <c r="AH486">
        <v>6.1420000000000002E-2</v>
      </c>
    </row>
    <row r="487" spans="3:34">
      <c r="C487" s="11" t="s">
        <v>432</v>
      </c>
      <c r="D487" s="10" t="s">
        <v>1</v>
      </c>
      <c r="E487" s="10">
        <v>13.71</v>
      </c>
      <c r="F487" s="10">
        <v>16.02</v>
      </c>
      <c r="G487" s="10">
        <v>83.14</v>
      </c>
      <c r="H487" s="10">
        <v>513.70000000000005</v>
      </c>
      <c r="I487" s="10">
        <v>0.10050000000000001</v>
      </c>
      <c r="J487" s="10">
        <v>7.9430000000000001E-2</v>
      </c>
      <c r="K487" s="10">
        <v>6.1550000000000001E-2</v>
      </c>
      <c r="L487" s="10">
        <v>3.3700000000000001E-2</v>
      </c>
      <c r="M487" s="10">
        <v>0.17299999999999899</v>
      </c>
      <c r="N487" s="10">
        <v>6.4699999999999896E-2</v>
      </c>
      <c r="O487" s="10">
        <v>0.2094</v>
      </c>
      <c r="P487" s="10">
        <v>0.76359999999999895</v>
      </c>
      <c r="Q487" s="10">
        <v>1.2310000000000001</v>
      </c>
      <c r="R487" s="10">
        <v>17.670000000000002</v>
      </c>
      <c r="S487" s="10">
        <v>8.7250000000000001E-3</v>
      </c>
      <c r="T487" s="10">
        <v>2.0029999999999899E-2</v>
      </c>
      <c r="U487" s="10">
        <v>2.3349999999999899E-2</v>
      </c>
      <c r="V487" s="10">
        <v>1.132E-2</v>
      </c>
      <c r="W487" s="10">
        <v>2.6249999999999898E-2</v>
      </c>
      <c r="X487" s="10">
        <v>4.7260000000000002E-3</v>
      </c>
      <c r="Y487" s="10">
        <v>13.74</v>
      </c>
      <c r="Z487" s="10">
        <v>19.93</v>
      </c>
      <c r="AA487" s="10">
        <v>88.81</v>
      </c>
      <c r="AB487" s="10">
        <v>585.39999999999895</v>
      </c>
      <c r="AC487" s="10">
        <v>0.14829999999999899</v>
      </c>
      <c r="AD487" s="10">
        <v>0.20680000000000001</v>
      </c>
      <c r="AE487" s="10">
        <v>0.22409999999999899</v>
      </c>
      <c r="AF487" s="10">
        <v>0.1056</v>
      </c>
      <c r="AG487" s="10">
        <v>0.33800000000000002</v>
      </c>
      <c r="AH487">
        <v>9.5839999999999897E-2</v>
      </c>
    </row>
    <row r="488" spans="3:34">
      <c r="C488" s="11" t="s">
        <v>706</v>
      </c>
      <c r="D488" s="10" t="s">
        <v>0</v>
      </c>
      <c r="E488" s="10">
        <v>13.71</v>
      </c>
      <c r="F488" s="10">
        <v>28.079999999999899</v>
      </c>
      <c r="G488" s="10">
        <v>108.3</v>
      </c>
      <c r="H488" s="10">
        <v>858.1</v>
      </c>
      <c r="I488" s="10">
        <v>8.455E-2</v>
      </c>
      <c r="J488" s="10">
        <v>0.1023</v>
      </c>
      <c r="K488" s="10">
        <v>9.2509999999999898E-2</v>
      </c>
      <c r="L488" s="10">
        <v>5.3019999999999901E-2</v>
      </c>
      <c r="M488" s="10">
        <v>0.159</v>
      </c>
      <c r="N488" s="10">
        <v>5.6480000000000002E-2</v>
      </c>
      <c r="O488" s="10">
        <v>0.45639999999999897</v>
      </c>
      <c r="P488" s="10">
        <v>1.075</v>
      </c>
      <c r="Q488" s="10">
        <v>3.4249999999999901</v>
      </c>
      <c r="R488" s="10">
        <v>48.549999999999898</v>
      </c>
      <c r="S488" s="10">
        <v>5.9030000000000003E-3</v>
      </c>
      <c r="T488" s="10">
        <v>3.7310000000000003E-2</v>
      </c>
      <c r="U488" s="10">
        <v>4.7300000000000002E-2</v>
      </c>
      <c r="V488" s="10">
        <v>1.5570000000000001E-2</v>
      </c>
      <c r="W488" s="10">
        <v>1.3180000000000001E-2</v>
      </c>
      <c r="X488" s="10">
        <v>3.8920000000000001E-3</v>
      </c>
      <c r="Y488" s="10">
        <v>18.98</v>
      </c>
      <c r="Z488" s="10">
        <v>34.119999999999898</v>
      </c>
      <c r="AA488" s="10">
        <v>126.7</v>
      </c>
      <c r="AB488" s="10">
        <v>1124</v>
      </c>
      <c r="AC488" s="10">
        <v>0.1139</v>
      </c>
      <c r="AD488" s="10">
        <v>0.30940000000000001</v>
      </c>
      <c r="AE488" s="10">
        <v>0.34029999999999899</v>
      </c>
      <c r="AF488" s="10">
        <v>0.14180000000000001</v>
      </c>
      <c r="AG488" s="10">
        <v>0.2218</v>
      </c>
      <c r="AH488">
        <v>7.8200000000000006E-2</v>
      </c>
    </row>
    <row r="489" spans="3:34">
      <c r="C489" s="11" t="s">
        <v>458</v>
      </c>
      <c r="D489" s="10" t="s">
        <v>1</v>
      </c>
      <c r="E489" s="10">
        <v>13.71</v>
      </c>
      <c r="F489" s="10">
        <v>18.899999999999899</v>
      </c>
      <c r="G489" s="10">
        <v>60.07</v>
      </c>
      <c r="H489" s="10">
        <v>244.5</v>
      </c>
      <c r="I489" s="10">
        <v>9.9680000000000005E-2</v>
      </c>
      <c r="J489" s="10">
        <v>0.19719999999999899</v>
      </c>
      <c r="K489" s="10">
        <v>0.19750000000000001</v>
      </c>
      <c r="L489" s="10">
        <v>4.9079999999999901E-2</v>
      </c>
      <c r="M489" s="10">
        <v>0.23300000000000001</v>
      </c>
      <c r="N489" s="10">
        <v>8.7429999999999897E-2</v>
      </c>
      <c r="O489" s="10">
        <v>0.46529999999999899</v>
      </c>
      <c r="P489" s="10">
        <v>1.911</v>
      </c>
      <c r="Q489" s="10">
        <v>3.7690000000000001</v>
      </c>
      <c r="R489" s="10">
        <v>24.1999999999999</v>
      </c>
      <c r="S489" s="10">
        <v>9.8449999999999892E-3</v>
      </c>
      <c r="T489" s="10">
        <v>6.59E-2</v>
      </c>
      <c r="U489" s="10">
        <v>0.1027</v>
      </c>
      <c r="V489" s="10">
        <v>2.5270000000000001E-2</v>
      </c>
      <c r="W489" s="10">
        <v>3.4909999999999899E-2</v>
      </c>
      <c r="X489" s="10">
        <v>7.8770000000000003E-3</v>
      </c>
      <c r="Y489" s="10">
        <v>10.06</v>
      </c>
      <c r="Z489" s="10">
        <v>23.399999999999899</v>
      </c>
      <c r="AA489" s="10">
        <v>68.62</v>
      </c>
      <c r="AB489" s="10">
        <v>297.10000000000002</v>
      </c>
      <c r="AC489" s="10">
        <v>0.1221</v>
      </c>
      <c r="AD489" s="10">
        <v>0.37480000000000002</v>
      </c>
      <c r="AE489" s="10">
        <v>0.46089999999999898</v>
      </c>
      <c r="AF489" s="10">
        <v>0.1145</v>
      </c>
      <c r="AG489" s="10">
        <v>0.3135</v>
      </c>
      <c r="AH489">
        <v>0.1055</v>
      </c>
    </row>
    <row r="490" spans="3:34">
      <c r="C490" s="11" t="s">
        <v>158</v>
      </c>
      <c r="D490" s="10" t="s">
        <v>0</v>
      </c>
      <c r="E490" s="10">
        <v>13.71</v>
      </c>
      <c r="F490" s="10">
        <v>22.149999999999899</v>
      </c>
      <c r="G490" s="10">
        <v>130</v>
      </c>
      <c r="H490" s="10">
        <v>1260</v>
      </c>
      <c r="I490" s="10">
        <v>9.8309999999999897E-2</v>
      </c>
      <c r="J490" s="10">
        <v>0.1027</v>
      </c>
      <c r="K490" s="10">
        <v>0.1479</v>
      </c>
      <c r="L490" s="10">
        <v>9.4979999999999898E-2</v>
      </c>
      <c r="M490" s="10">
        <v>0.15820000000000001</v>
      </c>
      <c r="N490" s="10">
        <v>5.3949999999999901E-2</v>
      </c>
      <c r="O490" s="10">
        <v>0.75819999999999899</v>
      </c>
      <c r="P490" s="10">
        <v>1.0169999999999899</v>
      </c>
      <c r="Q490" s="10">
        <v>5.8650000000000002</v>
      </c>
      <c r="R490" s="10">
        <v>112.4</v>
      </c>
      <c r="S490" s="10">
        <v>6.4939999999999902E-3</v>
      </c>
      <c r="T490" s="10">
        <v>1.8929999999999898E-2</v>
      </c>
      <c r="U490" s="10">
        <v>3.3910000000000003E-2</v>
      </c>
      <c r="V490" s="10">
        <v>1.521E-2</v>
      </c>
      <c r="W490" s="10">
        <v>1.35599999999999E-2</v>
      </c>
      <c r="X490" s="10">
        <v>1.9970000000000001E-3</v>
      </c>
      <c r="Y490" s="10">
        <v>27.32</v>
      </c>
      <c r="Z490" s="10">
        <v>30.8799999999999</v>
      </c>
      <c r="AA490" s="10">
        <v>186.8</v>
      </c>
      <c r="AB490" s="10">
        <v>2398</v>
      </c>
      <c r="AC490" s="10">
        <v>0.1512</v>
      </c>
      <c r="AD490" s="10">
        <v>0.315</v>
      </c>
      <c r="AE490" s="10">
        <v>0.53720000000000001</v>
      </c>
      <c r="AF490" s="10">
        <v>0.23880000000000001</v>
      </c>
      <c r="AG490" s="10">
        <v>0.27679999999999899</v>
      </c>
      <c r="AH490">
        <v>7.6149999999999898E-2</v>
      </c>
    </row>
    <row r="491" spans="3:34">
      <c r="C491" s="11" t="s">
        <v>422</v>
      </c>
      <c r="D491" s="10" t="s">
        <v>0</v>
      </c>
      <c r="E491" s="10">
        <v>13.71</v>
      </c>
      <c r="F491" s="10">
        <v>18.18</v>
      </c>
      <c r="G491" s="10">
        <v>127.2</v>
      </c>
      <c r="H491" s="10">
        <v>1145</v>
      </c>
      <c r="I491" s="10">
        <v>0.1037</v>
      </c>
      <c r="J491" s="10">
        <v>0.144199999999999</v>
      </c>
      <c r="K491" s="10">
        <v>0.162599999999999</v>
      </c>
      <c r="L491" s="10">
        <v>9.4640000000000002E-2</v>
      </c>
      <c r="M491" s="10">
        <v>0.1893</v>
      </c>
      <c r="N491" s="10">
        <v>5.892E-2</v>
      </c>
      <c r="O491" s="10">
        <v>0.47089999999999899</v>
      </c>
      <c r="P491" s="10">
        <v>0.99509999999999899</v>
      </c>
      <c r="Q491" s="10">
        <v>2.903</v>
      </c>
      <c r="R491" s="10">
        <v>53.159999999999897</v>
      </c>
      <c r="S491" s="10">
        <v>5.6540000000000002E-3</v>
      </c>
      <c r="T491" s="10">
        <v>2.1989999999999899E-2</v>
      </c>
      <c r="U491" s="10">
        <v>3.0589999999999899E-2</v>
      </c>
      <c r="V491" s="10">
        <v>1.499E-2</v>
      </c>
      <c r="W491" s="10">
        <v>1.6230000000000001E-2</v>
      </c>
      <c r="X491" s="10">
        <v>1.9650000000000002E-3</v>
      </c>
      <c r="Y491" s="10">
        <v>23.7899999999999</v>
      </c>
      <c r="Z491" s="10">
        <v>28.649999999999899</v>
      </c>
      <c r="AA491" s="10">
        <v>152.4</v>
      </c>
      <c r="AB491" s="10">
        <v>1628</v>
      </c>
      <c r="AC491" s="10">
        <v>0.15179999999999899</v>
      </c>
      <c r="AD491" s="10">
        <v>0.37490000000000001</v>
      </c>
      <c r="AE491" s="10">
        <v>0.43159999999999898</v>
      </c>
      <c r="AF491" s="10">
        <v>0.22520000000000001</v>
      </c>
      <c r="AG491" s="10">
        <v>0.35899999999999899</v>
      </c>
      <c r="AH491">
        <v>7.7869999999999898E-2</v>
      </c>
    </row>
    <row r="492" spans="3:34">
      <c r="C492" s="11" t="s">
        <v>213</v>
      </c>
      <c r="D492" s="10" t="s">
        <v>0</v>
      </c>
      <c r="E492" s="10">
        <v>13.71</v>
      </c>
      <c r="F492" s="10">
        <v>15.7899999999999</v>
      </c>
      <c r="G492" s="10">
        <v>90.43</v>
      </c>
      <c r="H492" s="10">
        <v>584.1</v>
      </c>
      <c r="I492" s="10">
        <v>0.1007</v>
      </c>
      <c r="J492" s="10">
        <v>0.128</v>
      </c>
      <c r="K492" s="10">
        <v>7.7890000000000001E-2</v>
      </c>
      <c r="L492" s="10">
        <v>5.0689999999999902E-2</v>
      </c>
      <c r="M492" s="10">
        <v>0.16619999999999899</v>
      </c>
      <c r="N492" s="10">
        <v>6.5659999999999899E-2</v>
      </c>
      <c r="O492" s="10">
        <v>0.2787</v>
      </c>
      <c r="P492" s="10">
        <v>0.62050000000000005</v>
      </c>
      <c r="Q492" s="10">
        <v>1.9570000000000001</v>
      </c>
      <c r="R492" s="10">
        <v>23.35</v>
      </c>
      <c r="S492" s="10">
        <v>4.7169999999999903E-3</v>
      </c>
      <c r="T492" s="10">
        <v>2.0650000000000002E-2</v>
      </c>
      <c r="U492" s="10">
        <v>1.7590000000000001E-2</v>
      </c>
      <c r="V492" s="10">
        <v>9.2060000000000006E-3</v>
      </c>
      <c r="W492" s="10">
        <v>1.2200000000000001E-2</v>
      </c>
      <c r="X492" s="10">
        <v>3.13E-3</v>
      </c>
      <c r="Y492" s="10">
        <v>16.57</v>
      </c>
      <c r="Z492" s="10">
        <v>20.8599999999999</v>
      </c>
      <c r="AA492" s="10">
        <v>110.3</v>
      </c>
      <c r="AB492" s="10">
        <v>812.39999999999895</v>
      </c>
      <c r="AC492" s="10">
        <v>0.1411</v>
      </c>
      <c r="AD492" s="10">
        <v>0.35420000000000001</v>
      </c>
      <c r="AE492" s="10">
        <v>0.27789999999999898</v>
      </c>
      <c r="AF492" s="10">
        <v>0.13830000000000001</v>
      </c>
      <c r="AG492" s="10">
        <v>0.25890000000000002</v>
      </c>
      <c r="AH492">
        <v>0.102999999999999</v>
      </c>
    </row>
    <row r="493" spans="3:34">
      <c r="C493" s="11" t="s">
        <v>518</v>
      </c>
      <c r="D493" s="10" t="s">
        <v>1</v>
      </c>
      <c r="E493" s="10">
        <v>13.71</v>
      </c>
      <c r="F493" s="10">
        <v>15.15</v>
      </c>
      <c r="G493" s="10">
        <v>88.269999999999897</v>
      </c>
      <c r="H493" s="10">
        <v>580.6</v>
      </c>
      <c r="I493" s="10">
        <v>8.2680000000000003E-2</v>
      </c>
      <c r="J493" s="10">
        <v>7.5480000000000005E-2</v>
      </c>
      <c r="K493" s="10">
        <v>4.249E-2</v>
      </c>
      <c r="L493" s="10">
        <v>2.4709999999999899E-2</v>
      </c>
      <c r="M493" s="10">
        <v>0.1792</v>
      </c>
      <c r="N493" s="10">
        <v>5.8970000000000002E-2</v>
      </c>
      <c r="O493" s="10">
        <v>0.14019999999999899</v>
      </c>
      <c r="P493" s="10">
        <v>0.54169999999999896</v>
      </c>
      <c r="Q493" s="10">
        <v>1.101</v>
      </c>
      <c r="R493" s="10">
        <v>11.35</v>
      </c>
      <c r="S493" s="10">
        <v>5.2119999999999901E-3</v>
      </c>
      <c r="T493" s="10">
        <v>2.9839999999999901E-2</v>
      </c>
      <c r="U493" s="10">
        <v>2.443E-2</v>
      </c>
      <c r="V493" s="10">
        <v>8.3560000000000006E-3</v>
      </c>
      <c r="W493" s="10">
        <v>1.8180000000000002E-2</v>
      </c>
      <c r="X493" s="10">
        <v>4.8679999999999904E-3</v>
      </c>
      <c r="Y493" s="10">
        <v>14.5399999999999</v>
      </c>
      <c r="Z493" s="10">
        <v>19.64</v>
      </c>
      <c r="AA493" s="10">
        <v>97.959999999999894</v>
      </c>
      <c r="AB493" s="10">
        <v>657</v>
      </c>
      <c r="AC493" s="10">
        <v>0.1275</v>
      </c>
      <c r="AD493" s="10">
        <v>0.31040000000000001</v>
      </c>
      <c r="AE493" s="10">
        <v>0.25690000000000002</v>
      </c>
      <c r="AF493" s="10">
        <v>0.10539999999999899</v>
      </c>
      <c r="AG493" s="10">
        <v>0.3387</v>
      </c>
      <c r="AH493">
        <v>9.6379999999999896E-2</v>
      </c>
    </row>
    <row r="494" spans="3:34">
      <c r="C494" s="11" t="s">
        <v>240</v>
      </c>
      <c r="D494" s="10" t="s">
        <v>0</v>
      </c>
      <c r="E494" s="10">
        <v>13.71</v>
      </c>
      <c r="F494" s="10">
        <v>24.98</v>
      </c>
      <c r="G494" s="10">
        <v>88.049999999999898</v>
      </c>
      <c r="H494" s="10">
        <v>582.70000000000005</v>
      </c>
      <c r="I494" s="10">
        <v>9.4880000000000006E-2</v>
      </c>
      <c r="J494" s="10">
        <v>8.5110000000000005E-2</v>
      </c>
      <c r="K494" s="10">
        <v>8.6249999999999896E-2</v>
      </c>
      <c r="L494" s="10">
        <v>4.4889999999999902E-2</v>
      </c>
      <c r="M494" s="10">
        <v>0.16089999999999899</v>
      </c>
      <c r="N494" s="10">
        <v>5.8709999999999901E-2</v>
      </c>
      <c r="O494" s="10">
        <v>0.45650000000000002</v>
      </c>
      <c r="P494" s="10">
        <v>1.29</v>
      </c>
      <c r="Q494" s="10">
        <v>2.8610000000000002</v>
      </c>
      <c r="R494" s="10">
        <v>43.14</v>
      </c>
      <c r="S494" s="10">
        <v>5.8719999999999901E-3</v>
      </c>
      <c r="T494" s="10">
        <v>1.4880000000000001E-2</v>
      </c>
      <c r="U494" s="10">
        <v>2.647E-2</v>
      </c>
      <c r="V494" s="10">
        <v>9.9209999999999906E-3</v>
      </c>
      <c r="W494" s="10">
        <v>1.465E-2</v>
      </c>
      <c r="X494" s="10">
        <v>2.3549999999999899E-3</v>
      </c>
      <c r="Y494" s="10">
        <v>16.989999999999899</v>
      </c>
      <c r="Z494" s="10">
        <v>35.270000000000003</v>
      </c>
      <c r="AA494" s="10">
        <v>108.599999999999</v>
      </c>
      <c r="AB494" s="10">
        <v>906.5</v>
      </c>
      <c r="AC494" s="10">
        <v>0.1265</v>
      </c>
      <c r="AD494" s="10">
        <v>0.1943</v>
      </c>
      <c r="AE494" s="10">
        <v>0.31690000000000002</v>
      </c>
      <c r="AF494" s="10">
        <v>0.11840000000000001</v>
      </c>
      <c r="AG494" s="10">
        <v>0.2651</v>
      </c>
      <c r="AH494">
        <v>7.3969999999999897E-2</v>
      </c>
    </row>
    <row r="495" spans="3:34">
      <c r="C495" s="11" t="s">
        <v>503</v>
      </c>
      <c r="D495" s="10" t="s">
        <v>1</v>
      </c>
      <c r="E495" s="10">
        <v>13.71</v>
      </c>
      <c r="F495" s="10">
        <v>18.2899999999999</v>
      </c>
      <c r="G495" s="10">
        <v>106.599999999999</v>
      </c>
      <c r="H495" s="10">
        <v>838.1</v>
      </c>
      <c r="I495" s="10">
        <v>9.6860000000000002E-2</v>
      </c>
      <c r="J495" s="10">
        <v>8.4680000000000005E-2</v>
      </c>
      <c r="K495" s="10">
        <v>5.8619999999999901E-2</v>
      </c>
      <c r="L495" s="10">
        <v>4.83499999999999E-2</v>
      </c>
      <c r="M495" s="10">
        <v>0.14949999999999899</v>
      </c>
      <c r="N495" s="10">
        <v>5.5930000000000001E-2</v>
      </c>
      <c r="O495" s="10">
        <v>0.33889999999999898</v>
      </c>
      <c r="P495" s="10">
        <v>1.4390000000000001</v>
      </c>
      <c r="Q495" s="10">
        <v>2.3439999999999901</v>
      </c>
      <c r="R495" s="10">
        <v>33.579999999999899</v>
      </c>
      <c r="S495" s="10">
        <v>7.2570000000000004E-3</v>
      </c>
      <c r="T495" s="10">
        <v>1.805E-2</v>
      </c>
      <c r="U495" s="10">
        <v>1.8319999999999899E-2</v>
      </c>
      <c r="V495" s="10">
        <v>1.0330000000000001E-2</v>
      </c>
      <c r="W495" s="10">
        <v>1.694E-2</v>
      </c>
      <c r="X495" s="10">
        <v>2.0010000000000002E-3</v>
      </c>
      <c r="Y495" s="10">
        <v>18.1299999999999</v>
      </c>
      <c r="Z495" s="10">
        <v>25.4499999999999</v>
      </c>
      <c r="AA495" s="10">
        <v>117.2</v>
      </c>
      <c r="AB495" s="10">
        <v>1009</v>
      </c>
      <c r="AC495" s="10">
        <v>0.1338</v>
      </c>
      <c r="AD495" s="10">
        <v>0.16789999999999899</v>
      </c>
      <c r="AE495" s="10">
        <v>0.1663</v>
      </c>
      <c r="AF495" s="10">
        <v>9.1230000000000006E-2</v>
      </c>
      <c r="AG495" s="10">
        <v>0.2394</v>
      </c>
      <c r="AH495">
        <v>6.46899999999999E-2</v>
      </c>
    </row>
    <row r="496" spans="3:34">
      <c r="C496" s="11" t="s">
        <v>438</v>
      </c>
      <c r="D496" s="10" t="s">
        <v>1</v>
      </c>
      <c r="E496" s="10">
        <v>13.71</v>
      </c>
      <c r="F496" s="10">
        <v>18.170000000000002</v>
      </c>
      <c r="G496" s="10">
        <v>91.219999999999899</v>
      </c>
      <c r="H496" s="10">
        <v>633.1</v>
      </c>
      <c r="I496" s="10">
        <v>6.5759999999999902E-2</v>
      </c>
      <c r="J496" s="10">
        <v>5.2200000000000003E-2</v>
      </c>
      <c r="K496" s="10">
        <v>2.4750000000000001E-2</v>
      </c>
      <c r="L496" s="10">
        <v>1.374E-2</v>
      </c>
      <c r="M496" s="10">
        <v>0.16350000000000001</v>
      </c>
      <c r="N496" s="10">
        <v>5.586E-2</v>
      </c>
      <c r="O496" s="10">
        <v>0.23</v>
      </c>
      <c r="P496" s="10">
        <v>0.66900000000000004</v>
      </c>
      <c r="Q496" s="10">
        <v>1.661</v>
      </c>
      <c r="R496" s="10">
        <v>20.559999999999899</v>
      </c>
      <c r="S496" s="10">
        <v>3.16899999999999E-3</v>
      </c>
      <c r="T496" s="10">
        <v>1.37699999999999E-2</v>
      </c>
      <c r="U496" s="10">
        <v>1.07899999999999E-2</v>
      </c>
      <c r="V496" s="10">
        <v>5.2430000000000003E-3</v>
      </c>
      <c r="W496" s="10">
        <v>1.103E-2</v>
      </c>
      <c r="X496" s="10">
        <v>1.957E-3</v>
      </c>
      <c r="Y496" s="10">
        <v>16.219999999999899</v>
      </c>
      <c r="Z496" s="10">
        <v>25.26</v>
      </c>
      <c r="AA496" s="10">
        <v>105.8</v>
      </c>
      <c r="AB496" s="10">
        <v>819.7</v>
      </c>
      <c r="AC496" s="10">
        <v>9.4450000000000006E-2</v>
      </c>
      <c r="AD496" s="10">
        <v>0.2167</v>
      </c>
      <c r="AE496" s="10">
        <v>0.1565</v>
      </c>
      <c r="AF496" s="10">
        <v>7.5300000000000006E-2</v>
      </c>
      <c r="AG496" s="10">
        <v>0.2636</v>
      </c>
      <c r="AH496">
        <v>7.6759999999999898E-2</v>
      </c>
    </row>
    <row r="497" spans="3:34">
      <c r="C497" s="11" t="s">
        <v>197</v>
      </c>
      <c r="D497" s="10" t="s">
        <v>0</v>
      </c>
      <c r="E497" s="10">
        <v>13.71</v>
      </c>
      <c r="F497" s="10">
        <v>21.59</v>
      </c>
      <c r="G497" s="10">
        <v>95.549999999999898</v>
      </c>
      <c r="H497" s="10">
        <v>656.89999999999895</v>
      </c>
      <c r="I497" s="10">
        <v>0.1137</v>
      </c>
      <c r="J497" s="10">
        <v>0.13650000000000001</v>
      </c>
      <c r="K497" s="10">
        <v>0.1293</v>
      </c>
      <c r="L497" s="10">
        <v>8.12299999999999E-2</v>
      </c>
      <c r="M497" s="10">
        <v>0.20269999999999899</v>
      </c>
      <c r="N497" s="10">
        <v>6.7580000000000001E-2</v>
      </c>
      <c r="O497" s="10">
        <v>0.42259999999999898</v>
      </c>
      <c r="P497" s="10">
        <v>1.1499999999999899</v>
      </c>
      <c r="Q497" s="10">
        <v>2.7349999999999901</v>
      </c>
      <c r="R497" s="10">
        <v>40.090000000000003</v>
      </c>
      <c r="S497" s="10">
        <v>3.65899999999999E-3</v>
      </c>
      <c r="T497" s="10">
        <v>2.8549999999999898E-2</v>
      </c>
      <c r="U497" s="10">
        <v>2.572E-2</v>
      </c>
      <c r="V497" s="10">
        <v>1.272E-2</v>
      </c>
      <c r="W497" s="10">
        <v>1.8169999999999902E-2</v>
      </c>
      <c r="X497" s="10">
        <v>4.1079999999999901E-3</v>
      </c>
      <c r="Y497" s="10">
        <v>17.87</v>
      </c>
      <c r="Z497" s="10">
        <v>30.6999999999999</v>
      </c>
      <c r="AA497" s="10">
        <v>115.7</v>
      </c>
      <c r="AB497" s="10">
        <v>985.5</v>
      </c>
      <c r="AC497" s="10">
        <v>0.1368</v>
      </c>
      <c r="AD497" s="10">
        <v>0.42899999999999899</v>
      </c>
      <c r="AE497" s="10">
        <v>0.35870000000000002</v>
      </c>
      <c r="AF497" s="10">
        <v>0.18340000000000001</v>
      </c>
      <c r="AG497" s="10">
        <v>0.36980000000000002</v>
      </c>
      <c r="AH497">
        <v>0.1094</v>
      </c>
    </row>
    <row r="498" spans="3:34">
      <c r="C498" s="11" t="s">
        <v>241</v>
      </c>
      <c r="D498" s="10" t="s">
        <v>1</v>
      </c>
      <c r="E498" s="10">
        <v>13.71</v>
      </c>
      <c r="F498" s="10">
        <v>13.43</v>
      </c>
      <c r="G498" s="10">
        <v>43.7899999999999</v>
      </c>
      <c r="H498" s="10">
        <v>143.5</v>
      </c>
      <c r="I498" s="10">
        <v>0.11700000000000001</v>
      </c>
      <c r="J498" s="10">
        <v>7.56799999999999E-2</v>
      </c>
      <c r="K498" s="10">
        <v>0</v>
      </c>
      <c r="L498" s="10">
        <v>0</v>
      </c>
      <c r="M498" s="10">
        <v>0.193</v>
      </c>
      <c r="N498" s="10">
        <v>7.8179999999999902E-2</v>
      </c>
      <c r="O498" s="10">
        <v>0.22409999999999899</v>
      </c>
      <c r="P498" s="10">
        <v>1.508</v>
      </c>
      <c r="Q498" s="10">
        <v>1.5529999999999899</v>
      </c>
      <c r="R498" s="10">
        <v>9.8330000000000002</v>
      </c>
      <c r="S498" s="10">
        <v>1.0189999999999901E-2</v>
      </c>
      <c r="T498" s="10">
        <v>1.0840000000000001E-2</v>
      </c>
      <c r="U498" s="10">
        <v>0</v>
      </c>
      <c r="V498" s="10">
        <v>0</v>
      </c>
      <c r="W498" s="10">
        <v>2.6589999999999898E-2</v>
      </c>
      <c r="X498" s="10">
        <v>4.1000000000000003E-3</v>
      </c>
      <c r="Y498" s="10">
        <v>7.9299999999999899</v>
      </c>
      <c r="Z498" s="10">
        <v>19.5399999999999</v>
      </c>
      <c r="AA498" s="10">
        <v>50.409999999999897</v>
      </c>
      <c r="AB498" s="10">
        <v>185.19999999999899</v>
      </c>
      <c r="AC498" s="10">
        <v>0.15840000000000001</v>
      </c>
      <c r="AD498" s="10">
        <v>0.1202</v>
      </c>
      <c r="AE498" s="10">
        <v>0</v>
      </c>
      <c r="AF498" s="10">
        <v>0</v>
      </c>
      <c r="AG498" s="10">
        <v>0.29320000000000002</v>
      </c>
      <c r="AH498">
        <v>9.3820000000000001E-2</v>
      </c>
    </row>
    <row r="499" spans="3:34">
      <c r="C499" s="11" t="s">
        <v>364</v>
      </c>
      <c r="D499" s="10" t="s">
        <v>1</v>
      </c>
      <c r="E499" s="10">
        <v>13.71</v>
      </c>
      <c r="F499" s="10">
        <v>17.02</v>
      </c>
      <c r="G499" s="10">
        <v>84.549999999999898</v>
      </c>
      <c r="H499" s="10">
        <v>546.39999999999895</v>
      </c>
      <c r="I499" s="10">
        <v>8.44499999999999E-2</v>
      </c>
      <c r="J499" s="10">
        <v>4.9939999999999901E-2</v>
      </c>
      <c r="K499" s="10">
        <v>3.5540000000000002E-2</v>
      </c>
      <c r="L499" s="10">
        <v>2.4559999999999901E-2</v>
      </c>
      <c r="M499" s="10">
        <v>0.14960000000000001</v>
      </c>
      <c r="N499" s="10">
        <v>5.6739999999999902E-2</v>
      </c>
      <c r="O499" s="10">
        <v>0.29270000000000002</v>
      </c>
      <c r="P499" s="10">
        <v>0.89070000000000005</v>
      </c>
      <c r="Q499" s="10">
        <v>2.044</v>
      </c>
      <c r="R499" s="10">
        <v>24.68</v>
      </c>
      <c r="S499" s="10">
        <v>6.032E-3</v>
      </c>
      <c r="T499" s="10">
        <v>1.1039999999999901E-2</v>
      </c>
      <c r="U499" s="10">
        <v>2.2589999999999898E-2</v>
      </c>
      <c r="V499" s="10">
        <v>9.0570000000000008E-3</v>
      </c>
      <c r="W499" s="10">
        <v>1.482E-2</v>
      </c>
      <c r="X499" s="10">
        <v>2.496E-3</v>
      </c>
      <c r="Y499" s="10">
        <v>15.14</v>
      </c>
      <c r="Z499" s="10">
        <v>23.6</v>
      </c>
      <c r="AA499" s="10">
        <v>98.84</v>
      </c>
      <c r="AB499" s="10">
        <v>708.79999999999905</v>
      </c>
      <c r="AC499" s="10">
        <v>0.12759999999999899</v>
      </c>
      <c r="AD499" s="10">
        <v>0.131099999999999</v>
      </c>
      <c r="AE499" s="10">
        <v>0.17860000000000001</v>
      </c>
      <c r="AF499" s="10">
        <v>9.6780000000000005E-2</v>
      </c>
      <c r="AG499" s="10">
        <v>0.25059999999999899</v>
      </c>
      <c r="AH499">
        <v>7.6230000000000006E-2</v>
      </c>
    </row>
    <row r="500" spans="3:34">
      <c r="C500" s="11" t="s">
        <v>498</v>
      </c>
      <c r="D500" s="10" t="s">
        <v>1</v>
      </c>
      <c r="E500" s="10">
        <v>13.71</v>
      </c>
      <c r="F500" s="10">
        <v>15.49</v>
      </c>
      <c r="G500" s="10">
        <v>56.74</v>
      </c>
      <c r="H500" s="10">
        <v>241</v>
      </c>
      <c r="I500" s="10">
        <v>8.2930000000000004E-2</v>
      </c>
      <c r="J500" s="10">
        <v>7.6980000000000007E-2</v>
      </c>
      <c r="K500" s="10">
        <v>4.7210000000000002E-2</v>
      </c>
      <c r="L500" s="10">
        <v>2.3810000000000001E-2</v>
      </c>
      <c r="M500" s="10">
        <v>0.193</v>
      </c>
      <c r="N500" s="10">
        <v>6.6210000000000005E-2</v>
      </c>
      <c r="O500" s="10">
        <v>0.53810000000000002</v>
      </c>
      <c r="P500" s="10">
        <v>1.2</v>
      </c>
      <c r="Q500" s="10">
        <v>4.2770000000000001</v>
      </c>
      <c r="R500" s="10">
        <v>30.18</v>
      </c>
      <c r="S500" s="10">
        <v>1.093E-2</v>
      </c>
      <c r="T500" s="10">
        <v>2.8989999999999901E-2</v>
      </c>
      <c r="U500" s="10">
        <v>3.2140000000000002E-2</v>
      </c>
      <c r="V500" s="10">
        <v>1.506E-2</v>
      </c>
      <c r="W500" s="10">
        <v>2.8369999999999899E-2</v>
      </c>
      <c r="X500" s="10">
        <v>4.1739999999999902E-3</v>
      </c>
      <c r="Y500" s="10">
        <v>9.9809999999999892</v>
      </c>
      <c r="Z500" s="10">
        <v>17.6999999999999</v>
      </c>
      <c r="AA500" s="10">
        <v>65.269999999999897</v>
      </c>
      <c r="AB500" s="10">
        <v>302</v>
      </c>
      <c r="AC500" s="10">
        <v>0.10150000000000001</v>
      </c>
      <c r="AD500" s="10">
        <v>0.124799999999999</v>
      </c>
      <c r="AE500" s="10">
        <v>9.4409999999999897E-2</v>
      </c>
      <c r="AF500" s="10">
        <v>4.7620000000000003E-2</v>
      </c>
      <c r="AG500" s="10">
        <v>0.24340000000000001</v>
      </c>
      <c r="AH500">
        <v>7.4310000000000001E-2</v>
      </c>
    </row>
    <row r="501" spans="3:34">
      <c r="C501" s="11" t="s">
        <v>202</v>
      </c>
      <c r="D501" s="10" t="s">
        <v>0</v>
      </c>
      <c r="E501" s="10">
        <v>13.71</v>
      </c>
      <c r="F501" s="10">
        <v>22.149999999999899</v>
      </c>
      <c r="G501" s="10">
        <v>96.42</v>
      </c>
      <c r="H501" s="10">
        <v>645.70000000000005</v>
      </c>
      <c r="I501" s="10">
        <v>0.10489999999999899</v>
      </c>
      <c r="J501" s="10">
        <v>0.20080000000000001</v>
      </c>
      <c r="K501" s="10">
        <v>0.2135</v>
      </c>
      <c r="L501" s="10">
        <v>8.6529999999999899E-2</v>
      </c>
      <c r="M501" s="10">
        <v>0.19489999999999899</v>
      </c>
      <c r="N501" s="10">
        <v>7.2919999999999902E-2</v>
      </c>
      <c r="O501" s="10">
        <v>0.7036</v>
      </c>
      <c r="P501" s="10">
        <v>1.268</v>
      </c>
      <c r="Q501" s="10">
        <v>5.3730000000000002</v>
      </c>
      <c r="R501" s="10">
        <v>60.78</v>
      </c>
      <c r="S501" s="10">
        <v>9.4070000000000004E-3</v>
      </c>
      <c r="T501" s="10">
        <v>7.0559999999999901E-2</v>
      </c>
      <c r="U501" s="10">
        <v>6.8989999999999899E-2</v>
      </c>
      <c r="V501" s="10">
        <v>1.848E-2</v>
      </c>
      <c r="W501" s="10">
        <v>1.7000000000000001E-2</v>
      </c>
      <c r="X501" s="10">
        <v>6.1130000000000004E-3</v>
      </c>
      <c r="Y501" s="10">
        <v>17.670000000000002</v>
      </c>
      <c r="Z501" s="10">
        <v>29.51</v>
      </c>
      <c r="AA501" s="10">
        <v>119.099999999999</v>
      </c>
      <c r="AB501" s="10">
        <v>959.5</v>
      </c>
      <c r="AC501" s="10">
        <v>0.16400000000000001</v>
      </c>
      <c r="AD501" s="10">
        <v>0.62470000000000003</v>
      </c>
      <c r="AE501" s="10">
        <v>0.69220000000000004</v>
      </c>
      <c r="AF501" s="10">
        <v>0.17849999999999899</v>
      </c>
      <c r="AG501" s="10">
        <v>0.28439999999999899</v>
      </c>
      <c r="AH501">
        <v>0.1132</v>
      </c>
    </row>
    <row r="502" spans="3:34">
      <c r="C502" s="11" t="s">
        <v>392</v>
      </c>
      <c r="D502" s="10" t="s">
        <v>0</v>
      </c>
      <c r="E502" s="10">
        <v>13.71</v>
      </c>
      <c r="F502" s="10">
        <v>19.82</v>
      </c>
      <c r="G502" s="10">
        <v>130.69999999999899</v>
      </c>
      <c r="H502" s="10">
        <v>1206</v>
      </c>
      <c r="I502" s="10">
        <v>0.1062</v>
      </c>
      <c r="J502" s="10">
        <v>0.18490000000000001</v>
      </c>
      <c r="K502" s="10">
        <v>0.2417</v>
      </c>
      <c r="L502" s="10">
        <v>9.74E-2</v>
      </c>
      <c r="M502" s="10">
        <v>0.17330000000000001</v>
      </c>
      <c r="N502" s="10">
        <v>6.6970000000000002E-2</v>
      </c>
      <c r="O502" s="10">
        <v>0.7661</v>
      </c>
      <c r="P502" s="10">
        <v>0.78</v>
      </c>
      <c r="Q502" s="10">
        <v>4.1150000000000002</v>
      </c>
      <c r="R502" s="10">
        <v>92.81</v>
      </c>
      <c r="S502" s="10">
        <v>8.482E-3</v>
      </c>
      <c r="T502" s="10">
        <v>5.05699999999999E-2</v>
      </c>
      <c r="U502" s="10">
        <v>6.8000000000000005E-2</v>
      </c>
      <c r="V502" s="10">
        <v>1.9709999999999901E-2</v>
      </c>
      <c r="W502" s="10">
        <v>1.4670000000000001E-2</v>
      </c>
      <c r="X502" s="10">
        <v>7.2589999999999903E-3</v>
      </c>
      <c r="Y502" s="10">
        <v>25.28</v>
      </c>
      <c r="Z502" s="10">
        <v>25.59</v>
      </c>
      <c r="AA502" s="10">
        <v>159.80000000000001</v>
      </c>
      <c r="AB502" s="10">
        <v>1933</v>
      </c>
      <c r="AC502" s="10">
        <v>0.17100000000000001</v>
      </c>
      <c r="AD502" s="10">
        <v>0.59550000000000003</v>
      </c>
      <c r="AE502" s="10">
        <v>0.84889999999999899</v>
      </c>
      <c r="AF502" s="10">
        <v>0.25069999999999898</v>
      </c>
      <c r="AG502" s="10">
        <v>0.27489999999999898</v>
      </c>
      <c r="AH502">
        <v>0.12970000000000001</v>
      </c>
    </row>
    <row r="503" spans="3:34">
      <c r="C503" s="11" t="s">
        <v>569</v>
      </c>
      <c r="D503" s="10" t="s">
        <v>1</v>
      </c>
      <c r="E503" s="10">
        <v>13.71</v>
      </c>
      <c r="F503" s="10">
        <v>17.670000000000002</v>
      </c>
      <c r="G503" s="10">
        <v>80.98</v>
      </c>
      <c r="H503" s="10">
        <v>501.3</v>
      </c>
      <c r="I503" s="10">
        <v>7.8960000000000002E-2</v>
      </c>
      <c r="J503" s="10">
        <v>4.5220000000000003E-2</v>
      </c>
      <c r="K503" s="10">
        <v>1.4019999999999901E-2</v>
      </c>
      <c r="L503" s="10">
        <v>1.8350000000000002E-2</v>
      </c>
      <c r="M503" s="10">
        <v>0.1459</v>
      </c>
      <c r="N503" s="10">
        <v>5.5440000000000003E-2</v>
      </c>
      <c r="O503" s="10">
        <v>0.2954</v>
      </c>
      <c r="P503" s="10">
        <v>0.88360000000000005</v>
      </c>
      <c r="Q503" s="10">
        <v>2.109</v>
      </c>
      <c r="R503" s="10">
        <v>23.239999999999899</v>
      </c>
      <c r="S503" s="10">
        <v>7.3369999999999902E-3</v>
      </c>
      <c r="T503" s="10">
        <v>1.174E-2</v>
      </c>
      <c r="U503" s="10">
        <v>5.3829999999999902E-3</v>
      </c>
      <c r="V503" s="10">
        <v>5.6230000000000004E-3</v>
      </c>
      <c r="W503" s="10">
        <v>1.9400000000000001E-2</v>
      </c>
      <c r="X503" s="10">
        <v>1.1800000000000001E-3</v>
      </c>
      <c r="Y503" s="10">
        <v>13.82</v>
      </c>
      <c r="Z503" s="10">
        <v>20.96</v>
      </c>
      <c r="AA503" s="10">
        <v>88.87</v>
      </c>
      <c r="AB503" s="10">
        <v>586.79999999999905</v>
      </c>
      <c r="AC503" s="10">
        <v>0.10680000000000001</v>
      </c>
      <c r="AD503" s="10">
        <v>9.6049999999999899E-2</v>
      </c>
      <c r="AE503" s="10">
        <v>3.4689999999999901E-2</v>
      </c>
      <c r="AF503" s="10">
        <v>3.6119999999999902E-2</v>
      </c>
      <c r="AG503" s="10">
        <v>0.2165</v>
      </c>
      <c r="AH503">
        <v>6.0249999999999901E-2</v>
      </c>
    </row>
    <row r="504" spans="3:34">
      <c r="C504" s="11" t="s">
        <v>540</v>
      </c>
      <c r="D504" s="10" t="s">
        <v>0</v>
      </c>
      <c r="E504" s="10">
        <v>13.71</v>
      </c>
      <c r="F504" s="10">
        <v>21.02</v>
      </c>
      <c r="G504" s="10">
        <v>124.4</v>
      </c>
      <c r="H504" s="10">
        <v>994</v>
      </c>
      <c r="I504" s="10">
        <v>0.123</v>
      </c>
      <c r="J504" s="10">
        <v>0.2576</v>
      </c>
      <c r="K504" s="10">
        <v>0.31890000000000002</v>
      </c>
      <c r="L504" s="10">
        <v>0.1198</v>
      </c>
      <c r="M504" s="10">
        <v>0.21129999999999899</v>
      </c>
      <c r="N504" s="10">
        <v>7.1150000000000005E-2</v>
      </c>
      <c r="O504" s="10">
        <v>0.40300000000000002</v>
      </c>
      <c r="P504" s="10">
        <v>0.77470000000000006</v>
      </c>
      <c r="Q504" s="10">
        <v>3.1230000000000002</v>
      </c>
      <c r="R504" s="10">
        <v>41.509999999999899</v>
      </c>
      <c r="S504" s="10">
        <v>7.1590000000000004E-3</v>
      </c>
      <c r="T504" s="10">
        <v>3.7179999999999901E-2</v>
      </c>
      <c r="U504" s="10">
        <v>6.1650000000000003E-2</v>
      </c>
      <c r="V504" s="10">
        <v>1.051E-2</v>
      </c>
      <c r="W504" s="10">
        <v>1.5910000000000001E-2</v>
      </c>
      <c r="X504" s="10">
        <v>5.0990000000000002E-3</v>
      </c>
      <c r="Y504" s="10">
        <v>20.8</v>
      </c>
      <c r="Z504" s="10">
        <v>27.78</v>
      </c>
      <c r="AA504" s="10">
        <v>149.599999999999</v>
      </c>
      <c r="AB504" s="10">
        <v>1304</v>
      </c>
      <c r="AC504" s="10">
        <v>0.187299999999999</v>
      </c>
      <c r="AD504" s="10">
        <v>0.5917</v>
      </c>
      <c r="AE504" s="10">
        <v>0.90339999999999898</v>
      </c>
      <c r="AF504" s="10">
        <v>0.19639999999999899</v>
      </c>
      <c r="AG504" s="10">
        <v>0.32450000000000001</v>
      </c>
      <c r="AH504">
        <v>0.1198</v>
      </c>
    </row>
    <row r="505" spans="3:34">
      <c r="C505" s="11" t="s">
        <v>465</v>
      </c>
      <c r="D505" s="10" t="s">
        <v>1</v>
      </c>
      <c r="E505" s="10">
        <v>13.71</v>
      </c>
      <c r="F505" s="10">
        <v>17.3</v>
      </c>
      <c r="G505" s="10">
        <v>81.25</v>
      </c>
      <c r="H505" s="10">
        <v>489.89999999999901</v>
      </c>
      <c r="I505" s="10">
        <v>0.1028</v>
      </c>
      <c r="J505" s="10">
        <v>7.664E-2</v>
      </c>
      <c r="K505" s="10">
        <v>3.193E-2</v>
      </c>
      <c r="L505" s="10">
        <v>2.1069999999999901E-2</v>
      </c>
      <c r="M505" s="10">
        <v>0.17069999999999899</v>
      </c>
      <c r="N505" s="10">
        <v>5.98399999999999E-2</v>
      </c>
      <c r="O505" s="10">
        <v>0.20999999999999899</v>
      </c>
      <c r="P505" s="10">
        <v>0.95050000000000001</v>
      </c>
      <c r="Q505" s="10">
        <v>1.5660000000000001</v>
      </c>
      <c r="R505" s="10">
        <v>17.6099999999999</v>
      </c>
      <c r="S505" s="10">
        <v>6.8089999999999904E-3</v>
      </c>
      <c r="T505" s="10">
        <v>9.5139999999999895E-3</v>
      </c>
      <c r="U505" s="10">
        <v>1.329E-2</v>
      </c>
      <c r="V505" s="10">
        <v>6.4739999999999902E-3</v>
      </c>
      <c r="W505" s="10">
        <v>2.0570000000000001E-2</v>
      </c>
      <c r="X505" s="10">
        <v>1.784E-3</v>
      </c>
      <c r="Y505" s="10">
        <v>13.71</v>
      </c>
      <c r="Z505" s="10">
        <v>21.1</v>
      </c>
      <c r="AA505" s="10">
        <v>88.7</v>
      </c>
      <c r="AB505" s="10">
        <v>574.39999999999895</v>
      </c>
      <c r="AC505" s="10">
        <v>0.1384</v>
      </c>
      <c r="AD505" s="10">
        <v>0.1212</v>
      </c>
      <c r="AE505" s="10">
        <v>0.10199999999999899</v>
      </c>
      <c r="AF505" s="10">
        <v>5.602E-2</v>
      </c>
      <c r="AG505" s="10">
        <v>0.26879999999999898</v>
      </c>
      <c r="AH505">
        <v>6.88799999999999E-2</v>
      </c>
    </row>
    <row r="506" spans="3:34">
      <c r="C506" s="11" t="s">
        <v>423</v>
      </c>
      <c r="D506" s="10" t="s">
        <v>0</v>
      </c>
      <c r="E506" s="10">
        <v>13.71</v>
      </c>
      <c r="F506" s="10">
        <v>18.77</v>
      </c>
      <c r="G506" s="10">
        <v>108.8</v>
      </c>
      <c r="H506" s="10">
        <v>805.1</v>
      </c>
      <c r="I506" s="10">
        <v>0.1066</v>
      </c>
      <c r="J506" s="10">
        <v>0.1802</v>
      </c>
      <c r="K506" s="10">
        <v>0.1948</v>
      </c>
      <c r="L506" s="10">
        <v>9.0520000000000003E-2</v>
      </c>
      <c r="M506" s="10">
        <v>0.18759999999999899</v>
      </c>
      <c r="N506" s="10">
        <v>6.6839999999999899E-2</v>
      </c>
      <c r="O506" s="10">
        <v>0.2873</v>
      </c>
      <c r="P506" s="10">
        <v>0.9173</v>
      </c>
      <c r="Q506" s="10">
        <v>2.464</v>
      </c>
      <c r="R506" s="10">
        <v>28.09</v>
      </c>
      <c r="S506" s="10">
        <v>4.5630000000000002E-3</v>
      </c>
      <c r="T506" s="10">
        <v>3.4810000000000001E-2</v>
      </c>
      <c r="U506" s="10">
        <v>3.87199999999999E-2</v>
      </c>
      <c r="V506" s="10">
        <v>1.209E-2</v>
      </c>
      <c r="W506" s="10">
        <v>1.388E-2</v>
      </c>
      <c r="X506" s="10">
        <v>4.0810000000000004E-3</v>
      </c>
      <c r="Y506" s="10">
        <v>18.55</v>
      </c>
      <c r="Z506" s="10">
        <v>25.09</v>
      </c>
      <c r="AA506" s="10">
        <v>126.9</v>
      </c>
      <c r="AB506" s="10">
        <v>1031</v>
      </c>
      <c r="AC506" s="10">
        <v>0.13650000000000001</v>
      </c>
      <c r="AD506" s="10">
        <v>0.47060000000000002</v>
      </c>
      <c r="AE506" s="10">
        <v>0.50260000000000005</v>
      </c>
      <c r="AF506" s="10">
        <v>0.17319999999999899</v>
      </c>
      <c r="AG506" s="10">
        <v>0.27700000000000002</v>
      </c>
      <c r="AH506">
        <v>0.10630000000000001</v>
      </c>
    </row>
    <row r="507" spans="3:34">
      <c r="C507" s="11" t="s">
        <v>497</v>
      </c>
      <c r="D507" s="10" t="s">
        <v>1</v>
      </c>
      <c r="E507" s="10">
        <v>13.71</v>
      </c>
      <c r="F507" s="10">
        <v>16.21</v>
      </c>
      <c r="G507" s="10">
        <v>88.519999999999897</v>
      </c>
      <c r="H507" s="10">
        <v>593.70000000000005</v>
      </c>
      <c r="I507" s="10">
        <v>8.7429999999999897E-2</v>
      </c>
      <c r="J507" s="10">
        <v>5.4919999999999899E-2</v>
      </c>
      <c r="K507" s="10">
        <v>1.502E-2</v>
      </c>
      <c r="L507" s="10">
        <v>2.0879999999999899E-2</v>
      </c>
      <c r="M507" s="10">
        <v>0.1424</v>
      </c>
      <c r="N507" s="10">
        <v>5.883E-2</v>
      </c>
      <c r="O507" s="10">
        <v>0.25430000000000003</v>
      </c>
      <c r="P507" s="10">
        <v>1.363</v>
      </c>
      <c r="Q507" s="10">
        <v>1.7370000000000001</v>
      </c>
      <c r="R507" s="10">
        <v>20.739999999999899</v>
      </c>
      <c r="S507" s="10">
        <v>5.6379999999999902E-3</v>
      </c>
      <c r="T507" s="10">
        <v>7.9389999999999895E-3</v>
      </c>
      <c r="U507" s="10">
        <v>5.254E-3</v>
      </c>
      <c r="V507" s="10">
        <v>6.0419999999999901E-3</v>
      </c>
      <c r="W507" s="10">
        <v>1.5440000000000001E-2</v>
      </c>
      <c r="X507" s="10">
        <v>2.0869999999999899E-3</v>
      </c>
      <c r="Y507" s="10">
        <v>15.1099999999999</v>
      </c>
      <c r="Z507" s="10">
        <v>25.579999999999899</v>
      </c>
      <c r="AA507" s="10">
        <v>96.739999999999895</v>
      </c>
      <c r="AB507" s="10">
        <v>694.39999999999895</v>
      </c>
      <c r="AC507" s="10">
        <v>0.1153</v>
      </c>
      <c r="AD507" s="10">
        <v>0.1008</v>
      </c>
      <c r="AE507" s="10">
        <v>5.2850000000000001E-2</v>
      </c>
      <c r="AF507" s="10">
        <v>5.5559999999999901E-2</v>
      </c>
      <c r="AG507" s="10">
        <v>0.23619999999999899</v>
      </c>
      <c r="AH507">
        <v>7.1129999999999902E-2</v>
      </c>
    </row>
    <row r="508" spans="3:34">
      <c r="C508" s="11" t="s">
        <v>696</v>
      </c>
      <c r="D508" s="10" t="s">
        <v>1</v>
      </c>
      <c r="E508" s="10">
        <v>13.71</v>
      </c>
      <c r="F508" s="10">
        <v>19.59</v>
      </c>
      <c r="G508" s="10">
        <v>64.73</v>
      </c>
      <c r="H508" s="10">
        <v>311.69999999999902</v>
      </c>
      <c r="I508" s="10">
        <v>0.1003</v>
      </c>
      <c r="J508" s="10">
        <v>7.5039999999999898E-2</v>
      </c>
      <c r="K508" s="10">
        <v>5.025E-3</v>
      </c>
      <c r="L508" s="10">
        <v>1.116E-2</v>
      </c>
      <c r="M508" s="10">
        <v>0.17910000000000001</v>
      </c>
      <c r="N508" s="10">
        <v>6.3310000000000005E-2</v>
      </c>
      <c r="O508" s="10">
        <v>0.24410000000000001</v>
      </c>
      <c r="P508" s="10">
        <v>2.0899999999999901</v>
      </c>
      <c r="Q508" s="10">
        <v>1.6479999999999899</v>
      </c>
      <c r="R508" s="10">
        <v>16.8</v>
      </c>
      <c r="S508" s="10">
        <v>1.291E-2</v>
      </c>
      <c r="T508" s="10">
        <v>2.222E-2</v>
      </c>
      <c r="U508" s="10">
        <v>4.1739999999999902E-3</v>
      </c>
      <c r="V508" s="10">
        <v>7.0819999999999902E-3</v>
      </c>
      <c r="W508" s="10">
        <v>2.572E-2</v>
      </c>
      <c r="X508" s="10">
        <v>2.2780000000000001E-3</v>
      </c>
      <c r="Y508" s="10">
        <v>10.65</v>
      </c>
      <c r="Z508" s="10">
        <v>22.8799999999999</v>
      </c>
      <c r="AA508" s="10">
        <v>67.879999999999896</v>
      </c>
      <c r="AB508" s="10">
        <v>347.3</v>
      </c>
      <c r="AC508" s="10">
        <v>0.1265</v>
      </c>
      <c r="AD508" s="10">
        <v>0.12</v>
      </c>
      <c r="AE508" s="10">
        <v>1.005E-2</v>
      </c>
      <c r="AF508" s="10">
        <v>2.232E-2</v>
      </c>
      <c r="AG508" s="10">
        <v>0.22620000000000001</v>
      </c>
      <c r="AH508">
        <v>6.7419999999999897E-2</v>
      </c>
    </row>
    <row r="509" spans="3:34">
      <c r="C509" s="11" t="s">
        <v>404</v>
      </c>
      <c r="D509" s="10" t="s">
        <v>0</v>
      </c>
      <c r="E509" s="10">
        <v>13.71</v>
      </c>
      <c r="F509" s="10">
        <v>22.07</v>
      </c>
      <c r="G509" s="10">
        <v>111.599999999999</v>
      </c>
      <c r="H509" s="10">
        <v>928.29999999999905</v>
      </c>
      <c r="I509" s="10">
        <v>9.7259999999999902E-2</v>
      </c>
      <c r="J509" s="10">
        <v>8.9950000000000002E-2</v>
      </c>
      <c r="K509" s="10">
        <v>9.0609999999999899E-2</v>
      </c>
      <c r="L509" s="10">
        <v>6.5269999999999898E-2</v>
      </c>
      <c r="M509" s="10">
        <v>0.1867</v>
      </c>
      <c r="N509" s="10">
        <v>5.5800000000000002E-2</v>
      </c>
      <c r="O509" s="10">
        <v>0.42030000000000001</v>
      </c>
      <c r="P509" s="10">
        <v>0.73829999999999896</v>
      </c>
      <c r="Q509" s="10">
        <v>2.819</v>
      </c>
      <c r="R509" s="10">
        <v>45.42</v>
      </c>
      <c r="S509" s="10">
        <v>4.4929999999999901E-3</v>
      </c>
      <c r="T509" s="10">
        <v>1.206E-2</v>
      </c>
      <c r="U509" s="10">
        <v>2.0480000000000002E-2</v>
      </c>
      <c r="V509" s="10">
        <v>9.8750000000000001E-3</v>
      </c>
      <c r="W509" s="10">
        <v>1.1440000000000001E-2</v>
      </c>
      <c r="X509" s="10">
        <v>1.575E-3</v>
      </c>
      <c r="Y509" s="10">
        <v>21.579999999999899</v>
      </c>
      <c r="Z509" s="10">
        <v>29.329999999999899</v>
      </c>
      <c r="AA509" s="10">
        <v>140.5</v>
      </c>
      <c r="AB509" s="10">
        <v>1436</v>
      </c>
      <c r="AC509" s="10">
        <v>0.15579999999999899</v>
      </c>
      <c r="AD509" s="10">
        <v>0.25669999999999898</v>
      </c>
      <c r="AE509" s="10">
        <v>0.38890000000000002</v>
      </c>
      <c r="AF509" s="10">
        <v>0.19839999999999899</v>
      </c>
      <c r="AG509" s="10">
        <v>0.3216</v>
      </c>
      <c r="AH509">
        <v>7.5700000000000003E-2</v>
      </c>
    </row>
    <row r="510" spans="3:34">
      <c r="C510" s="11" t="s">
        <v>672</v>
      </c>
      <c r="D510" s="10" t="s">
        <v>1</v>
      </c>
      <c r="E510" s="10">
        <v>13.71</v>
      </c>
      <c r="F510" s="10">
        <v>16.329999999999899</v>
      </c>
      <c r="G510" s="10">
        <v>87.76</v>
      </c>
      <c r="H510" s="10">
        <v>575.5</v>
      </c>
      <c r="I510" s="10">
        <v>9.2770000000000005E-2</v>
      </c>
      <c r="J510" s="10">
        <v>7.2550000000000003E-2</v>
      </c>
      <c r="K510" s="10">
        <v>1.7520000000000001E-2</v>
      </c>
      <c r="L510" s="10">
        <v>1.8800000000000001E-2</v>
      </c>
      <c r="M510" s="10">
        <v>0.163099999999999</v>
      </c>
      <c r="N510" s="10">
        <v>6.1550000000000001E-2</v>
      </c>
      <c r="O510" s="10">
        <v>0.20469999999999899</v>
      </c>
      <c r="P510" s="10">
        <v>0.48010000000000003</v>
      </c>
      <c r="Q510" s="10">
        <v>1.373</v>
      </c>
      <c r="R510" s="10">
        <v>17.25</v>
      </c>
      <c r="S510" s="10">
        <v>3.8279999999999898E-3</v>
      </c>
      <c r="T510" s="10">
        <v>7.228E-3</v>
      </c>
      <c r="U510" s="10">
        <v>7.0780000000000001E-3</v>
      </c>
      <c r="V510" s="10">
        <v>5.0769999999999904E-3</v>
      </c>
      <c r="W510" s="10">
        <v>1.0540000000000001E-2</v>
      </c>
      <c r="X510" s="10">
        <v>1.69699999999999E-3</v>
      </c>
      <c r="Y510" s="10">
        <v>15.85</v>
      </c>
      <c r="Z510" s="10">
        <v>20.1999999999999</v>
      </c>
      <c r="AA510" s="10">
        <v>101.599999999999</v>
      </c>
      <c r="AB510" s="10">
        <v>773.39999999999895</v>
      </c>
      <c r="AC510" s="10">
        <v>0.12640000000000001</v>
      </c>
      <c r="AD510" s="10">
        <v>0.15640000000000001</v>
      </c>
      <c r="AE510" s="10">
        <v>0.1206</v>
      </c>
      <c r="AF510" s="10">
        <v>8.7040000000000006E-2</v>
      </c>
      <c r="AG510" s="10">
        <v>0.28060000000000002</v>
      </c>
      <c r="AH510">
        <v>7.782E-2</v>
      </c>
    </row>
    <row r="511" spans="3:34">
      <c r="C511" s="11" t="s">
        <v>314</v>
      </c>
      <c r="D511" s="10" t="s">
        <v>1</v>
      </c>
      <c r="E511" s="10">
        <v>13.71</v>
      </c>
      <c r="F511" s="10">
        <v>15.15</v>
      </c>
      <c r="G511" s="10">
        <v>67.489999999999895</v>
      </c>
      <c r="H511" s="10">
        <v>349.6</v>
      </c>
      <c r="I511" s="10">
        <v>8.7919999999999901E-2</v>
      </c>
      <c r="J511" s="10">
        <v>4.3020000000000003E-2</v>
      </c>
      <c r="K511" s="10">
        <v>0</v>
      </c>
      <c r="L511" s="10">
        <v>0</v>
      </c>
      <c r="M511" s="10">
        <v>0.1928</v>
      </c>
      <c r="N511" s="10">
        <v>5.97499999999999E-2</v>
      </c>
      <c r="O511" s="10">
        <v>0.33090000000000003</v>
      </c>
      <c r="P511" s="10">
        <v>1.925</v>
      </c>
      <c r="Q511" s="10">
        <v>2.15499999999999</v>
      </c>
      <c r="R511" s="10">
        <v>21.98</v>
      </c>
      <c r="S511" s="10">
        <v>8.7130000000000003E-3</v>
      </c>
      <c r="T511" s="10">
        <v>1.017E-2</v>
      </c>
      <c r="U511" s="10">
        <v>0</v>
      </c>
      <c r="V511" s="10">
        <v>0</v>
      </c>
      <c r="W511" s="10">
        <v>3.2649999999999901E-2</v>
      </c>
      <c r="X511" s="10">
        <v>1.0020000000000001E-3</v>
      </c>
      <c r="Y511" s="10">
        <v>11.5399999999999</v>
      </c>
      <c r="Z511" s="10">
        <v>19.1999999999999</v>
      </c>
      <c r="AA511" s="10">
        <v>73.2</v>
      </c>
      <c r="AB511" s="10">
        <v>408.3</v>
      </c>
      <c r="AC511" s="10">
        <v>0.1076</v>
      </c>
      <c r="AD511" s="10">
        <v>6.7909999999999901E-2</v>
      </c>
      <c r="AE511" s="10">
        <v>0</v>
      </c>
      <c r="AF511" s="10">
        <v>0</v>
      </c>
      <c r="AG511" s="10">
        <v>0.27100000000000002</v>
      </c>
      <c r="AH511">
        <v>6.164E-2</v>
      </c>
    </row>
    <row r="512" spans="3:34">
      <c r="C512" s="11" t="s">
        <v>316</v>
      </c>
      <c r="D512" s="10" t="s">
        <v>1</v>
      </c>
      <c r="E512" s="10">
        <v>13.71</v>
      </c>
      <c r="F512" s="10">
        <v>18.059999999999899</v>
      </c>
      <c r="G512" s="10">
        <v>64.599999999999895</v>
      </c>
      <c r="H512" s="10">
        <v>302.39999999999901</v>
      </c>
      <c r="I512" s="10">
        <v>9.6990000000000007E-2</v>
      </c>
      <c r="J512" s="10">
        <v>0.12939999999999899</v>
      </c>
      <c r="K512" s="10">
        <v>0.13070000000000001</v>
      </c>
      <c r="L512" s="10">
        <v>3.7159999999999901E-2</v>
      </c>
      <c r="M512" s="10">
        <v>0.16689999999999899</v>
      </c>
      <c r="N512" s="10">
        <v>8.1159999999999899E-2</v>
      </c>
      <c r="O512" s="10">
        <v>0.43109999999999898</v>
      </c>
      <c r="P512" s="10">
        <v>2.2610000000000001</v>
      </c>
      <c r="Q512" s="10">
        <v>3.1320000000000001</v>
      </c>
      <c r="R512" s="10">
        <v>27.48</v>
      </c>
      <c r="S512" s="10">
        <v>1.286E-2</v>
      </c>
      <c r="T512" s="10">
        <v>8.8080000000000006E-2</v>
      </c>
      <c r="U512" s="10">
        <v>0.1197</v>
      </c>
      <c r="V512" s="10">
        <v>2.46E-2</v>
      </c>
      <c r="W512" s="10">
        <v>3.8800000000000001E-2</v>
      </c>
      <c r="X512" s="10">
        <v>1.7919999999999901E-2</v>
      </c>
      <c r="Y512" s="10">
        <v>11.26</v>
      </c>
      <c r="Z512" s="10">
        <v>24.39</v>
      </c>
      <c r="AA512" s="10">
        <v>73.069999999999894</v>
      </c>
      <c r="AB512" s="10">
        <v>390.19999999999902</v>
      </c>
      <c r="AC512" s="10">
        <v>0.13009999999999899</v>
      </c>
      <c r="AD512" s="10">
        <v>0.29499999999999899</v>
      </c>
      <c r="AE512" s="10">
        <v>0.34860000000000002</v>
      </c>
      <c r="AF512" s="10">
        <v>9.9099999999999897E-2</v>
      </c>
      <c r="AG512" s="10">
        <v>0.26140000000000002</v>
      </c>
      <c r="AH512">
        <v>0.1162</v>
      </c>
    </row>
    <row r="513" spans="3:34">
      <c r="C513" s="11" t="s">
        <v>660</v>
      </c>
      <c r="D513" s="10" t="s">
        <v>1</v>
      </c>
      <c r="E513" s="10">
        <v>13.71</v>
      </c>
      <c r="F513" s="10">
        <v>13.9</v>
      </c>
      <c r="G513" s="10">
        <v>59.96</v>
      </c>
      <c r="H513" s="10">
        <v>257.8</v>
      </c>
      <c r="I513" s="10">
        <v>0.1371</v>
      </c>
      <c r="J513" s="10">
        <v>0.1225</v>
      </c>
      <c r="K513" s="10">
        <v>3.3320000000000002E-2</v>
      </c>
      <c r="L513" s="10">
        <v>2.4209999999999898E-2</v>
      </c>
      <c r="M513" s="10">
        <v>0.21970000000000001</v>
      </c>
      <c r="N513" s="10">
        <v>7.6960000000000001E-2</v>
      </c>
      <c r="O513" s="10">
        <v>0.3538</v>
      </c>
      <c r="P513" s="10">
        <v>1.1299999999999899</v>
      </c>
      <c r="Q513" s="10">
        <v>2.3879999999999901</v>
      </c>
      <c r="R513" s="10">
        <v>19.6299999999999</v>
      </c>
      <c r="S513" s="10">
        <v>1.546E-2</v>
      </c>
      <c r="T513" s="10">
        <v>2.5399999999999898E-2</v>
      </c>
      <c r="U513" s="10">
        <v>2.197E-2</v>
      </c>
      <c r="V513" s="10">
        <v>1.5800000000000002E-2</v>
      </c>
      <c r="W513" s="10">
        <v>3.9969999999999901E-2</v>
      </c>
      <c r="X513" s="10">
        <v>3.901E-3</v>
      </c>
      <c r="Y513" s="10">
        <v>10.57</v>
      </c>
      <c r="Z513" s="10">
        <v>17.84</v>
      </c>
      <c r="AA513" s="10">
        <v>67.84</v>
      </c>
      <c r="AB513" s="10">
        <v>326.60000000000002</v>
      </c>
      <c r="AC513" s="10">
        <v>0.185</v>
      </c>
      <c r="AD513" s="10">
        <v>0.2097</v>
      </c>
      <c r="AE513" s="10">
        <v>9.9959999999999896E-2</v>
      </c>
      <c r="AF513" s="10">
        <v>7.2620000000000004E-2</v>
      </c>
      <c r="AG513" s="10">
        <v>0.36809999999999898</v>
      </c>
      <c r="AH513">
        <v>8.98199999999999E-2</v>
      </c>
    </row>
    <row r="514" spans="3:34">
      <c r="C514" s="11" t="s">
        <v>312</v>
      </c>
      <c r="D514" s="10" t="s">
        <v>0</v>
      </c>
      <c r="E514" s="10">
        <v>13.71</v>
      </c>
      <c r="F514" s="10">
        <v>11.89</v>
      </c>
      <c r="G514" s="10">
        <v>102.5</v>
      </c>
      <c r="H514" s="10">
        <v>736.89999999999895</v>
      </c>
      <c r="I514" s="10">
        <v>0.12570000000000001</v>
      </c>
      <c r="J514" s="10">
        <v>0.1555</v>
      </c>
      <c r="K514" s="10">
        <v>0.20319999999999899</v>
      </c>
      <c r="L514" s="10">
        <v>0.10970000000000001</v>
      </c>
      <c r="M514" s="10">
        <v>0.1966</v>
      </c>
      <c r="N514" s="10">
        <v>7.0690000000000003E-2</v>
      </c>
      <c r="O514" s="10">
        <v>0.4209</v>
      </c>
      <c r="P514" s="10">
        <v>0.6583</v>
      </c>
      <c r="Q514" s="10">
        <v>2.8050000000000002</v>
      </c>
      <c r="R514" s="10">
        <v>44.64</v>
      </c>
      <c r="S514" s="10">
        <v>5.3930000000000002E-3</v>
      </c>
      <c r="T514" s="10">
        <v>2.3210000000000001E-2</v>
      </c>
      <c r="U514" s="10">
        <v>4.3029999999999902E-2</v>
      </c>
      <c r="V514" s="10">
        <v>1.32E-2</v>
      </c>
      <c r="W514" s="10">
        <v>1.7919999999999901E-2</v>
      </c>
      <c r="X514" s="10">
        <v>4.1679999999999903E-3</v>
      </c>
      <c r="Y514" s="10">
        <v>18.7899999999999</v>
      </c>
      <c r="Z514" s="10">
        <v>17.0399999999999</v>
      </c>
      <c r="AA514" s="10">
        <v>125</v>
      </c>
      <c r="AB514" s="10">
        <v>1102</v>
      </c>
      <c r="AC514" s="10">
        <v>0.15310000000000001</v>
      </c>
      <c r="AD514" s="10">
        <v>0.35830000000000001</v>
      </c>
      <c r="AE514" s="10">
        <v>0.58299999999999896</v>
      </c>
      <c r="AF514" s="10">
        <v>0.1827</v>
      </c>
      <c r="AG514" s="10">
        <v>0.3216</v>
      </c>
      <c r="AH514">
        <v>0.10100000000000001</v>
      </c>
    </row>
    <row r="515" spans="3:34">
      <c r="C515" s="11" t="s">
        <v>338</v>
      </c>
      <c r="D515" s="10" t="s">
        <v>0</v>
      </c>
      <c r="E515" s="10">
        <v>13.71</v>
      </c>
      <c r="F515" s="10">
        <v>22.489999999999899</v>
      </c>
      <c r="G515" s="10">
        <v>127.5</v>
      </c>
      <c r="H515" s="10">
        <v>1148</v>
      </c>
      <c r="I515" s="10">
        <v>8.523E-2</v>
      </c>
      <c r="J515" s="10">
        <v>0.14280000000000001</v>
      </c>
      <c r="K515" s="10">
        <v>0.1114</v>
      </c>
      <c r="L515" s="10">
        <v>6.7720000000000002E-2</v>
      </c>
      <c r="M515" s="10">
        <v>0.1767</v>
      </c>
      <c r="N515" s="10">
        <v>5.5289999999999902E-2</v>
      </c>
      <c r="O515" s="10">
        <v>0.43569999999999898</v>
      </c>
      <c r="P515" s="10">
        <v>1.073</v>
      </c>
      <c r="Q515" s="10">
        <v>3.8330000000000002</v>
      </c>
      <c r="R515" s="10">
        <v>54.219999999999899</v>
      </c>
      <c r="S515" s="10">
        <v>5.5240000000000003E-3</v>
      </c>
      <c r="T515" s="10">
        <v>3.6979999999999902E-2</v>
      </c>
      <c r="U515" s="10">
        <v>2.7060000000000001E-2</v>
      </c>
      <c r="V515" s="10">
        <v>1.221E-2</v>
      </c>
      <c r="W515" s="10">
        <v>1.4149999999999901E-2</v>
      </c>
      <c r="X515" s="10">
        <v>3.3969999999999899E-3</v>
      </c>
      <c r="Y515" s="10">
        <v>23.3599999999999</v>
      </c>
      <c r="Z515" s="10">
        <v>32.06</v>
      </c>
      <c r="AA515" s="10">
        <v>166.4</v>
      </c>
      <c r="AB515" s="10">
        <v>1688</v>
      </c>
      <c r="AC515" s="10">
        <v>0.13220000000000001</v>
      </c>
      <c r="AD515" s="10">
        <v>0.56010000000000004</v>
      </c>
      <c r="AE515" s="10">
        <v>0.38650000000000001</v>
      </c>
      <c r="AF515" s="10">
        <v>0.17080000000000001</v>
      </c>
      <c r="AG515" s="10">
        <v>0.31929999999999897</v>
      </c>
      <c r="AH515">
        <v>9.221E-2</v>
      </c>
    </row>
    <row r="516" spans="3:34">
      <c r="C516" s="11" t="s">
        <v>146</v>
      </c>
      <c r="D516" s="10" t="s">
        <v>0</v>
      </c>
      <c r="E516" s="10">
        <v>18.25</v>
      </c>
      <c r="F516" s="10">
        <v>19.98</v>
      </c>
      <c r="G516" s="10">
        <v>119.599999999999</v>
      </c>
      <c r="H516" s="10">
        <v>1040</v>
      </c>
      <c r="I516" s="10">
        <v>9.4630000000000006E-2</v>
      </c>
      <c r="J516" s="10">
        <v>0.109</v>
      </c>
      <c r="K516" s="10">
        <v>0.112699999999999</v>
      </c>
      <c r="L516" s="10">
        <v>7.3999999999999899E-2</v>
      </c>
      <c r="M516" s="10">
        <v>0.1794</v>
      </c>
      <c r="N516" s="10">
        <v>5.7419999999999902E-2</v>
      </c>
      <c r="O516" s="10">
        <v>0.44669999999999899</v>
      </c>
      <c r="P516" s="10">
        <v>0.7732</v>
      </c>
      <c r="Q516" s="10">
        <v>3.18</v>
      </c>
      <c r="R516" s="10">
        <v>53.909999999999897</v>
      </c>
      <c r="S516" s="10">
        <v>4.3140000000000001E-3</v>
      </c>
      <c r="T516" s="10">
        <v>1.3820000000000001E-2</v>
      </c>
      <c r="U516" s="10">
        <v>2.2540000000000001E-2</v>
      </c>
      <c r="V516" s="10">
        <v>1.039E-2</v>
      </c>
      <c r="W516" s="10">
        <v>1.3690000000000001E-2</v>
      </c>
      <c r="X516" s="10">
        <v>2.17899999999999E-3</v>
      </c>
      <c r="Y516" s="10">
        <v>22.8799999999999</v>
      </c>
      <c r="Z516" s="10">
        <v>27.66</v>
      </c>
      <c r="AA516" s="10">
        <v>153.19999999999899</v>
      </c>
      <c r="AB516" s="10">
        <v>1606</v>
      </c>
      <c r="AC516" s="10">
        <v>0.144199999999999</v>
      </c>
      <c r="AD516" s="10">
        <v>0.2576</v>
      </c>
      <c r="AE516" s="10">
        <v>0.37840000000000001</v>
      </c>
      <c r="AF516" s="10">
        <v>0.19320000000000001</v>
      </c>
      <c r="AG516" s="10">
        <v>0.30630000000000002</v>
      </c>
      <c r="AH516">
        <v>8.3680000000000004E-2</v>
      </c>
    </row>
    <row r="517" spans="3:34">
      <c r="C517" s="11" t="s">
        <v>225</v>
      </c>
      <c r="D517" s="10" t="s">
        <v>0</v>
      </c>
      <c r="E517" s="10">
        <v>13.71</v>
      </c>
      <c r="F517" s="10">
        <v>18.52</v>
      </c>
      <c r="G517" s="10">
        <v>121.099999999999</v>
      </c>
      <c r="H517" s="10">
        <v>1075</v>
      </c>
      <c r="I517" s="10">
        <v>9.8739999999999897E-2</v>
      </c>
      <c r="J517" s="10">
        <v>0.1053</v>
      </c>
      <c r="K517" s="10">
        <v>0.13350000000000001</v>
      </c>
      <c r="L517" s="10">
        <v>8.795E-2</v>
      </c>
      <c r="M517" s="10">
        <v>0.2132</v>
      </c>
      <c r="N517" s="10">
        <v>6.0220000000000003E-2</v>
      </c>
      <c r="O517" s="10">
        <v>0.69969999999999899</v>
      </c>
      <c r="P517" s="10">
        <v>1.4750000000000001</v>
      </c>
      <c r="Q517" s="10">
        <v>4.782</v>
      </c>
      <c r="R517" s="10">
        <v>80.599999999999895</v>
      </c>
      <c r="S517" s="10">
        <v>6.4710000000000002E-3</v>
      </c>
      <c r="T517" s="10">
        <v>1.6490000000000001E-2</v>
      </c>
      <c r="U517" s="10">
        <v>2.8060000000000002E-2</v>
      </c>
      <c r="V517" s="10">
        <v>1.4200000000000001E-2</v>
      </c>
      <c r="W517" s="10">
        <v>2.3699999999999902E-2</v>
      </c>
      <c r="X517" s="10">
        <v>3.7550000000000001E-3</v>
      </c>
      <c r="Y517" s="10">
        <v>22.93</v>
      </c>
      <c r="Z517" s="10">
        <v>27.68</v>
      </c>
      <c r="AA517" s="10">
        <v>152.19999999999899</v>
      </c>
      <c r="AB517" s="10">
        <v>1603</v>
      </c>
      <c r="AC517" s="10">
        <v>0.13980000000000001</v>
      </c>
      <c r="AD517" s="10">
        <v>0.2089</v>
      </c>
      <c r="AE517" s="10">
        <v>0.31569999999999898</v>
      </c>
      <c r="AF517" s="10">
        <v>0.16420000000000001</v>
      </c>
      <c r="AG517" s="10">
        <v>0.3695</v>
      </c>
      <c r="AH517">
        <v>8.5790000000000005E-2</v>
      </c>
    </row>
    <row r="518" spans="3:34">
      <c r="C518" s="11" t="s">
        <v>430</v>
      </c>
      <c r="D518" s="10" t="s">
        <v>1</v>
      </c>
      <c r="E518" s="10">
        <v>13.71</v>
      </c>
      <c r="F518" s="10">
        <v>19.73</v>
      </c>
      <c r="G518" s="10">
        <v>96.03</v>
      </c>
      <c r="H518" s="10">
        <v>651</v>
      </c>
      <c r="I518" s="10">
        <v>8.7569999999999898E-2</v>
      </c>
      <c r="J518" s="10">
        <v>0.1676</v>
      </c>
      <c r="K518" s="10">
        <v>0.13619999999999899</v>
      </c>
      <c r="L518" s="10">
        <v>6.6019999999999898E-2</v>
      </c>
      <c r="M518" s="10">
        <v>0.1714</v>
      </c>
      <c r="N518" s="10">
        <v>7.1919999999999901E-2</v>
      </c>
      <c r="O518" s="10">
        <v>0.881099999999999</v>
      </c>
      <c r="P518" s="10">
        <v>1.77</v>
      </c>
      <c r="Q518" s="10">
        <v>4.3600000000000003</v>
      </c>
      <c r="R518" s="10">
        <v>77.1099999999999</v>
      </c>
      <c r="S518" s="10">
        <v>7.7619999999999903E-3</v>
      </c>
      <c r="T518" s="10">
        <v>0.106399999999999</v>
      </c>
      <c r="U518" s="10">
        <v>9.9599999999999897E-2</v>
      </c>
      <c r="V518" s="10">
        <v>2.7709999999999901E-2</v>
      </c>
      <c r="W518" s="10">
        <v>4.0770000000000001E-2</v>
      </c>
      <c r="X518" s="10">
        <v>2.2859999999999901E-2</v>
      </c>
      <c r="Y518" s="10">
        <v>15.77</v>
      </c>
      <c r="Z518" s="10">
        <v>22.1299999999999</v>
      </c>
      <c r="AA518" s="10">
        <v>101.7</v>
      </c>
      <c r="AB518" s="10">
        <v>767.29999999999905</v>
      </c>
      <c r="AC518" s="10">
        <v>9.9830000000000002E-2</v>
      </c>
      <c r="AD518" s="10">
        <v>0.2472</v>
      </c>
      <c r="AE518" s="10">
        <v>0.222</v>
      </c>
      <c r="AF518" s="10">
        <v>0.1021</v>
      </c>
      <c r="AG518" s="10">
        <v>0.22720000000000001</v>
      </c>
      <c r="AH518">
        <v>8.7989999999999902E-2</v>
      </c>
    </row>
    <row r="519" spans="3:34">
      <c r="C519" s="11" t="s">
        <v>567</v>
      </c>
      <c r="D519" s="10" t="s">
        <v>1</v>
      </c>
      <c r="E519" s="10">
        <v>13.71</v>
      </c>
      <c r="F519" s="10">
        <v>21.98</v>
      </c>
      <c r="G519" s="10">
        <v>68.790000000000006</v>
      </c>
      <c r="H519" s="10">
        <v>359.89999999999901</v>
      </c>
      <c r="I519" s="10">
        <v>8.8010000000000005E-2</v>
      </c>
      <c r="J519" s="10">
        <v>5.7430000000000002E-2</v>
      </c>
      <c r="K519" s="10">
        <v>3.6139999999999901E-2</v>
      </c>
      <c r="L519" s="10">
        <v>1.404E-2</v>
      </c>
      <c r="M519" s="10">
        <v>0.2016</v>
      </c>
      <c r="N519" s="10">
        <v>5.97699999999999E-2</v>
      </c>
      <c r="O519" s="10">
        <v>0.30769999999999897</v>
      </c>
      <c r="P519" s="10">
        <v>1.621</v>
      </c>
      <c r="Q519" s="10">
        <v>2.2400000000000002</v>
      </c>
      <c r="R519" s="10">
        <v>20.1999999999999</v>
      </c>
      <c r="S519" s="10">
        <v>6.5430000000000002E-3</v>
      </c>
      <c r="T519" s="10">
        <v>2.1479999999999898E-2</v>
      </c>
      <c r="U519" s="10">
        <v>2.9909999999999898E-2</v>
      </c>
      <c r="V519" s="10">
        <v>1.04499999999999E-2</v>
      </c>
      <c r="W519" s="10">
        <v>1.8440000000000002E-2</v>
      </c>
      <c r="X519" s="10">
        <v>2.6900000000000001E-3</v>
      </c>
      <c r="Y519" s="10">
        <v>12.76</v>
      </c>
      <c r="Z519" s="10">
        <v>32.0399999999999</v>
      </c>
      <c r="AA519" s="10">
        <v>83.689999999999898</v>
      </c>
      <c r="AB519" s="10">
        <v>489.5</v>
      </c>
      <c r="AC519" s="10">
        <v>0.1303</v>
      </c>
      <c r="AD519" s="10">
        <v>0.1696</v>
      </c>
      <c r="AE519" s="10">
        <v>0.19270000000000001</v>
      </c>
      <c r="AF519" s="10">
        <v>7.485E-2</v>
      </c>
      <c r="AG519" s="10">
        <v>0.29649999999999899</v>
      </c>
      <c r="AH519">
        <v>7.6619999999999897E-2</v>
      </c>
    </row>
    <row r="520" spans="3:34">
      <c r="C520" s="11" t="s">
        <v>169</v>
      </c>
      <c r="D520" s="10" t="s">
        <v>0</v>
      </c>
      <c r="E520" s="10">
        <v>13.71</v>
      </c>
      <c r="F520" s="10">
        <v>15.05</v>
      </c>
      <c r="G520" s="10">
        <v>115</v>
      </c>
      <c r="H520" s="10">
        <v>955.1</v>
      </c>
      <c r="I520" s="10">
        <v>9.8470000000000002E-2</v>
      </c>
      <c r="J520" s="10">
        <v>0.1157</v>
      </c>
      <c r="K520" s="10">
        <v>9.8750000000000004E-2</v>
      </c>
      <c r="L520" s="10">
        <v>7.9530000000000003E-2</v>
      </c>
      <c r="M520" s="10">
        <v>0.1739</v>
      </c>
      <c r="N520" s="10">
        <v>6.1490000000000003E-2</v>
      </c>
      <c r="O520" s="10">
        <v>0.60029999999999895</v>
      </c>
      <c r="P520" s="10">
        <v>0.82250000000000001</v>
      </c>
      <c r="Q520" s="10">
        <v>4.6550000000000002</v>
      </c>
      <c r="R520" s="10">
        <v>61.1</v>
      </c>
      <c r="S520" s="10">
        <v>5.6270000000000001E-3</v>
      </c>
      <c r="T520" s="10">
        <v>3.0329999999999899E-2</v>
      </c>
      <c r="U520" s="10">
        <v>3.4070000000000003E-2</v>
      </c>
      <c r="V520" s="10">
        <v>1.354E-2</v>
      </c>
      <c r="W520" s="10">
        <v>1.925E-2</v>
      </c>
      <c r="X520" s="10">
        <v>3.7420000000000001E-3</v>
      </c>
      <c r="Y520" s="10">
        <v>20.010000000000002</v>
      </c>
      <c r="Z520" s="10">
        <v>19.52</v>
      </c>
      <c r="AA520" s="10">
        <v>134.9</v>
      </c>
      <c r="AB520" s="10">
        <v>1227</v>
      </c>
      <c r="AC520" s="10">
        <v>0.1255</v>
      </c>
      <c r="AD520" s="10">
        <v>0.28120000000000001</v>
      </c>
      <c r="AE520" s="10">
        <v>0.24890000000000001</v>
      </c>
      <c r="AF520" s="10">
        <v>0.14560000000000001</v>
      </c>
      <c r="AG520" s="10">
        <v>0.27560000000000001</v>
      </c>
      <c r="AH520">
        <v>7.9189999999999899E-2</v>
      </c>
    </row>
    <row r="521" spans="3:34">
      <c r="C521" s="11" t="s">
        <v>608</v>
      </c>
      <c r="D521" s="10" t="s">
        <v>0</v>
      </c>
      <c r="E521" s="10">
        <v>13.71</v>
      </c>
      <c r="F521" s="10">
        <v>23.329999999999899</v>
      </c>
      <c r="G521" s="10">
        <v>119</v>
      </c>
      <c r="H521" s="10">
        <v>980.5</v>
      </c>
      <c r="I521" s="10">
        <v>9.289E-2</v>
      </c>
      <c r="J521" s="10">
        <v>0.200399999999999</v>
      </c>
      <c r="K521" s="10">
        <v>0.21360000000000001</v>
      </c>
      <c r="L521" s="10">
        <v>0.1002</v>
      </c>
      <c r="M521" s="10">
        <v>0.1696</v>
      </c>
      <c r="N521" s="10">
        <v>7.3690000000000005E-2</v>
      </c>
      <c r="O521" s="10">
        <v>0.92889999999999895</v>
      </c>
      <c r="P521" s="10">
        <v>1.4650000000000001</v>
      </c>
      <c r="Q521" s="10">
        <v>5.8010000000000002</v>
      </c>
      <c r="R521" s="10">
        <v>104.9</v>
      </c>
      <c r="S521" s="10">
        <v>6.7660000000000003E-3</v>
      </c>
      <c r="T521" s="10">
        <v>7.0250000000000007E-2</v>
      </c>
      <c r="U521" s="10">
        <v>6.5909999999999899E-2</v>
      </c>
      <c r="V521" s="10">
        <v>2.3109999999999901E-2</v>
      </c>
      <c r="W521" s="10">
        <v>1.6729999999999901E-2</v>
      </c>
      <c r="X521" s="10">
        <v>1.12999999999999E-2</v>
      </c>
      <c r="Y521" s="10">
        <v>21.57</v>
      </c>
      <c r="Z521" s="10">
        <v>28.87</v>
      </c>
      <c r="AA521" s="10">
        <v>143.599999999999</v>
      </c>
      <c r="AB521" s="10">
        <v>1437</v>
      </c>
      <c r="AC521" s="10">
        <v>0.1207</v>
      </c>
      <c r="AD521" s="10">
        <v>0.47849999999999898</v>
      </c>
      <c r="AE521" s="10">
        <v>0.51649999999999896</v>
      </c>
      <c r="AF521" s="10">
        <v>0.1996</v>
      </c>
      <c r="AG521" s="10">
        <v>0.2301</v>
      </c>
      <c r="AH521">
        <v>0.122399999999999</v>
      </c>
    </row>
    <row r="522" spans="3:34">
      <c r="C522" s="11" t="s">
        <v>206</v>
      </c>
      <c r="D522" s="10" t="s">
        <v>1</v>
      </c>
      <c r="E522" s="10">
        <v>13.71</v>
      </c>
      <c r="F522" s="10">
        <v>21.01</v>
      </c>
      <c r="G522" s="10">
        <v>60.1099999999999</v>
      </c>
      <c r="H522" s="10">
        <v>269.39999999999901</v>
      </c>
      <c r="I522" s="10">
        <v>0.10440000000000001</v>
      </c>
      <c r="J522" s="10">
        <v>7.7729999999999896E-2</v>
      </c>
      <c r="K522" s="10">
        <v>2.172E-2</v>
      </c>
      <c r="L522" s="10">
        <v>1.504E-2</v>
      </c>
      <c r="M522" s="10">
        <v>0.17169999999999899</v>
      </c>
      <c r="N522" s="10">
        <v>6.8989999999999899E-2</v>
      </c>
      <c r="O522" s="10">
        <v>0.2351</v>
      </c>
      <c r="P522" s="10">
        <v>2.0110000000000001</v>
      </c>
      <c r="Q522" s="10">
        <v>1.6599999999999899</v>
      </c>
      <c r="R522" s="10">
        <v>14.1999999999999</v>
      </c>
      <c r="S522" s="10">
        <v>1.052E-2</v>
      </c>
      <c r="T522" s="10">
        <v>1.755E-2</v>
      </c>
      <c r="U522" s="10">
        <v>1.7139999999999898E-2</v>
      </c>
      <c r="V522" s="10">
        <v>9.3329999999999906E-3</v>
      </c>
      <c r="W522" s="10">
        <v>2.2790000000000001E-2</v>
      </c>
      <c r="X522" s="10">
        <v>4.2370000000000003E-3</v>
      </c>
      <c r="Y522" s="10">
        <v>10.41</v>
      </c>
      <c r="Z522" s="10">
        <v>31.559999999999899</v>
      </c>
      <c r="AA522" s="10">
        <v>67.03</v>
      </c>
      <c r="AB522" s="10">
        <v>330.69999999999902</v>
      </c>
      <c r="AC522" s="10">
        <v>0.15479999999999899</v>
      </c>
      <c r="AD522" s="10">
        <v>0.16639999999999899</v>
      </c>
      <c r="AE522" s="10">
        <v>9.4119999999999898E-2</v>
      </c>
      <c r="AF522" s="10">
        <v>6.5170000000000006E-2</v>
      </c>
      <c r="AG522" s="10">
        <v>0.2878</v>
      </c>
      <c r="AH522">
        <v>9.21099999999999E-2</v>
      </c>
    </row>
    <row r="523" spans="3:34">
      <c r="C523" s="11" t="s">
        <v>492</v>
      </c>
      <c r="D523" s="10" t="s">
        <v>0</v>
      </c>
      <c r="E523" s="10">
        <v>13.71</v>
      </c>
      <c r="F523" s="10">
        <v>17.46</v>
      </c>
      <c r="G523" s="10">
        <v>174.19999999999899</v>
      </c>
      <c r="H523" s="10">
        <v>2010</v>
      </c>
      <c r="I523" s="10">
        <v>0.1149</v>
      </c>
      <c r="J523" s="10">
        <v>0.23630000000000001</v>
      </c>
      <c r="K523" s="10">
        <v>0.33679999999999899</v>
      </c>
      <c r="L523" s="10">
        <v>0.1913</v>
      </c>
      <c r="M523" s="10">
        <v>0.1956</v>
      </c>
      <c r="N523" s="10">
        <v>6.1210000000000001E-2</v>
      </c>
      <c r="O523" s="10">
        <v>0.99480000000000002</v>
      </c>
      <c r="P523" s="10">
        <v>0.85089999999999899</v>
      </c>
      <c r="Q523" s="10">
        <v>7.2220000000000004</v>
      </c>
      <c r="R523" s="10">
        <v>153.099999999999</v>
      </c>
      <c r="S523" s="10">
        <v>6.3689999999999901E-3</v>
      </c>
      <c r="T523" s="10">
        <v>4.2430000000000002E-2</v>
      </c>
      <c r="U523" s="10">
        <v>4.2659999999999899E-2</v>
      </c>
      <c r="V523" s="10">
        <v>1.508E-2</v>
      </c>
      <c r="W523" s="10">
        <v>2.3349999999999899E-2</v>
      </c>
      <c r="X523" s="10">
        <v>3.385E-3</v>
      </c>
      <c r="Y523" s="10">
        <v>33.130000000000003</v>
      </c>
      <c r="Z523" s="10">
        <v>23.579999999999899</v>
      </c>
      <c r="AA523" s="10">
        <v>229.3</v>
      </c>
      <c r="AB523" s="10">
        <v>3234</v>
      </c>
      <c r="AC523" s="10">
        <v>0.153</v>
      </c>
      <c r="AD523" s="10">
        <v>0.59370000000000001</v>
      </c>
      <c r="AE523" s="10">
        <v>0.64510000000000001</v>
      </c>
      <c r="AF523" s="10">
        <v>0.27560000000000001</v>
      </c>
      <c r="AG523" s="10">
        <v>0.368999999999999</v>
      </c>
      <c r="AH523">
        <v>8.8150000000000006E-2</v>
      </c>
    </row>
    <row r="524" spans="3:34">
      <c r="C524" s="11" t="s">
        <v>224</v>
      </c>
      <c r="D524" s="10" t="s">
        <v>1</v>
      </c>
      <c r="E524" s="10">
        <v>13.71</v>
      </c>
      <c r="F524" s="10">
        <v>15.65</v>
      </c>
      <c r="G524" s="10">
        <v>76.95</v>
      </c>
      <c r="H524" s="10">
        <v>443.3</v>
      </c>
      <c r="I524" s="10">
        <v>9.72299999999999E-2</v>
      </c>
      <c r="J524" s="10">
        <v>7.1650000000000005E-2</v>
      </c>
      <c r="K524" s="10">
        <v>4.1509999999999901E-2</v>
      </c>
      <c r="L524" s="10">
        <v>1.8630000000000001E-2</v>
      </c>
      <c r="M524" s="10">
        <v>0.2079</v>
      </c>
      <c r="N524" s="10">
        <v>5.96799999999999E-2</v>
      </c>
      <c r="O524" s="10">
        <v>0.2271</v>
      </c>
      <c r="P524" s="10">
        <v>1.2549999999999899</v>
      </c>
      <c r="Q524" s="10">
        <v>1.4410000000000001</v>
      </c>
      <c r="R524" s="10">
        <v>16.16</v>
      </c>
      <c r="S524" s="10">
        <v>5.9690000000000003E-3</v>
      </c>
      <c r="T524" s="10">
        <v>1.8120000000000001E-2</v>
      </c>
      <c r="U524" s="10">
        <v>2.0070000000000001E-2</v>
      </c>
      <c r="V524" s="10">
        <v>7.0270000000000003E-3</v>
      </c>
      <c r="W524" s="10">
        <v>1.9720000000000001E-2</v>
      </c>
      <c r="X524" s="10">
        <v>2.60699999999999E-3</v>
      </c>
      <c r="Y524" s="10">
        <v>13.67</v>
      </c>
      <c r="Z524" s="10">
        <v>24.899999999999899</v>
      </c>
      <c r="AA524" s="10">
        <v>87.78</v>
      </c>
      <c r="AB524" s="10">
        <v>567.89999999999895</v>
      </c>
      <c r="AC524" s="10">
        <v>0.13769999999999899</v>
      </c>
      <c r="AD524" s="10">
        <v>0.20030000000000001</v>
      </c>
      <c r="AE524" s="10">
        <v>0.22670000000000001</v>
      </c>
      <c r="AF524" s="10">
        <v>7.6319999999999902E-2</v>
      </c>
      <c r="AG524" s="10">
        <v>0.33789999999999898</v>
      </c>
      <c r="AH524">
        <v>7.9240000000000005E-2</v>
      </c>
    </row>
    <row r="525" spans="3:34">
      <c r="C525" s="11" t="s">
        <v>410</v>
      </c>
      <c r="D525" s="10" t="s">
        <v>1</v>
      </c>
      <c r="E525" s="10">
        <v>13.71</v>
      </c>
      <c r="F525" s="10">
        <v>16.82</v>
      </c>
      <c r="G525" s="10">
        <v>90.299999999999898</v>
      </c>
      <c r="H525" s="10">
        <v>632.6</v>
      </c>
      <c r="I525" s="10">
        <v>6.429E-2</v>
      </c>
      <c r="J525" s="10">
        <v>2.6749999999999899E-2</v>
      </c>
      <c r="K525" s="10">
        <v>7.2500000000000004E-3</v>
      </c>
      <c r="L525" s="10">
        <v>6.2500000000000003E-3</v>
      </c>
      <c r="M525" s="10">
        <v>0.15079999999999899</v>
      </c>
      <c r="N525" s="10">
        <v>5.3760000000000002E-2</v>
      </c>
      <c r="O525" s="10">
        <v>0.13020000000000001</v>
      </c>
      <c r="P525" s="10">
        <v>0.7198</v>
      </c>
      <c r="Q525" s="10">
        <v>0.84389999999999898</v>
      </c>
      <c r="R525" s="10">
        <v>10.77</v>
      </c>
      <c r="S525" s="10">
        <v>3.4919999999999899E-3</v>
      </c>
      <c r="T525" s="10">
        <v>3.7100000000000002E-3</v>
      </c>
      <c r="U525" s="10">
        <v>4.8260000000000004E-3</v>
      </c>
      <c r="V525" s="10">
        <v>3.6080000000000001E-3</v>
      </c>
      <c r="W525" s="10">
        <v>1.536E-2</v>
      </c>
      <c r="X525" s="10">
        <v>1.3810000000000001E-3</v>
      </c>
      <c r="Y525" s="10">
        <v>14.91</v>
      </c>
      <c r="Z525" s="10">
        <v>20.649999999999899</v>
      </c>
      <c r="AA525" s="10">
        <v>94.439999999999898</v>
      </c>
      <c r="AB525" s="10">
        <v>684.6</v>
      </c>
      <c r="AC525" s="10">
        <v>8.5669999999999899E-2</v>
      </c>
      <c r="AD525" s="10">
        <v>5.0360000000000002E-2</v>
      </c>
      <c r="AE525" s="10">
        <v>3.866E-2</v>
      </c>
      <c r="AF525" s="10">
        <v>3.3329999999999901E-2</v>
      </c>
      <c r="AG525" s="10">
        <v>0.24579999999999899</v>
      </c>
      <c r="AH525">
        <v>6.11999999999999E-2</v>
      </c>
    </row>
    <row r="526" spans="3:34">
      <c r="C526" s="11" t="s">
        <v>667</v>
      </c>
      <c r="D526" s="10" t="s">
        <v>1</v>
      </c>
      <c r="E526" s="10">
        <v>13.71</v>
      </c>
      <c r="F526" s="10">
        <v>12.27</v>
      </c>
      <c r="G526" s="10">
        <v>78.939999999999898</v>
      </c>
      <c r="H526" s="10">
        <v>468.5</v>
      </c>
      <c r="I526" s="10">
        <v>9.0029999999999902E-2</v>
      </c>
      <c r="J526" s="10">
        <v>6.3070000000000001E-2</v>
      </c>
      <c r="K526" s="10">
        <v>2.9579999999999902E-2</v>
      </c>
      <c r="L526" s="10">
        <v>2.647E-2</v>
      </c>
      <c r="M526" s="10">
        <v>0.168899999999999</v>
      </c>
      <c r="N526" s="10">
        <v>5.808E-2</v>
      </c>
      <c r="O526" s="10">
        <v>0.1166</v>
      </c>
      <c r="P526" s="10">
        <v>0.49569999999999897</v>
      </c>
      <c r="Q526" s="10">
        <v>0.77139999999999898</v>
      </c>
      <c r="R526" s="10">
        <v>8.9550000000000001</v>
      </c>
      <c r="S526" s="10">
        <v>3.6809999999999898E-3</v>
      </c>
      <c r="T526" s="10">
        <v>9.1690000000000001E-3</v>
      </c>
      <c r="U526" s="10">
        <v>8.7320000000000002E-3</v>
      </c>
      <c r="V526" s="10">
        <v>5.7400000000000003E-3</v>
      </c>
      <c r="W526" s="10">
        <v>1.129E-2</v>
      </c>
      <c r="X526" s="10">
        <v>1.366E-3</v>
      </c>
      <c r="Y526" s="10">
        <v>13.6099999999999</v>
      </c>
      <c r="Z526" s="10">
        <v>19.27</v>
      </c>
      <c r="AA526" s="10">
        <v>87.219999999999899</v>
      </c>
      <c r="AB526" s="10">
        <v>564.89999999999895</v>
      </c>
      <c r="AC526" s="10">
        <v>0.12920000000000001</v>
      </c>
      <c r="AD526" s="10">
        <v>0.2074</v>
      </c>
      <c r="AE526" s="10">
        <v>0.17910000000000001</v>
      </c>
      <c r="AF526" s="10">
        <v>0.107</v>
      </c>
      <c r="AG526" s="10">
        <v>0.311</v>
      </c>
      <c r="AH526">
        <v>7.5920000000000001E-2</v>
      </c>
    </row>
    <row r="527" spans="3:34">
      <c r="C527" s="11" t="s">
        <v>276</v>
      </c>
      <c r="D527" s="10" t="s">
        <v>1</v>
      </c>
      <c r="E527" s="10">
        <v>13.71</v>
      </c>
      <c r="F527" s="10">
        <v>16.670000000000002</v>
      </c>
      <c r="G527" s="10">
        <v>74.719999999999899</v>
      </c>
      <c r="H527" s="10">
        <v>423.6</v>
      </c>
      <c r="I527" s="10">
        <v>0.1051</v>
      </c>
      <c r="J527" s="10">
        <v>6.09499999999999E-2</v>
      </c>
      <c r="K527" s="10">
        <v>3.5920000000000001E-2</v>
      </c>
      <c r="L527" s="10">
        <v>2.5999999999999902E-2</v>
      </c>
      <c r="M527" s="10">
        <v>0.13389999999999899</v>
      </c>
      <c r="N527" s="10">
        <v>5.9450000000000003E-2</v>
      </c>
      <c r="O527" s="10">
        <v>0.44890000000000002</v>
      </c>
      <c r="P527" s="10">
        <v>2.508</v>
      </c>
      <c r="Q527" s="10">
        <v>3.258</v>
      </c>
      <c r="R527" s="10">
        <v>34.369999999999898</v>
      </c>
      <c r="S527" s="10">
        <v>6.5779999999999901E-3</v>
      </c>
      <c r="T527" s="10">
        <v>1.38E-2</v>
      </c>
      <c r="U527" s="10">
        <v>2.6620000000000001E-2</v>
      </c>
      <c r="V527" s="10">
        <v>1.307E-2</v>
      </c>
      <c r="W527" s="10">
        <v>1.359E-2</v>
      </c>
      <c r="X527" s="10">
        <v>3.7069999999999898E-3</v>
      </c>
      <c r="Y527" s="10">
        <v>13.33</v>
      </c>
      <c r="Z527" s="10">
        <v>25.48</v>
      </c>
      <c r="AA527" s="10">
        <v>86.159999999999897</v>
      </c>
      <c r="AB527" s="10">
        <v>546.70000000000005</v>
      </c>
      <c r="AC527" s="10">
        <v>0.12709999999999899</v>
      </c>
      <c r="AD527" s="10">
        <v>0.1028</v>
      </c>
      <c r="AE527" s="10">
        <v>0.1046</v>
      </c>
      <c r="AF527" s="10">
        <v>6.9680000000000006E-2</v>
      </c>
      <c r="AG527" s="10">
        <v>0.17119999999999899</v>
      </c>
      <c r="AH527">
        <v>7.3429999999999898E-2</v>
      </c>
    </row>
    <row r="528" spans="3:34">
      <c r="C528" s="11" t="s">
        <v>491</v>
      </c>
      <c r="D528" s="10" t="s">
        <v>0</v>
      </c>
      <c r="E528" s="10">
        <v>13.71</v>
      </c>
      <c r="F528" s="10">
        <v>19.219999999999899</v>
      </c>
      <c r="G528" s="10">
        <v>107.099999999999</v>
      </c>
      <c r="H528" s="10">
        <v>758.6</v>
      </c>
      <c r="I528" s="10">
        <v>0.12429999999999899</v>
      </c>
      <c r="J528" s="10">
        <v>0.2364</v>
      </c>
      <c r="K528" s="10">
        <v>0.29139999999999899</v>
      </c>
      <c r="L528" s="10">
        <v>0.1242</v>
      </c>
      <c r="M528" s="10">
        <v>0.23749999999999899</v>
      </c>
      <c r="N528" s="10">
        <v>7.603E-2</v>
      </c>
      <c r="O528" s="10">
        <v>0.52039999999999897</v>
      </c>
      <c r="P528" s="10">
        <v>1.3240000000000001</v>
      </c>
      <c r="Q528" s="10">
        <v>3.4769999999999901</v>
      </c>
      <c r="R528" s="10">
        <v>51.219999999999899</v>
      </c>
      <c r="S528" s="10">
        <v>9.3290000000000005E-3</v>
      </c>
      <c r="T528" s="10">
        <v>6.5589999999999898E-2</v>
      </c>
      <c r="U528" s="10">
        <v>9.9529999999999896E-2</v>
      </c>
      <c r="V528" s="10">
        <v>2.283E-2</v>
      </c>
      <c r="W528" s="10">
        <v>5.543E-2</v>
      </c>
      <c r="X528" s="10">
        <v>7.3299999999999902E-3</v>
      </c>
      <c r="Y528" s="10">
        <v>17.3599999999999</v>
      </c>
      <c r="Z528" s="10">
        <v>24.17</v>
      </c>
      <c r="AA528" s="10">
        <v>119.4</v>
      </c>
      <c r="AB528" s="10">
        <v>915.29999999999905</v>
      </c>
      <c r="AC528" s="10">
        <v>0.155</v>
      </c>
      <c r="AD528" s="10">
        <v>0.50460000000000005</v>
      </c>
      <c r="AE528" s="10">
        <v>0.68720000000000003</v>
      </c>
      <c r="AF528" s="10">
        <v>0.2135</v>
      </c>
      <c r="AG528" s="10">
        <v>0.42449999999999899</v>
      </c>
      <c r="AH528">
        <v>0.105</v>
      </c>
    </row>
    <row r="529" spans="3:34">
      <c r="C529" s="11" t="s">
        <v>214</v>
      </c>
      <c r="D529" s="10" t="s">
        <v>1</v>
      </c>
      <c r="E529" s="10">
        <v>13.71</v>
      </c>
      <c r="F529" s="10">
        <v>16.52</v>
      </c>
      <c r="G529" s="10">
        <v>79.189999999999898</v>
      </c>
      <c r="H529" s="10">
        <v>470.89999999999901</v>
      </c>
      <c r="I529" s="10">
        <v>9.1719999999999899E-2</v>
      </c>
      <c r="J529" s="10">
        <v>6.8290000000000003E-2</v>
      </c>
      <c r="K529" s="10">
        <v>3.372E-2</v>
      </c>
      <c r="L529" s="10">
        <v>2.2720000000000001E-2</v>
      </c>
      <c r="M529" s="10">
        <v>0.17199999999999899</v>
      </c>
      <c r="N529" s="10">
        <v>5.9139999999999901E-2</v>
      </c>
      <c r="O529" s="10">
        <v>0.2505</v>
      </c>
      <c r="P529" s="10">
        <v>1.0249999999999899</v>
      </c>
      <c r="Q529" s="10">
        <v>1.74</v>
      </c>
      <c r="R529" s="10">
        <v>19.68</v>
      </c>
      <c r="S529" s="10">
        <v>4.8539999999999903E-3</v>
      </c>
      <c r="T529" s="10">
        <v>1.8190000000000001E-2</v>
      </c>
      <c r="U529" s="10">
        <v>1.8259999999999901E-2</v>
      </c>
      <c r="V529" s="10">
        <v>7.9649999999999894E-3</v>
      </c>
      <c r="W529" s="10">
        <v>1.3860000000000001E-2</v>
      </c>
      <c r="X529" s="10">
        <v>2.3040000000000001E-3</v>
      </c>
      <c r="Y529" s="10">
        <v>14.1099999999999</v>
      </c>
      <c r="Z529" s="10">
        <v>23.21</v>
      </c>
      <c r="AA529" s="10">
        <v>89.709999999999894</v>
      </c>
      <c r="AB529" s="10">
        <v>611.1</v>
      </c>
      <c r="AC529" s="10">
        <v>0.1176</v>
      </c>
      <c r="AD529" s="10">
        <v>0.18429999999999899</v>
      </c>
      <c r="AE529" s="10">
        <v>0.17030000000000001</v>
      </c>
      <c r="AF529" s="10">
        <v>8.6599999999999899E-2</v>
      </c>
      <c r="AG529" s="10">
        <v>0.26179999999999898</v>
      </c>
      <c r="AH529">
        <v>7.6090000000000005E-2</v>
      </c>
    </row>
    <row r="530" spans="3:34">
      <c r="C530" s="11" t="s">
        <v>250</v>
      </c>
      <c r="D530" s="10" t="s">
        <v>1</v>
      </c>
      <c r="E530" s="10">
        <v>13.71</v>
      </c>
      <c r="F530" s="10">
        <v>16.989999999999899</v>
      </c>
      <c r="G530" s="10">
        <v>62.5</v>
      </c>
      <c r="H530" s="10">
        <v>290.19999999999902</v>
      </c>
      <c r="I530" s="10">
        <v>0.1037</v>
      </c>
      <c r="J530" s="10">
        <v>8.4040000000000004E-2</v>
      </c>
      <c r="K530" s="10">
        <v>4.3339999999999899E-2</v>
      </c>
      <c r="L530" s="10">
        <v>1.7780000000000001E-2</v>
      </c>
      <c r="M530" s="10">
        <v>0.15840000000000001</v>
      </c>
      <c r="N530" s="10">
        <v>7.0650000000000004E-2</v>
      </c>
      <c r="O530" s="10">
        <v>0.40300000000000002</v>
      </c>
      <c r="P530" s="10">
        <v>1.4239999999999899</v>
      </c>
      <c r="Q530" s="10">
        <v>2.7469999999999901</v>
      </c>
      <c r="R530" s="10">
        <v>22.87</v>
      </c>
      <c r="S530" s="10">
        <v>1.3849999999999901E-2</v>
      </c>
      <c r="T530" s="10">
        <v>2.9319999999999902E-2</v>
      </c>
      <c r="U530" s="10">
        <v>2.7220000000000001E-2</v>
      </c>
      <c r="V530" s="10">
        <v>1.023E-2</v>
      </c>
      <c r="W530" s="10">
        <v>3.2809999999999902E-2</v>
      </c>
      <c r="X530" s="10">
        <v>4.6379999999999902E-3</v>
      </c>
      <c r="Y530" s="10">
        <v>11.05</v>
      </c>
      <c r="Z530" s="10">
        <v>21.469999999999899</v>
      </c>
      <c r="AA530" s="10">
        <v>71.680000000000007</v>
      </c>
      <c r="AB530" s="10">
        <v>367</v>
      </c>
      <c r="AC530" s="10">
        <v>0.1467</v>
      </c>
      <c r="AD530" s="10">
        <v>0.17649999999999899</v>
      </c>
      <c r="AE530" s="10">
        <v>0.13</v>
      </c>
      <c r="AF530" s="10">
        <v>5.3339999999999901E-2</v>
      </c>
      <c r="AG530" s="10">
        <v>0.25330000000000003</v>
      </c>
      <c r="AH530">
        <v>8.4680000000000005E-2</v>
      </c>
    </row>
    <row r="531" spans="3:34">
      <c r="C531" s="11" t="s">
        <v>191</v>
      </c>
      <c r="D531" s="10" t="s">
        <v>1</v>
      </c>
      <c r="E531" s="10">
        <v>13.71</v>
      </c>
      <c r="F531" s="10">
        <v>16.34</v>
      </c>
      <c r="G531" s="10">
        <v>87.209999999999894</v>
      </c>
      <c r="H531" s="10">
        <v>571.79999999999905</v>
      </c>
      <c r="I531" s="10">
        <v>7.6850000000000002E-2</v>
      </c>
      <c r="J531" s="10">
        <v>6.0589999999999901E-2</v>
      </c>
      <c r="K531" s="10">
        <v>1.857E-2</v>
      </c>
      <c r="L531" s="10">
        <v>1.7229999999999902E-2</v>
      </c>
      <c r="M531" s="10">
        <v>0.1353</v>
      </c>
      <c r="N531" s="10">
        <v>5.953E-2</v>
      </c>
      <c r="O531" s="10">
        <v>0.18720000000000001</v>
      </c>
      <c r="P531" s="10">
        <v>0.9234</v>
      </c>
      <c r="Q531" s="10">
        <v>1.4490000000000001</v>
      </c>
      <c r="R531" s="10">
        <v>14.55</v>
      </c>
      <c r="S531" s="10">
        <v>4.4770000000000001E-3</v>
      </c>
      <c r="T531" s="10">
        <v>1.17699999999999E-2</v>
      </c>
      <c r="U531" s="10">
        <v>1.07899999999999E-2</v>
      </c>
      <c r="V531" s="10">
        <v>7.9559999999999909E-3</v>
      </c>
      <c r="W531" s="10">
        <v>1.325E-2</v>
      </c>
      <c r="X531" s="10">
        <v>2.5509999999999899E-3</v>
      </c>
      <c r="Y531" s="10">
        <v>14.67</v>
      </c>
      <c r="Z531" s="10">
        <v>23.19</v>
      </c>
      <c r="AA531" s="10">
        <v>96.079999999999899</v>
      </c>
      <c r="AB531" s="10">
        <v>656.7</v>
      </c>
      <c r="AC531" s="10">
        <v>0.1089</v>
      </c>
      <c r="AD531" s="10">
        <v>0.15820000000000001</v>
      </c>
      <c r="AE531" s="10">
        <v>0.105</v>
      </c>
      <c r="AF531" s="10">
        <v>8.5860000000000006E-2</v>
      </c>
      <c r="AG531" s="10">
        <v>0.2346</v>
      </c>
      <c r="AH531">
        <v>8.0250000000000002E-2</v>
      </c>
    </row>
    <row r="532" spans="3:34">
      <c r="C532" s="11" t="s">
        <v>179</v>
      </c>
      <c r="D532" s="10" t="s">
        <v>0</v>
      </c>
      <c r="E532" s="10">
        <v>13.71</v>
      </c>
      <c r="F532" s="10">
        <v>20.82</v>
      </c>
      <c r="G532" s="10">
        <v>88.4</v>
      </c>
      <c r="H532" s="10">
        <v>559.20000000000005</v>
      </c>
      <c r="I532" s="10">
        <v>0.1016</v>
      </c>
      <c r="J532" s="10">
        <v>0.1255</v>
      </c>
      <c r="K532" s="10">
        <v>0.10630000000000001</v>
      </c>
      <c r="L532" s="10">
        <v>5.4390000000000001E-2</v>
      </c>
      <c r="M532" s="10">
        <v>0.17199999999999899</v>
      </c>
      <c r="N532" s="10">
        <v>6.41899999999999E-2</v>
      </c>
      <c r="O532" s="10">
        <v>0.212999999999999</v>
      </c>
      <c r="P532" s="10">
        <v>0.59140000000000004</v>
      </c>
      <c r="Q532" s="10">
        <v>1.5449999999999899</v>
      </c>
      <c r="R532" s="10">
        <v>18.52</v>
      </c>
      <c r="S532" s="10">
        <v>5.3670000000000002E-3</v>
      </c>
      <c r="T532" s="10">
        <v>2.239E-2</v>
      </c>
      <c r="U532" s="10">
        <v>3.049E-2</v>
      </c>
      <c r="V532" s="10">
        <v>1.26199999999999E-2</v>
      </c>
      <c r="W532" s="10">
        <v>1.37699999999999E-2</v>
      </c>
      <c r="X532" s="10">
        <v>3.1870000000000002E-3</v>
      </c>
      <c r="Y532" s="10">
        <v>15.5299999999999</v>
      </c>
      <c r="Z532" s="10">
        <v>26.02</v>
      </c>
      <c r="AA532" s="10">
        <v>107.3</v>
      </c>
      <c r="AB532" s="10">
        <v>740.39999999999895</v>
      </c>
      <c r="AC532" s="10">
        <v>0.161</v>
      </c>
      <c r="AD532" s="10">
        <v>0.42249999999999899</v>
      </c>
      <c r="AE532" s="10">
        <v>0.503</v>
      </c>
      <c r="AF532" s="10">
        <v>0.2258</v>
      </c>
      <c r="AG532" s="10">
        <v>0.28070000000000001</v>
      </c>
      <c r="AH532">
        <v>0.1071</v>
      </c>
    </row>
    <row r="533" spans="3:34">
      <c r="C533" s="11" t="s">
        <v>451</v>
      </c>
      <c r="D533" s="10" t="s">
        <v>1</v>
      </c>
      <c r="E533" s="10">
        <v>13.71</v>
      </c>
      <c r="F533" s="10">
        <v>15.69</v>
      </c>
      <c r="G533" s="10">
        <v>92.68</v>
      </c>
      <c r="H533" s="10">
        <v>664.89999999999895</v>
      </c>
      <c r="I533" s="10">
        <v>7.6179999999999901E-2</v>
      </c>
      <c r="J533" s="10">
        <v>3.5150000000000001E-2</v>
      </c>
      <c r="K533" s="10">
        <v>1.447E-2</v>
      </c>
      <c r="L533" s="10">
        <v>1.8769999999999901E-2</v>
      </c>
      <c r="M533" s="10">
        <v>0.16320000000000001</v>
      </c>
      <c r="N533" s="10">
        <v>5.2549999999999902E-2</v>
      </c>
      <c r="O533" s="10">
        <v>0.316</v>
      </c>
      <c r="P533" s="10">
        <v>0.91149999999999898</v>
      </c>
      <c r="Q533" s="10">
        <v>1.954</v>
      </c>
      <c r="R533" s="10">
        <v>28.899999999999899</v>
      </c>
      <c r="S533" s="10">
        <v>5.0309999999999903E-3</v>
      </c>
      <c r="T533" s="10">
        <v>6.0210000000000003E-3</v>
      </c>
      <c r="U533" s="10">
        <v>5.3249999999999903E-3</v>
      </c>
      <c r="V533" s="10">
        <v>6.3239999999999902E-3</v>
      </c>
      <c r="W533" s="10">
        <v>1.494E-2</v>
      </c>
      <c r="X533" s="10">
        <v>8.9479999999999898E-4</v>
      </c>
      <c r="Y533" s="10">
        <v>16.46</v>
      </c>
      <c r="Z533" s="10">
        <v>21.75</v>
      </c>
      <c r="AA533" s="10">
        <v>103.7</v>
      </c>
      <c r="AB533" s="10">
        <v>840.79999999999905</v>
      </c>
      <c r="AC533" s="10">
        <v>0.1011</v>
      </c>
      <c r="AD533" s="10">
        <v>7.0870000000000002E-2</v>
      </c>
      <c r="AE533" s="10">
        <v>4.7460000000000002E-2</v>
      </c>
      <c r="AF533" s="10">
        <v>5.8130000000000001E-2</v>
      </c>
      <c r="AG533" s="10">
        <v>0.253</v>
      </c>
      <c r="AH533">
        <v>5.6950000000000001E-2</v>
      </c>
    </row>
    <row r="534" spans="3:34">
      <c r="C534" s="11" t="s">
        <v>528</v>
      </c>
      <c r="D534" s="10" t="s">
        <v>1</v>
      </c>
      <c r="E534" s="10">
        <v>13.71</v>
      </c>
      <c r="F534" s="10">
        <v>15.5</v>
      </c>
      <c r="G534" s="10">
        <v>73.379999999999896</v>
      </c>
      <c r="H534" s="10">
        <v>392</v>
      </c>
      <c r="I534" s="10">
        <v>8.3650000000000002E-2</v>
      </c>
      <c r="J534" s="10">
        <v>0.1114</v>
      </c>
      <c r="K534" s="10">
        <v>0.1007</v>
      </c>
      <c r="L534" s="10">
        <v>2.7570000000000001E-2</v>
      </c>
      <c r="M534" s="10">
        <v>0.180999999999999</v>
      </c>
      <c r="N534" s="10">
        <v>7.2520000000000001E-2</v>
      </c>
      <c r="O534" s="10">
        <v>0.33050000000000002</v>
      </c>
      <c r="P534" s="10">
        <v>1.06699999999999</v>
      </c>
      <c r="Q534" s="10">
        <v>2.569</v>
      </c>
      <c r="R534" s="10">
        <v>22.969999999999899</v>
      </c>
      <c r="S534" s="10">
        <v>1.038E-2</v>
      </c>
      <c r="T534" s="10">
        <v>6.6689999999999902E-2</v>
      </c>
      <c r="U534" s="10">
        <v>9.4719999999999901E-2</v>
      </c>
      <c r="V534" s="10">
        <v>2.0469999999999901E-2</v>
      </c>
      <c r="W534" s="10">
        <v>1.2189999999999901E-2</v>
      </c>
      <c r="X534" s="10">
        <v>1.2330000000000001E-2</v>
      </c>
      <c r="Y534" s="10">
        <v>12.0399999999999</v>
      </c>
      <c r="Z534" s="10">
        <v>18.93</v>
      </c>
      <c r="AA534" s="10">
        <v>79.73</v>
      </c>
      <c r="AB534" s="10">
        <v>450</v>
      </c>
      <c r="AC534" s="10">
        <v>0.11020000000000001</v>
      </c>
      <c r="AD534" s="10">
        <v>0.28089999999999898</v>
      </c>
      <c r="AE534" s="10">
        <v>0.30209999999999898</v>
      </c>
      <c r="AF534" s="10">
        <v>8.2720000000000002E-2</v>
      </c>
      <c r="AG534" s="10">
        <v>0.2157</v>
      </c>
      <c r="AH534">
        <v>0.1043</v>
      </c>
    </row>
    <row r="535" spans="3:34">
      <c r="C535" s="11" t="s">
        <v>365</v>
      </c>
      <c r="D535" s="10" t="s">
        <v>1</v>
      </c>
      <c r="E535" s="10">
        <v>13.71</v>
      </c>
      <c r="F535" s="10">
        <v>13.47</v>
      </c>
      <c r="G535" s="10">
        <v>92.51</v>
      </c>
      <c r="H535" s="10">
        <v>641.20000000000005</v>
      </c>
      <c r="I535" s="10">
        <v>9.9059999999999898E-2</v>
      </c>
      <c r="J535" s="10">
        <v>7.6240000000000002E-2</v>
      </c>
      <c r="K535" s="10">
        <v>5.7239999999999902E-2</v>
      </c>
      <c r="L535" s="10">
        <v>4.6030000000000001E-2</v>
      </c>
      <c r="M535" s="10">
        <v>0.20749999999999899</v>
      </c>
      <c r="N535" s="10">
        <v>5.4480000000000001E-2</v>
      </c>
      <c r="O535" s="10">
        <v>0.52200000000000002</v>
      </c>
      <c r="P535" s="10">
        <v>0.81210000000000004</v>
      </c>
      <c r="Q535" s="10">
        <v>3.7629999999999901</v>
      </c>
      <c r="R535" s="10">
        <v>48.2899999999999</v>
      </c>
      <c r="S535" s="10">
        <v>7.0889999999999903E-3</v>
      </c>
      <c r="T535" s="10">
        <v>1.42799999999999E-2</v>
      </c>
      <c r="U535" s="10">
        <v>2.3599999999999899E-2</v>
      </c>
      <c r="V535" s="10">
        <v>1.286E-2</v>
      </c>
      <c r="W535" s="10">
        <v>2.266E-2</v>
      </c>
      <c r="X535" s="10">
        <v>1.4630000000000001E-3</v>
      </c>
      <c r="Y535" s="10">
        <v>16.77</v>
      </c>
      <c r="Z535" s="10">
        <v>16.899999999999899</v>
      </c>
      <c r="AA535" s="10">
        <v>110.4</v>
      </c>
      <c r="AB535" s="10">
        <v>873.2</v>
      </c>
      <c r="AC535" s="10">
        <v>0.12970000000000001</v>
      </c>
      <c r="AD535" s="10">
        <v>0.1525</v>
      </c>
      <c r="AE535" s="10">
        <v>0.16320000000000001</v>
      </c>
      <c r="AF535" s="10">
        <v>0.1087</v>
      </c>
      <c r="AG535" s="10">
        <v>0.30620000000000003</v>
      </c>
      <c r="AH535">
        <v>6.0720000000000003E-2</v>
      </c>
    </row>
    <row r="536" spans="3:34">
      <c r="C536" s="11" t="s">
        <v>232</v>
      </c>
      <c r="D536" s="10" t="s">
        <v>1</v>
      </c>
      <c r="E536" s="10">
        <v>13.71</v>
      </c>
      <c r="F536" s="10">
        <v>14.76</v>
      </c>
      <c r="G536" s="10">
        <v>84.739999999999895</v>
      </c>
      <c r="H536" s="10">
        <v>551.70000000000005</v>
      </c>
      <c r="I536" s="10">
        <v>7.3550000000000004E-2</v>
      </c>
      <c r="J536" s="10">
        <v>5.0549999999999901E-2</v>
      </c>
      <c r="K536" s="10">
        <v>3.261E-2</v>
      </c>
      <c r="L536" s="10">
        <v>2.648E-2</v>
      </c>
      <c r="M536" s="10">
        <v>0.1386</v>
      </c>
      <c r="N536" s="10">
        <v>5.3179999999999901E-2</v>
      </c>
      <c r="O536" s="10">
        <v>0.40570000000000001</v>
      </c>
      <c r="P536" s="10">
        <v>1.153</v>
      </c>
      <c r="Q536" s="10">
        <v>2.7010000000000001</v>
      </c>
      <c r="R536" s="10">
        <v>36.35</v>
      </c>
      <c r="S536" s="10">
        <v>4.4809999999999902E-3</v>
      </c>
      <c r="T536" s="10">
        <v>1.038E-2</v>
      </c>
      <c r="U536" s="10">
        <v>1.358E-2</v>
      </c>
      <c r="V536" s="10">
        <v>1.082E-2</v>
      </c>
      <c r="W536" s="10">
        <v>1.069E-2</v>
      </c>
      <c r="X536" s="10">
        <v>1.4350000000000001E-3</v>
      </c>
      <c r="Y536" s="10">
        <v>16.3599999999999</v>
      </c>
      <c r="Z536" s="10">
        <v>22.35</v>
      </c>
      <c r="AA536" s="10">
        <v>104.5</v>
      </c>
      <c r="AB536" s="10">
        <v>830.6</v>
      </c>
      <c r="AC536" s="10">
        <v>0.100599999999999</v>
      </c>
      <c r="AD536" s="10">
        <v>0.12379999999999899</v>
      </c>
      <c r="AE536" s="10">
        <v>0.13500000000000001</v>
      </c>
      <c r="AF536" s="10">
        <v>0.100099999999999</v>
      </c>
      <c r="AG536" s="10">
        <v>0.20269999999999899</v>
      </c>
      <c r="AH536">
        <v>6.20599999999999E-2</v>
      </c>
    </row>
    <row r="537" spans="3:34">
      <c r="C537" s="11" t="s">
        <v>355</v>
      </c>
      <c r="D537" s="10" t="s">
        <v>0</v>
      </c>
      <c r="E537" s="10">
        <v>13.71</v>
      </c>
      <c r="F537" s="10">
        <v>16.93</v>
      </c>
      <c r="G537" s="10">
        <v>90.959999999999894</v>
      </c>
      <c r="H537" s="10">
        <v>578.89999999999895</v>
      </c>
      <c r="I537" s="10">
        <v>0.1026</v>
      </c>
      <c r="J537" s="10">
        <v>0.1517</v>
      </c>
      <c r="K537" s="10">
        <v>9.9010000000000001E-2</v>
      </c>
      <c r="L537" s="10">
        <v>5.602E-2</v>
      </c>
      <c r="M537" s="10">
        <v>0.21060000000000001</v>
      </c>
      <c r="N537" s="10">
        <v>6.9159999999999902E-2</v>
      </c>
      <c r="O537" s="10">
        <v>0.25629999999999897</v>
      </c>
      <c r="P537" s="10">
        <v>1.194</v>
      </c>
      <c r="Q537" s="10">
        <v>1.9330000000000001</v>
      </c>
      <c r="R537" s="10">
        <v>22.69</v>
      </c>
      <c r="S537" s="10">
        <v>5.96E-3</v>
      </c>
      <c r="T537" s="10">
        <v>3.4380000000000001E-2</v>
      </c>
      <c r="U537" s="10">
        <v>3.909E-2</v>
      </c>
      <c r="V537" s="10">
        <v>1.435E-2</v>
      </c>
      <c r="W537" s="10">
        <v>1.9390000000000001E-2</v>
      </c>
      <c r="X537" s="10">
        <v>4.5599999999999903E-3</v>
      </c>
      <c r="Y537" s="10">
        <v>15.75</v>
      </c>
      <c r="Z537" s="10">
        <v>26.93</v>
      </c>
      <c r="AA537" s="10">
        <v>104.4</v>
      </c>
      <c r="AB537" s="10">
        <v>750.1</v>
      </c>
      <c r="AC537" s="10">
        <v>0.14599999999999899</v>
      </c>
      <c r="AD537" s="10">
        <v>0.437</v>
      </c>
      <c r="AE537" s="10">
        <v>0.46360000000000001</v>
      </c>
      <c r="AF537" s="10">
        <v>0.16539999999999899</v>
      </c>
      <c r="AG537" s="10">
        <v>0.36299999999999899</v>
      </c>
      <c r="AH537">
        <v>0.10589999999999899</v>
      </c>
    </row>
    <row r="538" spans="3:34">
      <c r="C538" s="11" t="s">
        <v>242</v>
      </c>
      <c r="D538" s="10" t="s">
        <v>1</v>
      </c>
      <c r="E538" s="10">
        <v>13.71</v>
      </c>
      <c r="F538" s="10">
        <v>20.52</v>
      </c>
      <c r="G538" s="10">
        <v>77.219999999999899</v>
      </c>
      <c r="H538" s="10">
        <v>458.69999999999902</v>
      </c>
      <c r="I538" s="10">
        <v>8.0130000000000007E-2</v>
      </c>
      <c r="J538" s="10">
        <v>4.0379999999999902E-2</v>
      </c>
      <c r="K538" s="10">
        <v>2.383E-2</v>
      </c>
      <c r="L538" s="10">
        <v>1.77E-2</v>
      </c>
      <c r="M538" s="10">
        <v>0.1739</v>
      </c>
      <c r="N538" s="10">
        <v>5.6770000000000001E-2</v>
      </c>
      <c r="O538" s="10">
        <v>0.19239999999999899</v>
      </c>
      <c r="P538" s="10">
        <v>1.571</v>
      </c>
      <c r="Q538" s="10">
        <v>1.1830000000000001</v>
      </c>
      <c r="R538" s="10">
        <v>14.68</v>
      </c>
      <c r="S538" s="10">
        <v>5.0800000000000003E-3</v>
      </c>
      <c r="T538" s="10">
        <v>6.0980000000000001E-3</v>
      </c>
      <c r="U538" s="10">
        <v>1.069E-2</v>
      </c>
      <c r="V538" s="10">
        <v>6.7970000000000001E-3</v>
      </c>
      <c r="W538" s="10">
        <v>1.447E-2</v>
      </c>
      <c r="X538" s="10">
        <v>1.53199999999999E-3</v>
      </c>
      <c r="Y538" s="10">
        <v>13.34</v>
      </c>
      <c r="Z538" s="10">
        <v>32.840000000000003</v>
      </c>
      <c r="AA538" s="10">
        <v>84.579999999999899</v>
      </c>
      <c r="AB538" s="10">
        <v>547.79999999999905</v>
      </c>
      <c r="AC538" s="10">
        <v>0.1123</v>
      </c>
      <c r="AD538" s="10">
        <v>8.8620000000000004E-2</v>
      </c>
      <c r="AE538" s="10">
        <v>0.1145</v>
      </c>
      <c r="AF538" s="10">
        <v>7.4310000000000001E-2</v>
      </c>
      <c r="AG538" s="10">
        <v>0.26939999999999897</v>
      </c>
      <c r="AH538">
        <v>6.8779999999999897E-2</v>
      </c>
    </row>
    <row r="539" spans="3:34">
      <c r="C539" s="11" t="s">
        <v>480</v>
      </c>
      <c r="D539" s="10" t="s">
        <v>1</v>
      </c>
      <c r="E539" s="10">
        <v>13.71</v>
      </c>
      <c r="F539" s="10">
        <v>16.5399999999999</v>
      </c>
      <c r="G539" s="10">
        <v>94.15</v>
      </c>
      <c r="H539" s="10">
        <v>641.20000000000005</v>
      </c>
      <c r="I539" s="10">
        <v>9.7509999999999902E-2</v>
      </c>
      <c r="J539" s="10">
        <v>0.1139</v>
      </c>
      <c r="K539" s="10">
        <v>8.0070000000000002E-2</v>
      </c>
      <c r="L539" s="10">
        <v>4.22299999999999E-2</v>
      </c>
      <c r="M539" s="10">
        <v>0.19120000000000001</v>
      </c>
      <c r="N539" s="10">
        <v>6.4119999999999899E-2</v>
      </c>
      <c r="O539" s="10">
        <v>0.34910000000000002</v>
      </c>
      <c r="P539" s="10">
        <v>0.77059999999999895</v>
      </c>
      <c r="Q539" s="10">
        <v>2.677</v>
      </c>
      <c r="R539" s="10">
        <v>32.14</v>
      </c>
      <c r="S539" s="10">
        <v>4.5770000000000003E-3</v>
      </c>
      <c r="T539" s="10">
        <v>3.0530000000000002E-2</v>
      </c>
      <c r="U539" s="10">
        <v>3.8399999999999899E-2</v>
      </c>
      <c r="V539" s="10">
        <v>1.243E-2</v>
      </c>
      <c r="W539" s="10">
        <v>1.873E-2</v>
      </c>
      <c r="X539" s="10">
        <v>3.3730000000000001E-3</v>
      </c>
      <c r="Y539" s="10">
        <v>16.670000000000002</v>
      </c>
      <c r="Z539" s="10">
        <v>21.51</v>
      </c>
      <c r="AA539" s="10">
        <v>111.4</v>
      </c>
      <c r="AB539" s="10">
        <v>862.1</v>
      </c>
      <c r="AC539" s="10">
        <v>0.12939999999999899</v>
      </c>
      <c r="AD539" s="10">
        <v>0.33710000000000001</v>
      </c>
      <c r="AE539" s="10">
        <v>0.3755</v>
      </c>
      <c r="AF539" s="10">
        <v>0.1414</v>
      </c>
      <c r="AG539" s="10">
        <v>0.30530000000000002</v>
      </c>
      <c r="AH539">
        <v>8.7639999999999899E-2</v>
      </c>
    </row>
    <row r="540" spans="3:34">
      <c r="C540" s="11" t="s">
        <v>270</v>
      </c>
      <c r="D540" s="10" t="s">
        <v>1</v>
      </c>
      <c r="E540" s="10">
        <v>13.71</v>
      </c>
      <c r="F540" s="10">
        <v>13.2899999999999</v>
      </c>
      <c r="G540" s="10">
        <v>79.079999999999899</v>
      </c>
      <c r="H540" s="10">
        <v>455.8</v>
      </c>
      <c r="I540" s="10">
        <v>0.1066</v>
      </c>
      <c r="J540" s="10">
        <v>9.5089999999999897E-2</v>
      </c>
      <c r="K540" s="10">
        <v>2.8549999999999898E-2</v>
      </c>
      <c r="L540" s="10">
        <v>2.8819999999999901E-2</v>
      </c>
      <c r="M540" s="10">
        <v>0.188</v>
      </c>
      <c r="N540" s="10">
        <v>6.4710000000000004E-2</v>
      </c>
      <c r="O540" s="10">
        <v>0.20050000000000001</v>
      </c>
      <c r="P540" s="10">
        <v>0.81630000000000003</v>
      </c>
      <c r="Q540" s="10">
        <v>1.9730000000000001</v>
      </c>
      <c r="R540" s="10">
        <v>15.24</v>
      </c>
      <c r="S540" s="10">
        <v>6.7730000000000004E-3</v>
      </c>
      <c r="T540" s="10">
        <v>2.4559999999999901E-2</v>
      </c>
      <c r="U540" s="10">
        <v>1.018E-2</v>
      </c>
      <c r="V540" s="10">
        <v>8.0940000000000005E-3</v>
      </c>
      <c r="W540" s="10">
        <v>2.6620000000000001E-2</v>
      </c>
      <c r="X540" s="10">
        <v>4.143E-3</v>
      </c>
      <c r="Y540" s="10">
        <v>13.34</v>
      </c>
      <c r="Z540" s="10">
        <v>17.809999999999899</v>
      </c>
      <c r="AA540" s="10">
        <v>91.379999999999896</v>
      </c>
      <c r="AB540" s="10">
        <v>545.20000000000005</v>
      </c>
      <c r="AC540" s="10">
        <v>0.14269999999999899</v>
      </c>
      <c r="AD540" s="10">
        <v>0.25850000000000001</v>
      </c>
      <c r="AE540" s="10">
        <v>9.9150000000000002E-2</v>
      </c>
      <c r="AF540" s="10">
        <v>8.1869999999999901E-2</v>
      </c>
      <c r="AG540" s="10">
        <v>0.34689999999999899</v>
      </c>
      <c r="AH540">
        <v>9.2410000000000006E-2</v>
      </c>
    </row>
    <row r="541" spans="3:34">
      <c r="C541" s="11" t="s">
        <v>440</v>
      </c>
      <c r="D541" s="10" t="s">
        <v>0</v>
      </c>
      <c r="E541" s="10">
        <v>13.71</v>
      </c>
      <c r="F541" s="10">
        <v>18.899999999999899</v>
      </c>
      <c r="G541" s="10">
        <v>129.5</v>
      </c>
      <c r="H541" s="10">
        <v>1217</v>
      </c>
      <c r="I541" s="10">
        <v>0.115</v>
      </c>
      <c r="J541" s="10">
        <v>0.16420000000000001</v>
      </c>
      <c r="K541" s="10">
        <v>0.21970000000000001</v>
      </c>
      <c r="L541" s="10">
        <v>0.1062</v>
      </c>
      <c r="M541" s="10">
        <v>0.1792</v>
      </c>
      <c r="N541" s="10">
        <v>6.5519999999999898E-2</v>
      </c>
      <c r="O541" s="10">
        <v>1.111</v>
      </c>
      <c r="P541" s="10">
        <v>1.161</v>
      </c>
      <c r="Q541" s="10">
        <v>7.2370000000000001</v>
      </c>
      <c r="R541" s="10">
        <v>133</v>
      </c>
      <c r="S541" s="10">
        <v>6.0559999999999902E-3</v>
      </c>
      <c r="T541" s="10">
        <v>3.2030000000000003E-2</v>
      </c>
      <c r="U541" s="10">
        <v>5.638E-2</v>
      </c>
      <c r="V541" s="10">
        <v>1.7330000000000002E-2</v>
      </c>
      <c r="W541" s="10">
        <v>1.8839999999999898E-2</v>
      </c>
      <c r="X541" s="10">
        <v>4.78699999999999E-3</v>
      </c>
      <c r="Y541" s="10">
        <v>25.93</v>
      </c>
      <c r="Z541" s="10">
        <v>26.239999999999899</v>
      </c>
      <c r="AA541" s="10">
        <v>171.099999999999</v>
      </c>
      <c r="AB541" s="10">
        <v>2053</v>
      </c>
      <c r="AC541" s="10">
        <v>0.14949999999999899</v>
      </c>
      <c r="AD541" s="10">
        <v>0.41160000000000002</v>
      </c>
      <c r="AE541" s="10">
        <v>0.61209999999999898</v>
      </c>
      <c r="AF541" s="10">
        <v>0.19800000000000001</v>
      </c>
      <c r="AG541" s="10">
        <v>0.29680000000000001</v>
      </c>
      <c r="AH541">
        <v>9.9290000000000003E-2</v>
      </c>
    </row>
    <row r="542" spans="3:34">
      <c r="C542" s="11" t="s">
        <v>484</v>
      </c>
      <c r="D542" s="10" t="s">
        <v>1</v>
      </c>
      <c r="E542" s="10">
        <v>13.71</v>
      </c>
      <c r="F542" s="10">
        <v>15.4499999999999</v>
      </c>
      <c r="G542" s="10">
        <v>75.03</v>
      </c>
      <c r="H542" s="10">
        <v>420.3</v>
      </c>
      <c r="I542" s="10">
        <v>0.115</v>
      </c>
      <c r="J542" s="10">
        <v>7.281E-2</v>
      </c>
      <c r="K542" s="10">
        <v>4.0059999999999901E-2</v>
      </c>
      <c r="L542" s="10">
        <v>3.2500000000000001E-2</v>
      </c>
      <c r="M542" s="10">
        <v>0.2009</v>
      </c>
      <c r="N542" s="10">
        <v>6.5060000000000007E-2</v>
      </c>
      <c r="O542" s="10">
        <v>0.34460000000000002</v>
      </c>
      <c r="P542" s="10">
        <v>0.73950000000000005</v>
      </c>
      <c r="Q542" s="10">
        <v>2.355</v>
      </c>
      <c r="R542" s="10">
        <v>24.53</v>
      </c>
      <c r="S542" s="10">
        <v>9.5359999999999907E-3</v>
      </c>
      <c r="T542" s="10">
        <v>1.0970000000000001E-2</v>
      </c>
      <c r="U542" s="10">
        <v>1.651E-2</v>
      </c>
      <c r="V542" s="10">
        <v>1.1209999999999901E-2</v>
      </c>
      <c r="W542" s="10">
        <v>1.9529999999999902E-2</v>
      </c>
      <c r="X542" s="10">
        <v>3.0999999999999899E-3</v>
      </c>
      <c r="Y542" s="10">
        <v>13.06</v>
      </c>
      <c r="Z542" s="10">
        <v>18.16</v>
      </c>
      <c r="AA542" s="10">
        <v>84.159999999999897</v>
      </c>
      <c r="AB542" s="10">
        <v>516.39999999999895</v>
      </c>
      <c r="AC542" s="10">
        <v>0.14599999999999899</v>
      </c>
      <c r="AD542" s="10">
        <v>0.1115</v>
      </c>
      <c r="AE542" s="10">
        <v>0.1087</v>
      </c>
      <c r="AF542" s="10">
        <v>7.8640000000000002E-2</v>
      </c>
      <c r="AG542" s="10">
        <v>0.27650000000000002</v>
      </c>
      <c r="AH542">
        <v>7.8060000000000004E-2</v>
      </c>
    </row>
    <row r="543" spans="3:34">
      <c r="C543" s="11" t="s">
        <v>366</v>
      </c>
      <c r="D543" s="10" t="s">
        <v>1</v>
      </c>
      <c r="E543" s="10">
        <v>13.71</v>
      </c>
      <c r="F543" s="10">
        <v>15.46</v>
      </c>
      <c r="G543" s="10">
        <v>66.62</v>
      </c>
      <c r="H543" s="10">
        <v>329.6</v>
      </c>
      <c r="I543" s="10">
        <v>0.1053</v>
      </c>
      <c r="J543" s="10">
        <v>7.72199999999999E-2</v>
      </c>
      <c r="K543" s="10">
        <v>6.6429999999999901E-3</v>
      </c>
      <c r="L543" s="10">
        <v>1.2160000000000001E-2</v>
      </c>
      <c r="M543" s="10">
        <v>0.17879999999999899</v>
      </c>
      <c r="N543" s="10">
        <v>6.4500000000000002E-2</v>
      </c>
      <c r="O543" s="10">
        <v>0.1913</v>
      </c>
      <c r="P543" s="10">
        <v>0.90269999999999895</v>
      </c>
      <c r="Q543" s="10">
        <v>1.208</v>
      </c>
      <c r="R543" s="10">
        <v>11.8599999999999</v>
      </c>
      <c r="S543" s="10">
        <v>6.5129999999999902E-3</v>
      </c>
      <c r="T543" s="10">
        <v>8.0610000000000005E-3</v>
      </c>
      <c r="U543" s="10">
        <v>2.8170000000000001E-3</v>
      </c>
      <c r="V543" s="10">
        <v>4.9719999999999903E-3</v>
      </c>
      <c r="W543" s="10">
        <v>1.502E-2</v>
      </c>
      <c r="X543" s="10">
        <v>2.8210000000000002E-3</v>
      </c>
      <c r="Y543" s="10">
        <v>11.52</v>
      </c>
      <c r="Z543" s="10">
        <v>19.8</v>
      </c>
      <c r="AA543" s="10">
        <v>73.469999999999899</v>
      </c>
      <c r="AB543" s="10">
        <v>395.39999999999901</v>
      </c>
      <c r="AC543" s="10">
        <v>0.1341</v>
      </c>
      <c r="AD543" s="10">
        <v>0.1153</v>
      </c>
      <c r="AE543" s="10">
        <v>2.639E-2</v>
      </c>
      <c r="AF543" s="10">
        <v>4.4639999999999902E-2</v>
      </c>
      <c r="AG543" s="10">
        <v>0.26150000000000001</v>
      </c>
      <c r="AH543">
        <v>8.269E-2</v>
      </c>
    </row>
    <row r="544" spans="3:34">
      <c r="C544" s="11" t="s">
        <v>345</v>
      </c>
      <c r="D544" s="10" t="s">
        <v>0</v>
      </c>
      <c r="E544" s="10">
        <v>13.71</v>
      </c>
      <c r="F544" s="10">
        <v>16.68</v>
      </c>
      <c r="G544" s="10">
        <v>98.78</v>
      </c>
      <c r="H544" s="10">
        <v>716.6</v>
      </c>
      <c r="I544" s="10">
        <v>8.8760000000000006E-2</v>
      </c>
      <c r="J544" s="10">
        <v>9.5880000000000007E-2</v>
      </c>
      <c r="K544" s="10">
        <v>7.5499999999999901E-2</v>
      </c>
      <c r="L544" s="10">
        <v>4.079E-2</v>
      </c>
      <c r="M544" s="10">
        <v>0.15939999999999899</v>
      </c>
      <c r="N544" s="10">
        <v>5.9859999999999899E-2</v>
      </c>
      <c r="O544" s="10">
        <v>0.27110000000000001</v>
      </c>
      <c r="P544" s="10">
        <v>0.36209999999999898</v>
      </c>
      <c r="Q544" s="10">
        <v>1.974</v>
      </c>
      <c r="R544" s="10">
        <v>26.44</v>
      </c>
      <c r="S544" s="10">
        <v>5.4720000000000003E-3</v>
      </c>
      <c r="T544" s="10">
        <v>1.9189999999999902E-2</v>
      </c>
      <c r="U544" s="10">
        <v>2.0389999999999901E-2</v>
      </c>
      <c r="V544" s="10">
        <v>8.26E-3</v>
      </c>
      <c r="W544" s="10">
        <v>1.523E-2</v>
      </c>
      <c r="X544" s="10">
        <v>2.8809999999999899E-3</v>
      </c>
      <c r="Y544" s="10">
        <v>17.77</v>
      </c>
      <c r="Z544" s="10">
        <v>20.239999999999899</v>
      </c>
      <c r="AA544" s="10">
        <v>117.7</v>
      </c>
      <c r="AB544" s="10">
        <v>989.5</v>
      </c>
      <c r="AC544" s="10">
        <v>0.14910000000000001</v>
      </c>
      <c r="AD544" s="10">
        <v>0.33310000000000001</v>
      </c>
      <c r="AE544" s="10">
        <v>0.3327</v>
      </c>
      <c r="AF544" s="10">
        <v>0.12520000000000001</v>
      </c>
      <c r="AG544" s="10">
        <v>0.34150000000000003</v>
      </c>
      <c r="AH544">
        <v>9.74E-2</v>
      </c>
    </row>
    <row r="545" spans="3:34">
      <c r="C545" s="11" t="s">
        <v>291</v>
      </c>
      <c r="D545" s="10" t="s">
        <v>1</v>
      </c>
      <c r="E545" s="10">
        <v>13.71</v>
      </c>
      <c r="F545" s="10">
        <v>20.6999999999999</v>
      </c>
      <c r="G545" s="10">
        <v>53.27</v>
      </c>
      <c r="H545" s="10">
        <v>203.9</v>
      </c>
      <c r="I545" s="10">
        <v>9.4049999999999898E-2</v>
      </c>
      <c r="J545" s="10">
        <v>0.1305</v>
      </c>
      <c r="K545" s="10">
        <v>0.1321</v>
      </c>
      <c r="L545" s="10">
        <v>2.1680000000000001E-2</v>
      </c>
      <c r="M545" s="10">
        <v>0.22220000000000001</v>
      </c>
      <c r="N545" s="10">
        <v>8.2610000000000003E-2</v>
      </c>
      <c r="O545" s="10">
        <v>0.19350000000000001</v>
      </c>
      <c r="P545" s="10">
        <v>1.962</v>
      </c>
      <c r="Q545" s="10">
        <v>1.2430000000000001</v>
      </c>
      <c r="R545" s="10">
        <v>10.210000000000001</v>
      </c>
      <c r="S545" s="10">
        <v>1.243E-2</v>
      </c>
      <c r="T545" s="10">
        <v>5.416E-2</v>
      </c>
      <c r="U545" s="10">
        <v>7.7530000000000002E-2</v>
      </c>
      <c r="V545" s="10">
        <v>1.022E-2</v>
      </c>
      <c r="W545" s="10">
        <v>2.3089999999999899E-2</v>
      </c>
      <c r="X545" s="10">
        <v>1.1780000000000001E-2</v>
      </c>
      <c r="Y545" s="10">
        <v>9.0920000000000005</v>
      </c>
      <c r="Z545" s="10">
        <v>29.719999999999899</v>
      </c>
      <c r="AA545" s="10">
        <v>58.079999999999899</v>
      </c>
      <c r="AB545" s="10">
        <v>249.8</v>
      </c>
      <c r="AC545" s="10">
        <v>0.16300000000000001</v>
      </c>
      <c r="AD545" s="10">
        <v>0.430999999999999</v>
      </c>
      <c r="AE545" s="10">
        <v>0.53810000000000002</v>
      </c>
      <c r="AF545" s="10">
        <v>7.8789999999999902E-2</v>
      </c>
      <c r="AG545" s="10">
        <v>0.3322</v>
      </c>
      <c r="AH545">
        <v>0.14860000000000001</v>
      </c>
    </row>
    <row r="546" spans="3:34">
      <c r="C546" s="11" t="s">
        <v>352</v>
      </c>
      <c r="D546" s="10" t="s">
        <v>0</v>
      </c>
      <c r="E546" s="10">
        <v>13.71</v>
      </c>
      <c r="F546" s="10">
        <v>18.469999999999899</v>
      </c>
      <c r="G546" s="10">
        <v>188.5</v>
      </c>
      <c r="H546" s="10">
        <v>2499</v>
      </c>
      <c r="I546" s="10">
        <v>0.1142</v>
      </c>
      <c r="J546" s="10">
        <v>0.15160000000000001</v>
      </c>
      <c r="K546" s="10">
        <v>0.3201</v>
      </c>
      <c r="L546" s="10">
        <v>0.1595</v>
      </c>
      <c r="M546" s="10">
        <v>0.1648</v>
      </c>
      <c r="N546" s="10">
        <v>5.525E-2</v>
      </c>
      <c r="O546" s="10">
        <v>2.8730000000000002</v>
      </c>
      <c r="P546" s="10">
        <v>1.476</v>
      </c>
      <c r="Q546" s="10">
        <v>21.98</v>
      </c>
      <c r="R546" s="10">
        <v>525.6</v>
      </c>
      <c r="S546" s="10">
        <v>1.345E-2</v>
      </c>
      <c r="T546" s="10">
        <v>2.7720000000000002E-2</v>
      </c>
      <c r="U546" s="10">
        <v>6.3890000000000002E-2</v>
      </c>
      <c r="V546" s="10">
        <v>1.40699999999999E-2</v>
      </c>
      <c r="W546" s="10">
        <v>4.78299999999999E-2</v>
      </c>
      <c r="X546" s="10">
        <v>4.4759999999999904E-3</v>
      </c>
      <c r="Y546" s="10">
        <v>28.1099999999999</v>
      </c>
      <c r="Z546" s="10">
        <v>18.469999999999899</v>
      </c>
      <c r="AA546" s="10">
        <v>188.5</v>
      </c>
      <c r="AB546" s="10">
        <v>2499</v>
      </c>
      <c r="AC546" s="10">
        <v>0.1142</v>
      </c>
      <c r="AD546" s="10">
        <v>0.15160000000000001</v>
      </c>
      <c r="AE546" s="10">
        <v>0.3201</v>
      </c>
      <c r="AF546" s="10">
        <v>0.1595</v>
      </c>
      <c r="AG546" s="10">
        <v>0.1648</v>
      </c>
      <c r="AH546">
        <v>5.525E-2</v>
      </c>
    </row>
    <row r="547" spans="3:34">
      <c r="C547" s="11" t="s">
        <v>534</v>
      </c>
      <c r="D547" s="10" t="s">
        <v>1</v>
      </c>
      <c r="E547" s="10">
        <v>13.71</v>
      </c>
      <c r="F547" s="10">
        <v>17.719999999999899</v>
      </c>
      <c r="G547" s="10">
        <v>78.069999999999894</v>
      </c>
      <c r="H547" s="10">
        <v>446.19999999999902</v>
      </c>
      <c r="I547" s="10">
        <v>0.10290000000000001</v>
      </c>
      <c r="J547" s="10">
        <v>9.758E-2</v>
      </c>
      <c r="K547" s="10">
        <v>4.78299999999999E-2</v>
      </c>
      <c r="L547" s="10">
        <v>3.3259999999999901E-2</v>
      </c>
      <c r="M547" s="10">
        <v>0.19370000000000001</v>
      </c>
      <c r="N547" s="10">
        <v>6.1609999999999901E-2</v>
      </c>
      <c r="O547" s="10">
        <v>0.28410000000000002</v>
      </c>
      <c r="P547" s="10">
        <v>1.6519999999999899</v>
      </c>
      <c r="Q547" s="10">
        <v>1.869</v>
      </c>
      <c r="R547" s="10">
        <v>22.219999999999899</v>
      </c>
      <c r="S547" s="10">
        <v>8.1460000000000005E-3</v>
      </c>
      <c r="T547" s="10">
        <v>1.6310000000000002E-2</v>
      </c>
      <c r="U547" s="10">
        <v>1.8429999999999901E-2</v>
      </c>
      <c r="V547" s="10">
        <v>7.5129999999999902E-3</v>
      </c>
      <c r="W547" s="10">
        <v>2.0150000000000001E-2</v>
      </c>
      <c r="X547" s="10">
        <v>1.7979999999999899E-3</v>
      </c>
      <c r="Y547" s="10">
        <v>13.56</v>
      </c>
      <c r="Z547" s="10">
        <v>25.8</v>
      </c>
      <c r="AA547" s="10">
        <v>88.329999999999899</v>
      </c>
      <c r="AB547" s="10">
        <v>559.5</v>
      </c>
      <c r="AC547" s="10">
        <v>0.14319999999999899</v>
      </c>
      <c r="AD547" s="10">
        <v>0.17730000000000001</v>
      </c>
      <c r="AE547" s="10">
        <v>0.1603</v>
      </c>
      <c r="AF547" s="10">
        <v>6.2659999999999896E-2</v>
      </c>
      <c r="AG547" s="10">
        <v>0.3049</v>
      </c>
      <c r="AH547">
        <v>7.0809999999999901E-2</v>
      </c>
    </row>
    <row r="548" spans="3:34">
      <c r="C548" s="11" t="s">
        <v>185</v>
      </c>
      <c r="D548" s="10" t="s">
        <v>0</v>
      </c>
      <c r="E548" s="10">
        <v>13.71</v>
      </c>
      <c r="F548" s="10">
        <v>17.600000000000001</v>
      </c>
      <c r="G548" s="10">
        <v>123.7</v>
      </c>
      <c r="H548" s="10">
        <v>1076</v>
      </c>
      <c r="I548" s="10">
        <v>0.1099</v>
      </c>
      <c r="J548" s="10">
        <v>0.1686</v>
      </c>
      <c r="K548" s="10">
        <v>0.19739999999999899</v>
      </c>
      <c r="L548" s="10">
        <v>0.1009</v>
      </c>
      <c r="M548" s="10">
        <v>0.19070000000000001</v>
      </c>
      <c r="N548" s="10">
        <v>6.0490000000000002E-2</v>
      </c>
      <c r="O548" s="10">
        <v>0.62890000000000001</v>
      </c>
      <c r="P548" s="10">
        <v>0.6633</v>
      </c>
      <c r="Q548" s="10">
        <v>4.2930000000000001</v>
      </c>
      <c r="R548" s="10">
        <v>71.56</v>
      </c>
      <c r="S548" s="10">
        <v>6.2940000000000001E-3</v>
      </c>
      <c r="T548" s="10">
        <v>3.9940000000000003E-2</v>
      </c>
      <c r="U548" s="10">
        <v>5.5539999999999902E-2</v>
      </c>
      <c r="V548" s="10">
        <v>1.695E-2</v>
      </c>
      <c r="W548" s="10">
        <v>2.4279999999999899E-2</v>
      </c>
      <c r="X548" s="10">
        <v>3.53499999999999E-3</v>
      </c>
      <c r="Y548" s="10">
        <v>22.82</v>
      </c>
      <c r="Z548" s="10">
        <v>21.32</v>
      </c>
      <c r="AA548" s="10">
        <v>150.599999999999</v>
      </c>
      <c r="AB548" s="10">
        <v>1567</v>
      </c>
      <c r="AC548" s="10">
        <v>0.16789999999999899</v>
      </c>
      <c r="AD548" s="10">
        <v>0.50900000000000001</v>
      </c>
      <c r="AE548" s="10">
        <v>0.73450000000000004</v>
      </c>
      <c r="AF548" s="10">
        <v>0.23780000000000001</v>
      </c>
      <c r="AG548" s="10">
        <v>0.37990000000000002</v>
      </c>
      <c r="AH548">
        <v>9.1850000000000001E-2</v>
      </c>
    </row>
    <row r="549" spans="3:34">
      <c r="C549" s="11" t="s">
        <v>556</v>
      </c>
      <c r="D549" s="10" t="s">
        <v>1</v>
      </c>
      <c r="E549" s="10">
        <v>13.71</v>
      </c>
      <c r="F549" s="10">
        <v>21.6999999999999</v>
      </c>
      <c r="G549" s="10">
        <v>59.6</v>
      </c>
      <c r="H549" s="10">
        <v>271.19999999999902</v>
      </c>
      <c r="I549" s="10">
        <v>0.10440000000000001</v>
      </c>
      <c r="J549" s="10">
        <v>6.1589999999999902E-2</v>
      </c>
      <c r="K549" s="10">
        <v>2.0469999999999901E-2</v>
      </c>
      <c r="L549" s="10">
        <v>1.257E-2</v>
      </c>
      <c r="M549" s="10">
        <v>0.20250000000000001</v>
      </c>
      <c r="N549" s="10">
        <v>6.6009999999999902E-2</v>
      </c>
      <c r="O549" s="10">
        <v>0.43020000000000003</v>
      </c>
      <c r="P549" s="10">
        <v>2.8780000000000001</v>
      </c>
      <c r="Q549" s="10">
        <v>2.7589999999999901</v>
      </c>
      <c r="R549" s="10">
        <v>25.17</v>
      </c>
      <c r="S549" s="10">
        <v>1.474E-2</v>
      </c>
      <c r="T549" s="10">
        <v>1.6740000000000001E-2</v>
      </c>
      <c r="U549" s="10">
        <v>1.367E-2</v>
      </c>
      <c r="V549" s="10">
        <v>8.6739999999999907E-3</v>
      </c>
      <c r="W549" s="10">
        <v>3.0439999999999901E-2</v>
      </c>
      <c r="X549" s="10">
        <v>4.5900000000000003E-3</v>
      </c>
      <c r="Y549" s="10">
        <v>10.85</v>
      </c>
      <c r="Z549" s="10">
        <v>31.239999999999899</v>
      </c>
      <c r="AA549" s="10">
        <v>68.73</v>
      </c>
      <c r="AB549" s="10">
        <v>359.39999999999901</v>
      </c>
      <c r="AC549" s="10">
        <v>0.15260000000000001</v>
      </c>
      <c r="AD549" s="10">
        <v>0.1193</v>
      </c>
      <c r="AE549" s="10">
        <v>6.1409999999999902E-2</v>
      </c>
      <c r="AF549" s="10">
        <v>3.76999999999999E-2</v>
      </c>
      <c r="AG549" s="10">
        <v>0.28720000000000001</v>
      </c>
      <c r="AH549">
        <v>8.3040000000000003E-2</v>
      </c>
    </row>
    <row r="550" spans="3:34">
      <c r="C550" s="11" t="s">
        <v>148</v>
      </c>
      <c r="D550" s="10" t="s">
        <v>0</v>
      </c>
      <c r="E550" s="10">
        <v>13.71</v>
      </c>
      <c r="F550" s="10">
        <v>21.82</v>
      </c>
      <c r="G550" s="10">
        <v>87.5</v>
      </c>
      <c r="H550" s="10">
        <v>519.79999999999905</v>
      </c>
      <c r="I550" s="10">
        <v>0.1273</v>
      </c>
      <c r="J550" s="10">
        <v>0.19320000000000001</v>
      </c>
      <c r="K550" s="10">
        <v>0.18590000000000001</v>
      </c>
      <c r="L550" s="10">
        <v>9.3530000000000002E-2</v>
      </c>
      <c r="M550" s="10">
        <v>0.23499999999999899</v>
      </c>
      <c r="N550" s="10">
        <v>7.38899999999999E-2</v>
      </c>
      <c r="O550" s="10">
        <v>0.30630000000000002</v>
      </c>
      <c r="P550" s="10">
        <v>1.002</v>
      </c>
      <c r="Q550" s="10">
        <v>2.4060000000000001</v>
      </c>
      <c r="R550" s="10">
        <v>24.32</v>
      </c>
      <c r="S550" s="10">
        <v>5.731E-3</v>
      </c>
      <c r="T550" s="10">
        <v>3.5020000000000003E-2</v>
      </c>
      <c r="U550" s="10">
        <v>3.5529999999999902E-2</v>
      </c>
      <c r="V550" s="10">
        <v>1.226E-2</v>
      </c>
      <c r="W550" s="10">
        <v>2.1430000000000001E-2</v>
      </c>
      <c r="X550" s="10">
        <v>3.7490000000000002E-3</v>
      </c>
      <c r="Y550" s="10">
        <v>15.49</v>
      </c>
      <c r="Z550" s="10">
        <v>30.73</v>
      </c>
      <c r="AA550" s="10">
        <v>106.2</v>
      </c>
      <c r="AB550" s="10">
        <v>739.29999999999905</v>
      </c>
      <c r="AC550" s="10">
        <v>0.17030000000000001</v>
      </c>
      <c r="AD550" s="10">
        <v>0.54010000000000002</v>
      </c>
      <c r="AE550" s="10">
        <v>0.53900000000000003</v>
      </c>
      <c r="AF550" s="10">
        <v>0.20599999999999899</v>
      </c>
      <c r="AG550" s="10">
        <v>0.43780000000000002</v>
      </c>
      <c r="AH550">
        <v>0.1072</v>
      </c>
    </row>
    <row r="551" spans="3:34">
      <c r="C551" s="11" t="s">
        <v>668</v>
      </c>
      <c r="D551" s="10" t="s">
        <v>1</v>
      </c>
      <c r="E551" s="10">
        <v>13.71</v>
      </c>
      <c r="F551" s="10">
        <v>13.17</v>
      </c>
      <c r="G551" s="10">
        <v>90.31</v>
      </c>
      <c r="H551" s="10">
        <v>594.20000000000005</v>
      </c>
      <c r="I551" s="10">
        <v>0.124799999999999</v>
      </c>
      <c r="J551" s="10">
        <v>9.7549999999999901E-2</v>
      </c>
      <c r="K551" s="10">
        <v>0.10100000000000001</v>
      </c>
      <c r="L551" s="10">
        <v>6.615E-2</v>
      </c>
      <c r="M551" s="10">
        <v>0.1976</v>
      </c>
      <c r="N551" s="10">
        <v>6.4570000000000002E-2</v>
      </c>
      <c r="O551" s="10">
        <v>0.54610000000000003</v>
      </c>
      <c r="P551" s="10">
        <v>2.63499999999999</v>
      </c>
      <c r="Q551" s="10">
        <v>4.0910000000000002</v>
      </c>
      <c r="R551" s="10">
        <v>44.74</v>
      </c>
      <c r="S551" s="10">
        <v>1.004E-2</v>
      </c>
      <c r="T551" s="10">
        <v>3.2469999999999902E-2</v>
      </c>
      <c r="U551" s="10">
        <v>4.7629999999999902E-2</v>
      </c>
      <c r="V551" s="10">
        <v>2.853E-2</v>
      </c>
      <c r="W551" s="10">
        <v>1.7149999999999901E-2</v>
      </c>
      <c r="X551" s="10">
        <v>5.5279999999999904E-3</v>
      </c>
      <c r="Y551" s="10">
        <v>14.6199999999999</v>
      </c>
      <c r="Z551" s="10">
        <v>15.38</v>
      </c>
      <c r="AA551" s="10">
        <v>94.519999999999897</v>
      </c>
      <c r="AB551" s="10">
        <v>653.29999999999905</v>
      </c>
      <c r="AC551" s="10">
        <v>0.1394</v>
      </c>
      <c r="AD551" s="10">
        <v>0.13639999999999899</v>
      </c>
      <c r="AE551" s="10">
        <v>0.15590000000000001</v>
      </c>
      <c r="AF551" s="10">
        <v>0.10150000000000001</v>
      </c>
      <c r="AG551" s="10">
        <v>0.216</v>
      </c>
      <c r="AH551">
        <v>7.25299999999999E-2</v>
      </c>
    </row>
    <row r="552" spans="3:34">
      <c r="C552" s="11" t="s">
        <v>644</v>
      </c>
      <c r="D552" s="10" t="s">
        <v>1</v>
      </c>
      <c r="E552" s="10">
        <v>13.71</v>
      </c>
      <c r="F552" s="10">
        <v>12.8699999999999</v>
      </c>
      <c r="G552" s="10">
        <v>61.49</v>
      </c>
      <c r="H552" s="10">
        <v>248.69999999999899</v>
      </c>
      <c r="I552" s="10">
        <v>0.16339999999999899</v>
      </c>
      <c r="J552" s="10">
        <v>0.22389999999999899</v>
      </c>
      <c r="K552" s="10">
        <v>9.72999999999999E-2</v>
      </c>
      <c r="L552" s="10">
        <v>5.25199999999999E-2</v>
      </c>
      <c r="M552" s="10">
        <v>0.23780000000000001</v>
      </c>
      <c r="N552" s="10">
        <v>9.5019999999999896E-2</v>
      </c>
      <c r="O552" s="10">
        <v>0.40760000000000002</v>
      </c>
      <c r="P552" s="10">
        <v>1.093</v>
      </c>
      <c r="Q552" s="10">
        <v>3.01399999999999</v>
      </c>
      <c r="R552" s="10">
        <v>20.0399999999999</v>
      </c>
      <c r="S552" s="10">
        <v>9.783E-3</v>
      </c>
      <c r="T552" s="10">
        <v>4.5420000000000002E-2</v>
      </c>
      <c r="U552" s="10">
        <v>3.483E-2</v>
      </c>
      <c r="V552" s="10">
        <v>2.188E-2</v>
      </c>
      <c r="W552" s="10">
        <v>2.5420000000000002E-2</v>
      </c>
      <c r="X552" s="10">
        <v>1.04499999999999E-2</v>
      </c>
      <c r="Y552" s="10">
        <v>10.2799999999999</v>
      </c>
      <c r="Z552" s="10">
        <v>16.3799999999999</v>
      </c>
      <c r="AA552" s="10">
        <v>69.049999999999898</v>
      </c>
      <c r="AB552" s="10">
        <v>300.19999999999902</v>
      </c>
      <c r="AC552" s="10">
        <v>0.19020000000000001</v>
      </c>
      <c r="AD552" s="10">
        <v>0.34410000000000002</v>
      </c>
      <c r="AE552" s="10">
        <v>0.2099</v>
      </c>
      <c r="AF552" s="10">
        <v>0.10249999999999899</v>
      </c>
      <c r="AG552" s="10">
        <v>0.30380000000000001</v>
      </c>
      <c r="AH552">
        <v>0.12520000000000001</v>
      </c>
    </row>
    <row r="553" spans="3:34">
      <c r="C553" s="11" t="s">
        <v>610</v>
      </c>
      <c r="D553" s="10" t="s">
        <v>1</v>
      </c>
      <c r="E553" s="10">
        <v>13.71</v>
      </c>
      <c r="F553" s="10">
        <v>18.489999999999899</v>
      </c>
      <c r="G553" s="10">
        <v>61.49</v>
      </c>
      <c r="H553" s="10">
        <v>289.10000000000002</v>
      </c>
      <c r="I553" s="10">
        <v>8.9459999999999901E-2</v>
      </c>
      <c r="J553" s="10">
        <v>6.25799999999999E-2</v>
      </c>
      <c r="K553" s="10">
        <v>2.9479999999999899E-2</v>
      </c>
      <c r="L553" s="10">
        <v>1.5140000000000001E-2</v>
      </c>
      <c r="M553" s="10">
        <v>0.2238</v>
      </c>
      <c r="N553" s="10">
        <v>6.4130000000000006E-2</v>
      </c>
      <c r="O553" s="10">
        <v>0.37759999999999899</v>
      </c>
      <c r="P553" s="10">
        <v>1.35</v>
      </c>
      <c r="Q553" s="10">
        <v>2.569</v>
      </c>
      <c r="R553" s="10">
        <v>22.73</v>
      </c>
      <c r="S553" s="10">
        <v>7.5009999999999903E-3</v>
      </c>
      <c r="T553" s="10">
        <v>1.9890000000000001E-2</v>
      </c>
      <c r="U553" s="10">
        <v>2.7140000000000001E-2</v>
      </c>
      <c r="V553" s="10">
        <v>9.8829999999999908E-3</v>
      </c>
      <c r="W553" s="10">
        <v>1.9599999999999899E-2</v>
      </c>
      <c r="X553" s="10">
        <v>3.9129999999999903E-3</v>
      </c>
      <c r="Y553" s="10">
        <v>11.14</v>
      </c>
      <c r="Z553" s="10">
        <v>25.62</v>
      </c>
      <c r="AA553" s="10">
        <v>70.879999999999896</v>
      </c>
      <c r="AB553" s="10">
        <v>385.19999999999902</v>
      </c>
      <c r="AC553" s="10">
        <v>0.1234</v>
      </c>
      <c r="AD553" s="10">
        <v>0.1542</v>
      </c>
      <c r="AE553" s="10">
        <v>0.12770000000000001</v>
      </c>
      <c r="AF553" s="10">
        <v>6.5600000000000006E-2</v>
      </c>
      <c r="AG553" s="10">
        <v>0.31740000000000002</v>
      </c>
      <c r="AH553">
        <v>8.5239999999999899E-2</v>
      </c>
    </row>
    <row r="554" spans="3:34">
      <c r="C554" s="11" t="s">
        <v>370</v>
      </c>
      <c r="D554" s="10" t="s">
        <v>0</v>
      </c>
      <c r="E554" s="10">
        <v>13.71</v>
      </c>
      <c r="F554" s="10">
        <v>19.079999999999899</v>
      </c>
      <c r="G554" s="10">
        <v>113.4</v>
      </c>
      <c r="H554" s="10">
        <v>895</v>
      </c>
      <c r="I554" s="10">
        <v>0.11409999999999899</v>
      </c>
      <c r="J554" s="10">
        <v>0.15720000000000001</v>
      </c>
      <c r="K554" s="10">
        <v>0.191</v>
      </c>
      <c r="L554" s="10">
        <v>0.109</v>
      </c>
      <c r="M554" s="10">
        <v>0.21310000000000001</v>
      </c>
      <c r="N554" s="10">
        <v>6.3250000000000001E-2</v>
      </c>
      <c r="O554" s="10">
        <v>0.2959</v>
      </c>
      <c r="P554" s="10">
        <v>0.67900000000000005</v>
      </c>
      <c r="Q554" s="10">
        <v>2.153</v>
      </c>
      <c r="R554" s="10">
        <v>31.98</v>
      </c>
      <c r="S554" s="10">
        <v>5.5319999999999901E-3</v>
      </c>
      <c r="T554" s="10">
        <v>2.0080000000000001E-2</v>
      </c>
      <c r="U554" s="10">
        <v>3.0550000000000001E-2</v>
      </c>
      <c r="V554" s="10">
        <v>1.384E-2</v>
      </c>
      <c r="W554" s="10">
        <v>1.17699999999999E-2</v>
      </c>
      <c r="X554" s="10">
        <v>2.336E-3</v>
      </c>
      <c r="Y554" s="10">
        <v>19.59</v>
      </c>
      <c r="Z554" s="10">
        <v>24.89</v>
      </c>
      <c r="AA554" s="10">
        <v>133.5</v>
      </c>
      <c r="AB554" s="10">
        <v>1189</v>
      </c>
      <c r="AC554" s="10">
        <v>0.17030000000000001</v>
      </c>
      <c r="AD554" s="10">
        <v>0.39340000000000003</v>
      </c>
      <c r="AE554" s="10">
        <v>0.50180000000000002</v>
      </c>
      <c r="AF554" s="10">
        <v>0.25430000000000003</v>
      </c>
      <c r="AG554" s="10">
        <v>0.31090000000000001</v>
      </c>
      <c r="AH554">
        <v>9.0609999999999899E-2</v>
      </c>
    </row>
    <row r="555" spans="3:34">
      <c r="C555" s="11" t="s">
        <v>470</v>
      </c>
      <c r="D555" s="10" t="s">
        <v>0</v>
      </c>
      <c r="E555" s="10">
        <v>13.71</v>
      </c>
      <c r="F555" s="10">
        <v>15.51</v>
      </c>
      <c r="G555" s="10">
        <v>105.8</v>
      </c>
      <c r="H555" s="10">
        <v>793.2</v>
      </c>
      <c r="I555" s="10">
        <v>9.4909999999999897E-2</v>
      </c>
      <c r="J555" s="10">
        <v>0.1371</v>
      </c>
      <c r="K555" s="10">
        <v>0.12039999999999899</v>
      </c>
      <c r="L555" s="10">
        <v>7.041E-2</v>
      </c>
      <c r="M555" s="10">
        <v>0.1782</v>
      </c>
      <c r="N555" s="10">
        <v>5.9760000000000001E-2</v>
      </c>
      <c r="O555" s="10">
        <v>0.33710000000000001</v>
      </c>
      <c r="P555" s="10">
        <v>0.74760000000000004</v>
      </c>
      <c r="Q555" s="10">
        <v>2.629</v>
      </c>
      <c r="R555" s="10">
        <v>33.270000000000003</v>
      </c>
      <c r="S555" s="10">
        <v>5.83899999999999E-3</v>
      </c>
      <c r="T555" s="10">
        <v>3.245E-2</v>
      </c>
      <c r="U555" s="10">
        <v>3.7150000000000002E-2</v>
      </c>
      <c r="V555" s="10">
        <v>1.4590000000000001E-2</v>
      </c>
      <c r="W555" s="10">
        <v>1.4670000000000001E-2</v>
      </c>
      <c r="X555" s="10">
        <v>3.1210000000000001E-3</v>
      </c>
      <c r="Y555" s="10">
        <v>18.760000000000002</v>
      </c>
      <c r="Z555" s="10">
        <v>21.98</v>
      </c>
      <c r="AA555" s="10">
        <v>124.3</v>
      </c>
      <c r="AB555" s="10">
        <v>1070</v>
      </c>
      <c r="AC555" s="10">
        <v>0.14349999999999899</v>
      </c>
      <c r="AD555" s="10">
        <v>0.44779999999999898</v>
      </c>
      <c r="AE555" s="10">
        <v>0.49559999999999899</v>
      </c>
      <c r="AF555" s="10">
        <v>0.1981</v>
      </c>
      <c r="AG555" s="10">
        <v>0.3019</v>
      </c>
      <c r="AH555">
        <v>9.1240000000000002E-2</v>
      </c>
    </row>
    <row r="556" spans="3:34">
      <c r="C556" s="11" t="s">
        <v>229</v>
      </c>
      <c r="D556" s="10" t="s">
        <v>1</v>
      </c>
      <c r="E556" s="10">
        <v>13.71</v>
      </c>
      <c r="F556" s="10">
        <v>15.24</v>
      </c>
      <c r="G556" s="10">
        <v>95.769999999999897</v>
      </c>
      <c r="H556" s="10">
        <v>651.89999999999895</v>
      </c>
      <c r="I556" s="10">
        <v>0.1132</v>
      </c>
      <c r="J556" s="10">
        <v>0.13389999999999899</v>
      </c>
      <c r="K556" s="10">
        <v>9.9659999999999901E-2</v>
      </c>
      <c r="L556" s="10">
        <v>7.0639999999999897E-2</v>
      </c>
      <c r="M556" s="10">
        <v>0.21160000000000001</v>
      </c>
      <c r="N556" s="10">
        <v>6.3460000000000003E-2</v>
      </c>
      <c r="O556" s="10">
        <v>0.51149999999999896</v>
      </c>
      <c r="P556" s="10">
        <v>0.73719999999999897</v>
      </c>
      <c r="Q556" s="10">
        <v>3.8140000000000001</v>
      </c>
      <c r="R556" s="10">
        <v>42.759999999999899</v>
      </c>
      <c r="S556" s="10">
        <v>5.5079999999999903E-3</v>
      </c>
      <c r="T556" s="10">
        <v>4.4119999999999902E-2</v>
      </c>
      <c r="U556" s="10">
        <v>4.43599999999999E-2</v>
      </c>
      <c r="V556" s="10">
        <v>1.6230000000000001E-2</v>
      </c>
      <c r="W556" s="10">
        <v>2.427E-2</v>
      </c>
      <c r="X556" s="10">
        <v>4.8409999999999903E-3</v>
      </c>
      <c r="Y556" s="10">
        <v>16.34</v>
      </c>
      <c r="Z556" s="10">
        <v>18.239999999999899</v>
      </c>
      <c r="AA556" s="10">
        <v>109.4</v>
      </c>
      <c r="AB556" s="10">
        <v>803.6</v>
      </c>
      <c r="AC556" s="10">
        <v>0.12770000000000001</v>
      </c>
      <c r="AD556" s="10">
        <v>0.30890000000000001</v>
      </c>
      <c r="AE556" s="10">
        <v>0.26040000000000002</v>
      </c>
      <c r="AF556" s="10">
        <v>0.13969999999999899</v>
      </c>
      <c r="AG556" s="10">
        <v>0.31509999999999899</v>
      </c>
      <c r="AH556">
        <v>8.473E-2</v>
      </c>
    </row>
    <row r="557" spans="3:34">
      <c r="C557" s="11" t="s">
        <v>671</v>
      </c>
      <c r="D557" s="10" t="s">
        <v>1</v>
      </c>
      <c r="E557" s="10">
        <v>13.71</v>
      </c>
      <c r="F557" s="10">
        <v>20.02</v>
      </c>
      <c r="G557" s="10">
        <v>75.209999999999894</v>
      </c>
      <c r="H557" s="10">
        <v>416.19999999999902</v>
      </c>
      <c r="I557" s="10">
        <v>0.1016</v>
      </c>
      <c r="J557" s="10">
        <v>9.4530000000000003E-2</v>
      </c>
      <c r="K557" s="10">
        <v>4.2000000000000003E-2</v>
      </c>
      <c r="L557" s="10">
        <v>2.1569999999999898E-2</v>
      </c>
      <c r="M557" s="10">
        <v>0.18590000000000001</v>
      </c>
      <c r="N557" s="10">
        <v>6.4610000000000001E-2</v>
      </c>
      <c r="O557" s="10">
        <v>0.206699999999999</v>
      </c>
      <c r="P557" s="10">
        <v>0.87450000000000006</v>
      </c>
      <c r="Q557" s="10">
        <v>1.393</v>
      </c>
      <c r="R557" s="10">
        <v>15.34</v>
      </c>
      <c r="S557" s="10">
        <v>5.2509999999999901E-3</v>
      </c>
      <c r="T557" s="10">
        <v>1.7270000000000001E-2</v>
      </c>
      <c r="U557" s="10">
        <v>1.84E-2</v>
      </c>
      <c r="V557" s="10">
        <v>5.2979999999999902E-3</v>
      </c>
      <c r="W557" s="10">
        <v>1.4489999999999901E-2</v>
      </c>
      <c r="X557" s="10">
        <v>2.6710000000000002E-3</v>
      </c>
      <c r="Y557" s="10">
        <v>13.35</v>
      </c>
      <c r="Z557" s="10">
        <v>28.809999999999899</v>
      </c>
      <c r="AA557" s="10">
        <v>87</v>
      </c>
      <c r="AB557" s="10">
        <v>550.6</v>
      </c>
      <c r="AC557" s="10">
        <v>0.155</v>
      </c>
      <c r="AD557" s="10">
        <v>0.2964</v>
      </c>
      <c r="AE557" s="10">
        <v>0.27579999999999899</v>
      </c>
      <c r="AF557" s="10">
        <v>8.1199999999999897E-2</v>
      </c>
      <c r="AG557" s="10">
        <v>0.3206</v>
      </c>
      <c r="AH557">
        <v>8.9499999999999899E-2</v>
      </c>
    </row>
    <row r="558" spans="3:34">
      <c r="C558" s="11" t="s">
        <v>218</v>
      </c>
      <c r="D558" s="10" t="s">
        <v>0</v>
      </c>
      <c r="E558" s="10">
        <v>13.71</v>
      </c>
      <c r="F558" s="10">
        <v>23.969999999999899</v>
      </c>
      <c r="G558" s="10">
        <v>143.69999999999899</v>
      </c>
      <c r="H558" s="10">
        <v>1245</v>
      </c>
      <c r="I558" s="10">
        <v>0.12859999999999899</v>
      </c>
      <c r="J558" s="10">
        <v>0.34539999999999899</v>
      </c>
      <c r="K558" s="10">
        <v>0.37540000000000001</v>
      </c>
      <c r="L558" s="10">
        <v>0.16039999999999899</v>
      </c>
      <c r="M558" s="10">
        <v>0.29060000000000002</v>
      </c>
      <c r="N558" s="10">
        <v>8.1420000000000006E-2</v>
      </c>
      <c r="O558" s="10">
        <v>0.93169999999999897</v>
      </c>
      <c r="P558" s="10">
        <v>1.885</v>
      </c>
      <c r="Q558" s="10">
        <v>8.6489999999999903</v>
      </c>
      <c r="R558" s="10">
        <v>116.4</v>
      </c>
      <c r="S558" s="10">
        <v>1.038E-2</v>
      </c>
      <c r="T558" s="10">
        <v>6.8349999999999897E-2</v>
      </c>
      <c r="U558" s="10">
        <v>0.1091</v>
      </c>
      <c r="V558" s="10">
        <v>2.5930000000000002E-2</v>
      </c>
      <c r="W558" s="10">
        <v>7.8950000000000006E-2</v>
      </c>
      <c r="X558" s="10">
        <v>5.9870000000000001E-3</v>
      </c>
      <c r="Y558" s="10">
        <v>23.37</v>
      </c>
      <c r="Z558" s="10">
        <v>31.719999999999899</v>
      </c>
      <c r="AA558" s="10">
        <v>170.3</v>
      </c>
      <c r="AB558" s="10">
        <v>1623</v>
      </c>
      <c r="AC558" s="10">
        <v>0.16389999999999899</v>
      </c>
      <c r="AD558" s="10">
        <v>0.61639999999999895</v>
      </c>
      <c r="AE558" s="10">
        <v>0.7681</v>
      </c>
      <c r="AF558" s="10">
        <v>0.25080000000000002</v>
      </c>
      <c r="AG558" s="10">
        <v>0.54400000000000004</v>
      </c>
      <c r="AH558">
        <v>9.9640000000000006E-2</v>
      </c>
    </row>
    <row r="559" spans="3:34">
      <c r="C559" s="11" t="s">
        <v>263</v>
      </c>
      <c r="D559" s="10" t="s">
        <v>1</v>
      </c>
      <c r="E559" s="10">
        <v>13.71</v>
      </c>
      <c r="F559" s="10">
        <v>10.89</v>
      </c>
      <c r="G559" s="10">
        <v>94.28</v>
      </c>
      <c r="H559" s="10">
        <v>640.70000000000005</v>
      </c>
      <c r="I559" s="10">
        <v>0.1101</v>
      </c>
      <c r="J559" s="10">
        <v>0.1099</v>
      </c>
      <c r="K559" s="10">
        <v>8.8419999999999901E-2</v>
      </c>
      <c r="L559" s="10">
        <v>5.7779999999999901E-2</v>
      </c>
      <c r="M559" s="10">
        <v>0.18559999999999899</v>
      </c>
      <c r="N559" s="10">
        <v>6.4019999999999896E-2</v>
      </c>
      <c r="O559" s="10">
        <v>0.29289999999999899</v>
      </c>
      <c r="P559" s="10">
        <v>0.85699999999999898</v>
      </c>
      <c r="Q559" s="10">
        <v>1.9279999999999899</v>
      </c>
      <c r="R559" s="10">
        <v>24.19</v>
      </c>
      <c r="S559" s="10">
        <v>3.8180000000000002E-3</v>
      </c>
      <c r="T559" s="10">
        <v>1.2760000000000001E-2</v>
      </c>
      <c r="U559" s="10">
        <v>2.8819999999999901E-2</v>
      </c>
      <c r="V559" s="10">
        <v>1.2E-2</v>
      </c>
      <c r="W559" s="10">
        <v>1.9099999999999898E-2</v>
      </c>
      <c r="X559" s="10">
        <v>2.8080000000000002E-3</v>
      </c>
      <c r="Y559" s="10">
        <v>15.6999999999999</v>
      </c>
      <c r="Z559" s="10">
        <v>15.98</v>
      </c>
      <c r="AA559" s="10">
        <v>102.8</v>
      </c>
      <c r="AB559" s="10">
        <v>745.5</v>
      </c>
      <c r="AC559" s="10">
        <v>0.1313</v>
      </c>
      <c r="AD559" s="10">
        <v>0.17879999999999899</v>
      </c>
      <c r="AE559" s="10">
        <v>0.25600000000000001</v>
      </c>
      <c r="AF559" s="10">
        <v>0.1221</v>
      </c>
      <c r="AG559" s="10">
        <v>0.28889999999999899</v>
      </c>
      <c r="AH559">
        <v>8.0060000000000006E-2</v>
      </c>
    </row>
    <row r="560" spans="3:34">
      <c r="C560" s="11" t="s">
        <v>522</v>
      </c>
      <c r="D560" s="10" t="s">
        <v>1</v>
      </c>
      <c r="E560" s="10">
        <v>13.71</v>
      </c>
      <c r="F560" s="10">
        <v>22.719999999999899</v>
      </c>
      <c r="G560" s="10">
        <v>78.75</v>
      </c>
      <c r="H560" s="10">
        <v>447.8</v>
      </c>
      <c r="I560" s="10">
        <v>6.9349999999999898E-2</v>
      </c>
      <c r="J560" s="10">
        <v>0.10730000000000001</v>
      </c>
      <c r="K560" s="10">
        <v>7.9430000000000001E-2</v>
      </c>
      <c r="L560" s="10">
        <v>2.9780000000000001E-2</v>
      </c>
      <c r="M560" s="10">
        <v>0.1203</v>
      </c>
      <c r="N560" s="10">
        <v>6.6589999999999899E-2</v>
      </c>
      <c r="O560" s="10">
        <v>0.11940000000000001</v>
      </c>
      <c r="P560" s="10">
        <v>1.4339999999999899</v>
      </c>
      <c r="Q560" s="10">
        <v>1.778</v>
      </c>
      <c r="R560" s="10">
        <v>9.5489999999999906</v>
      </c>
      <c r="S560" s="10">
        <v>5.0419999999999901E-3</v>
      </c>
      <c r="T560" s="10">
        <v>4.5600000000000002E-2</v>
      </c>
      <c r="U560" s="10">
        <v>4.3049999999999901E-2</v>
      </c>
      <c r="V560" s="10">
        <v>1.6670000000000001E-2</v>
      </c>
      <c r="W560" s="10">
        <v>2.47E-2</v>
      </c>
      <c r="X560" s="10">
        <v>7.358E-3</v>
      </c>
      <c r="Y560" s="10">
        <v>12.57</v>
      </c>
      <c r="Z560" s="10">
        <v>28.71</v>
      </c>
      <c r="AA560" s="10">
        <v>87.3599999999999</v>
      </c>
      <c r="AB560" s="10">
        <v>488.39999999999901</v>
      </c>
      <c r="AC560" s="10">
        <v>8.7989999999999902E-2</v>
      </c>
      <c r="AD560" s="10">
        <v>0.32140000000000002</v>
      </c>
      <c r="AE560" s="10">
        <v>0.29120000000000001</v>
      </c>
      <c r="AF560" s="10">
        <v>0.10920000000000001</v>
      </c>
      <c r="AG560" s="10">
        <v>0.21909999999999899</v>
      </c>
      <c r="AH560">
        <v>9.3490000000000004E-2</v>
      </c>
    </row>
    <row r="561" spans="3:34">
      <c r="C561" s="11" t="s">
        <v>589</v>
      </c>
      <c r="D561" s="10" t="s">
        <v>0</v>
      </c>
      <c r="E561" s="10">
        <v>13.71</v>
      </c>
      <c r="F561" s="10">
        <v>20.52</v>
      </c>
      <c r="G561" s="10">
        <v>138.099999999999</v>
      </c>
      <c r="H561" s="10">
        <v>1384</v>
      </c>
      <c r="I561" s="10">
        <v>9.6839999999999898E-2</v>
      </c>
      <c r="J561" s="10">
        <v>0.11749999999999899</v>
      </c>
      <c r="K561" s="10">
        <v>0.15720000000000001</v>
      </c>
      <c r="L561" s="10">
        <v>0.11550000000000001</v>
      </c>
      <c r="M561" s="10">
        <v>0.15540000000000001</v>
      </c>
      <c r="N561" s="10">
        <v>5.6610000000000001E-2</v>
      </c>
      <c r="O561" s="10">
        <v>0.6643</v>
      </c>
      <c r="P561" s="10">
        <v>1.361</v>
      </c>
      <c r="Q561" s="10">
        <v>4.54199999999999</v>
      </c>
      <c r="R561" s="10">
        <v>81.89</v>
      </c>
      <c r="S561" s="10">
        <v>5.4669999999999901E-3</v>
      </c>
      <c r="T561" s="10">
        <v>2.0750000000000001E-2</v>
      </c>
      <c r="U561" s="10">
        <v>3.1850000000000003E-2</v>
      </c>
      <c r="V561" s="10">
        <v>1.4659999999999901E-2</v>
      </c>
      <c r="W561" s="10">
        <v>1.0290000000000001E-2</v>
      </c>
      <c r="X561" s="10">
        <v>2.20499999999999E-3</v>
      </c>
      <c r="Y561" s="10">
        <v>25.68</v>
      </c>
      <c r="Z561" s="10">
        <v>32.07</v>
      </c>
      <c r="AA561" s="10">
        <v>168.19999999999899</v>
      </c>
      <c r="AB561" s="10">
        <v>2022</v>
      </c>
      <c r="AC561" s="10">
        <v>0.1368</v>
      </c>
      <c r="AD561" s="10">
        <v>0.31009999999999899</v>
      </c>
      <c r="AE561" s="10">
        <v>0.43990000000000001</v>
      </c>
      <c r="AF561" s="10">
        <v>0.22800000000000001</v>
      </c>
      <c r="AG561" s="10">
        <v>0.2268</v>
      </c>
      <c r="AH561">
        <v>7.4249999999999899E-2</v>
      </c>
    </row>
    <row r="562" spans="3:34">
      <c r="C562" s="11" t="s">
        <v>600</v>
      </c>
      <c r="D562" s="10" t="s">
        <v>0</v>
      </c>
      <c r="E562" s="10">
        <v>13.71</v>
      </c>
      <c r="F562" s="10">
        <v>27.149999999999899</v>
      </c>
      <c r="G562" s="10">
        <v>111.2</v>
      </c>
      <c r="H562" s="10">
        <v>930.89999999999895</v>
      </c>
      <c r="I562" s="10">
        <v>9.8979999999999901E-2</v>
      </c>
      <c r="J562" s="10">
        <v>0.111</v>
      </c>
      <c r="K562" s="10">
        <v>0.1007</v>
      </c>
      <c r="L562" s="10">
        <v>6.4310000000000006E-2</v>
      </c>
      <c r="M562" s="10">
        <v>0.17929999999999899</v>
      </c>
      <c r="N562" s="10">
        <v>6.2810000000000005E-2</v>
      </c>
      <c r="O562" s="10">
        <v>0.92910000000000004</v>
      </c>
      <c r="P562" s="10">
        <v>1.1519999999999899</v>
      </c>
      <c r="Q562" s="10">
        <v>6.0510000000000002</v>
      </c>
      <c r="R562" s="10">
        <v>115.2</v>
      </c>
      <c r="S562" s="10">
        <v>8.7399999999999908E-3</v>
      </c>
      <c r="T562" s="10">
        <v>2.2190000000000001E-2</v>
      </c>
      <c r="U562" s="10">
        <v>2.7210000000000002E-2</v>
      </c>
      <c r="V562" s="10">
        <v>1.45799999999999E-2</v>
      </c>
      <c r="W562" s="10">
        <v>2.0449999999999899E-2</v>
      </c>
      <c r="X562" s="10">
        <v>4.4169999999999904E-3</v>
      </c>
      <c r="Y562" s="10">
        <v>22.96</v>
      </c>
      <c r="Z562" s="10">
        <v>34.49</v>
      </c>
      <c r="AA562" s="10">
        <v>152.099999999999</v>
      </c>
      <c r="AB562" s="10">
        <v>1648</v>
      </c>
      <c r="AC562" s="10">
        <v>0.16</v>
      </c>
      <c r="AD562" s="10">
        <v>0.24440000000000001</v>
      </c>
      <c r="AE562" s="10">
        <v>0.26390000000000002</v>
      </c>
      <c r="AF562" s="10">
        <v>0.1555</v>
      </c>
      <c r="AG562" s="10">
        <v>0.30099999999999899</v>
      </c>
      <c r="AH562">
        <v>9.06E-2</v>
      </c>
    </row>
    <row r="563" spans="3:34">
      <c r="C563" s="11" t="s">
        <v>444</v>
      </c>
      <c r="D563" s="10" t="s">
        <v>1</v>
      </c>
      <c r="E563" s="10">
        <v>13.71</v>
      </c>
      <c r="F563" s="10">
        <v>18.16</v>
      </c>
      <c r="G563" s="10">
        <v>73.59</v>
      </c>
      <c r="H563" s="10">
        <v>403.1</v>
      </c>
      <c r="I563" s="10">
        <v>8.85299999999999E-2</v>
      </c>
      <c r="J563" s="10">
        <v>7.6939999999999897E-2</v>
      </c>
      <c r="K563" s="10">
        <v>3.34399999999999E-2</v>
      </c>
      <c r="L563" s="10">
        <v>1.502E-2</v>
      </c>
      <c r="M563" s="10">
        <v>0.1411</v>
      </c>
      <c r="N563" s="10">
        <v>6.2429999999999902E-2</v>
      </c>
      <c r="O563" s="10">
        <v>0.32779999999999898</v>
      </c>
      <c r="P563" s="10">
        <v>1.0589999999999899</v>
      </c>
      <c r="Q563" s="10">
        <v>2.4750000000000001</v>
      </c>
      <c r="R563" s="10">
        <v>22.93</v>
      </c>
      <c r="S563" s="10">
        <v>6.6519999999999904E-3</v>
      </c>
      <c r="T563" s="10">
        <v>2.6519999999999901E-2</v>
      </c>
      <c r="U563" s="10">
        <v>2.2210000000000001E-2</v>
      </c>
      <c r="V563" s="10">
        <v>7.8069999999999902E-3</v>
      </c>
      <c r="W563" s="10">
        <v>1.8939999999999901E-2</v>
      </c>
      <c r="X563" s="10">
        <v>3.411E-3</v>
      </c>
      <c r="Y563" s="10">
        <v>12.68</v>
      </c>
      <c r="Z563" s="10">
        <v>21.6099999999999</v>
      </c>
      <c r="AA563" s="10">
        <v>82.689999999999898</v>
      </c>
      <c r="AB563" s="10">
        <v>489.8</v>
      </c>
      <c r="AC563" s="10">
        <v>0.1144</v>
      </c>
      <c r="AD563" s="10">
        <v>0.1789</v>
      </c>
      <c r="AE563" s="10">
        <v>0.1226</v>
      </c>
      <c r="AF563" s="10">
        <v>5.509E-2</v>
      </c>
      <c r="AG563" s="10">
        <v>0.2208</v>
      </c>
      <c r="AH563">
        <v>7.6380000000000003E-2</v>
      </c>
    </row>
    <row r="564" spans="3:34">
      <c r="C564" s="11" t="s">
        <v>513</v>
      </c>
      <c r="D564" s="10" t="s">
        <v>0</v>
      </c>
      <c r="E564" s="10">
        <v>13.71</v>
      </c>
      <c r="F564" s="10">
        <v>17.350000000000001</v>
      </c>
      <c r="G564" s="10">
        <v>134.80000000000001</v>
      </c>
      <c r="H564" s="10">
        <v>1335</v>
      </c>
      <c r="I564" s="10">
        <v>9.4460000000000002E-2</v>
      </c>
      <c r="J564" s="10">
        <v>0.1076</v>
      </c>
      <c r="K564" s="10">
        <v>0.1527</v>
      </c>
      <c r="L564" s="10">
        <v>8.9410000000000003E-2</v>
      </c>
      <c r="M564" s="10">
        <v>0.15709999999999899</v>
      </c>
      <c r="N564" s="10">
        <v>5.4780000000000002E-2</v>
      </c>
      <c r="O564" s="10">
        <v>0.61370000000000002</v>
      </c>
      <c r="P564" s="10">
        <v>0.65749999999999897</v>
      </c>
      <c r="Q564" s="10">
        <v>4.11899999999999</v>
      </c>
      <c r="R564" s="10">
        <v>77.019999999999897</v>
      </c>
      <c r="S564" s="10">
        <v>6.2110000000000004E-3</v>
      </c>
      <c r="T564" s="10">
        <v>1.8950000000000002E-2</v>
      </c>
      <c r="U564" s="10">
        <v>2.681E-2</v>
      </c>
      <c r="V564" s="10">
        <v>1.23199999999999E-2</v>
      </c>
      <c r="W564" s="10">
        <v>1.2760000000000001E-2</v>
      </c>
      <c r="X564" s="10">
        <v>1.7110000000000001E-3</v>
      </c>
      <c r="Y564" s="10">
        <v>25.37</v>
      </c>
      <c r="Z564" s="10">
        <v>23.17</v>
      </c>
      <c r="AA564" s="10">
        <v>166.8</v>
      </c>
      <c r="AB564" s="10">
        <v>1946</v>
      </c>
      <c r="AC564" s="10">
        <v>0.15620000000000001</v>
      </c>
      <c r="AD564" s="10">
        <v>0.30549999999999899</v>
      </c>
      <c r="AE564" s="10">
        <v>0.41589999999999899</v>
      </c>
      <c r="AF564" s="10">
        <v>0.2112</v>
      </c>
      <c r="AG564" s="10">
        <v>0.26889999999999897</v>
      </c>
      <c r="AH564">
        <v>7.0550000000000002E-2</v>
      </c>
    </row>
    <row r="565" spans="3:34">
      <c r="C565" s="11" t="s">
        <v>506</v>
      </c>
      <c r="D565" s="10" t="s">
        <v>0</v>
      </c>
      <c r="E565" s="10">
        <v>13.71</v>
      </c>
      <c r="F565" s="10">
        <v>26.829999999999899</v>
      </c>
      <c r="G565" s="10">
        <v>133.69999999999899</v>
      </c>
      <c r="H565" s="10">
        <v>1234</v>
      </c>
      <c r="I565" s="10">
        <v>9.9049999999999902E-2</v>
      </c>
      <c r="J565" s="10">
        <v>0.16689999999999899</v>
      </c>
      <c r="K565" s="10">
        <v>0.1641</v>
      </c>
      <c r="L565" s="10">
        <v>0.1265</v>
      </c>
      <c r="M565" s="10">
        <v>0.1875</v>
      </c>
      <c r="N565" s="10">
        <v>6.0199999999999899E-2</v>
      </c>
      <c r="O565" s="10">
        <v>0.97609999999999897</v>
      </c>
      <c r="P565" s="10">
        <v>1.8919999999999899</v>
      </c>
      <c r="Q565" s="10">
        <v>7.1280000000000001</v>
      </c>
      <c r="R565" s="10">
        <v>103.599999999999</v>
      </c>
      <c r="S565" s="10">
        <v>8.4390000000000003E-3</v>
      </c>
      <c r="T565" s="10">
        <v>4.67399999999999E-2</v>
      </c>
      <c r="U565" s="10">
        <v>5.9040000000000002E-2</v>
      </c>
      <c r="V565" s="10">
        <v>2.5360000000000001E-2</v>
      </c>
      <c r="W565" s="10">
        <v>3.7100000000000001E-2</v>
      </c>
      <c r="X565" s="10">
        <v>4.2859999999999903E-3</v>
      </c>
      <c r="Y565" s="10">
        <v>24.19</v>
      </c>
      <c r="Z565" s="10">
        <v>33.81</v>
      </c>
      <c r="AA565" s="10">
        <v>160</v>
      </c>
      <c r="AB565" s="10">
        <v>1671</v>
      </c>
      <c r="AC565" s="10">
        <v>0.1278</v>
      </c>
      <c r="AD565" s="10">
        <v>0.34160000000000001</v>
      </c>
      <c r="AE565" s="10">
        <v>0.37030000000000002</v>
      </c>
      <c r="AF565" s="10">
        <v>0.2152</v>
      </c>
      <c r="AG565" s="10">
        <v>0.3271</v>
      </c>
      <c r="AH565">
        <v>7.6319999999999902E-2</v>
      </c>
    </row>
    <row r="566" spans="3:34">
      <c r="C566" s="11" t="s">
        <v>299</v>
      </c>
      <c r="D566" s="10" t="s">
        <v>1</v>
      </c>
      <c r="E566" s="10">
        <v>13.71</v>
      </c>
      <c r="F566" s="10">
        <v>12.96</v>
      </c>
      <c r="G566" s="10">
        <v>68.689999999999898</v>
      </c>
      <c r="H566" s="10">
        <v>366.8</v>
      </c>
      <c r="I566" s="10">
        <v>7.5149999999999897E-2</v>
      </c>
      <c r="J566" s="10">
        <v>3.7179999999999901E-2</v>
      </c>
      <c r="K566" s="10">
        <v>3.0899999999999899E-3</v>
      </c>
      <c r="L566" s="10">
        <v>6.5880000000000001E-3</v>
      </c>
      <c r="M566" s="10">
        <v>0.144199999999999</v>
      </c>
      <c r="N566" s="10">
        <v>5.7430000000000002E-2</v>
      </c>
      <c r="O566" s="10">
        <v>0.281799999999999</v>
      </c>
      <c r="P566" s="10">
        <v>0.76139999999999897</v>
      </c>
      <c r="Q566" s="10">
        <v>1.8080000000000001</v>
      </c>
      <c r="R566" s="10">
        <v>18.5399999999999</v>
      </c>
      <c r="S566" s="10">
        <v>6.1419999999999903E-3</v>
      </c>
      <c r="T566" s="10">
        <v>6.1339999999999902E-3</v>
      </c>
      <c r="U566" s="10">
        <v>1.835E-3</v>
      </c>
      <c r="V566" s="10">
        <v>3.5760000000000002E-3</v>
      </c>
      <c r="W566" s="10">
        <v>1.6369999999999899E-2</v>
      </c>
      <c r="X566" s="10">
        <v>2.6649999999999899E-3</v>
      </c>
      <c r="Y566" s="10">
        <v>12.3599999999999</v>
      </c>
      <c r="Z566" s="10">
        <v>18.1999999999999</v>
      </c>
      <c r="AA566" s="10">
        <v>78.069999999999894</v>
      </c>
      <c r="AB566" s="10">
        <v>470</v>
      </c>
      <c r="AC566" s="10">
        <v>0.1171</v>
      </c>
      <c r="AD566" s="10">
        <v>8.294E-2</v>
      </c>
      <c r="AE566" s="10">
        <v>1.8540000000000001E-2</v>
      </c>
      <c r="AF566" s="10">
        <v>3.9530000000000003E-2</v>
      </c>
      <c r="AG566" s="10">
        <v>0.27379999999999899</v>
      </c>
      <c r="AH566">
        <v>7.6850000000000002E-2</v>
      </c>
    </row>
    <row r="567" spans="3:34">
      <c r="C567" s="11" t="s">
        <v>412</v>
      </c>
      <c r="D567" s="10" t="s">
        <v>0</v>
      </c>
      <c r="E567" s="10">
        <v>13.71</v>
      </c>
      <c r="F567" s="10">
        <v>20.989999999999899</v>
      </c>
      <c r="G567" s="10">
        <v>147.30000000000001</v>
      </c>
      <c r="H567" s="10">
        <v>1491</v>
      </c>
      <c r="I567" s="10">
        <v>9.4009999999999899E-2</v>
      </c>
      <c r="J567" s="10">
        <v>0.1961</v>
      </c>
      <c r="K567" s="10">
        <v>0.2195</v>
      </c>
      <c r="L567" s="10">
        <v>0.10879999999999899</v>
      </c>
      <c r="M567" s="10">
        <v>0.1721</v>
      </c>
      <c r="N567" s="10">
        <v>6.1940000000000002E-2</v>
      </c>
      <c r="O567" s="10">
        <v>1.167</v>
      </c>
      <c r="P567" s="10">
        <v>1.3520000000000001</v>
      </c>
      <c r="Q567" s="10">
        <v>8.8670000000000009</v>
      </c>
      <c r="R567" s="10">
        <v>156.80000000000001</v>
      </c>
      <c r="S567" s="10">
        <v>5.6870000000000002E-3</v>
      </c>
      <c r="T567" s="10">
        <v>4.9599999999999901E-2</v>
      </c>
      <c r="U567" s="10">
        <v>6.3289999999999902E-2</v>
      </c>
      <c r="V567" s="10">
        <v>1.5610000000000001E-2</v>
      </c>
      <c r="W567" s="10">
        <v>1.924E-2</v>
      </c>
      <c r="X567" s="10">
        <v>4.614E-3</v>
      </c>
      <c r="Y567" s="10">
        <v>28.19</v>
      </c>
      <c r="Z567" s="10">
        <v>28.18</v>
      </c>
      <c r="AA567" s="10">
        <v>195.9</v>
      </c>
      <c r="AB567" s="10">
        <v>2384</v>
      </c>
      <c r="AC567" s="10">
        <v>0.12720000000000001</v>
      </c>
      <c r="AD567" s="10">
        <v>0.47249999999999898</v>
      </c>
      <c r="AE567" s="10">
        <v>0.58069999999999899</v>
      </c>
      <c r="AF567" s="10">
        <v>0.18410000000000001</v>
      </c>
      <c r="AG567" s="10">
        <v>0.2833</v>
      </c>
      <c r="AH567">
        <v>8.8580000000000006E-2</v>
      </c>
    </row>
    <row r="568" spans="3:34">
      <c r="C568" s="11" t="s">
        <v>682</v>
      </c>
      <c r="D568" s="10" t="s">
        <v>1</v>
      </c>
      <c r="E568" s="10">
        <v>13.71</v>
      </c>
      <c r="F568" s="10">
        <v>25.42</v>
      </c>
      <c r="G568" s="10">
        <v>94.7</v>
      </c>
      <c r="H568" s="10">
        <v>668.6</v>
      </c>
      <c r="I568" s="10">
        <v>8.2750000000000004E-2</v>
      </c>
      <c r="J568" s="10">
        <v>7.2139999999999899E-2</v>
      </c>
      <c r="K568" s="10">
        <v>4.1050000000000003E-2</v>
      </c>
      <c r="L568" s="10">
        <v>3.0269999999999901E-2</v>
      </c>
      <c r="M568" s="10">
        <v>0.184</v>
      </c>
      <c r="N568" s="10">
        <v>5.6800000000000003E-2</v>
      </c>
      <c r="O568" s="10">
        <v>0.30309999999999898</v>
      </c>
      <c r="P568" s="10">
        <v>1.385</v>
      </c>
      <c r="Q568" s="10">
        <v>2.177</v>
      </c>
      <c r="R568" s="10">
        <v>27.41</v>
      </c>
      <c r="S568" s="10">
        <v>4.7749999999999902E-3</v>
      </c>
      <c r="T568" s="10">
        <v>1.172E-2</v>
      </c>
      <c r="U568" s="10">
        <v>1.9470000000000001E-2</v>
      </c>
      <c r="V568" s="10">
        <v>1.269E-2</v>
      </c>
      <c r="W568" s="10">
        <v>1.8700000000000001E-2</v>
      </c>
      <c r="X568" s="10">
        <v>2.6259999999999899E-3</v>
      </c>
      <c r="Y568" s="10">
        <v>16.510000000000002</v>
      </c>
      <c r="Z568" s="10">
        <v>32.2899999999999</v>
      </c>
      <c r="AA568" s="10">
        <v>107.4</v>
      </c>
      <c r="AB568" s="10">
        <v>826.39999999999895</v>
      </c>
      <c r="AC568" s="10">
        <v>0.106</v>
      </c>
      <c r="AD568" s="10">
        <v>0.1376</v>
      </c>
      <c r="AE568" s="10">
        <v>0.16109999999999899</v>
      </c>
      <c r="AF568" s="10">
        <v>0.1095</v>
      </c>
      <c r="AG568" s="10">
        <v>0.2722</v>
      </c>
      <c r="AH568">
        <v>6.95599999999999E-2</v>
      </c>
    </row>
    <row r="569" spans="3:34">
      <c r="C569" s="11" t="s">
        <v>623</v>
      </c>
      <c r="D569" s="10" t="s">
        <v>1</v>
      </c>
      <c r="E569" s="10">
        <v>13.71</v>
      </c>
      <c r="F569" s="10">
        <v>17.64</v>
      </c>
      <c r="G569" s="10">
        <v>87.76</v>
      </c>
      <c r="H569" s="10">
        <v>571.1</v>
      </c>
      <c r="I569" s="10">
        <v>9.9500000000000005E-2</v>
      </c>
      <c r="J569" s="10">
        <v>7.9570000000000002E-2</v>
      </c>
      <c r="K569" s="10">
        <v>4.548E-2</v>
      </c>
      <c r="L569" s="10">
        <v>3.1600000000000003E-2</v>
      </c>
      <c r="M569" s="10">
        <v>0.17319999999999899</v>
      </c>
      <c r="N569" s="10">
        <v>6.0879999999999899E-2</v>
      </c>
      <c r="O569" s="10">
        <v>0.24310000000000001</v>
      </c>
      <c r="P569" s="10">
        <v>0.94620000000000004</v>
      </c>
      <c r="Q569" s="10">
        <v>1.5640000000000001</v>
      </c>
      <c r="R569" s="10">
        <v>20.64</v>
      </c>
      <c r="S569" s="10">
        <v>3.2450000000000001E-3</v>
      </c>
      <c r="T569" s="10">
        <v>8.1860000000000006E-3</v>
      </c>
      <c r="U569" s="10">
        <v>1.6979999999999901E-2</v>
      </c>
      <c r="V569" s="10">
        <v>9.2329999999999895E-3</v>
      </c>
      <c r="W569" s="10">
        <v>1.285E-2</v>
      </c>
      <c r="X569" s="10">
        <v>1.524E-3</v>
      </c>
      <c r="Y569" s="10">
        <v>14.96</v>
      </c>
      <c r="Z569" s="10">
        <v>23.53</v>
      </c>
      <c r="AA569" s="10">
        <v>95.78</v>
      </c>
      <c r="AB569" s="10">
        <v>686.5</v>
      </c>
      <c r="AC569" s="10">
        <v>0.11990000000000001</v>
      </c>
      <c r="AD569" s="10">
        <v>0.1346</v>
      </c>
      <c r="AE569" s="10">
        <v>0.17419999999999899</v>
      </c>
      <c r="AF569" s="10">
        <v>9.0770000000000003E-2</v>
      </c>
      <c r="AG569" s="10">
        <v>0.25180000000000002</v>
      </c>
      <c r="AH569">
        <v>6.9599999999999898E-2</v>
      </c>
    </row>
    <row r="570" spans="3:34">
      <c r="C570" s="11" t="s">
        <v>337</v>
      </c>
      <c r="D570" s="10" t="s">
        <v>0</v>
      </c>
      <c r="E570" s="10">
        <v>13.71</v>
      </c>
      <c r="F570" s="10">
        <v>21.84</v>
      </c>
      <c r="G570" s="10">
        <v>117.4</v>
      </c>
      <c r="H570" s="10">
        <v>1024</v>
      </c>
      <c r="I570" s="10">
        <v>7.3709999999999901E-2</v>
      </c>
      <c r="J570" s="10">
        <v>8.64199999999999E-2</v>
      </c>
      <c r="K570" s="10">
        <v>0.1103</v>
      </c>
      <c r="L570" s="10">
        <v>5.7779999999999901E-2</v>
      </c>
      <c r="M570" s="10">
        <v>0.17699999999999899</v>
      </c>
      <c r="N570" s="10">
        <v>5.3400000000000003E-2</v>
      </c>
      <c r="O570" s="10">
        <v>0.63619999999999899</v>
      </c>
      <c r="P570" s="10">
        <v>1.3049999999999899</v>
      </c>
      <c r="Q570" s="10">
        <v>4.3120000000000003</v>
      </c>
      <c r="R570" s="10">
        <v>76.3599999999999</v>
      </c>
      <c r="S570" s="10">
        <v>5.5300000000000002E-3</v>
      </c>
      <c r="T570" s="10">
        <v>5.296E-2</v>
      </c>
      <c r="U570" s="10">
        <v>6.1100000000000002E-2</v>
      </c>
      <c r="V570" s="10">
        <v>1.444E-2</v>
      </c>
      <c r="W570" s="10">
        <v>2.1399999999999898E-2</v>
      </c>
      <c r="X570" s="10">
        <v>5.0359999999999901E-3</v>
      </c>
      <c r="Y570" s="10">
        <v>19.760000000000002</v>
      </c>
      <c r="Z570" s="10">
        <v>24.6999999999999</v>
      </c>
      <c r="AA570" s="10">
        <v>129.099999999999</v>
      </c>
      <c r="AB570" s="10">
        <v>1228</v>
      </c>
      <c r="AC570" s="10">
        <v>8.8220000000000007E-2</v>
      </c>
      <c r="AD570" s="10">
        <v>0.1963</v>
      </c>
      <c r="AE570" s="10">
        <v>0.2535</v>
      </c>
      <c r="AF570" s="10">
        <v>9.1810000000000003E-2</v>
      </c>
      <c r="AG570" s="10">
        <v>0.2369</v>
      </c>
      <c r="AH570">
        <v>6.5579999999999902E-2</v>
      </c>
    </row>
    <row r="571" spans="3:34">
      <c r="C571" s="11" t="s">
        <v>646</v>
      </c>
      <c r="D571" s="10" t="s">
        <v>1</v>
      </c>
      <c r="E571" s="10">
        <v>13.71</v>
      </c>
      <c r="F571" s="10">
        <v>20.0399999999999</v>
      </c>
      <c r="G571" s="10">
        <v>79.469999999999899</v>
      </c>
      <c r="H571" s="10">
        <v>453.1</v>
      </c>
      <c r="I571" s="10">
        <v>0.1096</v>
      </c>
      <c r="J571" s="10">
        <v>0.1152</v>
      </c>
      <c r="K571" s="10">
        <v>8.1750000000000003E-2</v>
      </c>
      <c r="L571" s="10">
        <v>2.1659999999999902E-2</v>
      </c>
      <c r="M571" s="10">
        <v>0.21240000000000001</v>
      </c>
      <c r="N571" s="10">
        <v>6.8940000000000001E-2</v>
      </c>
      <c r="O571" s="10">
        <v>0.18110000000000001</v>
      </c>
      <c r="P571" s="10">
        <v>0.79590000000000005</v>
      </c>
      <c r="Q571" s="10">
        <v>0.98570000000000002</v>
      </c>
      <c r="R571" s="10">
        <v>12.58</v>
      </c>
      <c r="S571" s="10">
        <v>6.2719999999999903E-3</v>
      </c>
      <c r="T571" s="10">
        <v>2.198E-2</v>
      </c>
      <c r="U571" s="10">
        <v>3.9660000000000001E-2</v>
      </c>
      <c r="V571" s="10">
        <v>9.894E-3</v>
      </c>
      <c r="W571" s="10">
        <v>1.32E-2</v>
      </c>
      <c r="X571" s="10">
        <v>3.813E-3</v>
      </c>
      <c r="Y571" s="10">
        <v>13.16</v>
      </c>
      <c r="Z571" s="10">
        <v>24.17</v>
      </c>
      <c r="AA571" s="10">
        <v>85.129999999999896</v>
      </c>
      <c r="AB571" s="10">
        <v>515.29999999999905</v>
      </c>
      <c r="AC571" s="10">
        <v>0.14019999999999899</v>
      </c>
      <c r="AD571" s="10">
        <v>0.23150000000000001</v>
      </c>
      <c r="AE571" s="10">
        <v>0.35349999999999898</v>
      </c>
      <c r="AF571" s="10">
        <v>8.0879999999999896E-2</v>
      </c>
      <c r="AG571" s="10">
        <v>0.27089999999999897</v>
      </c>
      <c r="AH571">
        <v>8.8389999999999899E-2</v>
      </c>
    </row>
    <row r="572" spans="3:34">
      <c r="C572" s="11" t="s">
        <v>294</v>
      </c>
      <c r="D572" s="10" t="s">
        <v>1</v>
      </c>
      <c r="E572" s="10">
        <v>13.71</v>
      </c>
      <c r="F572" s="10">
        <v>15.34</v>
      </c>
      <c r="G572" s="10">
        <v>85.31</v>
      </c>
      <c r="H572" s="10">
        <v>538.89999999999895</v>
      </c>
      <c r="I572" s="10">
        <v>9.3840000000000007E-2</v>
      </c>
      <c r="J572" s="10">
        <v>8.498E-2</v>
      </c>
      <c r="K572" s="10">
        <v>9.2929999999999902E-2</v>
      </c>
      <c r="L572" s="10">
        <v>3.483E-2</v>
      </c>
      <c r="M572" s="10">
        <v>0.1822</v>
      </c>
      <c r="N572" s="10">
        <v>6.207E-2</v>
      </c>
      <c r="O572" s="10">
        <v>0.27100000000000002</v>
      </c>
      <c r="P572" s="10">
        <v>0.79269999999999896</v>
      </c>
      <c r="Q572" s="10">
        <v>1.819</v>
      </c>
      <c r="R572" s="10">
        <v>22.7899999999999</v>
      </c>
      <c r="S572" s="10">
        <v>8.5839999999999892E-3</v>
      </c>
      <c r="T572" s="10">
        <v>2.017E-2</v>
      </c>
      <c r="U572" s="10">
        <v>3.0470000000000001E-2</v>
      </c>
      <c r="V572" s="10">
        <v>9.5359999999999907E-3</v>
      </c>
      <c r="W572" s="10">
        <v>2.7689999999999899E-2</v>
      </c>
      <c r="X572" s="10">
        <v>3.4789999999999899E-3</v>
      </c>
      <c r="Y572" s="10">
        <v>14.77</v>
      </c>
      <c r="Z572" s="10">
        <v>20.5</v>
      </c>
      <c r="AA572" s="10">
        <v>97.67</v>
      </c>
      <c r="AB572" s="10">
        <v>677.29999999999905</v>
      </c>
      <c r="AC572" s="10">
        <v>0.14779999999999899</v>
      </c>
      <c r="AD572" s="10">
        <v>0.225599999999999</v>
      </c>
      <c r="AE572" s="10">
        <v>0.3009</v>
      </c>
      <c r="AF572" s="10">
        <v>9.7220000000000001E-2</v>
      </c>
      <c r="AG572" s="10">
        <v>0.38490000000000002</v>
      </c>
      <c r="AH572">
        <v>8.6330000000000004E-2</v>
      </c>
    </row>
    <row r="573" spans="3:34">
      <c r="C573" s="11" t="s">
        <v>622</v>
      </c>
      <c r="D573" s="10" t="s">
        <v>1</v>
      </c>
      <c r="E573" s="10">
        <v>13.71</v>
      </c>
      <c r="F573" s="10">
        <v>14.06</v>
      </c>
      <c r="G573" s="10">
        <v>87.319999999999894</v>
      </c>
      <c r="H573" s="10">
        <v>546.29999999999905</v>
      </c>
      <c r="I573" s="10">
        <v>0.1071</v>
      </c>
      <c r="J573" s="10">
        <v>0.11550000000000001</v>
      </c>
      <c r="K573" s="10">
        <v>5.7860000000000002E-2</v>
      </c>
      <c r="L573" s="10">
        <v>5.2659999999999901E-2</v>
      </c>
      <c r="M573" s="10">
        <v>0.1779</v>
      </c>
      <c r="N573" s="10">
        <v>6.6390000000000005E-2</v>
      </c>
      <c r="O573" s="10">
        <v>0.1588</v>
      </c>
      <c r="P573" s="10">
        <v>0.57330000000000003</v>
      </c>
      <c r="Q573" s="10">
        <v>1.1020000000000001</v>
      </c>
      <c r="R573" s="10">
        <v>12.84</v>
      </c>
      <c r="S573" s="10">
        <v>4.45E-3</v>
      </c>
      <c r="T573" s="10">
        <v>1.452E-2</v>
      </c>
      <c r="U573" s="10">
        <v>1.3339999999999901E-2</v>
      </c>
      <c r="V573" s="10">
        <v>8.7910000000000002E-3</v>
      </c>
      <c r="W573" s="10">
        <v>1.6979999999999901E-2</v>
      </c>
      <c r="X573" s="10">
        <v>2.787E-3</v>
      </c>
      <c r="Y573" s="10">
        <v>14.83</v>
      </c>
      <c r="Z573" s="10">
        <v>18.32</v>
      </c>
      <c r="AA573" s="10">
        <v>94.939999999999898</v>
      </c>
      <c r="AB573" s="10">
        <v>660.2</v>
      </c>
      <c r="AC573" s="10">
        <v>0.13930000000000001</v>
      </c>
      <c r="AD573" s="10">
        <v>0.24990000000000001</v>
      </c>
      <c r="AE573" s="10">
        <v>0.18479999999999899</v>
      </c>
      <c r="AF573" s="10">
        <v>0.13350000000000001</v>
      </c>
      <c r="AG573" s="10">
        <v>0.32269999999999899</v>
      </c>
      <c r="AH573">
        <v>9.3259999999999899E-2</v>
      </c>
    </row>
    <row r="574" spans="3:34">
      <c r="C574" s="11" t="s">
        <v>266</v>
      </c>
      <c r="D574" s="10" t="s">
        <v>0</v>
      </c>
      <c r="E574" s="10">
        <v>13.71</v>
      </c>
      <c r="F574" s="10">
        <v>24.69</v>
      </c>
      <c r="G574" s="10">
        <v>87.76</v>
      </c>
      <c r="H574" s="10">
        <v>572.6</v>
      </c>
      <c r="I574" s="10">
        <v>9.2579999999999898E-2</v>
      </c>
      <c r="J574" s="10">
        <v>7.8619999999999898E-2</v>
      </c>
      <c r="K574" s="10">
        <v>5.2850000000000001E-2</v>
      </c>
      <c r="L574" s="10">
        <v>3.0849999999999898E-2</v>
      </c>
      <c r="M574" s="10">
        <v>0.17610000000000001</v>
      </c>
      <c r="N574" s="10">
        <v>6.13E-2</v>
      </c>
      <c r="O574" s="10">
        <v>0.23100000000000001</v>
      </c>
      <c r="P574" s="10">
        <v>1.0049999999999899</v>
      </c>
      <c r="Q574" s="10">
        <v>1.752</v>
      </c>
      <c r="R574" s="10">
        <v>19.829999999999899</v>
      </c>
      <c r="S574" s="10">
        <v>4.0879999999999901E-3</v>
      </c>
      <c r="T574" s="10">
        <v>1.174E-2</v>
      </c>
      <c r="U574" s="10">
        <v>1.796E-2</v>
      </c>
      <c r="V574" s="10">
        <v>6.8799999999999903E-3</v>
      </c>
      <c r="W574" s="10">
        <v>1.323E-2</v>
      </c>
      <c r="X574" s="10">
        <v>1.46499999999999E-3</v>
      </c>
      <c r="Y574" s="10">
        <v>16.89</v>
      </c>
      <c r="Z574" s="10">
        <v>35.64</v>
      </c>
      <c r="AA574" s="10">
        <v>113.2</v>
      </c>
      <c r="AB574" s="10">
        <v>848.7</v>
      </c>
      <c r="AC574" s="10">
        <v>0.14710000000000001</v>
      </c>
      <c r="AD574" s="10">
        <v>0.28839999999999899</v>
      </c>
      <c r="AE574" s="10">
        <v>0.37959999999999899</v>
      </c>
      <c r="AF574" s="10">
        <v>0.13289999999999899</v>
      </c>
      <c r="AG574" s="10">
        <v>0.34699999999999898</v>
      </c>
      <c r="AH574">
        <v>7.9000000000000001E-2</v>
      </c>
    </row>
    <row r="575" spans="3:34">
      <c r="C575" s="11" t="s">
        <v>652</v>
      </c>
      <c r="D575" s="10" t="s">
        <v>0</v>
      </c>
      <c r="E575" s="10">
        <v>13.71</v>
      </c>
      <c r="F575" s="10">
        <v>20.52</v>
      </c>
      <c r="G575" s="10">
        <v>88.64</v>
      </c>
      <c r="H575" s="10">
        <v>556.70000000000005</v>
      </c>
      <c r="I575" s="10">
        <v>0.1106</v>
      </c>
      <c r="J575" s="10">
        <v>0.1469</v>
      </c>
      <c r="K575" s="10">
        <v>0.14449999999999899</v>
      </c>
      <c r="L575" s="10">
        <v>8.1720000000000001E-2</v>
      </c>
      <c r="M575" s="10">
        <v>0.21160000000000001</v>
      </c>
      <c r="N575" s="10">
        <v>7.3249999999999899E-2</v>
      </c>
      <c r="O575" s="10">
        <v>0.3906</v>
      </c>
      <c r="P575" s="10">
        <v>0.93059999999999898</v>
      </c>
      <c r="Q575" s="10">
        <v>3.093</v>
      </c>
      <c r="R575" s="10">
        <v>33.67</v>
      </c>
      <c r="S575" s="10">
        <v>5.4140000000000004E-3</v>
      </c>
      <c r="T575" s="10">
        <v>2.265E-2</v>
      </c>
      <c r="U575" s="10">
        <v>3.4520000000000002E-2</v>
      </c>
      <c r="V575" s="10">
        <v>1.3339999999999901E-2</v>
      </c>
      <c r="W575" s="10">
        <v>1.7049999999999899E-2</v>
      </c>
      <c r="X575" s="10">
        <v>4.0049999999999903E-3</v>
      </c>
      <c r="Y575" s="10">
        <v>16.41</v>
      </c>
      <c r="Z575" s="10">
        <v>29.66</v>
      </c>
      <c r="AA575" s="10">
        <v>113.3</v>
      </c>
      <c r="AB575" s="10">
        <v>844.39999999999895</v>
      </c>
      <c r="AC575" s="10">
        <v>0.15740000000000001</v>
      </c>
      <c r="AD575" s="10">
        <v>0.3856</v>
      </c>
      <c r="AE575" s="10">
        <v>0.51060000000000005</v>
      </c>
      <c r="AF575" s="10">
        <v>0.2051</v>
      </c>
      <c r="AG575" s="10">
        <v>0.35849999999999899</v>
      </c>
      <c r="AH575">
        <v>0.1109</v>
      </c>
    </row>
    <row r="576" spans="3:34">
      <c r="C576" s="11" t="s">
        <v>521</v>
      </c>
      <c r="D576" s="10" t="s">
        <v>1</v>
      </c>
      <c r="E576" s="10">
        <v>13.71</v>
      </c>
      <c r="F576" s="10">
        <v>14.93</v>
      </c>
      <c r="G576" s="10">
        <v>70.67</v>
      </c>
      <c r="H576" s="10">
        <v>372.69999999999902</v>
      </c>
      <c r="I576" s="10">
        <v>7.9869999999999899E-2</v>
      </c>
      <c r="J576" s="10">
        <v>7.0790000000000006E-2</v>
      </c>
      <c r="K576" s="10">
        <v>3.5459999999999901E-2</v>
      </c>
      <c r="L576" s="10">
        <v>2.0740000000000001E-2</v>
      </c>
      <c r="M576" s="10">
        <v>0.20030000000000001</v>
      </c>
      <c r="N576" s="10">
        <v>6.2460000000000002E-2</v>
      </c>
      <c r="O576" s="10">
        <v>0.16420000000000001</v>
      </c>
      <c r="P576" s="10">
        <v>1.0309999999999899</v>
      </c>
      <c r="Q576" s="10">
        <v>1.2809999999999899</v>
      </c>
      <c r="R576" s="10">
        <v>11.68</v>
      </c>
      <c r="S576" s="10">
        <v>5.2960000000000004E-3</v>
      </c>
      <c r="T576" s="10">
        <v>1.9029999999999901E-2</v>
      </c>
      <c r="U576" s="10">
        <v>1.7229999999999902E-2</v>
      </c>
      <c r="V576" s="10">
        <v>6.96E-3</v>
      </c>
      <c r="W576" s="10">
        <v>1.8800000000000001E-2</v>
      </c>
      <c r="X576" s="10">
        <v>1.941E-3</v>
      </c>
      <c r="Y576" s="10">
        <v>12.09</v>
      </c>
      <c r="Z576" s="10">
        <v>20.829999999999899</v>
      </c>
      <c r="AA576" s="10">
        <v>79.73</v>
      </c>
      <c r="AB576" s="10">
        <v>447.1</v>
      </c>
      <c r="AC576" s="10">
        <v>0.1095</v>
      </c>
      <c r="AD576" s="10">
        <v>0.19819999999999899</v>
      </c>
      <c r="AE576" s="10">
        <v>0.15529999999999899</v>
      </c>
      <c r="AF576" s="10">
        <v>6.7540000000000003E-2</v>
      </c>
      <c r="AG576" s="10">
        <v>0.32019999999999899</v>
      </c>
      <c r="AH576">
        <v>7.2870000000000004E-2</v>
      </c>
    </row>
    <row r="577" spans="3:34">
      <c r="C577" s="11" t="s">
        <v>336</v>
      </c>
      <c r="D577" s="10" t="s">
        <v>0</v>
      </c>
      <c r="E577" s="10">
        <v>13.71</v>
      </c>
      <c r="F577" s="10">
        <v>22.2899999999999</v>
      </c>
      <c r="G577" s="10">
        <v>90.629999999999896</v>
      </c>
      <c r="H577" s="10">
        <v>588.89999999999895</v>
      </c>
      <c r="I577" s="10">
        <v>0.12</v>
      </c>
      <c r="J577" s="10">
        <v>0.12670000000000001</v>
      </c>
      <c r="K577" s="10">
        <v>0.13850000000000001</v>
      </c>
      <c r="L577" s="10">
        <v>6.5259999999999901E-2</v>
      </c>
      <c r="M577" s="10">
        <v>0.18340000000000001</v>
      </c>
      <c r="N577" s="10">
        <v>6.8769999999999901E-2</v>
      </c>
      <c r="O577" s="10">
        <v>0.61909999999999898</v>
      </c>
      <c r="P577" s="10">
        <v>2.1120000000000001</v>
      </c>
      <c r="Q577" s="10">
        <v>4.9059999999999899</v>
      </c>
      <c r="R577" s="10">
        <v>49.7</v>
      </c>
      <c r="S577" s="10">
        <v>1.38E-2</v>
      </c>
      <c r="T577" s="10">
        <v>3.3480000000000003E-2</v>
      </c>
      <c r="U577" s="10">
        <v>4.66499999999999E-2</v>
      </c>
      <c r="V577" s="10">
        <v>2.06E-2</v>
      </c>
      <c r="W577" s="10">
        <v>2.6890000000000001E-2</v>
      </c>
      <c r="X577" s="10">
        <v>4.3059999999999904E-3</v>
      </c>
      <c r="Y577" s="10">
        <v>16.39</v>
      </c>
      <c r="Z577" s="10">
        <v>34.009999999999899</v>
      </c>
      <c r="AA577" s="10">
        <v>111.599999999999</v>
      </c>
      <c r="AB577" s="10">
        <v>806.89999999999895</v>
      </c>
      <c r="AC577" s="10">
        <v>0.17369999999999899</v>
      </c>
      <c r="AD577" s="10">
        <v>0.31219999999999898</v>
      </c>
      <c r="AE577" s="10">
        <v>0.38090000000000002</v>
      </c>
      <c r="AF577" s="10">
        <v>0.1673</v>
      </c>
      <c r="AG577" s="10">
        <v>0.308</v>
      </c>
      <c r="AH577">
        <v>9.3329999999999899E-2</v>
      </c>
    </row>
    <row r="578" spans="3:34">
      <c r="C578" s="11" t="s">
        <v>274</v>
      </c>
      <c r="D578" s="10" t="s">
        <v>0</v>
      </c>
      <c r="E578" s="10">
        <v>13.71</v>
      </c>
      <c r="F578" s="10">
        <v>21.91</v>
      </c>
      <c r="G578" s="10">
        <v>120.2</v>
      </c>
      <c r="H578" s="10">
        <v>1075</v>
      </c>
      <c r="I578" s="10">
        <v>9.4299999999999898E-2</v>
      </c>
      <c r="J578" s="10">
        <v>9.7089999999999899E-2</v>
      </c>
      <c r="K578" s="10">
        <v>0.1153</v>
      </c>
      <c r="L578" s="10">
        <v>6.8470000000000003E-2</v>
      </c>
      <c r="M578" s="10">
        <v>0.16919999999999899</v>
      </c>
      <c r="N578" s="10">
        <v>5.7270000000000001E-2</v>
      </c>
      <c r="O578" s="10">
        <v>0.59589999999999899</v>
      </c>
      <c r="P578" s="10">
        <v>1.202</v>
      </c>
      <c r="Q578" s="10">
        <v>3.766</v>
      </c>
      <c r="R578" s="10">
        <v>68.349999999999895</v>
      </c>
      <c r="S578" s="10">
        <v>6.0010000000000003E-3</v>
      </c>
      <c r="T578" s="10">
        <v>1.422E-2</v>
      </c>
      <c r="U578" s="10">
        <v>2.8549999999999898E-2</v>
      </c>
      <c r="V578" s="10">
        <v>9.1479999999999895E-3</v>
      </c>
      <c r="W578" s="10">
        <v>1.49199999999999E-2</v>
      </c>
      <c r="X578" s="10">
        <v>2.20499999999999E-3</v>
      </c>
      <c r="Y578" s="10">
        <v>22.52</v>
      </c>
      <c r="Z578" s="10">
        <v>31.39</v>
      </c>
      <c r="AA578" s="10">
        <v>145.599999999999</v>
      </c>
      <c r="AB578" s="10">
        <v>1590</v>
      </c>
      <c r="AC578" s="10">
        <v>0.14649999999999899</v>
      </c>
      <c r="AD578" s="10">
        <v>0.22750000000000001</v>
      </c>
      <c r="AE578" s="10">
        <v>0.39650000000000002</v>
      </c>
      <c r="AF578" s="10">
        <v>0.137899999999999</v>
      </c>
      <c r="AG578" s="10">
        <v>0.31090000000000001</v>
      </c>
      <c r="AH578">
        <v>7.6100000000000001E-2</v>
      </c>
    </row>
    <row r="579" spans="3:34">
      <c r="C579" s="11" t="s">
        <v>478</v>
      </c>
      <c r="D579" s="10" t="s">
        <v>1</v>
      </c>
      <c r="E579" s="10">
        <v>13.71</v>
      </c>
      <c r="F579" s="10">
        <v>17.53</v>
      </c>
      <c r="G579" s="10">
        <v>64.409999999999897</v>
      </c>
      <c r="H579" s="10">
        <v>310.8</v>
      </c>
      <c r="I579" s="10">
        <v>0.1007</v>
      </c>
      <c r="J579" s="10">
        <v>7.3260000000000006E-2</v>
      </c>
      <c r="K579" s="10">
        <v>2.511E-2</v>
      </c>
      <c r="L579" s="10">
        <v>1.7749999999999901E-2</v>
      </c>
      <c r="M579" s="10">
        <v>0.189</v>
      </c>
      <c r="N579" s="10">
        <v>6.3310000000000005E-2</v>
      </c>
      <c r="O579" s="10">
        <v>0.26190000000000002</v>
      </c>
      <c r="P579" s="10">
        <v>2.0150000000000001</v>
      </c>
      <c r="Q579" s="10">
        <v>1.778</v>
      </c>
      <c r="R579" s="10">
        <v>16.850000000000001</v>
      </c>
      <c r="S579" s="10">
        <v>7.803E-3</v>
      </c>
      <c r="T579" s="10">
        <v>1.4489999999999901E-2</v>
      </c>
      <c r="U579" s="10">
        <v>1.6899999999999901E-2</v>
      </c>
      <c r="V579" s="10">
        <v>8.0429999999999894E-3</v>
      </c>
      <c r="W579" s="10">
        <v>2.1000000000000001E-2</v>
      </c>
      <c r="X579" s="10">
        <v>2.7780000000000001E-3</v>
      </c>
      <c r="Y579" s="10">
        <v>11.16</v>
      </c>
      <c r="Z579" s="10">
        <v>26.84</v>
      </c>
      <c r="AA579" s="10">
        <v>71.98</v>
      </c>
      <c r="AB579" s="10">
        <v>384</v>
      </c>
      <c r="AC579" s="10">
        <v>0.14019999999999899</v>
      </c>
      <c r="AD579" s="10">
        <v>0.14019999999999899</v>
      </c>
      <c r="AE579" s="10">
        <v>0.1055</v>
      </c>
      <c r="AF579" s="10">
        <v>6.4990000000000006E-2</v>
      </c>
      <c r="AG579" s="10">
        <v>0.28939999999999899</v>
      </c>
      <c r="AH579">
        <v>7.664E-2</v>
      </c>
    </row>
    <row r="580" spans="3:34">
      <c r="C580" s="11" t="s">
        <v>319</v>
      </c>
      <c r="D580" s="10" t="s">
        <v>1</v>
      </c>
      <c r="E580" s="10">
        <v>13.71</v>
      </c>
      <c r="F580" s="10">
        <v>13.06</v>
      </c>
      <c r="G580" s="10">
        <v>81.290000000000006</v>
      </c>
      <c r="H580" s="10">
        <v>508.8</v>
      </c>
      <c r="I580" s="10">
        <v>8.7389999999999898E-2</v>
      </c>
      <c r="J580" s="10">
        <v>3.7740000000000003E-2</v>
      </c>
      <c r="K580" s="10">
        <v>9.1929999999999894E-3</v>
      </c>
      <c r="L580" s="10">
        <v>1.32999999999999E-2</v>
      </c>
      <c r="M580" s="10">
        <v>0.14660000000000001</v>
      </c>
      <c r="N580" s="10">
        <v>6.1330000000000003E-2</v>
      </c>
      <c r="O580" s="10">
        <v>0.28889999999999899</v>
      </c>
      <c r="P580" s="10">
        <v>0.9899</v>
      </c>
      <c r="Q580" s="10">
        <v>1.778</v>
      </c>
      <c r="R580" s="10">
        <v>21.7899999999999</v>
      </c>
      <c r="S580" s="10">
        <v>8.5339999999999895E-3</v>
      </c>
      <c r="T580" s="10">
        <v>6.3639999999999903E-3</v>
      </c>
      <c r="U580" s="10">
        <v>6.1799999999999902E-3</v>
      </c>
      <c r="V580" s="10">
        <v>7.4079999999999901E-3</v>
      </c>
      <c r="W580" s="10">
        <v>1.065E-2</v>
      </c>
      <c r="X580" s="10">
        <v>3.3509999999999898E-3</v>
      </c>
      <c r="Y580" s="10">
        <v>13.63</v>
      </c>
      <c r="Z580" s="10">
        <v>16.149999999999899</v>
      </c>
      <c r="AA580" s="10">
        <v>86.7</v>
      </c>
      <c r="AB580" s="10">
        <v>570.70000000000005</v>
      </c>
      <c r="AC580" s="10">
        <v>0.1162</v>
      </c>
      <c r="AD580" s="10">
        <v>5.4449999999999901E-2</v>
      </c>
      <c r="AE580" s="10">
        <v>2.758E-2</v>
      </c>
      <c r="AF580" s="10">
        <v>3.9899999999999901E-2</v>
      </c>
      <c r="AG580" s="10">
        <v>0.17829999999999899</v>
      </c>
      <c r="AH580">
        <v>7.3190000000000005E-2</v>
      </c>
    </row>
    <row r="581" spans="3:34">
      <c r="C581" s="11" t="s">
        <v>689</v>
      </c>
      <c r="D581" s="10" t="s">
        <v>1</v>
      </c>
      <c r="E581" s="10">
        <v>13.71</v>
      </c>
      <c r="F581" s="10">
        <v>24.21</v>
      </c>
      <c r="G581" s="10">
        <v>68.89</v>
      </c>
      <c r="H581" s="10">
        <v>361.6</v>
      </c>
      <c r="I581" s="10">
        <v>8.1920000000000007E-2</v>
      </c>
      <c r="J581" s="10">
        <v>6.6019999999999898E-2</v>
      </c>
      <c r="K581" s="10">
        <v>1.5480000000000001E-2</v>
      </c>
      <c r="L581" s="10">
        <v>8.1600000000000006E-3</v>
      </c>
      <c r="M581" s="10">
        <v>0.1976</v>
      </c>
      <c r="N581" s="10">
        <v>6.3280000000000003E-2</v>
      </c>
      <c r="O581" s="10">
        <v>0.51959999999999895</v>
      </c>
      <c r="P581" s="10">
        <v>1.9179999999999899</v>
      </c>
      <c r="Q581" s="10">
        <v>3.5640000000000001</v>
      </c>
      <c r="R581" s="10">
        <v>33</v>
      </c>
      <c r="S581" s="10">
        <v>8.2629999999999908E-3</v>
      </c>
      <c r="T581" s="10">
        <v>1.8700000000000001E-2</v>
      </c>
      <c r="U581" s="10">
        <v>1.277E-2</v>
      </c>
      <c r="V581" s="10">
        <v>5.9170000000000004E-3</v>
      </c>
      <c r="W581" s="10">
        <v>2.4660000000000001E-2</v>
      </c>
      <c r="X581" s="10">
        <v>2.977E-3</v>
      </c>
      <c r="Y581" s="10">
        <v>13.0299999999999</v>
      </c>
      <c r="Z581" s="10">
        <v>31.4499999999999</v>
      </c>
      <c r="AA581" s="10">
        <v>83.9</v>
      </c>
      <c r="AB581" s="10">
        <v>505.6</v>
      </c>
      <c r="AC581" s="10">
        <v>0.12039999999999899</v>
      </c>
      <c r="AD581" s="10">
        <v>0.1633</v>
      </c>
      <c r="AE581" s="10">
        <v>6.1940000000000002E-2</v>
      </c>
      <c r="AF581" s="10">
        <v>3.2640000000000002E-2</v>
      </c>
      <c r="AG581" s="10">
        <v>0.30590000000000001</v>
      </c>
      <c r="AH581">
        <v>7.6259999999999897E-2</v>
      </c>
    </row>
    <row r="582" spans="3:34">
      <c r="C582" s="11" t="s">
        <v>598</v>
      </c>
      <c r="D582" s="10" t="s">
        <v>1</v>
      </c>
      <c r="E582" s="10">
        <v>13.71</v>
      </c>
      <c r="F582" s="10">
        <v>25.1299999999999</v>
      </c>
      <c r="G582" s="10">
        <v>82.6099999999999</v>
      </c>
      <c r="H582" s="10">
        <v>520.20000000000005</v>
      </c>
      <c r="I582" s="10">
        <v>8.3690000000000001E-2</v>
      </c>
      <c r="J582" s="10">
        <v>5.07299999999999E-2</v>
      </c>
      <c r="K582" s="10">
        <v>1.206E-2</v>
      </c>
      <c r="L582" s="10">
        <v>1.762E-2</v>
      </c>
      <c r="M582" s="10">
        <v>0.16669999999999899</v>
      </c>
      <c r="N582" s="10">
        <v>5.44899999999999E-2</v>
      </c>
      <c r="O582" s="10">
        <v>0.2621</v>
      </c>
      <c r="P582" s="10">
        <v>1.232</v>
      </c>
      <c r="Q582" s="10">
        <v>1.657</v>
      </c>
      <c r="R582" s="10">
        <v>21.19</v>
      </c>
      <c r="S582" s="10">
        <v>6.0540000000000004E-3</v>
      </c>
      <c r="T582" s="10">
        <v>8.9739999999999907E-3</v>
      </c>
      <c r="U582" s="10">
        <v>5.6810000000000003E-3</v>
      </c>
      <c r="V582" s="10">
        <v>6.3359999999999901E-3</v>
      </c>
      <c r="W582" s="10">
        <v>1.21499999999999E-2</v>
      </c>
      <c r="X582" s="10">
        <v>1.51399999999999E-3</v>
      </c>
      <c r="Y582" s="10">
        <v>14.34</v>
      </c>
      <c r="Z582" s="10">
        <v>31.8799999999999</v>
      </c>
      <c r="AA582" s="10">
        <v>91.06</v>
      </c>
      <c r="AB582" s="10">
        <v>628.5</v>
      </c>
      <c r="AC582" s="10">
        <v>0.12180000000000001</v>
      </c>
      <c r="AD582" s="10">
        <v>0.109299999999999</v>
      </c>
      <c r="AE582" s="10">
        <v>4.462E-2</v>
      </c>
      <c r="AF582" s="10">
        <v>5.9209999999999902E-2</v>
      </c>
      <c r="AG582" s="10">
        <v>0.2306</v>
      </c>
      <c r="AH582">
        <v>6.2909999999999897E-2</v>
      </c>
    </row>
    <row r="583" spans="3:34">
      <c r="C583" s="11" t="s">
        <v>290</v>
      </c>
      <c r="D583" s="10" t="s">
        <v>1</v>
      </c>
      <c r="E583" s="10">
        <v>13.71</v>
      </c>
      <c r="F583" s="10">
        <v>20.78</v>
      </c>
      <c r="G583" s="10">
        <v>83.51</v>
      </c>
      <c r="H583" s="10">
        <v>519.39999999999895</v>
      </c>
      <c r="I583" s="10">
        <v>0.1135</v>
      </c>
      <c r="J583" s="10">
        <v>7.5889999999999902E-2</v>
      </c>
      <c r="K583" s="10">
        <v>3.1359999999999902E-2</v>
      </c>
      <c r="L583" s="10">
        <v>2.6450000000000001E-2</v>
      </c>
      <c r="M583" s="10">
        <v>0.254</v>
      </c>
      <c r="N583" s="10">
        <v>6.087E-2</v>
      </c>
      <c r="O583" s="10">
        <v>0.42020000000000002</v>
      </c>
      <c r="P583" s="10">
        <v>1.3220000000000001</v>
      </c>
      <c r="Q583" s="10">
        <v>2.8730000000000002</v>
      </c>
      <c r="R583" s="10">
        <v>34.78</v>
      </c>
      <c r="S583" s="10">
        <v>7.0169999999999903E-3</v>
      </c>
      <c r="T583" s="10">
        <v>1.142E-2</v>
      </c>
      <c r="U583" s="10">
        <v>1.949E-2</v>
      </c>
      <c r="V583" s="10">
        <v>1.153E-2</v>
      </c>
      <c r="W583" s="10">
        <v>2.9510000000000002E-2</v>
      </c>
      <c r="X583" s="10">
        <v>1.5330000000000001E-3</v>
      </c>
      <c r="Y583" s="10">
        <v>14.16</v>
      </c>
      <c r="Z583" s="10">
        <v>24.1099999999999</v>
      </c>
      <c r="AA583" s="10">
        <v>90.819999999999894</v>
      </c>
      <c r="AB583" s="10">
        <v>616.70000000000005</v>
      </c>
      <c r="AC583" s="10">
        <v>0.12970000000000001</v>
      </c>
      <c r="AD583" s="10">
        <v>0.1105</v>
      </c>
      <c r="AE583" s="10">
        <v>8.1119999999999901E-2</v>
      </c>
      <c r="AF583" s="10">
        <v>6.2960000000000002E-2</v>
      </c>
      <c r="AG583" s="10">
        <v>0.3196</v>
      </c>
      <c r="AH583">
        <v>6.4350000000000004E-2</v>
      </c>
    </row>
    <row r="584" spans="3:34">
      <c r="C584" s="11" t="s">
        <v>311</v>
      </c>
      <c r="D584" s="10" t="s">
        <v>0</v>
      </c>
      <c r="E584" s="10">
        <v>13.71</v>
      </c>
      <c r="F584" s="10">
        <v>19.6299999999999</v>
      </c>
      <c r="G584" s="10">
        <v>85.84</v>
      </c>
      <c r="H584" s="10">
        <v>565.39999999999895</v>
      </c>
      <c r="I584" s="10">
        <v>9.0480000000000005E-2</v>
      </c>
      <c r="J584" s="10">
        <v>6.2880000000000005E-2</v>
      </c>
      <c r="K584" s="10">
        <v>5.858E-2</v>
      </c>
      <c r="L584" s="10">
        <v>3.4380000000000001E-2</v>
      </c>
      <c r="M584" s="10">
        <v>0.1598</v>
      </c>
      <c r="N584" s="10">
        <v>5.6710000000000003E-2</v>
      </c>
      <c r="O584" s="10">
        <v>0.46970000000000001</v>
      </c>
      <c r="P584" s="10">
        <v>1.147</v>
      </c>
      <c r="Q584" s="10">
        <v>3.1419999999999901</v>
      </c>
      <c r="R584" s="10">
        <v>43.399999999999899</v>
      </c>
      <c r="S584" s="10">
        <v>6.0029999999999901E-3</v>
      </c>
      <c r="T584" s="10">
        <v>1.0630000000000001E-2</v>
      </c>
      <c r="U584" s="10">
        <v>2.1510000000000001E-2</v>
      </c>
      <c r="V584" s="10">
        <v>9.443E-3</v>
      </c>
      <c r="W584" s="10">
        <v>1.52E-2</v>
      </c>
      <c r="X584" s="10">
        <v>1.8680000000000001E-3</v>
      </c>
      <c r="Y584" s="10">
        <v>17.98</v>
      </c>
      <c r="Z584" s="10">
        <v>29.87</v>
      </c>
      <c r="AA584" s="10">
        <v>116.599999999999</v>
      </c>
      <c r="AB584" s="10">
        <v>993.6</v>
      </c>
      <c r="AC584" s="10">
        <v>0.1401</v>
      </c>
      <c r="AD584" s="10">
        <v>0.15459999999999899</v>
      </c>
      <c r="AE584" s="10">
        <v>0.26440000000000002</v>
      </c>
      <c r="AF584" s="10">
        <v>0.11600000000000001</v>
      </c>
      <c r="AG584" s="10">
        <v>0.28839999999999899</v>
      </c>
      <c r="AH584">
        <v>7.3709999999999901E-2</v>
      </c>
    </row>
    <row r="585" spans="3:34">
      <c r="C585" s="11" t="s">
        <v>562</v>
      </c>
      <c r="D585" s="10" t="s">
        <v>1</v>
      </c>
      <c r="E585" s="10">
        <v>13.71</v>
      </c>
      <c r="F585" s="10">
        <v>16.02</v>
      </c>
      <c r="G585" s="10">
        <v>75.459999999999894</v>
      </c>
      <c r="H585" s="10">
        <v>408.19999999999902</v>
      </c>
      <c r="I585" s="10">
        <v>0.10879999999999899</v>
      </c>
      <c r="J585" s="10">
        <v>0.1168</v>
      </c>
      <c r="K585" s="10">
        <v>7.0970000000000005E-2</v>
      </c>
      <c r="L585" s="10">
        <v>4.4970000000000003E-2</v>
      </c>
      <c r="M585" s="10">
        <v>0.18859999999999899</v>
      </c>
      <c r="N585" s="10">
        <v>6.3200000000000006E-2</v>
      </c>
      <c r="O585" s="10">
        <v>0.24560000000000001</v>
      </c>
      <c r="P585" s="10">
        <v>0.7339</v>
      </c>
      <c r="Q585" s="10">
        <v>1.667</v>
      </c>
      <c r="R585" s="10">
        <v>15.89</v>
      </c>
      <c r="S585" s="10">
        <v>5.8840000000000003E-3</v>
      </c>
      <c r="T585" s="10">
        <v>2.0049999999999901E-2</v>
      </c>
      <c r="U585" s="10">
        <v>2.631E-2</v>
      </c>
      <c r="V585" s="10">
        <v>1.304E-2</v>
      </c>
      <c r="W585" s="10">
        <v>1.848E-2</v>
      </c>
      <c r="X585" s="10">
        <v>1.9819999999999898E-3</v>
      </c>
      <c r="Y585" s="10">
        <v>12.64</v>
      </c>
      <c r="Z585" s="10">
        <v>19.670000000000002</v>
      </c>
      <c r="AA585" s="10">
        <v>81.93</v>
      </c>
      <c r="AB585" s="10">
        <v>475.69999999999902</v>
      </c>
      <c r="AC585" s="10">
        <v>0.14149999999999899</v>
      </c>
      <c r="AD585" s="10">
        <v>0.217</v>
      </c>
      <c r="AE585" s="10">
        <v>0.23019999999999899</v>
      </c>
      <c r="AF585" s="10">
        <v>0.1105</v>
      </c>
      <c r="AG585" s="10">
        <v>0.2787</v>
      </c>
      <c r="AH585">
        <v>7.4270000000000003E-2</v>
      </c>
    </row>
    <row r="586" spans="3:34">
      <c r="C586" s="11" t="s">
        <v>260</v>
      </c>
      <c r="D586" s="10" t="s">
        <v>1</v>
      </c>
      <c r="E586" s="10">
        <v>13.71</v>
      </c>
      <c r="F586" s="10">
        <v>10.82</v>
      </c>
      <c r="G586" s="10">
        <v>73.34</v>
      </c>
      <c r="H586" s="10">
        <v>403.3</v>
      </c>
      <c r="I586" s="10">
        <v>9.3729999999999897E-2</v>
      </c>
      <c r="J586" s="10">
        <v>6.6850000000000007E-2</v>
      </c>
      <c r="K586" s="10">
        <v>3.5119999999999901E-2</v>
      </c>
      <c r="L586" s="10">
        <v>2.623E-2</v>
      </c>
      <c r="M586" s="10">
        <v>0.16669999999999899</v>
      </c>
      <c r="N586" s="10">
        <v>6.11299999999999E-2</v>
      </c>
      <c r="O586" s="10">
        <v>0.14080000000000001</v>
      </c>
      <c r="P586" s="10">
        <v>0.4607</v>
      </c>
      <c r="Q586" s="10">
        <v>1.103</v>
      </c>
      <c r="R586" s="10">
        <v>10.5</v>
      </c>
      <c r="S586" s="10">
        <v>6.0400000000000002E-3</v>
      </c>
      <c r="T586" s="10">
        <v>1.529E-2</v>
      </c>
      <c r="U586" s="10">
        <v>1.5140000000000001E-2</v>
      </c>
      <c r="V586" s="10">
        <v>6.4599999999999901E-3</v>
      </c>
      <c r="W586" s="10">
        <v>1.3440000000000001E-2</v>
      </c>
      <c r="X586" s="10">
        <v>2.2060000000000001E-3</v>
      </c>
      <c r="Y586" s="10">
        <v>12.82</v>
      </c>
      <c r="Z586" s="10">
        <v>15.97</v>
      </c>
      <c r="AA586" s="10">
        <v>83.739999999999895</v>
      </c>
      <c r="AB586" s="10">
        <v>510.5</v>
      </c>
      <c r="AC586" s="10">
        <v>0.15479999999999899</v>
      </c>
      <c r="AD586" s="10">
        <v>0.23899999999999899</v>
      </c>
      <c r="AE586" s="10">
        <v>0.2102</v>
      </c>
      <c r="AF586" s="10">
        <v>8.9580000000000007E-2</v>
      </c>
      <c r="AG586" s="10">
        <v>0.30159999999999898</v>
      </c>
      <c r="AH586">
        <v>8.523E-2</v>
      </c>
    </row>
    <row r="587" spans="3:34">
      <c r="C587" s="11" t="s">
        <v>317</v>
      </c>
      <c r="D587" s="10" t="s">
        <v>0</v>
      </c>
      <c r="E587" s="10">
        <v>13.71</v>
      </c>
      <c r="F587" s="10">
        <v>20.1099999999999</v>
      </c>
      <c r="G587" s="10">
        <v>109.3</v>
      </c>
      <c r="H587" s="10">
        <v>832.89999999999895</v>
      </c>
      <c r="I587" s="10">
        <v>9.8309999999999897E-2</v>
      </c>
      <c r="J587" s="10">
        <v>0.15559999999999899</v>
      </c>
      <c r="K587" s="10">
        <v>0.17929999999999899</v>
      </c>
      <c r="L587" s="10">
        <v>8.8660000000000003E-2</v>
      </c>
      <c r="M587" s="10">
        <v>0.1794</v>
      </c>
      <c r="N587" s="10">
        <v>6.3229999999999897E-2</v>
      </c>
      <c r="O587" s="10">
        <v>0.30370000000000003</v>
      </c>
      <c r="P587" s="10">
        <v>1.284</v>
      </c>
      <c r="Q587" s="10">
        <v>2.4820000000000002</v>
      </c>
      <c r="R587" s="10">
        <v>31.59</v>
      </c>
      <c r="S587" s="10">
        <v>6.6270000000000001E-3</v>
      </c>
      <c r="T587" s="10">
        <v>4.09399999999999E-2</v>
      </c>
      <c r="U587" s="10">
        <v>5.3710000000000001E-2</v>
      </c>
      <c r="V587" s="10">
        <v>1.813E-2</v>
      </c>
      <c r="W587" s="10">
        <v>1.6820000000000002E-2</v>
      </c>
      <c r="X587" s="10">
        <v>4.5840000000000004E-3</v>
      </c>
      <c r="Y587" s="10">
        <v>17.7899999999999</v>
      </c>
      <c r="Z587" s="10">
        <v>28.4499999999999</v>
      </c>
      <c r="AA587" s="10">
        <v>123.5</v>
      </c>
      <c r="AB587" s="10">
        <v>981.2</v>
      </c>
      <c r="AC587" s="10">
        <v>0.14149999999999899</v>
      </c>
      <c r="AD587" s="10">
        <v>0.4667</v>
      </c>
      <c r="AE587" s="10">
        <v>0.58620000000000005</v>
      </c>
      <c r="AF587" s="10">
        <v>0.20349999999999899</v>
      </c>
      <c r="AG587" s="10">
        <v>0.3054</v>
      </c>
      <c r="AH587">
        <v>9.51899999999999E-2</v>
      </c>
    </row>
    <row r="588" spans="3:34">
      <c r="C588" s="11" t="s">
        <v>415</v>
      </c>
      <c r="D588" s="10" t="s">
        <v>1</v>
      </c>
      <c r="E588" s="10">
        <v>13.71</v>
      </c>
      <c r="F588" s="10">
        <v>17.3599999999999</v>
      </c>
      <c r="G588" s="10">
        <v>76.2</v>
      </c>
      <c r="H588" s="10">
        <v>435.6</v>
      </c>
      <c r="I588" s="10">
        <v>0.1225</v>
      </c>
      <c r="J588" s="10">
        <v>7.20999999999999E-2</v>
      </c>
      <c r="K588" s="10">
        <v>5.9290000000000002E-2</v>
      </c>
      <c r="L588" s="10">
        <v>7.4039999999999898E-2</v>
      </c>
      <c r="M588" s="10">
        <v>0.20150000000000001</v>
      </c>
      <c r="N588" s="10">
        <v>5.87499999999999E-2</v>
      </c>
      <c r="O588" s="10">
        <v>0.64119999999999899</v>
      </c>
      <c r="P588" s="10">
        <v>2.2930000000000001</v>
      </c>
      <c r="Q588" s="10">
        <v>4.0209999999999901</v>
      </c>
      <c r="R588" s="10">
        <v>48.84</v>
      </c>
      <c r="S588" s="10">
        <v>1.418E-2</v>
      </c>
      <c r="T588" s="10">
        <v>1.489E-2</v>
      </c>
      <c r="U588" s="10">
        <v>1.2670000000000001E-2</v>
      </c>
      <c r="V588" s="10">
        <v>1.9099999999999898E-2</v>
      </c>
      <c r="W588" s="10">
        <v>2.6780000000000002E-2</v>
      </c>
      <c r="X588" s="10">
        <v>3.0019999999999899E-3</v>
      </c>
      <c r="Y588" s="10">
        <v>12.4</v>
      </c>
      <c r="Z588" s="10">
        <v>18.989999999999899</v>
      </c>
      <c r="AA588" s="10">
        <v>79.459999999999894</v>
      </c>
      <c r="AB588" s="10">
        <v>472.39999999999901</v>
      </c>
      <c r="AC588" s="10">
        <v>0.13589999999999899</v>
      </c>
      <c r="AD588" s="10">
        <v>8.3680000000000004E-2</v>
      </c>
      <c r="AE588" s="10">
        <v>7.1529999999999899E-2</v>
      </c>
      <c r="AF588" s="10">
        <v>8.9459999999999901E-2</v>
      </c>
      <c r="AG588" s="10">
        <v>0.222</v>
      </c>
      <c r="AH588">
        <v>6.0330000000000002E-2</v>
      </c>
    </row>
    <row r="589" spans="3:34">
      <c r="C589" s="11" t="s">
        <v>173</v>
      </c>
      <c r="D589" s="10" t="s">
        <v>0</v>
      </c>
      <c r="E589" s="10">
        <v>13.71</v>
      </c>
      <c r="F589" s="10">
        <v>26.469999999999899</v>
      </c>
      <c r="G589" s="10">
        <v>127.9</v>
      </c>
      <c r="H589" s="10">
        <v>1162</v>
      </c>
      <c r="I589" s="10">
        <v>9.4009999999999899E-2</v>
      </c>
      <c r="J589" s="10">
        <v>0.1719</v>
      </c>
      <c r="K589" s="10">
        <v>0.16569999999999899</v>
      </c>
      <c r="L589" s="10">
        <v>7.59299999999999E-2</v>
      </c>
      <c r="M589" s="10">
        <v>0.18529999999999899</v>
      </c>
      <c r="N589" s="10">
        <v>6.2609999999999902E-2</v>
      </c>
      <c r="O589" s="10">
        <v>0.55579999999999896</v>
      </c>
      <c r="P589" s="10">
        <v>0.60619999999999896</v>
      </c>
      <c r="Q589" s="10">
        <v>3.528</v>
      </c>
      <c r="R589" s="10">
        <v>68.17</v>
      </c>
      <c r="S589" s="10">
        <v>5.0150000000000004E-3</v>
      </c>
      <c r="T589" s="10">
        <v>3.3180000000000001E-2</v>
      </c>
      <c r="U589" s="10">
        <v>3.4970000000000001E-2</v>
      </c>
      <c r="V589" s="10">
        <v>9.6430000000000005E-3</v>
      </c>
      <c r="W589" s="10">
        <v>1.54299999999999E-2</v>
      </c>
      <c r="X589" s="10">
        <v>3.8960000000000002E-3</v>
      </c>
      <c r="Y589" s="10">
        <v>24.149999999999899</v>
      </c>
      <c r="Z589" s="10">
        <v>30.899999999999899</v>
      </c>
      <c r="AA589" s="10">
        <v>161.4</v>
      </c>
      <c r="AB589" s="10">
        <v>1813</v>
      </c>
      <c r="AC589" s="10">
        <v>0.15090000000000001</v>
      </c>
      <c r="AD589" s="10">
        <v>0.65900000000000003</v>
      </c>
      <c r="AE589" s="10">
        <v>0.60909999999999898</v>
      </c>
      <c r="AF589" s="10">
        <v>0.17849999999999899</v>
      </c>
      <c r="AG589" s="10">
        <v>0.36720000000000003</v>
      </c>
      <c r="AH589">
        <v>0.1123</v>
      </c>
    </row>
    <row r="590" spans="3:34">
      <c r="C590" s="11" t="s">
        <v>504</v>
      </c>
      <c r="D590" s="10" t="s">
        <v>1</v>
      </c>
      <c r="E590" s="10">
        <v>13.71</v>
      </c>
      <c r="F590" s="10">
        <v>16.9499999999999</v>
      </c>
      <c r="G590" s="10">
        <v>85.48</v>
      </c>
      <c r="H590" s="10">
        <v>552.39999999999895</v>
      </c>
      <c r="I590" s="10">
        <v>7.9369999999999899E-2</v>
      </c>
      <c r="J590" s="10">
        <v>5.69599999999999E-2</v>
      </c>
      <c r="K590" s="10">
        <v>2.181E-2</v>
      </c>
      <c r="L590" s="10">
        <v>1.473E-2</v>
      </c>
      <c r="M590" s="10">
        <v>0.16500000000000001</v>
      </c>
      <c r="N590" s="10">
        <v>5.7009999999999901E-2</v>
      </c>
      <c r="O590" s="10">
        <v>0.15840000000000001</v>
      </c>
      <c r="P590" s="10">
        <v>0.61240000000000006</v>
      </c>
      <c r="Q590" s="10">
        <v>1.036</v>
      </c>
      <c r="R590" s="10">
        <v>13.22</v>
      </c>
      <c r="S590" s="10">
        <v>4.3940000000000003E-3</v>
      </c>
      <c r="T590" s="10">
        <v>1.2500000000000001E-2</v>
      </c>
      <c r="U590" s="10">
        <v>1.451E-2</v>
      </c>
      <c r="V590" s="10">
        <v>5.4840000000000002E-3</v>
      </c>
      <c r="W590" s="10">
        <v>1.291E-2</v>
      </c>
      <c r="X590" s="10">
        <v>2.0739999999999899E-3</v>
      </c>
      <c r="Y590" s="10">
        <v>14.73</v>
      </c>
      <c r="Z590" s="10">
        <v>21.6999999999999</v>
      </c>
      <c r="AA590" s="10">
        <v>93.76</v>
      </c>
      <c r="AB590" s="10">
        <v>663.5</v>
      </c>
      <c r="AC590" s="10">
        <v>0.12130000000000001</v>
      </c>
      <c r="AD590" s="10">
        <v>0.1676</v>
      </c>
      <c r="AE590" s="10">
        <v>0.13639999999999899</v>
      </c>
      <c r="AF590" s="10">
        <v>6.9870000000000002E-2</v>
      </c>
      <c r="AG590" s="10">
        <v>0.27410000000000001</v>
      </c>
      <c r="AH590">
        <v>7.5819999999999901E-2</v>
      </c>
    </row>
    <row r="591" spans="3:34">
      <c r="C591" s="11" t="s">
        <v>647</v>
      </c>
      <c r="D591" s="10" t="s">
        <v>1</v>
      </c>
      <c r="E591" s="10">
        <v>13.71</v>
      </c>
      <c r="F591" s="10">
        <v>17.12</v>
      </c>
      <c r="G591" s="10">
        <v>71.25</v>
      </c>
      <c r="H591" s="10">
        <v>366.5</v>
      </c>
      <c r="I591" s="10">
        <v>0.11940000000000001</v>
      </c>
      <c r="J591" s="10">
        <v>0.1071</v>
      </c>
      <c r="K591" s="10">
        <v>4.0629999999999902E-2</v>
      </c>
      <c r="L591" s="10">
        <v>4.2680000000000003E-2</v>
      </c>
      <c r="M591" s="10">
        <v>0.19539999999999899</v>
      </c>
      <c r="N591" s="10">
        <v>7.97599999999999E-2</v>
      </c>
      <c r="O591" s="10">
        <v>0.1779</v>
      </c>
      <c r="P591" s="10">
        <v>1.03</v>
      </c>
      <c r="Q591" s="10">
        <v>1.3180000000000001</v>
      </c>
      <c r="R591" s="10">
        <v>12.3</v>
      </c>
      <c r="S591" s="10">
        <v>1.26199999999999E-2</v>
      </c>
      <c r="T591" s="10">
        <v>2.3480000000000001E-2</v>
      </c>
      <c r="U591" s="10">
        <v>1.7999999999999901E-2</v>
      </c>
      <c r="V591" s="10">
        <v>1.285E-2</v>
      </c>
      <c r="W591" s="10">
        <v>2.2200000000000001E-2</v>
      </c>
      <c r="X591" s="10">
        <v>8.3129999999999905E-3</v>
      </c>
      <c r="Y591" s="10">
        <v>11.69</v>
      </c>
      <c r="Z591" s="10">
        <v>20.739999999999899</v>
      </c>
      <c r="AA591" s="10">
        <v>76.079999999999899</v>
      </c>
      <c r="AB591" s="10">
        <v>411.1</v>
      </c>
      <c r="AC591" s="10">
        <v>0.16619999999999899</v>
      </c>
      <c r="AD591" s="10">
        <v>0.2031</v>
      </c>
      <c r="AE591" s="10">
        <v>0.12559999999999899</v>
      </c>
      <c r="AF591" s="10">
        <v>9.5140000000000002E-2</v>
      </c>
      <c r="AG591" s="10">
        <v>0.27800000000000002</v>
      </c>
      <c r="AH591">
        <v>0.1168</v>
      </c>
    </row>
    <row r="592" spans="3:34">
      <c r="C592" s="11" t="s">
        <v>235</v>
      </c>
      <c r="D592" s="10" t="s">
        <v>0</v>
      </c>
      <c r="E592" s="10">
        <v>13.71</v>
      </c>
      <c r="F592" s="10">
        <v>23.03</v>
      </c>
      <c r="G592" s="10">
        <v>132.4</v>
      </c>
      <c r="H592" s="10">
        <v>1264</v>
      </c>
      <c r="I592" s="10">
        <v>9.078E-2</v>
      </c>
      <c r="J592" s="10">
        <v>0.1313</v>
      </c>
      <c r="K592" s="10">
        <v>0.14649999999999899</v>
      </c>
      <c r="L592" s="10">
        <v>8.6830000000000004E-2</v>
      </c>
      <c r="M592" s="10">
        <v>0.20949999999999899</v>
      </c>
      <c r="N592" s="10">
        <v>5.6489999999999901E-2</v>
      </c>
      <c r="O592" s="10">
        <v>0.75760000000000005</v>
      </c>
      <c r="P592" s="10">
        <v>1.5089999999999899</v>
      </c>
      <c r="Q592" s="10">
        <v>4.5540000000000003</v>
      </c>
      <c r="R592" s="10">
        <v>87.87</v>
      </c>
      <c r="S592" s="10">
        <v>6.0159999999999901E-3</v>
      </c>
      <c r="T592" s="10">
        <v>3.48199999999999E-2</v>
      </c>
      <c r="U592" s="10">
        <v>4.2320000000000003E-2</v>
      </c>
      <c r="V592" s="10">
        <v>1.269E-2</v>
      </c>
      <c r="W592" s="10">
        <v>2.657E-2</v>
      </c>
      <c r="X592" s="10">
        <v>4.411E-3</v>
      </c>
      <c r="Y592" s="10">
        <v>24.219999999999899</v>
      </c>
      <c r="Z592" s="10">
        <v>31.59</v>
      </c>
      <c r="AA592" s="10">
        <v>156.099999999999</v>
      </c>
      <c r="AB592" s="10">
        <v>1750</v>
      </c>
      <c r="AC592" s="10">
        <v>0.118999999999999</v>
      </c>
      <c r="AD592" s="10">
        <v>0.35389999999999899</v>
      </c>
      <c r="AE592" s="10">
        <v>0.4098</v>
      </c>
      <c r="AF592" s="10">
        <v>0.1573</v>
      </c>
      <c r="AG592" s="10">
        <v>0.36890000000000001</v>
      </c>
      <c r="AH592">
        <v>8.3680000000000004E-2</v>
      </c>
    </row>
    <row r="593" spans="3:34">
      <c r="C593" s="11" t="s">
        <v>619</v>
      </c>
      <c r="D593" s="10" t="s">
        <v>0</v>
      </c>
      <c r="E593" s="10">
        <v>13.71</v>
      </c>
      <c r="F593" s="10">
        <v>19.510000000000002</v>
      </c>
      <c r="G593" s="10">
        <v>109.8</v>
      </c>
      <c r="H593" s="10">
        <v>815.79999999999905</v>
      </c>
      <c r="I593" s="10">
        <v>0.1026</v>
      </c>
      <c r="J593" s="10">
        <v>0.1893</v>
      </c>
      <c r="K593" s="10">
        <v>0.22359999999999899</v>
      </c>
      <c r="L593" s="10">
        <v>9.1939999999999897E-2</v>
      </c>
      <c r="M593" s="10">
        <v>0.21510000000000001</v>
      </c>
      <c r="N593" s="10">
        <v>6.5780000000000005E-2</v>
      </c>
      <c r="O593" s="10">
        <v>0.31469999999999898</v>
      </c>
      <c r="P593" s="10">
        <v>0.98570000000000002</v>
      </c>
      <c r="Q593" s="10">
        <v>3.0699999999999901</v>
      </c>
      <c r="R593" s="10">
        <v>33.119999999999898</v>
      </c>
      <c r="S593" s="10">
        <v>9.1970000000000003E-3</v>
      </c>
      <c r="T593" s="10">
        <v>5.4699999999999901E-2</v>
      </c>
      <c r="U593" s="10">
        <v>8.0790000000000001E-2</v>
      </c>
      <c r="V593" s="10">
        <v>2.215E-2</v>
      </c>
      <c r="W593" s="10">
        <v>2.7730000000000001E-2</v>
      </c>
      <c r="X593" s="10">
        <v>6.3550000000000004E-3</v>
      </c>
      <c r="Y593" s="10">
        <v>17.39</v>
      </c>
      <c r="Z593" s="10">
        <v>23.05</v>
      </c>
      <c r="AA593" s="10">
        <v>122.099999999999</v>
      </c>
      <c r="AB593" s="10">
        <v>939.7</v>
      </c>
      <c r="AC593" s="10">
        <v>0.13769999999999899</v>
      </c>
      <c r="AD593" s="10">
        <v>0.44619999999999899</v>
      </c>
      <c r="AE593" s="10">
        <v>0.5897</v>
      </c>
      <c r="AF593" s="10">
        <v>0.17749999999999899</v>
      </c>
      <c r="AG593" s="10">
        <v>0.33179999999999898</v>
      </c>
      <c r="AH593">
        <v>9.13599999999999E-2</v>
      </c>
    </row>
    <row r="594" spans="3:34">
      <c r="C594" s="11" t="s">
        <v>427</v>
      </c>
      <c r="D594" s="10" t="s">
        <v>1</v>
      </c>
      <c r="E594" s="10">
        <v>13.71</v>
      </c>
      <c r="F594" s="10">
        <v>13.1199999999999</v>
      </c>
      <c r="G594" s="10">
        <v>81.89</v>
      </c>
      <c r="H594" s="10">
        <v>515.89999999999895</v>
      </c>
      <c r="I594" s="10">
        <v>6.9550000000000001E-2</v>
      </c>
      <c r="J594" s="10">
        <v>3.72899999999999E-2</v>
      </c>
      <c r="K594" s="10">
        <v>2.2599999999999901E-2</v>
      </c>
      <c r="L594" s="10">
        <v>1.171E-2</v>
      </c>
      <c r="M594" s="10">
        <v>0.13370000000000001</v>
      </c>
      <c r="N594" s="10">
        <v>5.5809999999999901E-2</v>
      </c>
      <c r="O594" s="10">
        <v>0.1532</v>
      </c>
      <c r="P594" s="10">
        <v>0.46899999999999897</v>
      </c>
      <c r="Q594" s="10">
        <v>1.115</v>
      </c>
      <c r="R594" s="10">
        <v>12.68</v>
      </c>
      <c r="S594" s="10">
        <v>4.731E-3</v>
      </c>
      <c r="T594" s="10">
        <v>1.345E-2</v>
      </c>
      <c r="U594" s="10">
        <v>1.652E-2</v>
      </c>
      <c r="V594" s="10">
        <v>5.9049999999999901E-3</v>
      </c>
      <c r="W594" s="10">
        <v>1.619E-2</v>
      </c>
      <c r="X594" s="10">
        <v>2.081E-3</v>
      </c>
      <c r="Y594" s="10">
        <v>13.6199999999999</v>
      </c>
      <c r="Z594" s="10">
        <v>15.5399999999999</v>
      </c>
      <c r="AA594" s="10">
        <v>87.4</v>
      </c>
      <c r="AB594" s="10">
        <v>577</v>
      </c>
      <c r="AC594" s="10">
        <v>9.6159999999999898E-2</v>
      </c>
      <c r="AD594" s="10">
        <v>0.1147</v>
      </c>
      <c r="AE594" s="10">
        <v>0.1186</v>
      </c>
      <c r="AF594" s="10">
        <v>5.3659999999999902E-2</v>
      </c>
      <c r="AG594" s="10">
        <v>0.23089999999999899</v>
      </c>
      <c r="AH594">
        <v>6.9150000000000003E-2</v>
      </c>
    </row>
    <row r="595" spans="3:34">
      <c r="C595" s="11" t="s">
        <v>394</v>
      </c>
      <c r="D595" s="10" t="s">
        <v>0</v>
      </c>
      <c r="E595" s="10">
        <v>13.71</v>
      </c>
      <c r="F595" s="10">
        <v>19.329999999999899</v>
      </c>
      <c r="G595" s="10">
        <v>126.5</v>
      </c>
      <c r="H595" s="10">
        <v>1169</v>
      </c>
      <c r="I595" s="10">
        <v>0.103499999999999</v>
      </c>
      <c r="J595" s="10">
        <v>0.1188</v>
      </c>
      <c r="K595" s="10">
        <v>0.137899999999999</v>
      </c>
      <c r="L595" s="10">
        <v>8.591E-2</v>
      </c>
      <c r="M595" s="10">
        <v>0.17760000000000001</v>
      </c>
      <c r="N595" s="10">
        <v>5.6469999999999902E-2</v>
      </c>
      <c r="O595" s="10">
        <v>0.59589999999999899</v>
      </c>
      <c r="P595" s="10">
        <v>0.63419999999999899</v>
      </c>
      <c r="Q595" s="10">
        <v>3.7970000000000002</v>
      </c>
      <c r="R595" s="10">
        <v>71</v>
      </c>
      <c r="S595" s="10">
        <v>4.6490000000000004E-3</v>
      </c>
      <c r="T595" s="10">
        <v>1.7999999999999901E-2</v>
      </c>
      <c r="U595" s="10">
        <v>2.7490000000000001E-2</v>
      </c>
      <c r="V595" s="10">
        <v>1.2670000000000001E-2</v>
      </c>
      <c r="W595" s="10">
        <v>1.3650000000000001E-2</v>
      </c>
      <c r="X595" s="10">
        <v>2.5500000000000002E-3</v>
      </c>
      <c r="Y595" s="10">
        <v>25.6999999999999</v>
      </c>
      <c r="Z595" s="10">
        <v>24.57</v>
      </c>
      <c r="AA595" s="10">
        <v>163.099999999999</v>
      </c>
      <c r="AB595" s="10">
        <v>1972</v>
      </c>
      <c r="AC595" s="10">
        <v>0.1497</v>
      </c>
      <c r="AD595" s="10">
        <v>0.31609999999999899</v>
      </c>
      <c r="AE595" s="10">
        <v>0.43169999999999897</v>
      </c>
      <c r="AF595" s="10">
        <v>0.199899999999999</v>
      </c>
      <c r="AG595" s="10">
        <v>0.33789999999999898</v>
      </c>
      <c r="AH595">
        <v>8.9499999999999899E-2</v>
      </c>
    </row>
    <row r="596" spans="3:34">
      <c r="C596" s="11" t="s">
        <v>629</v>
      </c>
      <c r="D596" s="10" t="s">
        <v>0</v>
      </c>
      <c r="E596" s="10">
        <v>13.71</v>
      </c>
      <c r="F596" s="10">
        <v>20.1999999999999</v>
      </c>
      <c r="G596" s="10">
        <v>107.099999999999</v>
      </c>
      <c r="H596" s="10">
        <v>857.6</v>
      </c>
      <c r="I596" s="10">
        <v>7.4969999999999898E-2</v>
      </c>
      <c r="J596" s="10">
        <v>7.1120000000000003E-2</v>
      </c>
      <c r="K596" s="10">
        <v>3.6490000000000002E-2</v>
      </c>
      <c r="L596" s="10">
        <v>2.307E-2</v>
      </c>
      <c r="M596" s="10">
        <v>0.18459999999999899</v>
      </c>
      <c r="N596" s="10">
        <v>5.3249999999999902E-2</v>
      </c>
      <c r="O596" s="10">
        <v>0.24729999999999899</v>
      </c>
      <c r="P596" s="10">
        <v>0.56789999999999896</v>
      </c>
      <c r="Q596" s="10">
        <v>1.7749999999999899</v>
      </c>
      <c r="R596" s="10">
        <v>22.9499999999999</v>
      </c>
      <c r="S596" s="10">
        <v>2.6670000000000001E-3</v>
      </c>
      <c r="T596" s="10">
        <v>1.4460000000000001E-2</v>
      </c>
      <c r="U596" s="10">
        <v>1.423E-2</v>
      </c>
      <c r="V596" s="10">
        <v>5.2969999999999901E-3</v>
      </c>
      <c r="W596" s="10">
        <v>1.9609999999999898E-2</v>
      </c>
      <c r="X596" s="10">
        <v>1.6999999999999899E-3</v>
      </c>
      <c r="Y596" s="10">
        <v>19.18</v>
      </c>
      <c r="Z596" s="10">
        <v>26.559999999999899</v>
      </c>
      <c r="AA596" s="10">
        <v>127.3</v>
      </c>
      <c r="AB596" s="10">
        <v>1084</v>
      </c>
      <c r="AC596" s="10">
        <v>0.1009</v>
      </c>
      <c r="AD596" s="10">
        <v>0.29199999999999898</v>
      </c>
      <c r="AE596" s="10">
        <v>0.2477</v>
      </c>
      <c r="AF596" s="10">
        <v>8.7370000000000003E-2</v>
      </c>
      <c r="AG596" s="10">
        <v>0.4677</v>
      </c>
      <c r="AH596">
        <v>7.6230000000000006E-2</v>
      </c>
    </row>
    <row r="597" spans="3:34">
      <c r="C597" s="11" t="s">
        <v>377</v>
      </c>
      <c r="D597" s="10" t="s">
        <v>0</v>
      </c>
      <c r="E597" s="10">
        <v>13.71</v>
      </c>
      <c r="F597" s="10">
        <v>21.46</v>
      </c>
      <c r="G597" s="10">
        <v>132.5</v>
      </c>
      <c r="H597" s="10">
        <v>1306</v>
      </c>
      <c r="I597" s="10">
        <v>8.3549999999999902E-2</v>
      </c>
      <c r="J597" s="10">
        <v>8.3479999999999902E-2</v>
      </c>
      <c r="K597" s="10">
        <v>9.042E-2</v>
      </c>
      <c r="L597" s="10">
        <v>6.0220000000000003E-2</v>
      </c>
      <c r="M597" s="10">
        <v>0.1467</v>
      </c>
      <c r="N597" s="10">
        <v>5.1769999999999899E-2</v>
      </c>
      <c r="O597" s="10">
        <v>0.68740000000000001</v>
      </c>
      <c r="P597" s="10">
        <v>1.0409999999999899</v>
      </c>
      <c r="Q597" s="10">
        <v>5.1440000000000001</v>
      </c>
      <c r="R597" s="10">
        <v>83.5</v>
      </c>
      <c r="S597" s="10">
        <v>7.9590000000000008E-3</v>
      </c>
      <c r="T597" s="10">
        <v>3.13299999999999E-2</v>
      </c>
      <c r="U597" s="10">
        <v>4.25699999999999E-2</v>
      </c>
      <c r="V597" s="10">
        <v>1.6709999999999899E-2</v>
      </c>
      <c r="W597" s="10">
        <v>1.341E-2</v>
      </c>
      <c r="X597" s="10">
        <v>3.9329999999999903E-3</v>
      </c>
      <c r="Y597" s="10">
        <v>24.219999999999899</v>
      </c>
      <c r="Z597" s="10">
        <v>26.17</v>
      </c>
      <c r="AA597" s="10">
        <v>161.69999999999899</v>
      </c>
      <c r="AB597" s="10">
        <v>1750</v>
      </c>
      <c r="AC597" s="10">
        <v>0.12280000000000001</v>
      </c>
      <c r="AD597" s="10">
        <v>0.2311</v>
      </c>
      <c r="AE597" s="10">
        <v>0.31580000000000003</v>
      </c>
      <c r="AF597" s="10">
        <v>0.14449999999999899</v>
      </c>
      <c r="AG597" s="10">
        <v>0.2238</v>
      </c>
      <c r="AH597">
        <v>7.127E-2</v>
      </c>
    </row>
    <row r="598" spans="3:34">
      <c r="C598" s="11" t="s">
        <v>342</v>
      </c>
      <c r="D598" s="10" t="s">
        <v>0</v>
      </c>
      <c r="E598" s="10">
        <v>13.71</v>
      </c>
      <c r="F598" s="10">
        <v>26.67</v>
      </c>
      <c r="G598" s="10">
        <v>158.9</v>
      </c>
      <c r="H598" s="10">
        <v>1685</v>
      </c>
      <c r="I598" s="10">
        <v>0.11409999999999899</v>
      </c>
      <c r="J598" s="10">
        <v>0.2084</v>
      </c>
      <c r="K598" s="10">
        <v>0.3523</v>
      </c>
      <c r="L598" s="10">
        <v>0.16200000000000001</v>
      </c>
      <c r="M598" s="10">
        <v>0.22</v>
      </c>
      <c r="N598" s="10">
        <v>6.2289999999999901E-2</v>
      </c>
      <c r="O598" s="10">
        <v>0.55389999999999895</v>
      </c>
      <c r="P598" s="10">
        <v>1.56</v>
      </c>
      <c r="Q598" s="10">
        <v>4.66699999999999</v>
      </c>
      <c r="R598" s="10">
        <v>83.159999999999897</v>
      </c>
      <c r="S598" s="10">
        <v>9.3270000000000002E-3</v>
      </c>
      <c r="T598" s="10">
        <v>5.1209999999999901E-2</v>
      </c>
      <c r="U598" s="10">
        <v>8.9580000000000007E-2</v>
      </c>
      <c r="V598" s="10">
        <v>2.4649999999999901E-2</v>
      </c>
      <c r="W598" s="10">
        <v>2.1749999999999901E-2</v>
      </c>
      <c r="X598" s="10">
        <v>5.195E-3</v>
      </c>
      <c r="Y598" s="10">
        <v>25.12</v>
      </c>
      <c r="Z598" s="10">
        <v>32.68</v>
      </c>
      <c r="AA598" s="10">
        <v>177</v>
      </c>
      <c r="AB598" s="10">
        <v>1986</v>
      </c>
      <c r="AC598" s="10">
        <v>0.15359999999999899</v>
      </c>
      <c r="AD598" s="10">
        <v>0.41670000000000001</v>
      </c>
      <c r="AE598" s="10">
        <v>0.78920000000000001</v>
      </c>
      <c r="AF598" s="10">
        <v>0.27329999999999899</v>
      </c>
      <c r="AG598" s="10">
        <v>0.31979999999999897</v>
      </c>
      <c r="AH598">
        <v>8.7620000000000003E-2</v>
      </c>
    </row>
    <row r="599" spans="3:34">
      <c r="C599" s="11" t="s">
        <v>445</v>
      </c>
      <c r="D599" s="10" t="s">
        <v>1</v>
      </c>
      <c r="E599" s="10">
        <v>13.71</v>
      </c>
      <c r="F599" s="10">
        <v>24.489999999999899</v>
      </c>
      <c r="G599" s="10">
        <v>74.23</v>
      </c>
      <c r="H599" s="10">
        <v>417.19999999999902</v>
      </c>
      <c r="I599" s="10">
        <v>7.4740000000000001E-2</v>
      </c>
      <c r="J599" s="10">
        <v>5.688E-2</v>
      </c>
      <c r="K599" s="10">
        <v>1.9740000000000001E-2</v>
      </c>
      <c r="L599" s="10">
        <v>1.31299999999999E-2</v>
      </c>
      <c r="M599" s="10">
        <v>0.19350000000000001</v>
      </c>
      <c r="N599" s="10">
        <v>5.8779999999999902E-2</v>
      </c>
      <c r="O599" s="10">
        <v>0.25119999999999898</v>
      </c>
      <c r="P599" s="10">
        <v>1.786</v>
      </c>
      <c r="Q599" s="10">
        <v>1.9610000000000001</v>
      </c>
      <c r="R599" s="10">
        <v>18.21</v>
      </c>
      <c r="S599" s="10">
        <v>6.1219999999999903E-3</v>
      </c>
      <c r="T599" s="10">
        <v>2.3369999999999901E-2</v>
      </c>
      <c r="U599" s="10">
        <v>1.5959999999999901E-2</v>
      </c>
      <c r="V599" s="10">
        <v>6.9979999999999903E-3</v>
      </c>
      <c r="W599" s="10">
        <v>3.1940000000000003E-2</v>
      </c>
      <c r="X599" s="10">
        <v>2.2109999999999899E-3</v>
      </c>
      <c r="Y599" s="10">
        <v>12.44</v>
      </c>
      <c r="Z599" s="10">
        <v>31.62</v>
      </c>
      <c r="AA599" s="10">
        <v>81.39</v>
      </c>
      <c r="AB599" s="10">
        <v>476.5</v>
      </c>
      <c r="AC599" s="10">
        <v>9.5449999999999896E-2</v>
      </c>
      <c r="AD599" s="10">
        <v>0.1361</v>
      </c>
      <c r="AE599" s="10">
        <v>7.2389999999999899E-2</v>
      </c>
      <c r="AF599" s="10">
        <v>4.8149999999999901E-2</v>
      </c>
      <c r="AG599" s="10">
        <v>0.32440000000000002</v>
      </c>
      <c r="AH599">
        <v>6.7449999999999899E-2</v>
      </c>
    </row>
    <row r="600" spans="3:34">
      <c r="C600" s="11" t="s">
        <v>683</v>
      </c>
      <c r="D600" s="10" t="s">
        <v>1</v>
      </c>
      <c r="E600" s="10">
        <v>13.71</v>
      </c>
      <c r="F600" s="10">
        <v>28.059999999999899</v>
      </c>
      <c r="G600" s="10">
        <v>84.879999999999896</v>
      </c>
      <c r="H600" s="10">
        <v>538.39999999999895</v>
      </c>
      <c r="I600" s="10">
        <v>8.6709999999999898E-2</v>
      </c>
      <c r="J600" s="10">
        <v>6.8769999999999901E-2</v>
      </c>
      <c r="K600" s="10">
        <v>2.9870000000000001E-2</v>
      </c>
      <c r="L600" s="10">
        <v>3.2750000000000001E-2</v>
      </c>
      <c r="M600" s="10">
        <v>0.1628</v>
      </c>
      <c r="N600" s="10">
        <v>5.781E-2</v>
      </c>
      <c r="O600" s="10">
        <v>0.2351</v>
      </c>
      <c r="P600" s="10">
        <v>1.597</v>
      </c>
      <c r="Q600" s="10">
        <v>1.5389999999999899</v>
      </c>
      <c r="R600" s="10">
        <v>17.850000000000001</v>
      </c>
      <c r="S600" s="10">
        <v>4.973E-3</v>
      </c>
      <c r="T600" s="10">
        <v>1.372E-2</v>
      </c>
      <c r="U600" s="10">
        <v>1.498E-2</v>
      </c>
      <c r="V600" s="10">
        <v>9.1170000000000001E-3</v>
      </c>
      <c r="W600" s="10">
        <v>1.7239999999999901E-2</v>
      </c>
      <c r="X600" s="10">
        <v>1.343E-3</v>
      </c>
      <c r="Y600" s="10">
        <v>14.3699999999999</v>
      </c>
      <c r="Z600" s="10">
        <v>37.17</v>
      </c>
      <c r="AA600" s="10">
        <v>92.48</v>
      </c>
      <c r="AB600" s="10">
        <v>629.6</v>
      </c>
      <c r="AC600" s="10">
        <v>0.1072</v>
      </c>
      <c r="AD600" s="10">
        <v>0.1381</v>
      </c>
      <c r="AE600" s="10">
        <v>0.1062</v>
      </c>
      <c r="AF600" s="10">
        <v>7.9579999999999901E-2</v>
      </c>
      <c r="AG600" s="10">
        <v>0.24729999999999899</v>
      </c>
      <c r="AH600">
        <v>6.4430000000000001E-2</v>
      </c>
    </row>
    <row r="601" spans="3:34">
      <c r="C601" s="11" t="s">
        <v>435</v>
      </c>
      <c r="D601" s="10" t="s">
        <v>1</v>
      </c>
      <c r="E601" s="10">
        <v>13.71</v>
      </c>
      <c r="F601" s="10">
        <v>13.27</v>
      </c>
      <c r="G601" s="10">
        <v>88.06</v>
      </c>
      <c r="H601" s="10">
        <v>582.70000000000005</v>
      </c>
      <c r="I601" s="10">
        <v>9.1980000000000006E-2</v>
      </c>
      <c r="J601" s="10">
        <v>6.2210000000000001E-2</v>
      </c>
      <c r="K601" s="10">
        <v>1.0630000000000001E-2</v>
      </c>
      <c r="L601" s="10">
        <v>1.917E-2</v>
      </c>
      <c r="M601" s="10">
        <v>0.15920000000000001</v>
      </c>
      <c r="N601" s="10">
        <v>5.9119999999999902E-2</v>
      </c>
      <c r="O601" s="10">
        <v>0.21909999999999899</v>
      </c>
      <c r="P601" s="10">
        <v>0.6946</v>
      </c>
      <c r="Q601" s="10">
        <v>1.4790000000000001</v>
      </c>
      <c r="R601" s="10">
        <v>17.739999999999899</v>
      </c>
      <c r="S601" s="10">
        <v>4.3480000000000003E-3</v>
      </c>
      <c r="T601" s="10">
        <v>8.1530000000000005E-3</v>
      </c>
      <c r="U601" s="10">
        <v>4.2719999999999902E-3</v>
      </c>
      <c r="V601" s="10">
        <v>6.829E-3</v>
      </c>
      <c r="W601" s="10">
        <v>2.154E-2</v>
      </c>
      <c r="X601" s="10">
        <v>1.802E-3</v>
      </c>
      <c r="Y601" s="10">
        <v>14.67</v>
      </c>
      <c r="Z601" s="10">
        <v>16.93</v>
      </c>
      <c r="AA601" s="10">
        <v>94.17</v>
      </c>
      <c r="AB601" s="10">
        <v>661.1</v>
      </c>
      <c r="AC601" s="10">
        <v>0.11700000000000001</v>
      </c>
      <c r="AD601" s="10">
        <v>0.1072</v>
      </c>
      <c r="AE601" s="10">
        <v>3.7319999999999902E-2</v>
      </c>
      <c r="AF601" s="10">
        <v>5.8020000000000002E-2</v>
      </c>
      <c r="AG601" s="10">
        <v>0.2823</v>
      </c>
      <c r="AH601">
        <v>6.794E-2</v>
      </c>
    </row>
    <row r="602" spans="3:34">
      <c r="C602" s="11" t="s">
        <v>563</v>
      </c>
      <c r="D602" s="10" t="s">
        <v>1</v>
      </c>
      <c r="E602" s="10">
        <v>13.71</v>
      </c>
      <c r="F602" s="10">
        <v>19.1299999999999</v>
      </c>
      <c r="G602" s="10">
        <v>89.459999999999894</v>
      </c>
      <c r="H602" s="10">
        <v>575.29999999999905</v>
      </c>
      <c r="I602" s="10">
        <v>9.0569999999999901E-2</v>
      </c>
      <c r="J602" s="10">
        <v>0.1147</v>
      </c>
      <c r="K602" s="10">
        <v>9.6570000000000003E-2</v>
      </c>
      <c r="L602" s="10">
        <v>4.8120000000000003E-2</v>
      </c>
      <c r="M602" s="10">
        <v>0.18479999999999899</v>
      </c>
      <c r="N602" s="10">
        <v>6.18099999999999E-2</v>
      </c>
      <c r="O602" s="10">
        <v>0.22439999999999899</v>
      </c>
      <c r="P602" s="10">
        <v>0.89500000000000002</v>
      </c>
      <c r="Q602" s="10">
        <v>1.804</v>
      </c>
      <c r="R602" s="10">
        <v>19.3599999999999</v>
      </c>
      <c r="S602" s="10">
        <v>3.98E-3</v>
      </c>
      <c r="T602" s="10">
        <v>2.809E-2</v>
      </c>
      <c r="U602" s="10">
        <v>3.669E-2</v>
      </c>
      <c r="V602" s="10">
        <v>1.274E-2</v>
      </c>
      <c r="W602" s="10">
        <v>1.5810000000000001E-2</v>
      </c>
      <c r="X602" s="10">
        <v>3.9560000000000003E-3</v>
      </c>
      <c r="Y602" s="10">
        <v>15.14</v>
      </c>
      <c r="Z602" s="10">
        <v>25.5</v>
      </c>
      <c r="AA602" s="10">
        <v>101.4</v>
      </c>
      <c r="AB602" s="10">
        <v>708.79999999999905</v>
      </c>
      <c r="AC602" s="10">
        <v>0.1147</v>
      </c>
      <c r="AD602" s="10">
        <v>0.31669999999999898</v>
      </c>
      <c r="AE602" s="10">
        <v>0.36599999999999899</v>
      </c>
      <c r="AF602" s="10">
        <v>0.14069999999999899</v>
      </c>
      <c r="AG602" s="10">
        <v>0.27439999999999898</v>
      </c>
      <c r="AH602">
        <v>8.8389999999999899E-2</v>
      </c>
    </row>
    <row r="603" spans="3:34">
      <c r="C603" s="11" t="s">
        <v>288</v>
      </c>
      <c r="D603" s="10" t="s">
        <v>1</v>
      </c>
      <c r="E603" s="10">
        <v>13.71</v>
      </c>
      <c r="F603" s="10">
        <v>15.18</v>
      </c>
      <c r="G603" s="10">
        <v>93.969999999999899</v>
      </c>
      <c r="H603" s="10">
        <v>640.1</v>
      </c>
      <c r="I603" s="10">
        <v>9.96999999999999E-2</v>
      </c>
      <c r="J603" s="10">
        <v>0.1021</v>
      </c>
      <c r="K603" s="10">
        <v>8.4870000000000001E-2</v>
      </c>
      <c r="L603" s="10">
        <v>5.5320000000000001E-2</v>
      </c>
      <c r="M603" s="10">
        <v>0.1724</v>
      </c>
      <c r="N603" s="10">
        <v>6.0810000000000003E-2</v>
      </c>
      <c r="O603" s="10">
        <v>0.24060000000000001</v>
      </c>
      <c r="P603" s="10">
        <v>0.73939999999999895</v>
      </c>
      <c r="Q603" s="10">
        <v>2.12</v>
      </c>
      <c r="R603" s="10">
        <v>21.1999999999999</v>
      </c>
      <c r="S603" s="10">
        <v>5.7060000000000001E-3</v>
      </c>
      <c r="T603" s="10">
        <v>2.2970000000000001E-2</v>
      </c>
      <c r="U603" s="10">
        <v>3.1140000000000001E-2</v>
      </c>
      <c r="V603" s="10">
        <v>1.4930000000000001E-2</v>
      </c>
      <c r="W603" s="10">
        <v>1.4540000000000001E-2</v>
      </c>
      <c r="X603" s="10">
        <v>2.5279999999999899E-3</v>
      </c>
      <c r="Y603" s="10">
        <v>15.85</v>
      </c>
      <c r="Z603" s="10">
        <v>19.850000000000001</v>
      </c>
      <c r="AA603" s="10">
        <v>108.599999999999</v>
      </c>
      <c r="AB603" s="10">
        <v>766.89999999999895</v>
      </c>
      <c r="AC603" s="10">
        <v>0.131599999999999</v>
      </c>
      <c r="AD603" s="10">
        <v>0.27350000000000002</v>
      </c>
      <c r="AE603" s="10">
        <v>0.31030000000000002</v>
      </c>
      <c r="AF603" s="10">
        <v>0.15989999999999899</v>
      </c>
      <c r="AG603" s="10">
        <v>0.26910000000000001</v>
      </c>
      <c r="AH603">
        <v>7.6829999999999898E-2</v>
      </c>
    </row>
    <row r="604" spans="3:34">
      <c r="C604" s="11" t="s">
        <v>545</v>
      </c>
      <c r="D604" s="10" t="s">
        <v>1</v>
      </c>
      <c r="E604" s="10">
        <v>13.71</v>
      </c>
      <c r="F604" s="10">
        <v>18.59</v>
      </c>
      <c r="G604" s="10">
        <v>70.39</v>
      </c>
      <c r="H604" s="10">
        <v>370</v>
      </c>
      <c r="I604" s="10">
        <v>0.1004</v>
      </c>
      <c r="J604" s="10">
        <v>7.46E-2</v>
      </c>
      <c r="K604" s="10">
        <v>4.9439999999999901E-2</v>
      </c>
      <c r="L604" s="10">
        <v>2.9319999999999902E-2</v>
      </c>
      <c r="M604" s="10">
        <v>0.14860000000000001</v>
      </c>
      <c r="N604" s="10">
        <v>6.615E-2</v>
      </c>
      <c r="O604" s="10">
        <v>0.37959999999999899</v>
      </c>
      <c r="P604" s="10">
        <v>1.7430000000000001</v>
      </c>
      <c r="Q604" s="10">
        <v>3.01799999999999</v>
      </c>
      <c r="R604" s="10">
        <v>25.78</v>
      </c>
      <c r="S604" s="10">
        <v>9.5189999999999893E-3</v>
      </c>
      <c r="T604" s="10">
        <v>2.1340000000000001E-2</v>
      </c>
      <c r="U604" s="10">
        <v>1.9900000000000001E-2</v>
      </c>
      <c r="V604" s="10">
        <v>1.155E-2</v>
      </c>
      <c r="W604" s="10">
        <v>2.0789999999999899E-2</v>
      </c>
      <c r="X604" s="10">
        <v>2.7009999999999899E-3</v>
      </c>
      <c r="Y604" s="10">
        <v>12.4</v>
      </c>
      <c r="Z604" s="10">
        <v>25.579999999999899</v>
      </c>
      <c r="AA604" s="10">
        <v>82.76</v>
      </c>
      <c r="AB604" s="10">
        <v>472.39999999999901</v>
      </c>
      <c r="AC604" s="10">
        <v>0.1363</v>
      </c>
      <c r="AD604" s="10">
        <v>0.16439999999999899</v>
      </c>
      <c r="AE604" s="10">
        <v>0.14119999999999899</v>
      </c>
      <c r="AF604" s="10">
        <v>7.8869999999999899E-2</v>
      </c>
      <c r="AG604" s="10">
        <v>0.225099999999999</v>
      </c>
      <c r="AH604">
        <v>7.732E-2</v>
      </c>
    </row>
    <row r="605" spans="3:34">
      <c r="C605" s="11" t="s">
        <v>449</v>
      </c>
      <c r="D605" s="10" t="s">
        <v>1</v>
      </c>
      <c r="E605" s="10">
        <v>13.71</v>
      </c>
      <c r="F605" s="10">
        <v>13.84</v>
      </c>
      <c r="G605" s="10">
        <v>82.709999999999894</v>
      </c>
      <c r="H605" s="10">
        <v>530.6</v>
      </c>
      <c r="I605" s="10">
        <v>8.35199999999999E-2</v>
      </c>
      <c r="J605" s="10">
        <v>3.7350000000000001E-2</v>
      </c>
      <c r="K605" s="10">
        <v>4.5589999999999901E-3</v>
      </c>
      <c r="L605" s="10">
        <v>8.829E-3</v>
      </c>
      <c r="M605" s="10">
        <v>0.14530000000000001</v>
      </c>
      <c r="N605" s="10">
        <v>5.518E-2</v>
      </c>
      <c r="O605" s="10">
        <v>0.39750000000000002</v>
      </c>
      <c r="P605" s="10">
        <v>0.82850000000000001</v>
      </c>
      <c r="Q605" s="10">
        <v>2.5670000000000002</v>
      </c>
      <c r="R605" s="10">
        <v>33.009999999999899</v>
      </c>
      <c r="S605" s="10">
        <v>4.1479999999999902E-3</v>
      </c>
      <c r="T605" s="10">
        <v>4.7109999999999904E-3</v>
      </c>
      <c r="U605" s="10">
        <v>2.8310000000000002E-3</v>
      </c>
      <c r="V605" s="10">
        <v>4.8209999999999902E-3</v>
      </c>
      <c r="W605" s="10">
        <v>1.422E-2</v>
      </c>
      <c r="X605" s="10">
        <v>2.2729999999999899E-3</v>
      </c>
      <c r="Y605" s="10">
        <v>14.73</v>
      </c>
      <c r="Z605" s="10">
        <v>17.399999999999899</v>
      </c>
      <c r="AA605" s="10">
        <v>93.959999999999894</v>
      </c>
      <c r="AB605" s="10">
        <v>672.39999999999895</v>
      </c>
      <c r="AC605" s="10">
        <v>0.1016</v>
      </c>
      <c r="AD605" s="10">
        <v>5.8470000000000001E-2</v>
      </c>
      <c r="AE605" s="10">
        <v>1.8239999999999899E-2</v>
      </c>
      <c r="AF605" s="10">
        <v>3.53199999999999E-2</v>
      </c>
      <c r="AG605" s="10">
        <v>0.2107</v>
      </c>
      <c r="AH605">
        <v>6.57999999999999E-2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AJ18"/>
    <mergeCell ref="C19:E19"/>
    <mergeCell ref="C20:E20"/>
    <mergeCell ref="F19:AJ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2'!$B$10:$B$10" display="Inputs" xr:uid="{47D3C09C-1A38-4A9E-83BF-94F94C3EABFB}"/>
    <hyperlink ref="D4" location="'STDPartition2'!$B$28:$B$28" display="Partition Summary" xr:uid="{FB0A99F8-0B20-4B1D-B304-D9B6F7CA918A}"/>
    <hyperlink ref="F4" location="'STDPartition2'!$B$34:$B$34" display="Partitioned Data" xr:uid="{50480B74-6D7D-4499-8EC8-62463C93578C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F011D-96E8-48B8-B3A2-97F4804C30BD}">
  <dimension ref="B1:CV65"/>
  <sheetViews>
    <sheetView showGridLines="0" topLeftCell="A45" workbookViewId="0"/>
  </sheetViews>
  <sheetFormatPr defaultRowHeight="14.4"/>
  <cols>
    <col min="14" max="14" width="29.109375" bestFit="1" customWidth="1"/>
  </cols>
  <sheetData>
    <row r="1" spans="2:100" ht="18">
      <c r="B1" s="8" t="s">
        <v>1178</v>
      </c>
      <c r="N1" t="s">
        <v>2447</v>
      </c>
      <c r="CV1" s="15" t="s">
        <v>2764</v>
      </c>
    </row>
    <row r="3" spans="2:100" ht="15.6">
      <c r="B3" s="17" t="s">
        <v>80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103</v>
      </c>
      <c r="O3" s="18"/>
      <c r="P3" s="18"/>
      <c r="Q3" s="19"/>
    </row>
    <row r="4" spans="2:100">
      <c r="B4" s="25" t="s">
        <v>81</v>
      </c>
      <c r="C4" s="26"/>
      <c r="D4" s="25" t="s">
        <v>729</v>
      </c>
      <c r="E4" s="26"/>
      <c r="F4" s="25" t="s">
        <v>1120</v>
      </c>
      <c r="G4" s="26"/>
      <c r="H4" s="25" t="s">
        <v>1121</v>
      </c>
      <c r="I4" s="26"/>
      <c r="J4" s="25" t="s">
        <v>1122</v>
      </c>
      <c r="K4" s="2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00">
      <c r="N5" s="12">
        <v>810</v>
      </c>
      <c r="O5" s="12">
        <v>81</v>
      </c>
      <c r="P5" s="12">
        <v>17</v>
      </c>
      <c r="Q5" s="12">
        <v>908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  <c r="J12" s="22"/>
      <c r="K12" s="22"/>
    </row>
    <row r="13" spans="2:100">
      <c r="C13" s="20" t="s">
        <v>84</v>
      </c>
      <c r="D13" s="20"/>
      <c r="E13" s="20"/>
      <c r="F13" s="21"/>
      <c r="G13" s="23" t="s">
        <v>98</v>
      </c>
      <c r="H13" s="23"/>
      <c r="I13" s="23"/>
      <c r="J13" s="23"/>
      <c r="K13" s="23"/>
    </row>
    <row r="14" spans="2:100">
      <c r="C14" s="20" t="s">
        <v>85</v>
      </c>
      <c r="D14" s="20"/>
      <c r="E14" s="20"/>
      <c r="F14" s="21"/>
      <c r="G14" s="23" t="s">
        <v>2761</v>
      </c>
      <c r="H14" s="23"/>
      <c r="I14" s="23"/>
      <c r="J14" s="23"/>
      <c r="K14" s="23"/>
    </row>
    <row r="15" spans="2:100">
      <c r="C15" s="20" t="s">
        <v>1179</v>
      </c>
      <c r="D15" s="20"/>
      <c r="E15" s="20"/>
      <c r="F15" s="21"/>
      <c r="G15" s="23" t="s">
        <v>2762</v>
      </c>
      <c r="H15" s="23"/>
      <c r="I15" s="23"/>
      <c r="J15" s="23"/>
      <c r="K15" s="23"/>
    </row>
    <row r="16" spans="2:100">
      <c r="C16" s="20" t="s">
        <v>1180</v>
      </c>
      <c r="D16" s="20"/>
      <c r="E16" s="20"/>
      <c r="F16" s="21"/>
      <c r="G16" s="23">
        <v>512</v>
      </c>
      <c r="H16" s="23"/>
      <c r="I16" s="23"/>
      <c r="J16" s="23"/>
      <c r="K16" s="23"/>
    </row>
    <row r="17" spans="3:34">
      <c r="C17" s="20" t="s">
        <v>1181</v>
      </c>
      <c r="D17" s="20"/>
      <c r="E17" s="20"/>
      <c r="F17" s="21"/>
      <c r="G17" s="23" t="s">
        <v>2763</v>
      </c>
      <c r="H17" s="23"/>
      <c r="I17" s="23"/>
      <c r="J17" s="23"/>
      <c r="K17" s="23"/>
    </row>
    <row r="18" spans="3:34">
      <c r="C18" s="20" t="s">
        <v>1182</v>
      </c>
      <c r="D18" s="20"/>
      <c r="E18" s="20"/>
      <c r="F18" s="21"/>
      <c r="G18" s="23">
        <v>57</v>
      </c>
      <c r="H18" s="23"/>
      <c r="I18" s="23"/>
      <c r="J18" s="23"/>
      <c r="K18" s="23"/>
    </row>
    <row r="20" spans="3:34" ht="15.6">
      <c r="C20" s="22" t="s">
        <v>88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3:34">
      <c r="C21" s="20" t="s">
        <v>1183</v>
      </c>
      <c r="D21" s="21"/>
      <c r="E21" s="23">
        <v>30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3:34">
      <c r="C22" s="20" t="s">
        <v>1184</v>
      </c>
      <c r="D22" s="21"/>
      <c r="E22" s="12" t="s">
        <v>110</v>
      </c>
      <c r="F22" s="12" t="s">
        <v>111</v>
      </c>
      <c r="G22" s="12" t="s">
        <v>112</v>
      </c>
      <c r="H22" s="12" t="s">
        <v>113</v>
      </c>
      <c r="I22" s="12" t="s">
        <v>114</v>
      </c>
      <c r="J22" s="12" t="s">
        <v>115</v>
      </c>
      <c r="K22" s="12" t="s">
        <v>116</v>
      </c>
      <c r="L22" s="12" t="s">
        <v>117</v>
      </c>
      <c r="M22" s="12" t="s">
        <v>118</v>
      </c>
      <c r="N22" s="12" t="s">
        <v>119</v>
      </c>
      <c r="O22" s="12" t="s">
        <v>120</v>
      </c>
      <c r="P22" s="12" t="s">
        <v>121</v>
      </c>
      <c r="Q22" s="12" t="s">
        <v>122</v>
      </c>
      <c r="R22" s="12" t="s">
        <v>123</v>
      </c>
      <c r="S22" s="12" t="s">
        <v>124</v>
      </c>
      <c r="T22" s="12" t="s">
        <v>125</v>
      </c>
      <c r="U22" s="12" t="s">
        <v>126</v>
      </c>
      <c r="V22" s="12" t="s">
        <v>127</v>
      </c>
      <c r="W22" s="12" t="s">
        <v>128</v>
      </c>
      <c r="X22" s="12" t="s">
        <v>129</v>
      </c>
      <c r="Y22" s="12" t="s">
        <v>130</v>
      </c>
      <c r="Z22" s="12" t="s">
        <v>131</v>
      </c>
      <c r="AA22" s="12" t="s">
        <v>132</v>
      </c>
      <c r="AB22" s="12" t="s">
        <v>133</v>
      </c>
      <c r="AC22" s="12" t="s">
        <v>134</v>
      </c>
      <c r="AD22" s="12" t="s">
        <v>135</v>
      </c>
      <c r="AE22" s="12" t="s">
        <v>136</v>
      </c>
      <c r="AF22" s="12" t="s">
        <v>137</v>
      </c>
      <c r="AG22" s="12" t="s">
        <v>138</v>
      </c>
      <c r="AH22" s="12" t="s">
        <v>139</v>
      </c>
    </row>
    <row r="23" spans="3:34">
      <c r="C23" s="20" t="s">
        <v>1185</v>
      </c>
      <c r="D23" s="2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3:34">
      <c r="C24" s="20" t="s">
        <v>1186</v>
      </c>
      <c r="D24" s="21"/>
      <c r="E24" s="24" t="s">
        <v>718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6" spans="3:34" ht="15.6">
      <c r="C26" s="22" t="s">
        <v>1187</v>
      </c>
      <c r="D26" s="22"/>
      <c r="E26" s="22"/>
      <c r="F26" s="22"/>
      <c r="G26" s="22"/>
      <c r="H26" s="22"/>
      <c r="I26" s="22"/>
    </row>
    <row r="27" spans="3:34">
      <c r="C27" s="20" t="s">
        <v>1188</v>
      </c>
      <c r="D27" s="20"/>
      <c r="E27" s="21"/>
      <c r="F27" s="23" t="b">
        <v>1</v>
      </c>
      <c r="G27" s="23"/>
      <c r="H27" s="23"/>
      <c r="I27" s="23"/>
    </row>
    <row r="28" spans="3:34">
      <c r="C28" s="20" t="s">
        <v>1189</v>
      </c>
      <c r="D28" s="20"/>
      <c r="E28" s="21"/>
      <c r="F28" s="23" t="s">
        <v>1193</v>
      </c>
      <c r="G28" s="23"/>
      <c r="H28" s="23"/>
      <c r="I28" s="23"/>
    </row>
    <row r="30" spans="3:34" ht="15.6">
      <c r="C30" s="17" t="s">
        <v>1190</v>
      </c>
      <c r="D30" s="18"/>
      <c r="E30" s="18"/>
      <c r="F30" s="18"/>
      <c r="G30" s="18"/>
      <c r="H30" s="18"/>
      <c r="I30" s="19"/>
    </row>
    <row r="31" spans="3:34">
      <c r="C31" s="21" t="s">
        <v>1191</v>
      </c>
      <c r="D31" s="30"/>
      <c r="E31" s="31"/>
      <c r="F31" s="32">
        <v>12345</v>
      </c>
      <c r="G31" s="33"/>
      <c r="H31" s="33"/>
      <c r="I31" s="34"/>
    </row>
    <row r="32" spans="3:34">
      <c r="C32" s="21" t="s">
        <v>1192</v>
      </c>
      <c r="D32" s="30"/>
      <c r="E32" s="31"/>
      <c r="F32" s="32">
        <v>2</v>
      </c>
      <c r="G32" s="33"/>
      <c r="H32" s="33"/>
      <c r="I32" s="34"/>
    </row>
    <row r="33" spans="3:9">
      <c r="C33" s="21" t="s">
        <v>1198</v>
      </c>
      <c r="D33" s="30"/>
      <c r="E33" s="31"/>
      <c r="F33" s="32">
        <v>7</v>
      </c>
      <c r="G33" s="33"/>
      <c r="H33" s="33"/>
      <c r="I33" s="34"/>
    </row>
    <row r="34" spans="3:9">
      <c r="C34" s="21" t="s">
        <v>2765</v>
      </c>
      <c r="D34" s="30"/>
      <c r="E34" s="31"/>
      <c r="F34" s="32">
        <v>3</v>
      </c>
      <c r="G34" s="33"/>
      <c r="H34" s="33"/>
      <c r="I34" s="34"/>
    </row>
    <row r="35" spans="3:9">
      <c r="C35" s="21" t="s">
        <v>1199</v>
      </c>
      <c r="D35" s="30"/>
      <c r="E35" s="31"/>
      <c r="F35" s="32">
        <v>0.1</v>
      </c>
      <c r="G35" s="33"/>
      <c r="H35" s="33"/>
      <c r="I35" s="34"/>
    </row>
    <row r="36" spans="3:9">
      <c r="C36" s="21" t="s">
        <v>1200</v>
      </c>
      <c r="D36" s="30"/>
      <c r="E36" s="31"/>
      <c r="F36" s="32">
        <v>0.6</v>
      </c>
      <c r="G36" s="33"/>
      <c r="H36" s="33"/>
      <c r="I36" s="34"/>
    </row>
    <row r="37" spans="3:9">
      <c r="C37" s="21" t="s">
        <v>1201</v>
      </c>
      <c r="D37" s="30"/>
      <c r="E37" s="31"/>
      <c r="F37" s="32">
        <v>0.01</v>
      </c>
      <c r="G37" s="33"/>
      <c r="H37" s="33"/>
      <c r="I37" s="34"/>
    </row>
    <row r="38" spans="3:9">
      <c r="C38" s="21" t="s">
        <v>1202</v>
      </c>
      <c r="D38" s="30"/>
      <c r="E38" s="31"/>
      <c r="F38" s="32">
        <v>0</v>
      </c>
      <c r="G38" s="33"/>
      <c r="H38" s="33"/>
      <c r="I38" s="34"/>
    </row>
    <row r="39" spans="3:9">
      <c r="C39" s="21" t="s">
        <v>1203</v>
      </c>
      <c r="D39" s="30"/>
      <c r="E39" s="31"/>
      <c r="F39" s="32" t="s">
        <v>1224</v>
      </c>
      <c r="G39" s="33"/>
      <c r="H39" s="33"/>
      <c r="I39" s="34"/>
    </row>
    <row r="40" spans="3:9">
      <c r="C40" s="21" t="s">
        <v>1204</v>
      </c>
      <c r="D40" s="30"/>
      <c r="E40" s="31"/>
      <c r="F40" s="32" t="s">
        <v>1225</v>
      </c>
      <c r="G40" s="33"/>
      <c r="H40" s="33"/>
      <c r="I40" s="34"/>
    </row>
    <row r="41" spans="3:9">
      <c r="C41" s="21" t="s">
        <v>1205</v>
      </c>
      <c r="D41" s="30"/>
      <c r="E41" s="31"/>
      <c r="F41" s="32" t="s">
        <v>1225</v>
      </c>
      <c r="G41" s="33"/>
      <c r="H41" s="33"/>
      <c r="I41" s="34"/>
    </row>
    <row r="42" spans="3:9">
      <c r="C42" s="21" t="s">
        <v>1206</v>
      </c>
      <c r="D42" s="30"/>
      <c r="E42" s="31"/>
      <c r="F42" s="32" t="s">
        <v>1226</v>
      </c>
      <c r="G42" s="33"/>
      <c r="H42" s="33"/>
      <c r="I42" s="34"/>
    </row>
    <row r="43" spans="3:9">
      <c r="C43" s="21" t="s">
        <v>1207</v>
      </c>
      <c r="D43" s="30"/>
      <c r="E43" s="31"/>
      <c r="F43" s="32">
        <v>0.01</v>
      </c>
      <c r="G43" s="33"/>
      <c r="H43" s="33"/>
      <c r="I43" s="34"/>
    </row>
    <row r="44" spans="3:9">
      <c r="C44" s="21" t="s">
        <v>1208</v>
      </c>
      <c r="D44" s="30"/>
      <c r="E44" s="31"/>
      <c r="F44" s="32" t="s">
        <v>1227</v>
      </c>
      <c r="G44" s="33"/>
      <c r="H44" s="33"/>
      <c r="I44" s="34"/>
    </row>
    <row r="45" spans="3:9">
      <c r="C45" s="21" t="s">
        <v>1209</v>
      </c>
      <c r="D45" s="30"/>
      <c r="E45" s="31"/>
      <c r="F45" s="32">
        <v>30</v>
      </c>
      <c r="G45" s="33"/>
      <c r="H45" s="33"/>
      <c r="I45" s="34"/>
    </row>
    <row r="46" spans="3:9">
      <c r="C46" s="21" t="s">
        <v>1210</v>
      </c>
      <c r="D46" s="30"/>
      <c r="E46" s="31"/>
      <c r="F46" s="32">
        <v>5</v>
      </c>
      <c r="G46" s="33"/>
      <c r="H46" s="33"/>
      <c r="I46" s="34"/>
    </row>
    <row r="47" spans="3:9">
      <c r="C47" s="21" t="s">
        <v>1211</v>
      </c>
      <c r="D47" s="30"/>
      <c r="E47" s="31"/>
      <c r="F47" s="32">
        <v>3600</v>
      </c>
      <c r="G47" s="33"/>
      <c r="H47" s="33"/>
      <c r="I47" s="34"/>
    </row>
    <row r="48" spans="3:9">
      <c r="C48" s="21" t="s">
        <v>1212</v>
      </c>
      <c r="D48" s="30"/>
      <c r="E48" s="31"/>
      <c r="F48" s="32">
        <v>1E-4</v>
      </c>
      <c r="G48" s="33"/>
      <c r="H48" s="33"/>
      <c r="I48" s="34"/>
    </row>
    <row r="49" spans="3:9">
      <c r="C49" s="21" t="s">
        <v>1213</v>
      </c>
      <c r="D49" s="30"/>
      <c r="E49" s="31"/>
      <c r="F49" s="32">
        <v>1E-3</v>
      </c>
      <c r="G49" s="33"/>
      <c r="H49" s="33"/>
      <c r="I49" s="34"/>
    </row>
    <row r="51" spans="3:9" ht="15.6">
      <c r="C51" s="17" t="s">
        <v>1214</v>
      </c>
      <c r="D51" s="18"/>
      <c r="E51" s="18"/>
      <c r="F51" s="18"/>
      <c r="G51" s="18"/>
      <c r="H51" s="18"/>
      <c r="I51" s="19"/>
    </row>
    <row r="52" spans="3:9">
      <c r="C52" s="21" t="s">
        <v>1215</v>
      </c>
      <c r="D52" s="30"/>
      <c r="E52" s="31"/>
      <c r="F52" s="32" t="s">
        <v>1228</v>
      </c>
      <c r="G52" s="33"/>
      <c r="H52" s="33"/>
      <c r="I52" s="34"/>
    </row>
    <row r="54" spans="3:9" ht="15.6">
      <c r="C54" s="17" t="s">
        <v>1216</v>
      </c>
      <c r="D54" s="18"/>
      <c r="E54" s="18"/>
      <c r="F54" s="18"/>
      <c r="G54" s="18"/>
      <c r="H54" s="18"/>
      <c r="I54" s="19"/>
    </row>
    <row r="55" spans="3:9">
      <c r="C55" s="21" t="s">
        <v>1217</v>
      </c>
      <c r="D55" s="30"/>
      <c r="E55" s="31"/>
      <c r="F55" s="32">
        <v>2</v>
      </c>
      <c r="G55" s="33"/>
      <c r="H55" s="33"/>
      <c r="I55" s="34"/>
    </row>
    <row r="56" spans="3:9">
      <c r="C56" s="21" t="s">
        <v>1136</v>
      </c>
      <c r="D56" s="30"/>
      <c r="E56" s="31"/>
      <c r="F56" s="32" t="s">
        <v>0</v>
      </c>
      <c r="G56" s="33"/>
      <c r="H56" s="33"/>
      <c r="I56" s="34"/>
    </row>
    <row r="57" spans="3:9">
      <c r="C57" s="21" t="s">
        <v>1137</v>
      </c>
      <c r="D57" s="30"/>
      <c r="E57" s="31"/>
      <c r="F57" s="32">
        <v>0.5</v>
      </c>
      <c r="G57" s="33"/>
      <c r="H57" s="33"/>
      <c r="I57" s="34"/>
    </row>
    <row r="59" spans="3:9" ht="15.6">
      <c r="C59" s="17" t="s">
        <v>1218</v>
      </c>
      <c r="D59" s="18"/>
      <c r="E59" s="18"/>
      <c r="F59" s="18"/>
      <c r="G59" s="18"/>
      <c r="H59" s="18"/>
      <c r="I59" s="19"/>
    </row>
    <row r="60" spans="3:9">
      <c r="C60" s="21" t="s">
        <v>1219</v>
      </c>
      <c r="D60" s="30"/>
      <c r="E60" s="31"/>
      <c r="F60" s="32" t="b">
        <v>0</v>
      </c>
      <c r="G60" s="33"/>
      <c r="H60" s="33"/>
      <c r="I60" s="34"/>
    </row>
    <row r="61" spans="3:9">
      <c r="C61" s="21" t="s">
        <v>1220</v>
      </c>
      <c r="D61" s="30"/>
      <c r="E61" s="31"/>
      <c r="F61" s="32" t="b">
        <v>0</v>
      </c>
      <c r="G61" s="33"/>
      <c r="H61" s="33"/>
      <c r="I61" s="34"/>
    </row>
    <row r="63" spans="3:9" ht="15.6">
      <c r="C63" s="17" t="s">
        <v>1221</v>
      </c>
      <c r="D63" s="18"/>
      <c r="E63" s="18"/>
      <c r="F63" s="18"/>
      <c r="G63" s="19"/>
    </row>
    <row r="64" spans="3:9">
      <c r="C64" s="27" t="s">
        <v>1222</v>
      </c>
      <c r="D64" s="28"/>
      <c r="E64" s="28"/>
      <c r="F64" s="28"/>
      <c r="G64" s="29"/>
    </row>
    <row r="65" spans="3:7">
      <c r="C65" s="27" t="s">
        <v>1223</v>
      </c>
      <c r="D65" s="28"/>
      <c r="E65" s="28"/>
      <c r="F65" s="28"/>
      <c r="G65" s="29"/>
    </row>
  </sheetData>
  <mergeCells count="89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30:I30"/>
    <mergeCell ref="C20:AH20"/>
    <mergeCell ref="C21:D21"/>
    <mergeCell ref="C22:D22"/>
    <mergeCell ref="C23:D23"/>
    <mergeCell ref="C24:D24"/>
    <mergeCell ref="E21:AH21"/>
    <mergeCell ref="E24:AH24"/>
    <mergeCell ref="C26:I26"/>
    <mergeCell ref="C27:E27"/>
    <mergeCell ref="C28:E28"/>
    <mergeCell ref="F27:I27"/>
    <mergeCell ref="F28:I28"/>
    <mergeCell ref="C31:E31"/>
    <mergeCell ref="C32:E32"/>
    <mergeCell ref="C33:E33"/>
    <mergeCell ref="C34:E34"/>
    <mergeCell ref="C35:E35"/>
    <mergeCell ref="F36:I36"/>
    <mergeCell ref="F37:I37"/>
    <mergeCell ref="F38:I38"/>
    <mergeCell ref="F39:I39"/>
    <mergeCell ref="C43:E43"/>
    <mergeCell ref="C37:E37"/>
    <mergeCell ref="C38:E38"/>
    <mergeCell ref="C39:E39"/>
    <mergeCell ref="C40:E40"/>
    <mergeCell ref="C41:E41"/>
    <mergeCell ref="C42:E42"/>
    <mergeCell ref="C36:E36"/>
    <mergeCell ref="F31:I31"/>
    <mergeCell ref="F32:I32"/>
    <mergeCell ref="F33:I33"/>
    <mergeCell ref="F34:I34"/>
    <mergeCell ref="F35:I35"/>
    <mergeCell ref="C52:E52"/>
    <mergeCell ref="F52:I52"/>
    <mergeCell ref="F40:I40"/>
    <mergeCell ref="F41:I41"/>
    <mergeCell ref="F42:I42"/>
    <mergeCell ref="F43:I43"/>
    <mergeCell ref="F44:I44"/>
    <mergeCell ref="F45:I45"/>
    <mergeCell ref="C49:E49"/>
    <mergeCell ref="C44:E44"/>
    <mergeCell ref="C45:E45"/>
    <mergeCell ref="C46:E46"/>
    <mergeCell ref="C47:E47"/>
    <mergeCell ref="C48:E48"/>
    <mergeCell ref="F46:I46"/>
    <mergeCell ref="F47:I47"/>
    <mergeCell ref="F48:I48"/>
    <mergeCell ref="F49:I49"/>
    <mergeCell ref="C51:I51"/>
    <mergeCell ref="C55:E55"/>
    <mergeCell ref="C56:E56"/>
    <mergeCell ref="C57:E57"/>
    <mergeCell ref="F55:I55"/>
    <mergeCell ref="F56:I56"/>
    <mergeCell ref="F57:I57"/>
    <mergeCell ref="J4:K4"/>
    <mergeCell ref="B3:K3"/>
    <mergeCell ref="N3:Q3"/>
    <mergeCell ref="C64:G64"/>
    <mergeCell ref="C65:G65"/>
    <mergeCell ref="B4:C4"/>
    <mergeCell ref="D4:E4"/>
    <mergeCell ref="F4:G4"/>
    <mergeCell ref="H4:I4"/>
    <mergeCell ref="C59:I59"/>
    <mergeCell ref="C60:E60"/>
    <mergeCell ref="C61:E61"/>
    <mergeCell ref="F60:I60"/>
    <mergeCell ref="F61:I61"/>
    <mergeCell ref="C63:G63"/>
    <mergeCell ref="C54:I54"/>
  </mergeCells>
  <hyperlinks>
    <hyperlink ref="B4" location="'NNC_Output4'!$B$10:$B$10" display="Inputs" xr:uid="{97145EA1-3F27-481C-AF7C-9B9251EDD942}"/>
    <hyperlink ref="D4" location="'NNC_Stored4'!$B$10:$B$10" display="PMML Model" xr:uid="{6973BEC0-D9BF-4734-A263-92475ECD5774}"/>
    <hyperlink ref="F4" location="'NNC_TrainLog4'!$B$10:$B$10" display="Training Log" xr:uid="{EBFC0C33-E71B-4595-BEFE-390A42F53B4E}"/>
    <hyperlink ref="H4" location="'NNC_TrainingScore4'!$B$10:$B$10" display="Training: Classification Summary" xr:uid="{38EFB3BB-B4E2-40C0-B8D1-B27B7D0A14BC}"/>
    <hyperlink ref="J4" location="'NNC_ValidationScore4'!$B$10:$B$10" display="Validation: Classification Summary" xr:uid="{C9623AA7-1FAC-4692-A369-CA0C1EBAD29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BCC80-C0B1-4908-8538-D06119A37422}">
  <dimension ref="B1:Q42"/>
  <sheetViews>
    <sheetView showGridLines="0" workbookViewId="0"/>
  </sheetViews>
  <sheetFormatPr defaultRowHeight="14.4"/>
  <cols>
    <col min="4" max="4" width="37.33203125" customWidth="1"/>
    <col min="5" max="5" width="34.5546875" customWidth="1"/>
    <col min="14" max="14" width="24.44140625" bestFit="1" customWidth="1"/>
  </cols>
  <sheetData>
    <row r="1" spans="2:17" ht="18">
      <c r="B1" s="8" t="s">
        <v>1144</v>
      </c>
      <c r="N1" t="s">
        <v>2447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810</v>
      </c>
      <c r="O5" s="12">
        <v>81</v>
      </c>
      <c r="P5" s="12">
        <v>17</v>
      </c>
      <c r="Q5" s="12">
        <v>908</v>
      </c>
    </row>
    <row r="10" spans="2:17" ht="18">
      <c r="B10" s="9" t="s">
        <v>1120</v>
      </c>
    </row>
    <row r="12" spans="2:17">
      <c r="C12" s="11" t="s">
        <v>1145</v>
      </c>
      <c r="D12" t="s">
        <v>1146</v>
      </c>
      <c r="E12" t="s">
        <v>1147</v>
      </c>
    </row>
    <row r="13" spans="2:17">
      <c r="C13" s="11" t="s">
        <v>1148</v>
      </c>
      <c r="D13" s="10">
        <v>0.48798828317089454</v>
      </c>
      <c r="E13">
        <v>0.365234375</v>
      </c>
    </row>
    <row r="14" spans="2:17">
      <c r="C14" s="11" t="s">
        <v>1149</v>
      </c>
      <c r="D14" s="10">
        <v>0.39551569876618892</v>
      </c>
      <c r="E14">
        <v>0.291015625</v>
      </c>
    </row>
    <row r="15" spans="2:17">
      <c r="C15" s="11" t="s">
        <v>1150</v>
      </c>
      <c r="D15" s="10">
        <v>0.32505117111638648</v>
      </c>
      <c r="E15">
        <v>0.23046875</v>
      </c>
    </row>
    <row r="16" spans="2:17">
      <c r="C16" s="11" t="s">
        <v>1151</v>
      </c>
      <c r="D16" s="10">
        <v>0.27535246571418193</v>
      </c>
      <c r="E16">
        <v>0.197265625</v>
      </c>
    </row>
    <row r="17" spans="3:5">
      <c r="C17" s="11" t="s">
        <v>1152</v>
      </c>
      <c r="D17" s="10">
        <v>0.23926969330286824</v>
      </c>
      <c r="E17">
        <v>0.1640625</v>
      </c>
    </row>
    <row r="18" spans="3:5">
      <c r="C18" s="11" t="s">
        <v>1153</v>
      </c>
      <c r="D18" s="10">
        <v>0.21187127308885975</v>
      </c>
      <c r="E18">
        <v>0.154296875</v>
      </c>
    </row>
    <row r="19" spans="3:5">
      <c r="C19" s="11" t="s">
        <v>1154</v>
      </c>
      <c r="D19" s="10">
        <v>0.19060616616959883</v>
      </c>
      <c r="E19">
        <v>0.146484375</v>
      </c>
    </row>
    <row r="20" spans="3:5">
      <c r="C20" s="11" t="s">
        <v>1155</v>
      </c>
      <c r="D20" s="10">
        <v>0.17401986892490526</v>
      </c>
      <c r="E20">
        <v>0.130859375</v>
      </c>
    </row>
    <row r="21" spans="3:5">
      <c r="C21" s="11" t="s">
        <v>1156</v>
      </c>
      <c r="D21" s="10">
        <v>0.1609798785675679</v>
      </c>
      <c r="E21">
        <v>0.1171875</v>
      </c>
    </row>
    <row r="22" spans="3:5">
      <c r="C22" s="11" t="s">
        <v>1157</v>
      </c>
      <c r="D22" s="10">
        <v>0.15052159074237167</v>
      </c>
      <c r="E22">
        <v>0.11328125</v>
      </c>
    </row>
    <row r="23" spans="3:5">
      <c r="C23" s="11" t="s">
        <v>1158</v>
      </c>
      <c r="D23" s="10">
        <v>0.1418932016206215</v>
      </c>
      <c r="E23">
        <v>0.111328125</v>
      </c>
    </row>
    <row r="24" spans="3:5">
      <c r="C24" s="11" t="s">
        <v>1159</v>
      </c>
      <c r="D24" s="10">
        <v>0.13456310884139053</v>
      </c>
      <c r="E24">
        <v>0.109375</v>
      </c>
    </row>
    <row r="25" spans="3:5">
      <c r="C25" s="11" t="s">
        <v>1160</v>
      </c>
      <c r="D25" s="10">
        <v>0.12818309390250726</v>
      </c>
      <c r="E25">
        <v>0.103515625</v>
      </c>
    </row>
    <row r="26" spans="3:5">
      <c r="C26" s="11" t="s">
        <v>1161</v>
      </c>
      <c r="D26" s="10">
        <v>0.12254204450566382</v>
      </c>
      <c r="E26">
        <v>9.5703125E-2</v>
      </c>
    </row>
    <row r="27" spans="3:5">
      <c r="C27" s="11" t="s">
        <v>1162</v>
      </c>
      <c r="D27" s="10">
        <v>0.11751880386090542</v>
      </c>
      <c r="E27">
        <v>9.5703125E-2</v>
      </c>
    </row>
    <row r="28" spans="3:5">
      <c r="C28" s="11" t="s">
        <v>1163</v>
      </c>
      <c r="D28" s="10">
        <v>0.11303479400400158</v>
      </c>
      <c r="E28">
        <v>9.1796875E-2</v>
      </c>
    </row>
    <row r="29" spans="3:5">
      <c r="C29" s="11" t="s">
        <v>1164</v>
      </c>
      <c r="D29" s="10">
        <v>0.10902066333698726</v>
      </c>
      <c r="E29">
        <v>8.7890625E-2</v>
      </c>
    </row>
    <row r="30" spans="3:5">
      <c r="C30" s="11" t="s">
        <v>1165</v>
      </c>
      <c r="D30" s="10">
        <v>0.10540806286710012</v>
      </c>
      <c r="E30">
        <v>8.59375E-2</v>
      </c>
    </row>
    <row r="31" spans="3:5">
      <c r="C31" s="11" t="s">
        <v>1166</v>
      </c>
      <c r="D31" s="10">
        <v>0.1021353097884356</v>
      </c>
      <c r="E31">
        <v>8.59375E-2</v>
      </c>
    </row>
    <row r="32" spans="3:5">
      <c r="C32" s="11" t="s">
        <v>1167</v>
      </c>
      <c r="D32" s="10">
        <v>9.9151825172244246E-2</v>
      </c>
      <c r="E32">
        <v>8.59375E-2</v>
      </c>
    </row>
    <row r="33" spans="3:5">
      <c r="C33" s="11" t="s">
        <v>1168</v>
      </c>
      <c r="D33" s="10">
        <v>9.6417939768784919E-2</v>
      </c>
      <c r="E33">
        <v>8.3984375E-2</v>
      </c>
    </row>
    <row r="34" spans="3:5">
      <c r="C34" s="11" t="s">
        <v>1169</v>
      </c>
      <c r="D34" s="10">
        <v>9.3902589445073445E-2</v>
      </c>
      <c r="E34">
        <v>8.3984375E-2</v>
      </c>
    </row>
    <row r="35" spans="3:5">
      <c r="C35" s="11" t="s">
        <v>1170</v>
      </c>
      <c r="D35" s="10">
        <v>9.1580926873123567E-2</v>
      </c>
      <c r="E35">
        <v>8.3984375E-2</v>
      </c>
    </row>
    <row r="36" spans="3:5">
      <c r="C36" s="11" t="s">
        <v>1171</v>
      </c>
      <c r="D36" s="10">
        <v>8.9432499019923936E-2</v>
      </c>
      <c r="E36">
        <v>8.0078125E-2</v>
      </c>
    </row>
    <row r="37" spans="3:5">
      <c r="C37" s="11" t="s">
        <v>1172</v>
      </c>
      <c r="D37" s="10">
        <v>8.7439999576394395E-2</v>
      </c>
      <c r="E37">
        <v>8.0078125E-2</v>
      </c>
    </row>
    <row r="38" spans="3:5">
      <c r="C38" s="11" t="s">
        <v>1173</v>
      </c>
      <c r="D38" s="10">
        <v>8.5588448117092306E-2</v>
      </c>
      <c r="E38">
        <v>7.421875E-2</v>
      </c>
    </row>
    <row r="39" spans="3:5">
      <c r="C39" s="11" t="s">
        <v>1174</v>
      </c>
      <c r="D39" s="10">
        <v>8.3864654682713272E-2</v>
      </c>
      <c r="E39">
        <v>7.2265625E-2</v>
      </c>
    </row>
    <row r="40" spans="3:5">
      <c r="C40" s="11" t="s">
        <v>1175</v>
      </c>
      <c r="D40" s="10">
        <v>8.2256867565392203E-2</v>
      </c>
      <c r="E40">
        <v>7.03125E-2</v>
      </c>
    </row>
    <row r="41" spans="3:5">
      <c r="C41" s="11" t="s">
        <v>1176</v>
      </c>
      <c r="D41" s="10">
        <v>8.0754536545245947E-2</v>
      </c>
      <c r="E41">
        <v>6.8359375E-2</v>
      </c>
    </row>
    <row r="42" spans="3:5">
      <c r="C42" s="11" t="s">
        <v>1177</v>
      </c>
      <c r="D42" s="10">
        <v>7.9348148052125617E-2</v>
      </c>
      <c r="E42">
        <v>6.8359375E-2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4'!$B$10:$B$10" display="Inputs" xr:uid="{259D3440-1940-4538-99E6-C924817BFB3E}"/>
    <hyperlink ref="D4" location="'NNC_Stored4'!$B$10:$B$10" display="PMML Model" xr:uid="{4F5A5969-77B0-4A85-B8AD-C4C7C4530714}"/>
    <hyperlink ref="F4" location="'NNC_TrainLog4'!$B$10:$B$10" display="Training Log" xr:uid="{E825D52B-BABC-401F-9081-C10F9B12B5C5}"/>
    <hyperlink ref="H4" location="'NNC_TrainingScore4'!$B$10:$B$10" display="Training: Classification Summary" xr:uid="{6E5F8430-F057-46CB-886C-60C4567BBEF8}"/>
    <hyperlink ref="J4" location="'NNC_ValidationScore4'!$B$10:$B$10" display="Validation: Classification Summary" xr:uid="{2FE15ADB-C1A1-4997-82C0-786470D2E1B1}"/>
  </hyperlink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60ED-9302-4FEF-9B40-F9DAFAB6EB5D}">
  <dimension ref="B1:Q32"/>
  <sheetViews>
    <sheetView showGridLines="0" topLeftCell="A9" workbookViewId="0">
      <selection activeCell="D26" sqref="D26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1143</v>
      </c>
      <c r="N1" t="s">
        <v>2447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810</v>
      </c>
      <c r="O5" s="12">
        <v>81</v>
      </c>
      <c r="P5" s="12">
        <v>17</v>
      </c>
      <c r="Q5" s="12">
        <v>908</v>
      </c>
    </row>
    <row r="10" spans="2:17" ht="18">
      <c r="B10" s="9" t="s">
        <v>1121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319</v>
      </c>
      <c r="E14">
        <v>4</v>
      </c>
    </row>
    <row r="15" spans="2:17">
      <c r="C15" s="11" t="s">
        <v>0</v>
      </c>
      <c r="D15" s="10">
        <v>31</v>
      </c>
      <c r="E15">
        <v>158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323</v>
      </c>
      <c r="E19">
        <f>SUM($D$14:$E$14) - $D$14</f>
        <v>4</v>
      </c>
      <c r="F19">
        <f>IF($D$19=0,"Undefined",$E$19*100 / $D$19)</f>
        <v>1.2383900928792571</v>
      </c>
    </row>
    <row r="20" spans="3:6">
      <c r="C20" s="11" t="s">
        <v>0</v>
      </c>
      <c r="D20">
        <f>SUM($D$15:$E$15)</f>
        <v>189</v>
      </c>
      <c r="E20">
        <f>SUM($D$15:$E$15) - $E$15</f>
        <v>31</v>
      </c>
      <c r="F20">
        <f>IF($D$20=0,"Undefined",$E$20*100 / $D$20)</f>
        <v>16.402116402116402</v>
      </c>
    </row>
    <row r="21" spans="3:6">
      <c r="C21" s="11" t="s">
        <v>1127</v>
      </c>
      <c r="D21">
        <f>SUM($D$19:$D$20)</f>
        <v>512</v>
      </c>
      <c r="E21">
        <f>SUM($E$19:$E$20)</f>
        <v>35</v>
      </c>
      <c r="F21">
        <f>IF($D$21=0,"Undefined",$E$21*100 / $D$21)</f>
        <v>6.8359375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477</v>
      </c>
    </row>
    <row r="26" spans="3:6">
      <c r="C26" t="s">
        <v>1131</v>
      </c>
      <c r="D26">
        <v>93.1640625</v>
      </c>
    </row>
    <row r="27" spans="3:6">
      <c r="C27" t="s">
        <v>1132</v>
      </c>
      <c r="D27">
        <v>0.9876160990712074</v>
      </c>
    </row>
    <row r="28" spans="3:6">
      <c r="C28" t="s">
        <v>1133</v>
      </c>
      <c r="D28">
        <v>0.83597883597883593</v>
      </c>
    </row>
    <row r="29" spans="3:6">
      <c r="C29" t="s">
        <v>1134</v>
      </c>
      <c r="D29">
        <v>0.97530864197530864</v>
      </c>
    </row>
    <row r="30" spans="3:6">
      <c r="C30" t="s">
        <v>1135</v>
      </c>
      <c r="D30">
        <v>0.90028490028490016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4'!$B$10:$B$10" display="Inputs" xr:uid="{9036DF74-D830-4B63-A8A0-08057BF14817}"/>
    <hyperlink ref="D4" location="'NNC_Stored4'!$B$10:$B$10" display="PMML Model" xr:uid="{E1CB7D48-E2DA-4EA4-82DD-BF75F7C10516}"/>
    <hyperlink ref="F4" location="'NNC_TrainLog4'!$B$10:$B$10" display="Training Log" xr:uid="{CD4FD379-6A8C-4740-BE62-B9CA1017E1BC}"/>
    <hyperlink ref="H4" location="'NNC_TrainingScore4'!$B$10:$B$10" display="Training: Classification Summary" xr:uid="{E172EC36-00BA-46C4-A338-02FA72040FFB}"/>
    <hyperlink ref="J4" location="'NNC_ValidationScore4'!$B$10:$B$10" display="Validation: Classification Summary" xr:uid="{CC81D11F-4A35-4ECA-9E5B-02A8E82F2A17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A53C-725D-4EA7-B9BD-888B7E384313}">
  <dimension ref="B1:Q32"/>
  <sheetViews>
    <sheetView showGridLines="0" topLeftCell="A6" workbookViewId="0"/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1123</v>
      </c>
      <c r="N1" t="s">
        <v>2447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810</v>
      </c>
      <c r="O5" s="12">
        <v>81</v>
      </c>
      <c r="P5" s="12">
        <v>17</v>
      </c>
      <c r="Q5" s="12">
        <v>908</v>
      </c>
    </row>
    <row r="10" spans="2:17" ht="18">
      <c r="B10" s="9" t="s">
        <v>1122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34</v>
      </c>
      <c r="E14">
        <v>0</v>
      </c>
    </row>
    <row r="15" spans="2:17">
      <c r="C15" s="11" t="s">
        <v>0</v>
      </c>
      <c r="D15" s="10">
        <v>2</v>
      </c>
      <c r="E15">
        <v>21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34</v>
      </c>
      <c r="E19">
        <f>SUM($D$14:$E$14) - $D$14</f>
        <v>0</v>
      </c>
      <c r="F19">
        <f>IF($D$19=0,"Undefined",$E$19*100 / $D$19)</f>
        <v>0</v>
      </c>
    </row>
    <row r="20" spans="3:6">
      <c r="C20" s="11" t="s">
        <v>0</v>
      </c>
      <c r="D20">
        <f>SUM($D$15:$E$15)</f>
        <v>23</v>
      </c>
      <c r="E20">
        <f>SUM($D$15:$E$15) - $E$15</f>
        <v>2</v>
      </c>
      <c r="F20">
        <f>IF($D$20=0,"Undefined",$E$20*100 / $D$20)</f>
        <v>8.695652173913043</v>
      </c>
    </row>
    <row r="21" spans="3:6">
      <c r="C21" s="11" t="s">
        <v>1127</v>
      </c>
      <c r="D21">
        <f>SUM($D$19:$D$20)</f>
        <v>57</v>
      </c>
      <c r="E21">
        <f>SUM($E$19:$E$20)</f>
        <v>2</v>
      </c>
      <c r="F21">
        <f>IF($D$21=0,"Undefined",$E$21*100 / $D$21)</f>
        <v>3.5087719298245612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55</v>
      </c>
    </row>
    <row r="26" spans="3:6">
      <c r="C26" t="s">
        <v>1131</v>
      </c>
      <c r="D26">
        <v>96.491228070175438</v>
      </c>
    </row>
    <row r="27" spans="3:6">
      <c r="C27" t="s">
        <v>1132</v>
      </c>
      <c r="D27">
        <v>1</v>
      </c>
    </row>
    <row r="28" spans="3:6">
      <c r="C28" t="s">
        <v>1133</v>
      </c>
      <c r="D28">
        <v>0.91304347826086962</v>
      </c>
    </row>
    <row r="29" spans="3:6">
      <c r="C29" t="s">
        <v>1134</v>
      </c>
      <c r="D29">
        <v>1</v>
      </c>
    </row>
    <row r="30" spans="3:6">
      <c r="C30" t="s">
        <v>1135</v>
      </c>
      <c r="D30">
        <v>0.95454545454545436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4'!$B$10:$B$10" display="Inputs" xr:uid="{F0C32F72-C5C5-42FB-B828-6F280D913522}"/>
    <hyperlink ref="D4" location="'NNC_Stored4'!$B$10:$B$10" display="PMML Model" xr:uid="{88FD96C5-E713-4B34-87DB-3B522EBA0492}"/>
    <hyperlink ref="F4" location="'NNC_TrainLog4'!$B$10:$B$10" display="Training Log" xr:uid="{D95C72F9-545A-465A-A33A-79C133BCEC2F}"/>
    <hyperlink ref="H4" location="'NNC_TrainingScore4'!$B$10:$B$10" display="Training: Classification Summary" xr:uid="{221D23B6-D79C-47F2-AA27-A06865CCCAAB}"/>
    <hyperlink ref="J4" location="'NNC_ValidationScore4'!$B$10:$B$10" display="Validation: Classification Summary" xr:uid="{47CD4F86-58B1-4269-A1C5-1D8DE9466047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10C9-D449-405E-955F-25C053D3827D}">
  <dimension ref="B1:Q712"/>
  <sheetViews>
    <sheetView showGridLines="0" workbookViewId="0"/>
  </sheetViews>
  <sheetFormatPr defaultRowHeight="14.4"/>
  <cols>
    <col min="14" max="14" width="24.44140625" bestFit="1" customWidth="1"/>
  </cols>
  <sheetData>
    <row r="1" spans="2:17" ht="18">
      <c r="B1" s="8" t="s">
        <v>728</v>
      </c>
      <c r="N1" t="s">
        <v>2447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810</v>
      </c>
      <c r="O5" s="12">
        <v>81</v>
      </c>
      <c r="P5" s="12">
        <v>17</v>
      </c>
      <c r="Q5" s="12">
        <v>908</v>
      </c>
    </row>
    <row r="10" spans="2:17" ht="18">
      <c r="B10" s="9" t="s">
        <v>729</v>
      </c>
    </row>
    <row r="12" spans="2:17">
      <c r="B12" t="s">
        <v>730</v>
      </c>
    </row>
    <row r="13" spans="2:17">
      <c r="B13" t="s">
        <v>731</v>
      </c>
    </row>
    <row r="14" spans="2:17">
      <c r="B14" t="s">
        <v>732</v>
      </c>
    </row>
    <row r="15" spans="2:17">
      <c r="B15" t="s">
        <v>733</v>
      </c>
    </row>
    <row r="16" spans="2:17">
      <c r="B16" t="s">
        <v>2446</v>
      </c>
    </row>
    <row r="17" spans="2:2">
      <c r="B17" t="s">
        <v>735</v>
      </c>
    </row>
    <row r="18" spans="2:2">
      <c r="B18" t="s">
        <v>736</v>
      </c>
    </row>
    <row r="19" spans="2:2">
      <c r="B19" t="s">
        <v>737</v>
      </c>
    </row>
    <row r="20" spans="2:2">
      <c r="B20" t="s">
        <v>738</v>
      </c>
    </row>
    <row r="21" spans="2:2">
      <c r="B21" t="s">
        <v>739</v>
      </c>
    </row>
    <row r="22" spans="2:2">
      <c r="B22" t="s">
        <v>740</v>
      </c>
    </row>
    <row r="23" spans="2:2">
      <c r="B23" t="s">
        <v>741</v>
      </c>
    </row>
    <row r="24" spans="2:2">
      <c r="B24" t="s">
        <v>742</v>
      </c>
    </row>
    <row r="25" spans="2:2">
      <c r="B25" t="s">
        <v>743</v>
      </c>
    </row>
    <row r="26" spans="2:2">
      <c r="B26" t="s">
        <v>744</v>
      </c>
    </row>
    <row r="27" spans="2:2">
      <c r="B27" t="s">
        <v>745</v>
      </c>
    </row>
    <row r="28" spans="2:2">
      <c r="B28" t="s">
        <v>746</v>
      </c>
    </row>
    <row r="29" spans="2:2">
      <c r="B29" t="s">
        <v>747</v>
      </c>
    </row>
    <row r="30" spans="2:2">
      <c r="B30" t="s">
        <v>748</v>
      </c>
    </row>
    <row r="31" spans="2:2">
      <c r="B31" t="s">
        <v>749</v>
      </c>
    </row>
    <row r="32" spans="2:2">
      <c r="B32" t="s">
        <v>750</v>
      </c>
    </row>
    <row r="33" spans="2:2">
      <c r="B33" t="s">
        <v>752</v>
      </c>
    </row>
    <row r="34" spans="2:2">
      <c r="B34" t="s">
        <v>753</v>
      </c>
    </row>
    <row r="35" spans="2:2">
      <c r="B35" t="s">
        <v>754</v>
      </c>
    </row>
    <row r="36" spans="2:2">
      <c r="B36" t="s">
        <v>755</v>
      </c>
    </row>
    <row r="37" spans="2:2">
      <c r="B37" t="s">
        <v>756</v>
      </c>
    </row>
    <row r="38" spans="2:2">
      <c r="B38" t="s">
        <v>757</v>
      </c>
    </row>
    <row r="39" spans="2:2">
      <c r="B39" t="s">
        <v>758</v>
      </c>
    </row>
    <row r="40" spans="2:2">
      <c r="B40" t="s">
        <v>759</v>
      </c>
    </row>
    <row r="41" spans="2:2">
      <c r="B41" t="s">
        <v>760</v>
      </c>
    </row>
    <row r="42" spans="2:2">
      <c r="B42" t="s">
        <v>761</v>
      </c>
    </row>
    <row r="43" spans="2:2">
      <c r="B43" t="s">
        <v>762</v>
      </c>
    </row>
    <row r="44" spans="2:2">
      <c r="B44" t="s">
        <v>763</v>
      </c>
    </row>
    <row r="45" spans="2:2">
      <c r="B45" t="s">
        <v>764</v>
      </c>
    </row>
    <row r="46" spans="2:2">
      <c r="B46" t="s">
        <v>765</v>
      </c>
    </row>
    <row r="47" spans="2:2">
      <c r="B47" t="s">
        <v>766</v>
      </c>
    </row>
    <row r="48" spans="2:2">
      <c r="B48" t="s">
        <v>767</v>
      </c>
    </row>
    <row r="49" spans="2:2">
      <c r="B49" t="s">
        <v>768</v>
      </c>
    </row>
    <row r="50" spans="2:2">
      <c r="B50" t="s">
        <v>769</v>
      </c>
    </row>
    <row r="51" spans="2:2">
      <c r="B51" t="s">
        <v>770</v>
      </c>
    </row>
    <row r="52" spans="2:2">
      <c r="B52" t="s">
        <v>771</v>
      </c>
    </row>
    <row r="53" spans="2:2">
      <c r="B53" t="s">
        <v>772</v>
      </c>
    </row>
    <row r="54" spans="2:2">
      <c r="B54" t="s">
        <v>773</v>
      </c>
    </row>
    <row r="55" spans="2:2">
      <c r="B55" t="s">
        <v>2448</v>
      </c>
    </row>
    <row r="56" spans="2:2">
      <c r="B56" t="s">
        <v>775</v>
      </c>
    </row>
    <row r="57" spans="2:2">
      <c r="B57" t="s">
        <v>776</v>
      </c>
    </row>
    <row r="58" spans="2:2">
      <c r="B58" t="s">
        <v>777</v>
      </c>
    </row>
    <row r="59" spans="2:2">
      <c r="B59" t="s">
        <v>778</v>
      </c>
    </row>
    <row r="60" spans="2:2">
      <c r="B60" t="s">
        <v>779</v>
      </c>
    </row>
    <row r="61" spans="2:2">
      <c r="B61" t="s">
        <v>780</v>
      </c>
    </row>
    <row r="62" spans="2:2">
      <c r="B62" t="s">
        <v>781</v>
      </c>
    </row>
    <row r="63" spans="2:2">
      <c r="B63" t="s">
        <v>782</v>
      </c>
    </row>
    <row r="64" spans="2:2">
      <c r="B64" t="s">
        <v>783</v>
      </c>
    </row>
    <row r="65" spans="2:2">
      <c r="B65" t="s">
        <v>784</v>
      </c>
    </row>
    <row r="66" spans="2:2">
      <c r="B66" t="s">
        <v>785</v>
      </c>
    </row>
    <row r="67" spans="2:2">
      <c r="B67" t="s">
        <v>786</v>
      </c>
    </row>
    <row r="68" spans="2:2">
      <c r="B68" t="s">
        <v>787</v>
      </c>
    </row>
    <row r="69" spans="2:2">
      <c r="B69" t="s">
        <v>788</v>
      </c>
    </row>
    <row r="70" spans="2:2">
      <c r="B70" t="s">
        <v>789</v>
      </c>
    </row>
    <row r="71" spans="2:2">
      <c r="B71" t="s">
        <v>790</v>
      </c>
    </row>
    <row r="72" spans="2:2">
      <c r="B72" t="s">
        <v>791</v>
      </c>
    </row>
    <row r="73" spans="2:2">
      <c r="B73" t="s">
        <v>792</v>
      </c>
    </row>
    <row r="74" spans="2:2">
      <c r="B74" t="s">
        <v>793</v>
      </c>
    </row>
    <row r="75" spans="2:2">
      <c r="B75" t="s">
        <v>794</v>
      </c>
    </row>
    <row r="76" spans="2:2">
      <c r="B76" t="s">
        <v>795</v>
      </c>
    </row>
    <row r="77" spans="2:2">
      <c r="B77" t="s">
        <v>796</v>
      </c>
    </row>
    <row r="78" spans="2:2">
      <c r="B78" t="s">
        <v>797</v>
      </c>
    </row>
    <row r="79" spans="2:2">
      <c r="B79" t="s">
        <v>798</v>
      </c>
    </row>
    <row r="80" spans="2:2">
      <c r="B80" t="s">
        <v>799</v>
      </c>
    </row>
    <row r="81" spans="2:2">
      <c r="B81" t="s">
        <v>800</v>
      </c>
    </row>
    <row r="82" spans="2:2">
      <c r="B82" t="s">
        <v>801</v>
      </c>
    </row>
    <row r="83" spans="2:2">
      <c r="B83" t="s">
        <v>802</v>
      </c>
    </row>
    <row r="84" spans="2:2">
      <c r="B84" t="s">
        <v>803</v>
      </c>
    </row>
    <row r="85" spans="2:2">
      <c r="B85" t="s">
        <v>804</v>
      </c>
    </row>
    <row r="86" spans="2:2">
      <c r="B86" t="s">
        <v>805</v>
      </c>
    </row>
    <row r="87" spans="2:2">
      <c r="B87" t="s">
        <v>806</v>
      </c>
    </row>
    <row r="88" spans="2:2">
      <c r="B88" t="s">
        <v>807</v>
      </c>
    </row>
    <row r="89" spans="2:2">
      <c r="B89" t="s">
        <v>808</v>
      </c>
    </row>
    <row r="90" spans="2:2">
      <c r="B90" t="s">
        <v>809</v>
      </c>
    </row>
    <row r="91" spans="2:2">
      <c r="B91" t="s">
        <v>810</v>
      </c>
    </row>
    <row r="92" spans="2:2">
      <c r="B92" t="s">
        <v>811</v>
      </c>
    </row>
    <row r="93" spans="2:2">
      <c r="B93" t="s">
        <v>812</v>
      </c>
    </row>
    <row r="94" spans="2:2">
      <c r="B94" t="s">
        <v>2449</v>
      </c>
    </row>
    <row r="95" spans="2:2">
      <c r="B95" t="s">
        <v>2450</v>
      </c>
    </row>
    <row r="96" spans="2:2">
      <c r="B96" t="s">
        <v>815</v>
      </c>
    </row>
    <row r="97" spans="2:2">
      <c r="B97" t="s">
        <v>816</v>
      </c>
    </row>
    <row r="98" spans="2:2">
      <c r="B98" t="s">
        <v>817</v>
      </c>
    </row>
    <row r="99" spans="2:2">
      <c r="B99" t="s">
        <v>818</v>
      </c>
    </row>
    <row r="100" spans="2:2">
      <c r="B100" t="s">
        <v>819</v>
      </c>
    </row>
    <row r="101" spans="2:2">
      <c r="B101" t="s">
        <v>2451</v>
      </c>
    </row>
    <row r="102" spans="2:2">
      <c r="B102" t="s">
        <v>2452</v>
      </c>
    </row>
    <row r="103" spans="2:2">
      <c r="B103" t="s">
        <v>822</v>
      </c>
    </row>
    <row r="104" spans="2:2">
      <c r="B104" t="s">
        <v>823</v>
      </c>
    </row>
    <row r="105" spans="2:2">
      <c r="B105" t="s">
        <v>824</v>
      </c>
    </row>
    <row r="106" spans="2:2">
      <c r="B106" t="s">
        <v>825</v>
      </c>
    </row>
    <row r="107" spans="2:2">
      <c r="B107" t="s">
        <v>2453</v>
      </c>
    </row>
    <row r="108" spans="2:2">
      <c r="B108" t="s">
        <v>2454</v>
      </c>
    </row>
    <row r="109" spans="2:2">
      <c r="B109" t="s">
        <v>822</v>
      </c>
    </row>
    <row r="110" spans="2:2">
      <c r="B110" t="s">
        <v>823</v>
      </c>
    </row>
    <row r="111" spans="2:2">
      <c r="B111" t="s">
        <v>828</v>
      </c>
    </row>
    <row r="112" spans="2:2">
      <c r="B112" t="s">
        <v>829</v>
      </c>
    </row>
    <row r="113" spans="2:2">
      <c r="B113" t="s">
        <v>2455</v>
      </c>
    </row>
    <row r="114" spans="2:2">
      <c r="B114" t="s">
        <v>2456</v>
      </c>
    </row>
    <row r="115" spans="2:2">
      <c r="B115" t="s">
        <v>822</v>
      </c>
    </row>
    <row r="116" spans="2:2">
      <c r="B116" t="s">
        <v>823</v>
      </c>
    </row>
    <row r="117" spans="2:2">
      <c r="B117" t="s">
        <v>832</v>
      </c>
    </row>
    <row r="118" spans="2:2">
      <c r="B118" t="s">
        <v>833</v>
      </c>
    </row>
    <row r="119" spans="2:2">
      <c r="B119" t="s">
        <v>2457</v>
      </c>
    </row>
    <row r="120" spans="2:2">
      <c r="B120" t="s">
        <v>2458</v>
      </c>
    </row>
    <row r="121" spans="2:2">
      <c r="B121" t="s">
        <v>822</v>
      </c>
    </row>
    <row r="122" spans="2:2">
      <c r="B122" t="s">
        <v>823</v>
      </c>
    </row>
    <row r="123" spans="2:2">
      <c r="B123" t="s">
        <v>836</v>
      </c>
    </row>
    <row r="124" spans="2:2">
      <c r="B124" t="s">
        <v>837</v>
      </c>
    </row>
    <row r="125" spans="2:2">
      <c r="B125" t="s">
        <v>2459</v>
      </c>
    </row>
    <row r="126" spans="2:2">
      <c r="B126" t="s">
        <v>2460</v>
      </c>
    </row>
    <row r="127" spans="2:2">
      <c r="B127" t="s">
        <v>822</v>
      </c>
    </row>
    <row r="128" spans="2:2">
      <c r="B128" t="s">
        <v>823</v>
      </c>
    </row>
    <row r="129" spans="2:2">
      <c r="B129" t="s">
        <v>840</v>
      </c>
    </row>
    <row r="130" spans="2:2">
      <c r="B130" t="s">
        <v>841</v>
      </c>
    </row>
    <row r="131" spans="2:2">
      <c r="B131" t="s">
        <v>2461</v>
      </c>
    </row>
    <row r="132" spans="2:2">
      <c r="B132" t="s">
        <v>2462</v>
      </c>
    </row>
    <row r="133" spans="2:2">
      <c r="B133" t="s">
        <v>822</v>
      </c>
    </row>
    <row r="134" spans="2:2">
      <c r="B134" t="s">
        <v>823</v>
      </c>
    </row>
    <row r="135" spans="2:2">
      <c r="B135" t="s">
        <v>844</v>
      </c>
    </row>
    <row r="136" spans="2:2">
      <c r="B136" t="s">
        <v>845</v>
      </c>
    </row>
    <row r="137" spans="2:2">
      <c r="B137" t="s">
        <v>2463</v>
      </c>
    </row>
    <row r="138" spans="2:2">
      <c r="B138" t="s">
        <v>2464</v>
      </c>
    </row>
    <row r="139" spans="2:2">
      <c r="B139" t="s">
        <v>822</v>
      </c>
    </row>
    <row r="140" spans="2:2">
      <c r="B140" t="s">
        <v>823</v>
      </c>
    </row>
    <row r="141" spans="2:2">
      <c r="B141" t="s">
        <v>848</v>
      </c>
    </row>
    <row r="142" spans="2:2">
      <c r="B142" t="s">
        <v>849</v>
      </c>
    </row>
    <row r="143" spans="2:2">
      <c r="B143" t="s">
        <v>2465</v>
      </c>
    </row>
    <row r="144" spans="2:2">
      <c r="B144" t="s">
        <v>2466</v>
      </c>
    </row>
    <row r="145" spans="2:2">
      <c r="B145" t="s">
        <v>822</v>
      </c>
    </row>
    <row r="146" spans="2:2">
      <c r="B146" t="s">
        <v>823</v>
      </c>
    </row>
    <row r="147" spans="2:2">
      <c r="B147" t="s">
        <v>852</v>
      </c>
    </row>
    <row r="148" spans="2:2">
      <c r="B148" t="s">
        <v>853</v>
      </c>
    </row>
    <row r="149" spans="2:2">
      <c r="B149" t="s">
        <v>2467</v>
      </c>
    </row>
    <row r="150" spans="2:2">
      <c r="B150" t="s">
        <v>2468</v>
      </c>
    </row>
    <row r="151" spans="2:2">
      <c r="B151" t="s">
        <v>822</v>
      </c>
    </row>
    <row r="152" spans="2:2">
      <c r="B152" t="s">
        <v>823</v>
      </c>
    </row>
    <row r="153" spans="2:2">
      <c r="B153" t="s">
        <v>856</v>
      </c>
    </row>
    <row r="154" spans="2:2">
      <c r="B154" t="s">
        <v>857</v>
      </c>
    </row>
    <row r="155" spans="2:2">
      <c r="B155" t="s">
        <v>2469</v>
      </c>
    </row>
    <row r="156" spans="2:2">
      <c r="B156" t="s">
        <v>2470</v>
      </c>
    </row>
    <row r="157" spans="2:2">
      <c r="B157" t="s">
        <v>822</v>
      </c>
    </row>
    <row r="158" spans="2:2">
      <c r="B158" t="s">
        <v>823</v>
      </c>
    </row>
    <row r="159" spans="2:2">
      <c r="B159" t="s">
        <v>860</v>
      </c>
    </row>
    <row r="160" spans="2:2">
      <c r="B160" t="s">
        <v>861</v>
      </c>
    </row>
    <row r="161" spans="2:2">
      <c r="B161" t="s">
        <v>2471</v>
      </c>
    </row>
    <row r="162" spans="2:2">
      <c r="B162" t="s">
        <v>2472</v>
      </c>
    </row>
    <row r="163" spans="2:2">
      <c r="B163" t="s">
        <v>822</v>
      </c>
    </row>
    <row r="164" spans="2:2">
      <c r="B164" t="s">
        <v>823</v>
      </c>
    </row>
    <row r="165" spans="2:2">
      <c r="B165" t="s">
        <v>864</v>
      </c>
    </row>
    <row r="166" spans="2:2">
      <c r="B166" t="s">
        <v>865</v>
      </c>
    </row>
    <row r="167" spans="2:2">
      <c r="B167" t="s">
        <v>2473</v>
      </c>
    </row>
    <row r="168" spans="2:2">
      <c r="B168" t="s">
        <v>2474</v>
      </c>
    </row>
    <row r="169" spans="2:2">
      <c r="B169" t="s">
        <v>822</v>
      </c>
    </row>
    <row r="170" spans="2:2">
      <c r="B170" t="s">
        <v>823</v>
      </c>
    </row>
    <row r="171" spans="2:2">
      <c r="B171" t="s">
        <v>868</v>
      </c>
    </row>
    <row r="172" spans="2:2">
      <c r="B172" t="s">
        <v>869</v>
      </c>
    </row>
    <row r="173" spans="2:2">
      <c r="B173" t="s">
        <v>2475</v>
      </c>
    </row>
    <row r="174" spans="2:2">
      <c r="B174" t="s">
        <v>2476</v>
      </c>
    </row>
    <row r="175" spans="2:2">
      <c r="B175" t="s">
        <v>822</v>
      </c>
    </row>
    <row r="176" spans="2:2">
      <c r="B176" t="s">
        <v>823</v>
      </c>
    </row>
    <row r="177" spans="2:2">
      <c r="B177" t="s">
        <v>872</v>
      </c>
    </row>
    <row r="178" spans="2:2">
      <c r="B178" t="s">
        <v>873</v>
      </c>
    </row>
    <row r="179" spans="2:2">
      <c r="B179" t="s">
        <v>2477</v>
      </c>
    </row>
    <row r="180" spans="2:2">
      <c r="B180" t="s">
        <v>2478</v>
      </c>
    </row>
    <row r="181" spans="2:2">
      <c r="B181" t="s">
        <v>822</v>
      </c>
    </row>
    <row r="182" spans="2:2">
      <c r="B182" t="s">
        <v>823</v>
      </c>
    </row>
    <row r="183" spans="2:2">
      <c r="B183" t="s">
        <v>876</v>
      </c>
    </row>
    <row r="184" spans="2:2">
      <c r="B184" t="s">
        <v>877</v>
      </c>
    </row>
    <row r="185" spans="2:2">
      <c r="B185" t="s">
        <v>2479</v>
      </c>
    </row>
    <row r="186" spans="2:2">
      <c r="B186" t="s">
        <v>2480</v>
      </c>
    </row>
    <row r="187" spans="2:2">
      <c r="B187" t="s">
        <v>822</v>
      </c>
    </row>
    <row r="188" spans="2:2">
      <c r="B188" t="s">
        <v>823</v>
      </c>
    </row>
    <row r="189" spans="2:2">
      <c r="B189" t="s">
        <v>880</v>
      </c>
    </row>
    <row r="190" spans="2:2">
      <c r="B190" t="s">
        <v>881</v>
      </c>
    </row>
    <row r="191" spans="2:2">
      <c r="B191" t="s">
        <v>2481</v>
      </c>
    </row>
    <row r="192" spans="2:2">
      <c r="B192" t="s">
        <v>2482</v>
      </c>
    </row>
    <row r="193" spans="2:2">
      <c r="B193" t="s">
        <v>822</v>
      </c>
    </row>
    <row r="194" spans="2:2">
      <c r="B194" t="s">
        <v>823</v>
      </c>
    </row>
    <row r="195" spans="2:2">
      <c r="B195" t="s">
        <v>884</v>
      </c>
    </row>
    <row r="196" spans="2:2">
      <c r="B196" t="s">
        <v>885</v>
      </c>
    </row>
    <row r="197" spans="2:2">
      <c r="B197" t="s">
        <v>2483</v>
      </c>
    </row>
    <row r="198" spans="2:2">
      <c r="B198" t="s">
        <v>2484</v>
      </c>
    </row>
    <row r="199" spans="2:2">
      <c r="B199" t="s">
        <v>822</v>
      </c>
    </row>
    <row r="200" spans="2:2">
      <c r="B200" t="s">
        <v>823</v>
      </c>
    </row>
    <row r="201" spans="2:2">
      <c r="B201" t="s">
        <v>888</v>
      </c>
    </row>
    <row r="202" spans="2:2">
      <c r="B202" t="s">
        <v>889</v>
      </c>
    </row>
    <row r="203" spans="2:2">
      <c r="B203" t="s">
        <v>2485</v>
      </c>
    </row>
    <row r="204" spans="2:2">
      <c r="B204" t="s">
        <v>2486</v>
      </c>
    </row>
    <row r="205" spans="2:2">
      <c r="B205" t="s">
        <v>822</v>
      </c>
    </row>
    <row r="206" spans="2:2">
      <c r="B206" t="s">
        <v>823</v>
      </c>
    </row>
    <row r="207" spans="2:2">
      <c r="B207" t="s">
        <v>892</v>
      </c>
    </row>
    <row r="208" spans="2:2">
      <c r="B208" t="s">
        <v>893</v>
      </c>
    </row>
    <row r="209" spans="2:2">
      <c r="B209" t="s">
        <v>2487</v>
      </c>
    </row>
    <row r="210" spans="2:2">
      <c r="B210" t="s">
        <v>2488</v>
      </c>
    </row>
    <row r="211" spans="2:2">
      <c r="B211" t="s">
        <v>822</v>
      </c>
    </row>
    <row r="212" spans="2:2">
      <c r="B212" t="s">
        <v>823</v>
      </c>
    </row>
    <row r="213" spans="2:2">
      <c r="B213" t="s">
        <v>896</v>
      </c>
    </row>
    <row r="214" spans="2:2">
      <c r="B214" t="s">
        <v>897</v>
      </c>
    </row>
    <row r="215" spans="2:2">
      <c r="B215" t="s">
        <v>2489</v>
      </c>
    </row>
    <row r="216" spans="2:2">
      <c r="B216" t="s">
        <v>2490</v>
      </c>
    </row>
    <row r="217" spans="2:2">
      <c r="B217" t="s">
        <v>822</v>
      </c>
    </row>
    <row r="218" spans="2:2">
      <c r="B218" t="s">
        <v>823</v>
      </c>
    </row>
    <row r="219" spans="2:2">
      <c r="B219" t="s">
        <v>900</v>
      </c>
    </row>
    <row r="220" spans="2:2">
      <c r="B220" t="s">
        <v>901</v>
      </c>
    </row>
    <row r="221" spans="2:2">
      <c r="B221" t="s">
        <v>2491</v>
      </c>
    </row>
    <row r="222" spans="2:2">
      <c r="B222" t="s">
        <v>2492</v>
      </c>
    </row>
    <row r="223" spans="2:2">
      <c r="B223" t="s">
        <v>822</v>
      </c>
    </row>
    <row r="224" spans="2:2">
      <c r="B224" t="s">
        <v>823</v>
      </c>
    </row>
    <row r="225" spans="2:2">
      <c r="B225" t="s">
        <v>904</v>
      </c>
    </row>
    <row r="226" spans="2:2">
      <c r="B226" t="s">
        <v>905</v>
      </c>
    </row>
    <row r="227" spans="2:2">
      <c r="B227" t="s">
        <v>2493</v>
      </c>
    </row>
    <row r="228" spans="2:2">
      <c r="B228" t="s">
        <v>2494</v>
      </c>
    </row>
    <row r="229" spans="2:2">
      <c r="B229" t="s">
        <v>822</v>
      </c>
    </row>
    <row r="230" spans="2:2">
      <c r="B230" t="s">
        <v>823</v>
      </c>
    </row>
    <row r="231" spans="2:2">
      <c r="B231" t="s">
        <v>908</v>
      </c>
    </row>
    <row r="232" spans="2:2">
      <c r="B232" t="s">
        <v>909</v>
      </c>
    </row>
    <row r="233" spans="2:2">
      <c r="B233" t="s">
        <v>2495</v>
      </c>
    </row>
    <row r="234" spans="2:2">
      <c r="B234" t="s">
        <v>2496</v>
      </c>
    </row>
    <row r="235" spans="2:2">
      <c r="B235" t="s">
        <v>822</v>
      </c>
    </row>
    <row r="236" spans="2:2">
      <c r="B236" t="s">
        <v>823</v>
      </c>
    </row>
    <row r="237" spans="2:2">
      <c r="B237" t="s">
        <v>912</v>
      </c>
    </row>
    <row r="238" spans="2:2">
      <c r="B238" t="s">
        <v>913</v>
      </c>
    </row>
    <row r="239" spans="2:2">
      <c r="B239" t="s">
        <v>2497</v>
      </c>
    </row>
    <row r="240" spans="2:2">
      <c r="B240" t="s">
        <v>2498</v>
      </c>
    </row>
    <row r="241" spans="2:2">
      <c r="B241" t="s">
        <v>822</v>
      </c>
    </row>
    <row r="242" spans="2:2">
      <c r="B242" t="s">
        <v>823</v>
      </c>
    </row>
    <row r="243" spans="2:2">
      <c r="B243" t="s">
        <v>916</v>
      </c>
    </row>
    <row r="244" spans="2:2">
      <c r="B244" t="s">
        <v>917</v>
      </c>
    </row>
    <row r="245" spans="2:2">
      <c r="B245" t="s">
        <v>2499</v>
      </c>
    </row>
    <row r="246" spans="2:2">
      <c r="B246" t="s">
        <v>2500</v>
      </c>
    </row>
    <row r="247" spans="2:2">
      <c r="B247" t="s">
        <v>822</v>
      </c>
    </row>
    <row r="248" spans="2:2">
      <c r="B248" t="s">
        <v>823</v>
      </c>
    </row>
    <row r="249" spans="2:2">
      <c r="B249" t="s">
        <v>920</v>
      </c>
    </row>
    <row r="250" spans="2:2">
      <c r="B250" t="s">
        <v>921</v>
      </c>
    </row>
    <row r="251" spans="2:2">
      <c r="B251" t="s">
        <v>2501</v>
      </c>
    </row>
    <row r="252" spans="2:2">
      <c r="B252" t="s">
        <v>2502</v>
      </c>
    </row>
    <row r="253" spans="2:2">
      <c r="B253" t="s">
        <v>822</v>
      </c>
    </row>
    <row r="254" spans="2:2">
      <c r="B254" t="s">
        <v>823</v>
      </c>
    </row>
    <row r="255" spans="2:2">
      <c r="B255" t="s">
        <v>924</v>
      </c>
    </row>
    <row r="256" spans="2:2">
      <c r="B256" t="s">
        <v>925</v>
      </c>
    </row>
    <row r="257" spans="2:2">
      <c r="B257" t="s">
        <v>2503</v>
      </c>
    </row>
    <row r="258" spans="2:2">
      <c r="B258" t="s">
        <v>2504</v>
      </c>
    </row>
    <row r="259" spans="2:2">
      <c r="B259" t="s">
        <v>822</v>
      </c>
    </row>
    <row r="260" spans="2:2">
      <c r="B260" t="s">
        <v>823</v>
      </c>
    </row>
    <row r="261" spans="2:2">
      <c r="B261" t="s">
        <v>928</v>
      </c>
    </row>
    <row r="262" spans="2:2">
      <c r="B262" t="s">
        <v>929</v>
      </c>
    </row>
    <row r="263" spans="2:2">
      <c r="B263" t="s">
        <v>2505</v>
      </c>
    </row>
    <row r="264" spans="2:2">
      <c r="B264" t="s">
        <v>2506</v>
      </c>
    </row>
    <row r="265" spans="2:2">
      <c r="B265" t="s">
        <v>822</v>
      </c>
    </row>
    <row r="266" spans="2:2">
      <c r="B266" t="s">
        <v>823</v>
      </c>
    </row>
    <row r="267" spans="2:2">
      <c r="B267" t="s">
        <v>932</v>
      </c>
    </row>
    <row r="268" spans="2:2">
      <c r="B268" t="s">
        <v>933</v>
      </c>
    </row>
    <row r="269" spans="2:2">
      <c r="B269" t="s">
        <v>2507</v>
      </c>
    </row>
    <row r="270" spans="2:2">
      <c r="B270" t="s">
        <v>2508</v>
      </c>
    </row>
    <row r="271" spans="2:2">
      <c r="B271" t="s">
        <v>822</v>
      </c>
    </row>
    <row r="272" spans="2:2">
      <c r="B272" t="s">
        <v>823</v>
      </c>
    </row>
    <row r="273" spans="2:2">
      <c r="B273" t="s">
        <v>936</v>
      </c>
    </row>
    <row r="274" spans="2:2">
      <c r="B274" t="s">
        <v>937</v>
      </c>
    </row>
    <row r="275" spans="2:2">
      <c r="B275" t="s">
        <v>2509</v>
      </c>
    </row>
    <row r="276" spans="2:2">
      <c r="B276" t="s">
        <v>2510</v>
      </c>
    </row>
    <row r="277" spans="2:2">
      <c r="B277" t="s">
        <v>822</v>
      </c>
    </row>
    <row r="278" spans="2:2">
      <c r="B278" t="s">
        <v>823</v>
      </c>
    </row>
    <row r="279" spans="2:2">
      <c r="B279" t="s">
        <v>940</v>
      </c>
    </row>
    <row r="280" spans="2:2">
      <c r="B280" t="s">
        <v>941</v>
      </c>
    </row>
    <row r="281" spans="2:2">
      <c r="B281" t="s">
        <v>942</v>
      </c>
    </row>
    <row r="282" spans="2:2">
      <c r="B282" t="s">
        <v>943</v>
      </c>
    </row>
    <row r="283" spans="2:2">
      <c r="B283" t="s">
        <v>944</v>
      </c>
    </row>
    <row r="284" spans="2:2">
      <c r="B284" t="s">
        <v>823</v>
      </c>
    </row>
    <row r="285" spans="2:2">
      <c r="B285" t="s">
        <v>945</v>
      </c>
    </row>
    <row r="286" spans="2:2">
      <c r="B286" t="s">
        <v>946</v>
      </c>
    </row>
    <row r="287" spans="2:2">
      <c r="B287" t="s">
        <v>943</v>
      </c>
    </row>
    <row r="288" spans="2:2">
      <c r="B288" t="s">
        <v>947</v>
      </c>
    </row>
    <row r="289" spans="2:2">
      <c r="B289" t="s">
        <v>823</v>
      </c>
    </row>
    <row r="290" spans="2:2">
      <c r="B290" t="s">
        <v>945</v>
      </c>
    </row>
    <row r="291" spans="2:2">
      <c r="B291" t="s">
        <v>948</v>
      </c>
    </row>
    <row r="292" spans="2:2">
      <c r="B292" t="s">
        <v>943</v>
      </c>
    </row>
    <row r="293" spans="2:2">
      <c r="B293" t="s">
        <v>949</v>
      </c>
    </row>
    <row r="294" spans="2:2">
      <c r="B294" t="s">
        <v>823</v>
      </c>
    </row>
    <row r="295" spans="2:2">
      <c r="B295" t="s">
        <v>945</v>
      </c>
    </row>
    <row r="296" spans="2:2">
      <c r="B296" t="s">
        <v>950</v>
      </c>
    </row>
    <row r="297" spans="2:2">
      <c r="B297" t="s">
        <v>943</v>
      </c>
    </row>
    <row r="298" spans="2:2">
      <c r="B298" t="s">
        <v>951</v>
      </c>
    </row>
    <row r="299" spans="2:2">
      <c r="B299" t="s">
        <v>823</v>
      </c>
    </row>
    <row r="300" spans="2:2">
      <c r="B300" t="s">
        <v>945</v>
      </c>
    </row>
    <row r="301" spans="2:2">
      <c r="B301" t="s">
        <v>952</v>
      </c>
    </row>
    <row r="302" spans="2:2">
      <c r="B302" t="s">
        <v>943</v>
      </c>
    </row>
    <row r="303" spans="2:2">
      <c r="B303" t="s">
        <v>953</v>
      </c>
    </row>
    <row r="304" spans="2:2">
      <c r="B304" t="s">
        <v>823</v>
      </c>
    </row>
    <row r="305" spans="2:2">
      <c r="B305" t="s">
        <v>945</v>
      </c>
    </row>
    <row r="306" spans="2:2">
      <c r="B306" t="s">
        <v>954</v>
      </c>
    </row>
    <row r="307" spans="2:2">
      <c r="B307" t="s">
        <v>943</v>
      </c>
    </row>
    <row r="308" spans="2:2">
      <c r="B308" t="s">
        <v>955</v>
      </c>
    </row>
    <row r="309" spans="2:2">
      <c r="B309" t="s">
        <v>823</v>
      </c>
    </row>
    <row r="310" spans="2:2">
      <c r="B310" t="s">
        <v>945</v>
      </c>
    </row>
    <row r="311" spans="2:2">
      <c r="B311" t="s">
        <v>956</v>
      </c>
    </row>
    <row r="312" spans="2:2">
      <c r="B312" t="s">
        <v>943</v>
      </c>
    </row>
    <row r="313" spans="2:2">
      <c r="B313" t="s">
        <v>957</v>
      </c>
    </row>
    <row r="314" spans="2:2">
      <c r="B314" t="s">
        <v>823</v>
      </c>
    </row>
    <row r="315" spans="2:2">
      <c r="B315" t="s">
        <v>945</v>
      </c>
    </row>
    <row r="316" spans="2:2">
      <c r="B316" t="s">
        <v>958</v>
      </c>
    </row>
    <row r="317" spans="2:2">
      <c r="B317" t="s">
        <v>943</v>
      </c>
    </row>
    <row r="318" spans="2:2">
      <c r="B318" t="s">
        <v>959</v>
      </c>
    </row>
    <row r="319" spans="2:2">
      <c r="B319" t="s">
        <v>823</v>
      </c>
    </row>
    <row r="320" spans="2:2">
      <c r="B320" t="s">
        <v>945</v>
      </c>
    </row>
    <row r="321" spans="2:2">
      <c r="B321" t="s">
        <v>960</v>
      </c>
    </row>
    <row r="322" spans="2:2">
      <c r="B322" t="s">
        <v>943</v>
      </c>
    </row>
    <row r="323" spans="2:2">
      <c r="B323" t="s">
        <v>961</v>
      </c>
    </row>
    <row r="324" spans="2:2">
      <c r="B324" t="s">
        <v>823</v>
      </c>
    </row>
    <row r="325" spans="2:2">
      <c r="B325" t="s">
        <v>945</v>
      </c>
    </row>
    <row r="326" spans="2:2">
      <c r="B326" t="s">
        <v>962</v>
      </c>
    </row>
    <row r="327" spans="2:2">
      <c r="B327" t="s">
        <v>943</v>
      </c>
    </row>
    <row r="328" spans="2:2">
      <c r="B328" t="s">
        <v>963</v>
      </c>
    </row>
    <row r="329" spans="2:2">
      <c r="B329" t="s">
        <v>823</v>
      </c>
    </row>
    <row r="330" spans="2:2">
      <c r="B330" t="s">
        <v>945</v>
      </c>
    </row>
    <row r="331" spans="2:2">
      <c r="B331" t="s">
        <v>964</v>
      </c>
    </row>
    <row r="332" spans="2:2">
      <c r="B332" t="s">
        <v>943</v>
      </c>
    </row>
    <row r="333" spans="2:2">
      <c r="B333" t="s">
        <v>965</v>
      </c>
    </row>
    <row r="334" spans="2:2">
      <c r="B334" t="s">
        <v>823</v>
      </c>
    </row>
    <row r="335" spans="2:2">
      <c r="B335" t="s">
        <v>945</v>
      </c>
    </row>
    <row r="336" spans="2:2">
      <c r="B336" t="s">
        <v>966</v>
      </c>
    </row>
    <row r="337" spans="2:2">
      <c r="B337" t="s">
        <v>943</v>
      </c>
    </row>
    <row r="338" spans="2:2">
      <c r="B338" t="s">
        <v>967</v>
      </c>
    </row>
    <row r="339" spans="2:2">
      <c r="B339" t="s">
        <v>823</v>
      </c>
    </row>
    <row r="340" spans="2:2">
      <c r="B340" t="s">
        <v>945</v>
      </c>
    </row>
    <row r="341" spans="2:2">
      <c r="B341" t="s">
        <v>968</v>
      </c>
    </row>
    <row r="342" spans="2:2">
      <c r="B342" t="s">
        <v>943</v>
      </c>
    </row>
    <row r="343" spans="2:2">
      <c r="B343" t="s">
        <v>969</v>
      </c>
    </row>
    <row r="344" spans="2:2">
      <c r="B344" t="s">
        <v>823</v>
      </c>
    </row>
    <row r="345" spans="2:2">
      <c r="B345" t="s">
        <v>945</v>
      </c>
    </row>
    <row r="346" spans="2:2">
      <c r="B346" t="s">
        <v>970</v>
      </c>
    </row>
    <row r="347" spans="2:2">
      <c r="B347" t="s">
        <v>943</v>
      </c>
    </row>
    <row r="348" spans="2:2">
      <c r="B348" t="s">
        <v>971</v>
      </c>
    </row>
    <row r="349" spans="2:2">
      <c r="B349" t="s">
        <v>823</v>
      </c>
    </row>
    <row r="350" spans="2:2">
      <c r="B350" t="s">
        <v>945</v>
      </c>
    </row>
    <row r="351" spans="2:2">
      <c r="B351" t="s">
        <v>972</v>
      </c>
    </row>
    <row r="352" spans="2:2">
      <c r="B352" t="s">
        <v>943</v>
      </c>
    </row>
    <row r="353" spans="2:2">
      <c r="B353" t="s">
        <v>973</v>
      </c>
    </row>
    <row r="354" spans="2:2">
      <c r="B354" t="s">
        <v>823</v>
      </c>
    </row>
    <row r="355" spans="2:2">
      <c r="B355" t="s">
        <v>945</v>
      </c>
    </row>
    <row r="356" spans="2:2">
      <c r="B356" t="s">
        <v>974</v>
      </c>
    </row>
    <row r="357" spans="2:2">
      <c r="B357" t="s">
        <v>943</v>
      </c>
    </row>
    <row r="358" spans="2:2">
      <c r="B358" t="s">
        <v>975</v>
      </c>
    </row>
    <row r="359" spans="2:2">
      <c r="B359" t="s">
        <v>823</v>
      </c>
    </row>
    <row r="360" spans="2:2">
      <c r="B360" t="s">
        <v>945</v>
      </c>
    </row>
    <row r="361" spans="2:2">
      <c r="B361" t="s">
        <v>976</v>
      </c>
    </row>
    <row r="362" spans="2:2">
      <c r="B362" t="s">
        <v>943</v>
      </c>
    </row>
    <row r="363" spans="2:2">
      <c r="B363" t="s">
        <v>977</v>
      </c>
    </row>
    <row r="364" spans="2:2">
      <c r="B364" t="s">
        <v>823</v>
      </c>
    </row>
    <row r="365" spans="2:2">
      <c r="B365" t="s">
        <v>945</v>
      </c>
    </row>
    <row r="366" spans="2:2">
      <c r="B366" t="s">
        <v>978</v>
      </c>
    </row>
    <row r="367" spans="2:2">
      <c r="B367" t="s">
        <v>943</v>
      </c>
    </row>
    <row r="368" spans="2:2">
      <c r="B368" t="s">
        <v>979</v>
      </c>
    </row>
    <row r="369" spans="2:2">
      <c r="B369" t="s">
        <v>823</v>
      </c>
    </row>
    <row r="370" spans="2:2">
      <c r="B370" t="s">
        <v>945</v>
      </c>
    </row>
    <row r="371" spans="2:2">
      <c r="B371" t="s">
        <v>980</v>
      </c>
    </row>
    <row r="372" spans="2:2">
      <c r="B372" t="s">
        <v>943</v>
      </c>
    </row>
    <row r="373" spans="2:2">
      <c r="B373" t="s">
        <v>981</v>
      </c>
    </row>
    <row r="374" spans="2:2">
      <c r="B374" t="s">
        <v>823</v>
      </c>
    </row>
    <row r="375" spans="2:2">
      <c r="B375" t="s">
        <v>945</v>
      </c>
    </row>
    <row r="376" spans="2:2">
      <c r="B376" t="s">
        <v>982</v>
      </c>
    </row>
    <row r="377" spans="2:2">
      <c r="B377" t="s">
        <v>943</v>
      </c>
    </row>
    <row r="378" spans="2:2">
      <c r="B378" t="s">
        <v>983</v>
      </c>
    </row>
    <row r="379" spans="2:2">
      <c r="B379" t="s">
        <v>823</v>
      </c>
    </row>
    <row r="380" spans="2:2">
      <c r="B380" t="s">
        <v>945</v>
      </c>
    </row>
    <row r="381" spans="2:2">
      <c r="B381" t="s">
        <v>984</v>
      </c>
    </row>
    <row r="382" spans="2:2">
      <c r="B382" t="s">
        <v>943</v>
      </c>
    </row>
    <row r="383" spans="2:2">
      <c r="B383" t="s">
        <v>985</v>
      </c>
    </row>
    <row r="384" spans="2:2">
      <c r="B384" t="s">
        <v>823</v>
      </c>
    </row>
    <row r="385" spans="2:2">
      <c r="B385" t="s">
        <v>945</v>
      </c>
    </row>
    <row r="386" spans="2:2">
      <c r="B386" t="s">
        <v>986</v>
      </c>
    </row>
    <row r="387" spans="2:2">
      <c r="B387" t="s">
        <v>943</v>
      </c>
    </row>
    <row r="388" spans="2:2">
      <c r="B388" t="s">
        <v>987</v>
      </c>
    </row>
    <row r="389" spans="2:2">
      <c r="B389" t="s">
        <v>823</v>
      </c>
    </row>
    <row r="390" spans="2:2">
      <c r="B390" t="s">
        <v>945</v>
      </c>
    </row>
    <row r="391" spans="2:2">
      <c r="B391" t="s">
        <v>988</v>
      </c>
    </row>
    <row r="392" spans="2:2">
      <c r="B392" t="s">
        <v>943</v>
      </c>
    </row>
    <row r="393" spans="2:2">
      <c r="B393" t="s">
        <v>989</v>
      </c>
    </row>
    <row r="394" spans="2:2">
      <c r="B394" t="s">
        <v>823</v>
      </c>
    </row>
    <row r="395" spans="2:2">
      <c r="B395" t="s">
        <v>945</v>
      </c>
    </row>
    <row r="396" spans="2:2">
      <c r="B396" t="s">
        <v>990</v>
      </c>
    </row>
    <row r="397" spans="2:2">
      <c r="B397" t="s">
        <v>943</v>
      </c>
    </row>
    <row r="398" spans="2:2">
      <c r="B398" t="s">
        <v>991</v>
      </c>
    </row>
    <row r="399" spans="2:2">
      <c r="B399" t="s">
        <v>823</v>
      </c>
    </row>
    <row r="400" spans="2:2">
      <c r="B400" t="s">
        <v>945</v>
      </c>
    </row>
    <row r="401" spans="2:2">
      <c r="B401" t="s">
        <v>992</v>
      </c>
    </row>
    <row r="402" spans="2:2">
      <c r="B402" t="s">
        <v>943</v>
      </c>
    </row>
    <row r="403" spans="2:2">
      <c r="B403" t="s">
        <v>993</v>
      </c>
    </row>
    <row r="404" spans="2:2">
      <c r="B404" t="s">
        <v>823</v>
      </c>
    </row>
    <row r="405" spans="2:2">
      <c r="B405" t="s">
        <v>945</v>
      </c>
    </row>
    <row r="406" spans="2:2">
      <c r="B406" t="s">
        <v>994</v>
      </c>
    </row>
    <row r="407" spans="2:2">
      <c r="B407" t="s">
        <v>943</v>
      </c>
    </row>
    <row r="408" spans="2:2">
      <c r="B408" t="s">
        <v>995</v>
      </c>
    </row>
    <row r="409" spans="2:2">
      <c r="B409" t="s">
        <v>823</v>
      </c>
    </row>
    <row r="410" spans="2:2">
      <c r="B410" t="s">
        <v>945</v>
      </c>
    </row>
    <row r="411" spans="2:2">
      <c r="B411" t="s">
        <v>996</v>
      </c>
    </row>
    <row r="412" spans="2:2">
      <c r="B412" t="s">
        <v>943</v>
      </c>
    </row>
    <row r="413" spans="2:2">
      <c r="B413" t="s">
        <v>997</v>
      </c>
    </row>
    <row r="414" spans="2:2">
      <c r="B414" t="s">
        <v>823</v>
      </c>
    </row>
    <row r="415" spans="2:2">
      <c r="B415" t="s">
        <v>945</v>
      </c>
    </row>
    <row r="416" spans="2:2">
      <c r="B416" t="s">
        <v>998</v>
      </c>
    </row>
    <row r="417" spans="2:2">
      <c r="B417" t="s">
        <v>943</v>
      </c>
    </row>
    <row r="418" spans="2:2">
      <c r="B418" t="s">
        <v>999</v>
      </c>
    </row>
    <row r="419" spans="2:2">
      <c r="B419" t="s">
        <v>823</v>
      </c>
    </row>
    <row r="420" spans="2:2">
      <c r="B420" t="s">
        <v>945</v>
      </c>
    </row>
    <row r="421" spans="2:2">
      <c r="B421" t="s">
        <v>1000</v>
      </c>
    </row>
    <row r="422" spans="2:2">
      <c r="B422" t="s">
        <v>943</v>
      </c>
    </row>
    <row r="423" spans="2:2">
      <c r="B423" t="s">
        <v>1001</v>
      </c>
    </row>
    <row r="424" spans="2:2">
      <c r="B424" t="s">
        <v>823</v>
      </c>
    </row>
    <row r="425" spans="2:2">
      <c r="B425" t="s">
        <v>945</v>
      </c>
    </row>
    <row r="426" spans="2:2">
      <c r="B426" t="s">
        <v>1002</v>
      </c>
    </row>
    <row r="427" spans="2:2">
      <c r="B427" t="s">
        <v>943</v>
      </c>
    </row>
    <row r="428" spans="2:2">
      <c r="B428" t="s">
        <v>1003</v>
      </c>
    </row>
    <row r="429" spans="2:2">
      <c r="B429" t="s">
        <v>823</v>
      </c>
    </row>
    <row r="430" spans="2:2">
      <c r="B430" t="s">
        <v>945</v>
      </c>
    </row>
    <row r="431" spans="2:2">
      <c r="B431" t="s">
        <v>1004</v>
      </c>
    </row>
    <row r="432" spans="2:2">
      <c r="B432" t="s">
        <v>1236</v>
      </c>
    </row>
    <row r="433" spans="2:2">
      <c r="B433" t="s">
        <v>2511</v>
      </c>
    </row>
    <row r="434" spans="2:2">
      <c r="B434" t="s">
        <v>2512</v>
      </c>
    </row>
    <row r="435" spans="2:2">
      <c r="B435" t="s">
        <v>2513</v>
      </c>
    </row>
    <row r="436" spans="2:2">
      <c r="B436" t="s">
        <v>2514</v>
      </c>
    </row>
    <row r="437" spans="2:2">
      <c r="B437" t="s">
        <v>2515</v>
      </c>
    </row>
    <row r="438" spans="2:2">
      <c r="B438" t="s">
        <v>2516</v>
      </c>
    </row>
    <row r="439" spans="2:2">
      <c r="B439" t="s">
        <v>2517</v>
      </c>
    </row>
    <row r="440" spans="2:2">
      <c r="B440" t="s">
        <v>2518</v>
      </c>
    </row>
    <row r="441" spans="2:2">
      <c r="B441" t="s">
        <v>2519</v>
      </c>
    </row>
    <row r="442" spans="2:2">
      <c r="B442" t="s">
        <v>2520</v>
      </c>
    </row>
    <row r="443" spans="2:2">
      <c r="B443" t="s">
        <v>2521</v>
      </c>
    </row>
    <row r="444" spans="2:2">
      <c r="B444" t="s">
        <v>2522</v>
      </c>
    </row>
    <row r="445" spans="2:2">
      <c r="B445" t="s">
        <v>2523</v>
      </c>
    </row>
    <row r="446" spans="2:2">
      <c r="B446" t="s">
        <v>2524</v>
      </c>
    </row>
    <row r="447" spans="2:2">
      <c r="B447" t="s">
        <v>2525</v>
      </c>
    </row>
    <row r="448" spans="2:2">
      <c r="B448" t="s">
        <v>2526</v>
      </c>
    </row>
    <row r="449" spans="2:2">
      <c r="B449" t="s">
        <v>2527</v>
      </c>
    </row>
    <row r="450" spans="2:2">
      <c r="B450" t="s">
        <v>2528</v>
      </c>
    </row>
    <row r="451" spans="2:2">
      <c r="B451" t="s">
        <v>2529</v>
      </c>
    </row>
    <row r="452" spans="2:2">
      <c r="B452" t="s">
        <v>2530</v>
      </c>
    </row>
    <row r="453" spans="2:2">
      <c r="B453" t="s">
        <v>2531</v>
      </c>
    </row>
    <row r="454" spans="2:2">
      <c r="B454" t="s">
        <v>2532</v>
      </c>
    </row>
    <row r="455" spans="2:2">
      <c r="B455" t="s">
        <v>2533</v>
      </c>
    </row>
    <row r="456" spans="2:2">
      <c r="B456" t="s">
        <v>2534</v>
      </c>
    </row>
    <row r="457" spans="2:2">
      <c r="B457" t="s">
        <v>2535</v>
      </c>
    </row>
    <row r="458" spans="2:2">
      <c r="B458" t="s">
        <v>2536</v>
      </c>
    </row>
    <row r="459" spans="2:2">
      <c r="B459" t="s">
        <v>2537</v>
      </c>
    </row>
    <row r="460" spans="2:2">
      <c r="B460" t="s">
        <v>2538</v>
      </c>
    </row>
    <row r="461" spans="2:2">
      <c r="B461" t="s">
        <v>2539</v>
      </c>
    </row>
    <row r="462" spans="2:2">
      <c r="B462" t="s">
        <v>2540</v>
      </c>
    </row>
    <row r="463" spans="2:2">
      <c r="B463" t="s">
        <v>2541</v>
      </c>
    </row>
    <row r="464" spans="2:2">
      <c r="B464" t="s">
        <v>1037</v>
      </c>
    </row>
    <row r="465" spans="2:2">
      <c r="B465" t="s">
        <v>2542</v>
      </c>
    </row>
    <row r="466" spans="2:2">
      <c r="B466" t="s">
        <v>2543</v>
      </c>
    </row>
    <row r="467" spans="2:2">
      <c r="B467" t="s">
        <v>2544</v>
      </c>
    </row>
    <row r="468" spans="2:2">
      <c r="B468" t="s">
        <v>2545</v>
      </c>
    </row>
    <row r="469" spans="2:2">
      <c r="B469" t="s">
        <v>2546</v>
      </c>
    </row>
    <row r="470" spans="2:2">
      <c r="B470" t="s">
        <v>2547</v>
      </c>
    </row>
    <row r="471" spans="2:2">
      <c r="B471" t="s">
        <v>2548</v>
      </c>
    </row>
    <row r="472" spans="2:2">
      <c r="B472" t="s">
        <v>2549</v>
      </c>
    </row>
    <row r="473" spans="2:2">
      <c r="B473" t="s">
        <v>2550</v>
      </c>
    </row>
    <row r="474" spans="2:2">
      <c r="B474" t="s">
        <v>2551</v>
      </c>
    </row>
    <row r="475" spans="2:2">
      <c r="B475" t="s">
        <v>2552</v>
      </c>
    </row>
    <row r="476" spans="2:2">
      <c r="B476" t="s">
        <v>2553</v>
      </c>
    </row>
    <row r="477" spans="2:2">
      <c r="B477" t="s">
        <v>2554</v>
      </c>
    </row>
    <row r="478" spans="2:2">
      <c r="B478" t="s">
        <v>2555</v>
      </c>
    </row>
    <row r="479" spans="2:2">
      <c r="B479" t="s">
        <v>2556</v>
      </c>
    </row>
    <row r="480" spans="2:2">
      <c r="B480" t="s">
        <v>2557</v>
      </c>
    </row>
    <row r="481" spans="2:2">
      <c r="B481" t="s">
        <v>2558</v>
      </c>
    </row>
    <row r="482" spans="2:2">
      <c r="B482" t="s">
        <v>2559</v>
      </c>
    </row>
    <row r="483" spans="2:2">
      <c r="B483" t="s">
        <v>2560</v>
      </c>
    </row>
    <row r="484" spans="2:2">
      <c r="B484" t="s">
        <v>2561</v>
      </c>
    </row>
    <row r="485" spans="2:2">
      <c r="B485" t="s">
        <v>2562</v>
      </c>
    </row>
    <row r="486" spans="2:2">
      <c r="B486" t="s">
        <v>2563</v>
      </c>
    </row>
    <row r="487" spans="2:2">
      <c r="B487" t="s">
        <v>2564</v>
      </c>
    </row>
    <row r="488" spans="2:2">
      <c r="B488" t="s">
        <v>2565</v>
      </c>
    </row>
    <row r="489" spans="2:2">
      <c r="B489" t="s">
        <v>2566</v>
      </c>
    </row>
    <row r="490" spans="2:2">
      <c r="B490" t="s">
        <v>2567</v>
      </c>
    </row>
    <row r="491" spans="2:2">
      <c r="B491" t="s">
        <v>2568</v>
      </c>
    </row>
    <row r="492" spans="2:2">
      <c r="B492" t="s">
        <v>2569</v>
      </c>
    </row>
    <row r="493" spans="2:2">
      <c r="B493" t="s">
        <v>2570</v>
      </c>
    </row>
    <row r="494" spans="2:2">
      <c r="B494" t="s">
        <v>2571</v>
      </c>
    </row>
    <row r="495" spans="2:2">
      <c r="B495" t="s">
        <v>2572</v>
      </c>
    </row>
    <row r="496" spans="2:2">
      <c r="B496" t="s">
        <v>1037</v>
      </c>
    </row>
    <row r="497" spans="2:2">
      <c r="B497" t="s">
        <v>2573</v>
      </c>
    </row>
    <row r="498" spans="2:2">
      <c r="B498" t="s">
        <v>2574</v>
      </c>
    </row>
    <row r="499" spans="2:2">
      <c r="B499" t="s">
        <v>2575</v>
      </c>
    </row>
    <row r="500" spans="2:2">
      <c r="B500" t="s">
        <v>2576</v>
      </c>
    </row>
    <row r="501" spans="2:2">
      <c r="B501" t="s">
        <v>2577</v>
      </c>
    </row>
    <row r="502" spans="2:2">
      <c r="B502" t="s">
        <v>2578</v>
      </c>
    </row>
    <row r="503" spans="2:2">
      <c r="B503" t="s">
        <v>2579</v>
      </c>
    </row>
    <row r="504" spans="2:2">
      <c r="B504" t="s">
        <v>2580</v>
      </c>
    </row>
    <row r="505" spans="2:2">
      <c r="B505" t="s">
        <v>2581</v>
      </c>
    </row>
    <row r="506" spans="2:2">
      <c r="B506" t="s">
        <v>2582</v>
      </c>
    </row>
    <row r="507" spans="2:2">
      <c r="B507" t="s">
        <v>2583</v>
      </c>
    </row>
    <row r="508" spans="2:2">
      <c r="B508" t="s">
        <v>2584</v>
      </c>
    </row>
    <row r="509" spans="2:2">
      <c r="B509" t="s">
        <v>2585</v>
      </c>
    </row>
    <row r="510" spans="2:2">
      <c r="B510" t="s">
        <v>2586</v>
      </c>
    </row>
    <row r="511" spans="2:2">
      <c r="B511" t="s">
        <v>2587</v>
      </c>
    </row>
    <row r="512" spans="2:2">
      <c r="B512" t="s">
        <v>2588</v>
      </c>
    </row>
    <row r="513" spans="2:2">
      <c r="B513" t="s">
        <v>2589</v>
      </c>
    </row>
    <row r="514" spans="2:2">
      <c r="B514" t="s">
        <v>2590</v>
      </c>
    </row>
    <row r="515" spans="2:2">
      <c r="B515" t="s">
        <v>2591</v>
      </c>
    </row>
    <row r="516" spans="2:2">
      <c r="B516" t="s">
        <v>2592</v>
      </c>
    </row>
    <row r="517" spans="2:2">
      <c r="B517" t="s">
        <v>2593</v>
      </c>
    </row>
    <row r="518" spans="2:2">
      <c r="B518" t="s">
        <v>2594</v>
      </c>
    </row>
    <row r="519" spans="2:2">
      <c r="B519" t="s">
        <v>2595</v>
      </c>
    </row>
    <row r="520" spans="2:2">
      <c r="B520" t="s">
        <v>2596</v>
      </c>
    </row>
    <row r="521" spans="2:2">
      <c r="B521" t="s">
        <v>2597</v>
      </c>
    </row>
    <row r="522" spans="2:2">
      <c r="B522" t="s">
        <v>2598</v>
      </c>
    </row>
    <row r="523" spans="2:2">
      <c r="B523" t="s">
        <v>2599</v>
      </c>
    </row>
    <row r="524" spans="2:2">
      <c r="B524" t="s">
        <v>2600</v>
      </c>
    </row>
    <row r="525" spans="2:2">
      <c r="B525" t="s">
        <v>2601</v>
      </c>
    </row>
    <row r="526" spans="2:2">
      <c r="B526" t="s">
        <v>2602</v>
      </c>
    </row>
    <row r="527" spans="2:2">
      <c r="B527" t="s">
        <v>2603</v>
      </c>
    </row>
    <row r="528" spans="2:2">
      <c r="B528" t="s">
        <v>1037</v>
      </c>
    </row>
    <row r="529" spans="2:2">
      <c r="B529" t="s">
        <v>2604</v>
      </c>
    </row>
    <row r="530" spans="2:2">
      <c r="B530" t="s">
        <v>2605</v>
      </c>
    </row>
    <row r="531" spans="2:2">
      <c r="B531" t="s">
        <v>2606</v>
      </c>
    </row>
    <row r="532" spans="2:2">
      <c r="B532" t="s">
        <v>2607</v>
      </c>
    </row>
    <row r="533" spans="2:2">
      <c r="B533" t="s">
        <v>2608</v>
      </c>
    </row>
    <row r="534" spans="2:2">
      <c r="B534" t="s">
        <v>2609</v>
      </c>
    </row>
    <row r="535" spans="2:2">
      <c r="B535" t="s">
        <v>2610</v>
      </c>
    </row>
    <row r="536" spans="2:2">
      <c r="B536" t="s">
        <v>2611</v>
      </c>
    </row>
    <row r="537" spans="2:2">
      <c r="B537" t="s">
        <v>2612</v>
      </c>
    </row>
    <row r="538" spans="2:2">
      <c r="B538" t="s">
        <v>2613</v>
      </c>
    </row>
    <row r="539" spans="2:2">
      <c r="B539" t="s">
        <v>2614</v>
      </c>
    </row>
    <row r="540" spans="2:2">
      <c r="B540" t="s">
        <v>2615</v>
      </c>
    </row>
    <row r="541" spans="2:2">
      <c r="B541" t="s">
        <v>2616</v>
      </c>
    </row>
    <row r="542" spans="2:2">
      <c r="B542" t="s">
        <v>2617</v>
      </c>
    </row>
    <row r="543" spans="2:2">
      <c r="B543" t="s">
        <v>2618</v>
      </c>
    </row>
    <row r="544" spans="2:2">
      <c r="B544" t="s">
        <v>2619</v>
      </c>
    </row>
    <row r="545" spans="2:2">
      <c r="B545" t="s">
        <v>2620</v>
      </c>
    </row>
    <row r="546" spans="2:2">
      <c r="B546" t="s">
        <v>2621</v>
      </c>
    </row>
    <row r="547" spans="2:2">
      <c r="B547" t="s">
        <v>2622</v>
      </c>
    </row>
    <row r="548" spans="2:2">
      <c r="B548" t="s">
        <v>2623</v>
      </c>
    </row>
    <row r="549" spans="2:2">
      <c r="B549" t="s">
        <v>2624</v>
      </c>
    </row>
    <row r="550" spans="2:2">
      <c r="B550" t="s">
        <v>2625</v>
      </c>
    </row>
    <row r="551" spans="2:2">
      <c r="B551" t="s">
        <v>2626</v>
      </c>
    </row>
    <row r="552" spans="2:2">
      <c r="B552" t="s">
        <v>2627</v>
      </c>
    </row>
    <row r="553" spans="2:2">
      <c r="B553" t="s">
        <v>2628</v>
      </c>
    </row>
    <row r="554" spans="2:2">
      <c r="B554" t="s">
        <v>2629</v>
      </c>
    </row>
    <row r="555" spans="2:2">
      <c r="B555" t="s">
        <v>2630</v>
      </c>
    </row>
    <row r="556" spans="2:2">
      <c r="B556" t="s">
        <v>2631</v>
      </c>
    </row>
    <row r="557" spans="2:2">
      <c r="B557" t="s">
        <v>2632</v>
      </c>
    </row>
    <row r="558" spans="2:2">
      <c r="B558" t="s">
        <v>2633</v>
      </c>
    </row>
    <row r="559" spans="2:2">
      <c r="B559" t="s">
        <v>2634</v>
      </c>
    </row>
    <row r="560" spans="2:2">
      <c r="B560" t="s">
        <v>1037</v>
      </c>
    </row>
    <row r="561" spans="2:2">
      <c r="B561" t="s">
        <v>2635</v>
      </c>
    </row>
    <row r="562" spans="2:2">
      <c r="B562" t="s">
        <v>2636</v>
      </c>
    </row>
    <row r="563" spans="2:2">
      <c r="B563" t="s">
        <v>2637</v>
      </c>
    </row>
    <row r="564" spans="2:2">
      <c r="B564" t="s">
        <v>2638</v>
      </c>
    </row>
    <row r="565" spans="2:2">
      <c r="B565" t="s">
        <v>2639</v>
      </c>
    </row>
    <row r="566" spans="2:2">
      <c r="B566" t="s">
        <v>2640</v>
      </c>
    </row>
    <row r="567" spans="2:2">
      <c r="B567" t="s">
        <v>2641</v>
      </c>
    </row>
    <row r="568" spans="2:2">
      <c r="B568" t="s">
        <v>2642</v>
      </c>
    </row>
    <row r="569" spans="2:2">
      <c r="B569" t="s">
        <v>2643</v>
      </c>
    </row>
    <row r="570" spans="2:2">
      <c r="B570" t="s">
        <v>2644</v>
      </c>
    </row>
    <row r="571" spans="2:2">
      <c r="B571" t="s">
        <v>2645</v>
      </c>
    </row>
    <row r="572" spans="2:2">
      <c r="B572" t="s">
        <v>2646</v>
      </c>
    </row>
    <row r="573" spans="2:2">
      <c r="B573" t="s">
        <v>2647</v>
      </c>
    </row>
    <row r="574" spans="2:2">
      <c r="B574" t="s">
        <v>2648</v>
      </c>
    </row>
    <row r="575" spans="2:2">
      <c r="B575" t="s">
        <v>2649</v>
      </c>
    </row>
    <row r="576" spans="2:2">
      <c r="B576" t="s">
        <v>2650</v>
      </c>
    </row>
    <row r="577" spans="2:2">
      <c r="B577" t="s">
        <v>2651</v>
      </c>
    </row>
    <row r="578" spans="2:2">
      <c r="B578" t="s">
        <v>2652</v>
      </c>
    </row>
    <row r="579" spans="2:2">
      <c r="B579" t="s">
        <v>2653</v>
      </c>
    </row>
    <row r="580" spans="2:2">
      <c r="B580" t="s">
        <v>2654</v>
      </c>
    </row>
    <row r="581" spans="2:2">
      <c r="B581" t="s">
        <v>2655</v>
      </c>
    </row>
    <row r="582" spans="2:2">
      <c r="B582" t="s">
        <v>2656</v>
      </c>
    </row>
    <row r="583" spans="2:2">
      <c r="B583" t="s">
        <v>2657</v>
      </c>
    </row>
    <row r="584" spans="2:2">
      <c r="B584" t="s">
        <v>2658</v>
      </c>
    </row>
    <row r="585" spans="2:2">
      <c r="B585" t="s">
        <v>2659</v>
      </c>
    </row>
    <row r="586" spans="2:2">
      <c r="B586" t="s">
        <v>2660</v>
      </c>
    </row>
    <row r="587" spans="2:2">
      <c r="B587" t="s">
        <v>2661</v>
      </c>
    </row>
    <row r="588" spans="2:2">
      <c r="B588" t="s">
        <v>2662</v>
      </c>
    </row>
    <row r="589" spans="2:2">
      <c r="B589" t="s">
        <v>2663</v>
      </c>
    </row>
    <row r="590" spans="2:2">
      <c r="B590" t="s">
        <v>2664</v>
      </c>
    </row>
    <row r="591" spans="2:2">
      <c r="B591" t="s">
        <v>2665</v>
      </c>
    </row>
    <row r="592" spans="2:2">
      <c r="B592" t="s">
        <v>1037</v>
      </c>
    </row>
    <row r="593" spans="2:2">
      <c r="B593" t="s">
        <v>2666</v>
      </c>
    </row>
    <row r="594" spans="2:2">
      <c r="B594" t="s">
        <v>2667</v>
      </c>
    </row>
    <row r="595" spans="2:2">
      <c r="B595" t="s">
        <v>2668</v>
      </c>
    </row>
    <row r="596" spans="2:2">
      <c r="B596" t="s">
        <v>2669</v>
      </c>
    </row>
    <row r="597" spans="2:2">
      <c r="B597" t="s">
        <v>2670</v>
      </c>
    </row>
    <row r="598" spans="2:2">
      <c r="B598" t="s">
        <v>2671</v>
      </c>
    </row>
    <row r="599" spans="2:2">
      <c r="B599" t="s">
        <v>2672</v>
      </c>
    </row>
    <row r="600" spans="2:2">
      <c r="B600" t="s">
        <v>2673</v>
      </c>
    </row>
    <row r="601" spans="2:2">
      <c r="B601" t="s">
        <v>2674</v>
      </c>
    </row>
    <row r="602" spans="2:2">
      <c r="B602" t="s">
        <v>2675</v>
      </c>
    </row>
    <row r="603" spans="2:2">
      <c r="B603" t="s">
        <v>2676</v>
      </c>
    </row>
    <row r="604" spans="2:2">
      <c r="B604" t="s">
        <v>2677</v>
      </c>
    </row>
    <row r="605" spans="2:2">
      <c r="B605" t="s">
        <v>2678</v>
      </c>
    </row>
    <row r="606" spans="2:2">
      <c r="B606" t="s">
        <v>2679</v>
      </c>
    </row>
    <row r="607" spans="2:2">
      <c r="B607" t="s">
        <v>2680</v>
      </c>
    </row>
    <row r="608" spans="2:2">
      <c r="B608" t="s">
        <v>2681</v>
      </c>
    </row>
    <row r="609" spans="2:2">
      <c r="B609" t="s">
        <v>2682</v>
      </c>
    </row>
    <row r="610" spans="2:2">
      <c r="B610" t="s">
        <v>2683</v>
      </c>
    </row>
    <row r="611" spans="2:2">
      <c r="B611" t="s">
        <v>2684</v>
      </c>
    </row>
    <row r="612" spans="2:2">
      <c r="B612" t="s">
        <v>2685</v>
      </c>
    </row>
    <row r="613" spans="2:2">
      <c r="B613" t="s">
        <v>2686</v>
      </c>
    </row>
    <row r="614" spans="2:2">
      <c r="B614" t="s">
        <v>2687</v>
      </c>
    </row>
    <row r="615" spans="2:2">
      <c r="B615" t="s">
        <v>2688</v>
      </c>
    </row>
    <row r="616" spans="2:2">
      <c r="B616" t="s">
        <v>2689</v>
      </c>
    </row>
    <row r="617" spans="2:2">
      <c r="B617" t="s">
        <v>2690</v>
      </c>
    </row>
    <row r="618" spans="2:2">
      <c r="B618" t="s">
        <v>2691</v>
      </c>
    </row>
    <row r="619" spans="2:2">
      <c r="B619" t="s">
        <v>2692</v>
      </c>
    </row>
    <row r="620" spans="2:2">
      <c r="B620" t="s">
        <v>2693</v>
      </c>
    </row>
    <row r="621" spans="2:2">
      <c r="B621" t="s">
        <v>2694</v>
      </c>
    </row>
    <row r="622" spans="2:2">
      <c r="B622" t="s">
        <v>2695</v>
      </c>
    </row>
    <row r="623" spans="2:2">
      <c r="B623" t="s">
        <v>2696</v>
      </c>
    </row>
    <row r="624" spans="2:2">
      <c r="B624" t="s">
        <v>1037</v>
      </c>
    </row>
    <row r="625" spans="2:2">
      <c r="B625" t="s">
        <v>2697</v>
      </c>
    </row>
    <row r="626" spans="2:2">
      <c r="B626" t="s">
        <v>2698</v>
      </c>
    </row>
    <row r="627" spans="2:2">
      <c r="B627" t="s">
        <v>2699</v>
      </c>
    </row>
    <row r="628" spans="2:2">
      <c r="B628" t="s">
        <v>2700</v>
      </c>
    </row>
    <row r="629" spans="2:2">
      <c r="B629" t="s">
        <v>2701</v>
      </c>
    </row>
    <row r="630" spans="2:2">
      <c r="B630" t="s">
        <v>2702</v>
      </c>
    </row>
    <row r="631" spans="2:2">
      <c r="B631" t="s">
        <v>2703</v>
      </c>
    </row>
    <row r="632" spans="2:2">
      <c r="B632" t="s">
        <v>2704</v>
      </c>
    </row>
    <row r="633" spans="2:2">
      <c r="B633" t="s">
        <v>2705</v>
      </c>
    </row>
    <row r="634" spans="2:2">
      <c r="B634" t="s">
        <v>2706</v>
      </c>
    </row>
    <row r="635" spans="2:2">
      <c r="B635" t="s">
        <v>2707</v>
      </c>
    </row>
    <row r="636" spans="2:2">
      <c r="B636" t="s">
        <v>2708</v>
      </c>
    </row>
    <row r="637" spans="2:2">
      <c r="B637" t="s">
        <v>2709</v>
      </c>
    </row>
    <row r="638" spans="2:2">
      <c r="B638" t="s">
        <v>2710</v>
      </c>
    </row>
    <row r="639" spans="2:2">
      <c r="B639" t="s">
        <v>2711</v>
      </c>
    </row>
    <row r="640" spans="2:2">
      <c r="B640" t="s">
        <v>2712</v>
      </c>
    </row>
    <row r="641" spans="2:2">
      <c r="B641" t="s">
        <v>2713</v>
      </c>
    </row>
    <row r="642" spans="2:2">
      <c r="B642" t="s">
        <v>2714</v>
      </c>
    </row>
    <row r="643" spans="2:2">
      <c r="B643" t="s">
        <v>2715</v>
      </c>
    </row>
    <row r="644" spans="2:2">
      <c r="B644" t="s">
        <v>2716</v>
      </c>
    </row>
    <row r="645" spans="2:2">
      <c r="B645" t="s">
        <v>2717</v>
      </c>
    </row>
    <row r="646" spans="2:2">
      <c r="B646" t="s">
        <v>2718</v>
      </c>
    </row>
    <row r="647" spans="2:2">
      <c r="B647" t="s">
        <v>2719</v>
      </c>
    </row>
    <row r="648" spans="2:2">
      <c r="B648" t="s">
        <v>2720</v>
      </c>
    </row>
    <row r="649" spans="2:2">
      <c r="B649" t="s">
        <v>2721</v>
      </c>
    </row>
    <row r="650" spans="2:2">
      <c r="B650" t="s">
        <v>2722</v>
      </c>
    </row>
    <row r="651" spans="2:2">
      <c r="B651" t="s">
        <v>2723</v>
      </c>
    </row>
    <row r="652" spans="2:2">
      <c r="B652" t="s">
        <v>2724</v>
      </c>
    </row>
    <row r="653" spans="2:2">
      <c r="B653" t="s">
        <v>2725</v>
      </c>
    </row>
    <row r="654" spans="2:2">
      <c r="B654" t="s">
        <v>2726</v>
      </c>
    </row>
    <row r="655" spans="2:2">
      <c r="B655" t="s">
        <v>2727</v>
      </c>
    </row>
    <row r="656" spans="2:2">
      <c r="B656" t="s">
        <v>1037</v>
      </c>
    </row>
    <row r="657" spans="2:2">
      <c r="B657" t="s">
        <v>1100</v>
      </c>
    </row>
    <row r="658" spans="2:2">
      <c r="B658" t="s">
        <v>1005</v>
      </c>
    </row>
    <row r="659" spans="2:2">
      <c r="B659" t="s">
        <v>2728</v>
      </c>
    </row>
    <row r="660" spans="2:2">
      <c r="B660" t="s">
        <v>2729</v>
      </c>
    </row>
    <row r="661" spans="2:2">
      <c r="B661" t="s">
        <v>2730</v>
      </c>
    </row>
    <row r="662" spans="2:2">
      <c r="B662" t="s">
        <v>2731</v>
      </c>
    </row>
    <row r="663" spans="2:2">
      <c r="B663" t="s">
        <v>2732</v>
      </c>
    </row>
    <row r="664" spans="2:2">
      <c r="B664" t="s">
        <v>2733</v>
      </c>
    </row>
    <row r="665" spans="2:2">
      <c r="B665" t="s">
        <v>2734</v>
      </c>
    </row>
    <row r="666" spans="2:2">
      <c r="B666" t="s">
        <v>2735</v>
      </c>
    </row>
    <row r="667" spans="2:2">
      <c r="B667" t="s">
        <v>1037</v>
      </c>
    </row>
    <row r="668" spans="2:2">
      <c r="B668" t="s">
        <v>2736</v>
      </c>
    </row>
    <row r="669" spans="2:2">
      <c r="B669" t="s">
        <v>2737</v>
      </c>
    </row>
    <row r="670" spans="2:2">
      <c r="B670" t="s">
        <v>2738</v>
      </c>
    </row>
    <row r="671" spans="2:2">
      <c r="B671" t="s">
        <v>2739</v>
      </c>
    </row>
    <row r="672" spans="2:2">
      <c r="B672" t="s">
        <v>2740</v>
      </c>
    </row>
    <row r="673" spans="2:2">
      <c r="B673" t="s">
        <v>2741</v>
      </c>
    </row>
    <row r="674" spans="2:2">
      <c r="B674" t="s">
        <v>2742</v>
      </c>
    </row>
    <row r="675" spans="2:2">
      <c r="B675" t="s">
        <v>2743</v>
      </c>
    </row>
    <row r="676" spans="2:2">
      <c r="B676" t="s">
        <v>1037</v>
      </c>
    </row>
    <row r="677" spans="2:2">
      <c r="B677" t="s">
        <v>2744</v>
      </c>
    </row>
    <row r="678" spans="2:2">
      <c r="B678" t="s">
        <v>2745</v>
      </c>
    </row>
    <row r="679" spans="2:2">
      <c r="B679" t="s">
        <v>2746</v>
      </c>
    </row>
    <row r="680" spans="2:2">
      <c r="B680" t="s">
        <v>2747</v>
      </c>
    </row>
    <row r="681" spans="2:2">
      <c r="B681" t="s">
        <v>2748</v>
      </c>
    </row>
    <row r="682" spans="2:2">
      <c r="B682" t="s">
        <v>2749</v>
      </c>
    </row>
    <row r="683" spans="2:2">
      <c r="B683" t="s">
        <v>2750</v>
      </c>
    </row>
    <row r="684" spans="2:2">
      <c r="B684" t="s">
        <v>2751</v>
      </c>
    </row>
    <row r="685" spans="2:2">
      <c r="B685" t="s">
        <v>1037</v>
      </c>
    </row>
    <row r="686" spans="2:2">
      <c r="B686" t="s">
        <v>1100</v>
      </c>
    </row>
    <row r="687" spans="2:2">
      <c r="B687" t="s">
        <v>1101</v>
      </c>
    </row>
    <row r="688" spans="2:2">
      <c r="B688" t="s">
        <v>2752</v>
      </c>
    </row>
    <row r="689" spans="2:2">
      <c r="B689" t="s">
        <v>2753</v>
      </c>
    </row>
    <row r="690" spans="2:2">
      <c r="B690" t="s">
        <v>2754</v>
      </c>
    </row>
    <row r="691" spans="2:2">
      <c r="B691" t="s">
        <v>2755</v>
      </c>
    </row>
    <row r="692" spans="2:2">
      <c r="B692" t="s">
        <v>1037</v>
      </c>
    </row>
    <row r="693" spans="2:2">
      <c r="B693" t="s">
        <v>2756</v>
      </c>
    </row>
    <row r="694" spans="2:2">
      <c r="B694" t="s">
        <v>2757</v>
      </c>
    </row>
    <row r="695" spans="2:2">
      <c r="B695" t="s">
        <v>2758</v>
      </c>
    </row>
    <row r="696" spans="2:2">
      <c r="B696" t="s">
        <v>2759</v>
      </c>
    </row>
    <row r="697" spans="2:2">
      <c r="B697" t="s">
        <v>1037</v>
      </c>
    </row>
    <row r="698" spans="2:2">
      <c r="B698" t="s">
        <v>1100</v>
      </c>
    </row>
    <row r="699" spans="2:2">
      <c r="B699" t="s">
        <v>1110</v>
      </c>
    </row>
    <row r="700" spans="2:2">
      <c r="B700" t="s">
        <v>2760</v>
      </c>
    </row>
    <row r="701" spans="2:2">
      <c r="B701" t="s">
        <v>1112</v>
      </c>
    </row>
    <row r="702" spans="2:2">
      <c r="B702" t="s">
        <v>1113</v>
      </c>
    </row>
    <row r="703" spans="2:2">
      <c r="B703" t="s">
        <v>823</v>
      </c>
    </row>
    <row r="704" spans="2:2">
      <c r="B704" t="s">
        <v>1114</v>
      </c>
    </row>
    <row r="705" spans="2:2">
      <c r="B705" t="s">
        <v>2426</v>
      </c>
    </row>
    <row r="706" spans="2:2">
      <c r="B706" t="s">
        <v>1112</v>
      </c>
    </row>
    <row r="707" spans="2:2">
      <c r="B707" t="s">
        <v>1116</v>
      </c>
    </row>
    <row r="708" spans="2:2">
      <c r="B708" t="s">
        <v>823</v>
      </c>
    </row>
    <row r="709" spans="2:2">
      <c r="B709" t="s">
        <v>1114</v>
      </c>
    </row>
    <row r="710" spans="2:2">
      <c r="B710" t="s">
        <v>1117</v>
      </c>
    </row>
    <row r="711" spans="2:2">
      <c r="B711" t="s">
        <v>1118</v>
      </c>
    </row>
    <row r="712" spans="2:2">
      <c r="B712" t="s">
        <v>1119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4'!$B$10:$B$10" display="Inputs" xr:uid="{3CECD2DB-5FEF-42D3-B5AA-33957A68950B}"/>
    <hyperlink ref="D4" location="'NNC_Stored4'!$B$10:$B$10" display="PMML Model" xr:uid="{2B298783-D9EF-4F08-9D17-08C9DE7CB497}"/>
    <hyperlink ref="F4" location="'NNC_TrainLog4'!$B$10:$B$10" display="Training Log" xr:uid="{C204D61A-C9A5-4DAD-9BCD-5628B71DFAD0}"/>
    <hyperlink ref="H4" location="'NNC_TrainingScore4'!$B$10:$B$10" display="Training: Classification Summary" xr:uid="{6F1F059A-4C72-45AB-9BBF-D63421204739}"/>
    <hyperlink ref="J4" location="'NNC_ValidationScore4'!$B$10:$B$10" display="Validation: Classification Summary" xr:uid="{84D03BF8-1BD9-482E-86C2-C6D3AA9D331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84A2-807F-4C28-8755-32AB4F75647B}">
  <dimension ref="B1:CV605"/>
  <sheetViews>
    <sheetView showGridLines="0" topLeftCell="B32" zoomScaleNormal="100" workbookViewId="0">
      <selection activeCell="F49" sqref="F49"/>
    </sheetView>
  </sheetViews>
  <sheetFormatPr defaultRowHeight="14.4"/>
  <cols>
    <col min="3" max="4" width="11" customWidth="1"/>
    <col min="5" max="9" width="18.109375" customWidth="1"/>
    <col min="10" max="10" width="29.109375" bestFit="1" customWidth="1"/>
    <col min="11" max="13" width="18.109375" customWidth="1"/>
    <col min="14" max="34" width="19.109375" customWidth="1"/>
  </cols>
  <sheetData>
    <row r="1" spans="2:100" ht="18">
      <c r="B1" s="8" t="s">
        <v>709</v>
      </c>
      <c r="N1" t="s">
        <v>1233</v>
      </c>
      <c r="CV1" s="15" t="s">
        <v>1229</v>
      </c>
    </row>
    <row r="3" spans="2:100" ht="15.6">
      <c r="B3" s="17" t="s">
        <v>80</v>
      </c>
      <c r="C3" s="18"/>
      <c r="D3" s="18"/>
      <c r="E3" s="18"/>
      <c r="F3" s="18"/>
      <c r="G3" s="19"/>
      <c r="J3" s="17" t="s">
        <v>103</v>
      </c>
      <c r="K3" s="18"/>
      <c r="L3" s="18"/>
      <c r="M3" s="19"/>
    </row>
    <row r="4" spans="2:100">
      <c r="B4" s="16" t="s">
        <v>81</v>
      </c>
      <c r="C4" s="16"/>
      <c r="D4" s="16" t="s">
        <v>710</v>
      </c>
      <c r="E4" s="16"/>
      <c r="F4" s="16" t="s">
        <v>721</v>
      </c>
      <c r="G4" s="16"/>
      <c r="J4" s="14" t="s">
        <v>104</v>
      </c>
      <c r="K4" s="14" t="s">
        <v>105</v>
      </c>
      <c r="L4" s="14" t="s">
        <v>106</v>
      </c>
      <c r="M4" s="14" t="s">
        <v>107</v>
      </c>
    </row>
    <row r="5" spans="2:100">
      <c r="J5" s="12">
        <v>698</v>
      </c>
      <c r="K5" s="12">
        <v>16</v>
      </c>
      <c r="L5" s="12">
        <v>38</v>
      </c>
      <c r="M5" s="12">
        <v>752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</row>
    <row r="13" spans="2:100">
      <c r="C13" s="20" t="s">
        <v>84</v>
      </c>
      <c r="D13" s="20"/>
      <c r="E13" s="21"/>
      <c r="F13" s="24" t="s">
        <v>98</v>
      </c>
      <c r="G13" s="24"/>
      <c r="H13" s="24"/>
      <c r="I13" s="24"/>
    </row>
    <row r="14" spans="2:100">
      <c r="C14" s="20" t="s">
        <v>85</v>
      </c>
      <c r="D14" s="20"/>
      <c r="E14" s="21"/>
      <c r="F14" s="24" t="s">
        <v>716</v>
      </c>
      <c r="G14" s="24"/>
      <c r="H14" s="24"/>
      <c r="I14" s="24"/>
    </row>
    <row r="15" spans="2:100">
      <c r="C15" s="20" t="s">
        <v>86</v>
      </c>
      <c r="D15" s="20"/>
      <c r="E15" s="21"/>
      <c r="F15" s="24" t="s">
        <v>717</v>
      </c>
      <c r="G15" s="24"/>
      <c r="H15" s="24"/>
      <c r="I15" s="24"/>
    </row>
    <row r="16" spans="2:100">
      <c r="C16" s="20" t="s">
        <v>87</v>
      </c>
      <c r="D16" s="20"/>
      <c r="E16" s="21"/>
      <c r="F16" s="23">
        <v>569</v>
      </c>
      <c r="G16" s="23"/>
      <c r="H16" s="23"/>
      <c r="I16" s="23"/>
    </row>
    <row r="18" spans="2:36" ht="15.6">
      <c r="C18" s="22" t="s">
        <v>88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 spans="2:36">
      <c r="C19" s="20" t="s">
        <v>89</v>
      </c>
      <c r="D19" s="20"/>
      <c r="E19" s="21"/>
      <c r="F19" s="23">
        <v>31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2:36">
      <c r="C20" s="20" t="s">
        <v>90</v>
      </c>
      <c r="D20" s="20"/>
      <c r="E20" s="21"/>
      <c r="F20" s="12" t="s">
        <v>718</v>
      </c>
      <c r="G20" s="12" t="s">
        <v>110</v>
      </c>
      <c r="H20" s="12" t="s">
        <v>111</v>
      </c>
      <c r="I20" s="12" t="s">
        <v>112</v>
      </c>
      <c r="J20" s="12" t="s">
        <v>113</v>
      </c>
      <c r="K20" s="12" t="s">
        <v>114</v>
      </c>
      <c r="L20" s="12" t="s">
        <v>115</v>
      </c>
      <c r="M20" s="12" t="s">
        <v>116</v>
      </c>
      <c r="N20" s="12" t="s">
        <v>117</v>
      </c>
      <c r="O20" s="12" t="s">
        <v>118</v>
      </c>
      <c r="P20" s="12" t="s">
        <v>119</v>
      </c>
      <c r="Q20" s="12" t="s">
        <v>120</v>
      </c>
      <c r="R20" s="12" t="s">
        <v>121</v>
      </c>
      <c r="S20" s="12" t="s">
        <v>122</v>
      </c>
      <c r="T20" s="12" t="s">
        <v>123</v>
      </c>
      <c r="U20" s="12" t="s">
        <v>124</v>
      </c>
      <c r="V20" s="12" t="s">
        <v>125</v>
      </c>
      <c r="W20" s="12" t="s">
        <v>126</v>
      </c>
      <c r="X20" s="12" t="s">
        <v>127</v>
      </c>
      <c r="Y20" s="12" t="s">
        <v>128</v>
      </c>
      <c r="Z20" s="12" t="s">
        <v>129</v>
      </c>
      <c r="AA20" s="12" t="s">
        <v>130</v>
      </c>
      <c r="AB20" s="12" t="s">
        <v>131</v>
      </c>
      <c r="AC20" s="12" t="s">
        <v>132</v>
      </c>
      <c r="AD20" s="12" t="s">
        <v>133</v>
      </c>
      <c r="AE20" s="12" t="s">
        <v>134</v>
      </c>
      <c r="AF20" s="12" t="s">
        <v>135</v>
      </c>
      <c r="AG20" s="12" t="s">
        <v>136</v>
      </c>
      <c r="AH20" s="12" t="s">
        <v>137</v>
      </c>
      <c r="AI20" s="12" t="s">
        <v>138</v>
      </c>
      <c r="AJ20" s="12" t="s">
        <v>139</v>
      </c>
    </row>
    <row r="22" spans="2:36" ht="15.6">
      <c r="C22" s="22" t="s">
        <v>711</v>
      </c>
      <c r="D22" s="22"/>
      <c r="E22" s="22"/>
      <c r="F22" s="22"/>
      <c r="G22" s="22"/>
      <c r="H22" s="22"/>
      <c r="I22" s="22"/>
    </row>
    <row r="23" spans="2:36">
      <c r="C23" s="20" t="s">
        <v>712</v>
      </c>
      <c r="D23" s="20"/>
      <c r="E23" s="21"/>
      <c r="F23" s="23" t="s">
        <v>719</v>
      </c>
      <c r="G23" s="23"/>
      <c r="H23" s="23"/>
      <c r="I23" s="23"/>
    </row>
    <row r="24" spans="2:36">
      <c r="C24" s="20" t="s">
        <v>713</v>
      </c>
      <c r="D24" s="20"/>
      <c r="E24" s="21"/>
      <c r="F24" s="23">
        <v>12345</v>
      </c>
      <c r="G24" s="23"/>
      <c r="H24" s="23"/>
      <c r="I24" s="23"/>
    </row>
    <row r="25" spans="2:36">
      <c r="C25" s="20" t="s">
        <v>714</v>
      </c>
      <c r="D25" s="20"/>
      <c r="E25" s="21"/>
      <c r="F25" s="23">
        <v>0.8</v>
      </c>
      <c r="G25" s="23"/>
      <c r="H25" s="23"/>
      <c r="I25" s="23"/>
    </row>
    <row r="26" spans="2:36">
      <c r="C26" s="20" t="s">
        <v>715</v>
      </c>
      <c r="D26" s="20"/>
      <c r="E26" s="21"/>
      <c r="F26" s="23">
        <v>0.2</v>
      </c>
      <c r="G26" s="23"/>
      <c r="H26" s="23"/>
      <c r="I26" s="23"/>
    </row>
    <row r="28" spans="2:36" ht="18">
      <c r="B28" s="9" t="s">
        <v>710</v>
      </c>
    </row>
    <row r="30" spans="2:36">
      <c r="C30" s="11" t="s">
        <v>722</v>
      </c>
      <c r="D30" t="s">
        <v>723</v>
      </c>
    </row>
    <row r="31" spans="2:36">
      <c r="C31" s="11" t="s">
        <v>724</v>
      </c>
      <c r="D31">
        <v>455</v>
      </c>
    </row>
    <row r="32" spans="2:36">
      <c r="C32" s="11" t="s">
        <v>725</v>
      </c>
      <c r="D32">
        <v>114</v>
      </c>
    </row>
    <row r="34" spans="2:34" ht="18">
      <c r="B34" s="9" t="s">
        <v>721</v>
      </c>
    </row>
    <row r="36" spans="2:34">
      <c r="C36" s="11" t="s">
        <v>109</v>
      </c>
      <c r="D36" t="s">
        <v>718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115</v>
      </c>
      <c r="K36" t="s">
        <v>116</v>
      </c>
      <c r="L36" t="s">
        <v>117</v>
      </c>
      <c r="M36" t="s">
        <v>118</v>
      </c>
      <c r="N36" t="s">
        <v>119</v>
      </c>
      <c r="O36" t="s">
        <v>120</v>
      </c>
      <c r="P36" t="s">
        <v>121</v>
      </c>
      <c r="Q36" t="s">
        <v>122</v>
      </c>
      <c r="R36" t="s">
        <v>123</v>
      </c>
      <c r="S36" t="s">
        <v>124</v>
      </c>
      <c r="T36" t="s">
        <v>125</v>
      </c>
      <c r="U36" t="s">
        <v>126</v>
      </c>
      <c r="V36" t="s">
        <v>127</v>
      </c>
      <c r="W36" t="s">
        <v>128</v>
      </c>
      <c r="X36" t="s">
        <v>129</v>
      </c>
      <c r="Y36" t="s">
        <v>130</v>
      </c>
      <c r="Z36" t="s">
        <v>131</v>
      </c>
      <c r="AA36" t="s">
        <v>132</v>
      </c>
      <c r="AB36" t="s">
        <v>133</v>
      </c>
      <c r="AC36" t="s">
        <v>134</v>
      </c>
      <c r="AD36" t="s">
        <v>135</v>
      </c>
      <c r="AE36" t="s">
        <v>136</v>
      </c>
      <c r="AF36" t="s">
        <v>137</v>
      </c>
      <c r="AG36" t="s">
        <v>138</v>
      </c>
      <c r="AH36" t="s">
        <v>139</v>
      </c>
    </row>
    <row r="37" spans="2:34">
      <c r="C37" s="11" t="s">
        <v>140</v>
      </c>
      <c r="D37" s="10" t="s">
        <v>0</v>
      </c>
      <c r="E37" s="10">
        <v>17.989999999999899</v>
      </c>
      <c r="F37" s="10">
        <v>10.38</v>
      </c>
      <c r="G37" s="10">
        <v>122.8</v>
      </c>
      <c r="H37" s="10">
        <v>1001</v>
      </c>
      <c r="I37" s="10">
        <v>0.11840000000000001</v>
      </c>
      <c r="J37" s="10">
        <v>0.27760000000000001</v>
      </c>
      <c r="K37" s="10">
        <v>0.30009999999999898</v>
      </c>
      <c r="L37" s="10">
        <v>0.14710000000000001</v>
      </c>
      <c r="M37" s="10">
        <v>0.2419</v>
      </c>
      <c r="N37" s="10">
        <v>7.8710000000000002E-2</v>
      </c>
      <c r="O37" s="10">
        <v>1.095</v>
      </c>
      <c r="P37" s="10">
        <v>0.90529999999999899</v>
      </c>
      <c r="Q37" s="10">
        <v>8.5890000000000004</v>
      </c>
      <c r="R37" s="10">
        <v>153.4</v>
      </c>
      <c r="S37" s="10">
        <v>6.3990000000000002E-3</v>
      </c>
      <c r="T37" s="10">
        <v>4.904E-2</v>
      </c>
      <c r="U37" s="10">
        <v>5.373E-2</v>
      </c>
      <c r="V37" s="10">
        <v>1.5869999999999902E-2</v>
      </c>
      <c r="W37" s="10">
        <v>3.0030000000000001E-2</v>
      </c>
      <c r="X37" s="10">
        <v>6.1929999999999902E-3</v>
      </c>
      <c r="Y37" s="10">
        <v>25.3799999999999</v>
      </c>
      <c r="Z37" s="10">
        <v>17.329999999999899</v>
      </c>
      <c r="AA37" s="10">
        <v>184.599999999999</v>
      </c>
      <c r="AB37" s="10">
        <v>2019</v>
      </c>
      <c r="AC37" s="10">
        <v>0.16220000000000001</v>
      </c>
      <c r="AD37" s="10">
        <v>0.66559999999999897</v>
      </c>
      <c r="AE37" s="10">
        <v>0.71189999999999898</v>
      </c>
      <c r="AF37" s="10">
        <v>0.26540000000000002</v>
      </c>
      <c r="AG37" s="10">
        <v>0.46010000000000001</v>
      </c>
      <c r="AH37">
        <v>0.11890000000000001</v>
      </c>
    </row>
    <row r="38" spans="2:34">
      <c r="C38" s="11" t="s">
        <v>141</v>
      </c>
      <c r="D38" s="10" t="s">
        <v>0</v>
      </c>
      <c r="E38" s="10">
        <v>20.57</v>
      </c>
      <c r="F38" s="10">
        <v>17.77</v>
      </c>
      <c r="G38" s="10">
        <v>132.9</v>
      </c>
      <c r="H38" s="10">
        <v>1326</v>
      </c>
      <c r="I38" s="10">
        <v>8.4739999999999899E-2</v>
      </c>
      <c r="J38" s="10">
        <v>7.8640000000000002E-2</v>
      </c>
      <c r="K38" s="10">
        <v>8.6900000000000005E-2</v>
      </c>
      <c r="L38" s="10">
        <v>7.0169999999999899E-2</v>
      </c>
      <c r="M38" s="10">
        <v>0.1812</v>
      </c>
      <c r="N38" s="10">
        <v>5.6669999999999901E-2</v>
      </c>
      <c r="O38" s="10">
        <v>0.54349999999999898</v>
      </c>
      <c r="P38" s="10">
        <v>0.7339</v>
      </c>
      <c r="Q38" s="10">
        <v>3.3980000000000001</v>
      </c>
      <c r="R38" s="10">
        <v>74.079999999999899</v>
      </c>
      <c r="S38" s="10">
        <v>5.2249999999999901E-3</v>
      </c>
      <c r="T38" s="10">
        <v>1.308E-2</v>
      </c>
      <c r="U38" s="10">
        <v>1.8599999999999901E-2</v>
      </c>
      <c r="V38" s="10">
        <v>1.34E-2</v>
      </c>
      <c r="W38" s="10">
        <v>1.389E-2</v>
      </c>
      <c r="X38" s="10">
        <v>3.532E-3</v>
      </c>
      <c r="Y38" s="10">
        <v>24.989999999999899</v>
      </c>
      <c r="Z38" s="10">
        <v>23.41</v>
      </c>
      <c r="AA38" s="10">
        <v>158.80000000000001</v>
      </c>
      <c r="AB38" s="10">
        <v>1956</v>
      </c>
      <c r="AC38" s="10">
        <v>0.12379999999999899</v>
      </c>
      <c r="AD38" s="10">
        <v>0.18659999999999899</v>
      </c>
      <c r="AE38" s="10">
        <v>0.24160000000000001</v>
      </c>
      <c r="AF38" s="10">
        <v>0.186</v>
      </c>
      <c r="AG38" s="10">
        <v>0.27500000000000002</v>
      </c>
      <c r="AH38">
        <v>8.9020000000000002E-2</v>
      </c>
    </row>
    <row r="39" spans="2:34">
      <c r="C39" s="11" t="s">
        <v>144</v>
      </c>
      <c r="D39" s="10" t="s">
        <v>0</v>
      </c>
      <c r="E39" s="10">
        <v>20.2899999999999</v>
      </c>
      <c r="F39" s="10">
        <v>14.34</v>
      </c>
      <c r="G39" s="10">
        <v>135.099999999999</v>
      </c>
      <c r="H39" s="10">
        <v>1297</v>
      </c>
      <c r="I39" s="10">
        <v>0.1003</v>
      </c>
      <c r="J39" s="10">
        <v>0.1328</v>
      </c>
      <c r="K39" s="10">
        <v>0.19800000000000001</v>
      </c>
      <c r="L39" s="10">
        <v>0.1043</v>
      </c>
      <c r="M39" s="10">
        <v>0.18090000000000001</v>
      </c>
      <c r="N39" s="10">
        <v>5.883E-2</v>
      </c>
      <c r="O39" s="10">
        <v>0.75719999999999898</v>
      </c>
      <c r="P39" s="10">
        <v>0.781299999999999</v>
      </c>
      <c r="Q39" s="10">
        <v>5.43799999999999</v>
      </c>
      <c r="R39" s="10">
        <v>94.439999999999898</v>
      </c>
      <c r="S39" s="10">
        <v>1.149E-2</v>
      </c>
      <c r="T39" s="10">
        <v>2.461E-2</v>
      </c>
      <c r="U39" s="10">
        <v>5.688E-2</v>
      </c>
      <c r="V39" s="10">
        <v>1.8849999999999902E-2</v>
      </c>
      <c r="W39" s="10">
        <v>1.7559999999999899E-2</v>
      </c>
      <c r="X39" s="10">
        <v>5.1149999999999902E-3</v>
      </c>
      <c r="Y39" s="10">
        <v>22.5399999999999</v>
      </c>
      <c r="Z39" s="10">
        <v>16.670000000000002</v>
      </c>
      <c r="AA39" s="10">
        <v>152.19999999999899</v>
      </c>
      <c r="AB39" s="10">
        <v>1575</v>
      </c>
      <c r="AC39" s="10">
        <v>0.137399999999999</v>
      </c>
      <c r="AD39" s="10">
        <v>0.20499999999999899</v>
      </c>
      <c r="AE39" s="10">
        <v>0.4</v>
      </c>
      <c r="AF39" s="10">
        <v>0.16250000000000001</v>
      </c>
      <c r="AG39" s="10">
        <v>0.2364</v>
      </c>
      <c r="AH39">
        <v>7.6780000000000001E-2</v>
      </c>
    </row>
    <row r="40" spans="2:34">
      <c r="C40" s="11" t="s">
        <v>147</v>
      </c>
      <c r="D40" s="10" t="s">
        <v>0</v>
      </c>
      <c r="E40" s="10">
        <v>13.71</v>
      </c>
      <c r="F40" s="10">
        <v>20.829999999999899</v>
      </c>
      <c r="G40" s="10">
        <v>90.2</v>
      </c>
      <c r="H40" s="10">
        <v>577.89999999999895</v>
      </c>
      <c r="I40" s="10">
        <v>0.11890000000000001</v>
      </c>
      <c r="J40" s="10">
        <v>0.16450000000000001</v>
      </c>
      <c r="K40" s="10">
        <v>9.3659999999999896E-2</v>
      </c>
      <c r="L40" s="10">
        <v>5.985E-2</v>
      </c>
      <c r="M40" s="10">
        <v>0.21959999999999899</v>
      </c>
      <c r="N40" s="10">
        <v>7.4510000000000007E-2</v>
      </c>
      <c r="O40" s="10">
        <v>0.58350000000000002</v>
      </c>
      <c r="P40" s="10">
        <v>1.377</v>
      </c>
      <c r="Q40" s="10">
        <v>3.8559999999999901</v>
      </c>
      <c r="R40" s="10">
        <v>50.96</v>
      </c>
      <c r="S40" s="10">
        <v>8.8050000000000003E-3</v>
      </c>
      <c r="T40" s="10">
        <v>3.0290000000000001E-2</v>
      </c>
      <c r="U40" s="10">
        <v>2.4879999999999899E-2</v>
      </c>
      <c r="V40" s="10">
        <v>1.448E-2</v>
      </c>
      <c r="W40" s="10">
        <v>1.486E-2</v>
      </c>
      <c r="X40" s="10">
        <v>5.4120000000000001E-3</v>
      </c>
      <c r="Y40" s="10">
        <v>17.059999999999899</v>
      </c>
      <c r="Z40" s="10">
        <v>28.14</v>
      </c>
      <c r="AA40" s="10">
        <v>110.599999999999</v>
      </c>
      <c r="AB40" s="10">
        <v>897</v>
      </c>
      <c r="AC40" s="10">
        <v>0.16539999999999899</v>
      </c>
      <c r="AD40" s="10">
        <v>0.36820000000000003</v>
      </c>
      <c r="AE40" s="10">
        <v>0.26779999999999898</v>
      </c>
      <c r="AF40" s="10">
        <v>0.15559999999999899</v>
      </c>
      <c r="AG40" s="10">
        <v>0.3196</v>
      </c>
      <c r="AH40">
        <v>0.11509999999999899</v>
      </c>
    </row>
    <row r="41" spans="2:34">
      <c r="C41" s="11" t="s">
        <v>150</v>
      </c>
      <c r="D41" s="10" t="s">
        <v>0</v>
      </c>
      <c r="E41" s="10">
        <v>13.71</v>
      </c>
      <c r="F41" s="10">
        <v>23.239999999999899</v>
      </c>
      <c r="G41" s="10">
        <v>102.7</v>
      </c>
      <c r="H41" s="10">
        <v>797.79999999999905</v>
      </c>
      <c r="I41" s="10">
        <v>8.2059999999999897E-2</v>
      </c>
      <c r="J41" s="10">
        <v>6.6689999999999902E-2</v>
      </c>
      <c r="K41" s="10">
        <v>3.2989999999999901E-2</v>
      </c>
      <c r="L41" s="10">
        <v>3.3230000000000003E-2</v>
      </c>
      <c r="M41" s="10">
        <v>0.15279999999999899</v>
      </c>
      <c r="N41" s="10">
        <v>5.697E-2</v>
      </c>
      <c r="O41" s="10">
        <v>0.3795</v>
      </c>
      <c r="P41" s="10">
        <v>1.1870000000000001</v>
      </c>
      <c r="Q41" s="10">
        <v>2.4660000000000002</v>
      </c>
      <c r="R41" s="10">
        <v>40.509999999999899</v>
      </c>
      <c r="S41" s="10">
        <v>4.0289999999999901E-3</v>
      </c>
      <c r="T41" s="10">
        <v>9.2689999999999908E-3</v>
      </c>
      <c r="U41" s="10">
        <v>1.1010000000000001E-2</v>
      </c>
      <c r="V41" s="10">
        <v>7.5909999999999901E-3</v>
      </c>
      <c r="W41" s="10">
        <v>1.46E-2</v>
      </c>
      <c r="X41" s="10">
        <v>3.042E-3</v>
      </c>
      <c r="Y41" s="10">
        <v>19.190000000000001</v>
      </c>
      <c r="Z41" s="10">
        <v>33.880000000000003</v>
      </c>
      <c r="AA41" s="10">
        <v>123.8</v>
      </c>
      <c r="AB41" s="10">
        <v>1150</v>
      </c>
      <c r="AC41" s="10">
        <v>0.1181</v>
      </c>
      <c r="AD41" s="10">
        <v>0.15509999999999899</v>
      </c>
      <c r="AE41" s="10">
        <v>0.1459</v>
      </c>
      <c r="AF41" s="10">
        <v>9.9750000000000005E-2</v>
      </c>
      <c r="AG41" s="10">
        <v>0.29480000000000001</v>
      </c>
      <c r="AH41">
        <v>8.4519999999999901E-2</v>
      </c>
    </row>
    <row r="42" spans="2:34">
      <c r="C42" s="11" t="s">
        <v>151</v>
      </c>
      <c r="D42" s="10" t="s">
        <v>0</v>
      </c>
      <c r="E42" s="10">
        <v>13.71</v>
      </c>
      <c r="F42" s="10">
        <v>17.89</v>
      </c>
      <c r="G42" s="10">
        <v>103.599999999999</v>
      </c>
      <c r="H42" s="10">
        <v>781</v>
      </c>
      <c r="I42" s="10">
        <v>9.7100000000000006E-2</v>
      </c>
      <c r="J42" s="10">
        <v>0.12920000000000001</v>
      </c>
      <c r="K42" s="10">
        <v>9.9540000000000003E-2</v>
      </c>
      <c r="L42" s="10">
        <v>6.6059999999999897E-2</v>
      </c>
      <c r="M42" s="10">
        <v>0.1842</v>
      </c>
      <c r="N42" s="10">
        <v>6.0819999999999902E-2</v>
      </c>
      <c r="O42" s="10">
        <v>0.50580000000000003</v>
      </c>
      <c r="P42" s="10">
        <v>0.9849</v>
      </c>
      <c r="Q42" s="10">
        <v>3.5640000000000001</v>
      </c>
      <c r="R42" s="10">
        <v>54.159999999999897</v>
      </c>
      <c r="S42" s="10">
        <v>5.7710000000000001E-3</v>
      </c>
      <c r="T42" s="10">
        <v>4.061E-2</v>
      </c>
      <c r="U42" s="10">
        <v>2.7910000000000001E-2</v>
      </c>
      <c r="V42" s="10">
        <v>1.282E-2</v>
      </c>
      <c r="W42" s="10">
        <v>2.0080000000000001E-2</v>
      </c>
      <c r="X42" s="10">
        <v>4.1440000000000001E-3</v>
      </c>
      <c r="Y42" s="10">
        <v>20.420000000000002</v>
      </c>
      <c r="Z42" s="10">
        <v>27.28</v>
      </c>
      <c r="AA42" s="10">
        <v>136.5</v>
      </c>
      <c r="AB42" s="10">
        <v>1299</v>
      </c>
      <c r="AC42" s="10">
        <v>0.1396</v>
      </c>
      <c r="AD42" s="10">
        <v>0.56089999999999895</v>
      </c>
      <c r="AE42" s="10">
        <v>0.39650000000000002</v>
      </c>
      <c r="AF42" s="10">
        <v>0.180999999999999</v>
      </c>
      <c r="AG42" s="10">
        <v>0.37919999999999898</v>
      </c>
      <c r="AH42">
        <v>0.1048</v>
      </c>
    </row>
    <row r="43" spans="2:34">
      <c r="C43" s="11" t="s">
        <v>152</v>
      </c>
      <c r="D43" s="10" t="s">
        <v>0</v>
      </c>
      <c r="E43" s="10">
        <v>13.71</v>
      </c>
      <c r="F43" s="10">
        <v>24.8</v>
      </c>
      <c r="G43" s="10">
        <v>132.4</v>
      </c>
      <c r="H43" s="10">
        <v>1123</v>
      </c>
      <c r="I43" s="10">
        <v>9.74E-2</v>
      </c>
      <c r="J43" s="10">
        <v>0.24579999999999899</v>
      </c>
      <c r="K43" s="10">
        <v>0.20649999999999899</v>
      </c>
      <c r="L43" s="10">
        <v>0.1118</v>
      </c>
      <c r="M43" s="10">
        <v>0.2397</v>
      </c>
      <c r="N43" s="10">
        <v>7.8E-2</v>
      </c>
      <c r="O43" s="10">
        <v>0.95550000000000002</v>
      </c>
      <c r="P43" s="10">
        <v>3.5680000000000001</v>
      </c>
      <c r="Q43" s="10">
        <v>11.07</v>
      </c>
      <c r="R43" s="10">
        <v>116.2</v>
      </c>
      <c r="S43" s="10">
        <v>3.1389999999999899E-3</v>
      </c>
      <c r="T43" s="10">
        <v>8.2970000000000002E-2</v>
      </c>
      <c r="U43" s="10">
        <v>8.8900000000000007E-2</v>
      </c>
      <c r="V43" s="10">
        <v>4.0899999999999902E-2</v>
      </c>
      <c r="W43" s="10">
        <v>4.4839999999999901E-2</v>
      </c>
      <c r="X43" s="10">
        <v>1.2840000000000001E-2</v>
      </c>
      <c r="Y43" s="10">
        <v>20.96</v>
      </c>
      <c r="Z43" s="10">
        <v>29.94</v>
      </c>
      <c r="AA43" s="10">
        <v>151.69999999999899</v>
      </c>
      <c r="AB43" s="10">
        <v>1332</v>
      </c>
      <c r="AC43" s="10">
        <v>0.1037</v>
      </c>
      <c r="AD43" s="10">
        <v>0.39029999999999898</v>
      </c>
      <c r="AE43" s="10">
        <v>0.3639</v>
      </c>
      <c r="AF43" s="10">
        <v>0.1767</v>
      </c>
      <c r="AG43" s="10">
        <v>0.31759999999999899</v>
      </c>
      <c r="AH43">
        <v>0.1023</v>
      </c>
    </row>
    <row r="44" spans="2:34">
      <c r="C44" s="11" t="s">
        <v>154</v>
      </c>
      <c r="D44" s="10" t="s">
        <v>0</v>
      </c>
      <c r="E44" s="10">
        <v>13.71</v>
      </c>
      <c r="F44" s="10">
        <v>22.6099999999999</v>
      </c>
      <c r="G44" s="10">
        <v>93.599999999999895</v>
      </c>
      <c r="H44" s="10">
        <v>578.29999999999905</v>
      </c>
      <c r="I44" s="10">
        <v>0.11310000000000001</v>
      </c>
      <c r="J44" s="10">
        <v>0.2293</v>
      </c>
      <c r="K44" s="10">
        <v>0.21279999999999899</v>
      </c>
      <c r="L44" s="10">
        <v>8.0250000000000002E-2</v>
      </c>
      <c r="M44" s="10">
        <v>0.2069</v>
      </c>
      <c r="N44" s="10">
        <v>7.6819999999999902E-2</v>
      </c>
      <c r="O44" s="10">
        <v>0.21210000000000001</v>
      </c>
      <c r="P44" s="10">
        <v>1.169</v>
      </c>
      <c r="Q44" s="10">
        <v>2.0609999999999902</v>
      </c>
      <c r="R44" s="10">
        <v>19.21</v>
      </c>
      <c r="S44" s="10">
        <v>6.4289999999999903E-3</v>
      </c>
      <c r="T44" s="10">
        <v>5.9360000000000003E-2</v>
      </c>
      <c r="U44" s="10">
        <v>5.5010000000000003E-2</v>
      </c>
      <c r="V44" s="10">
        <v>1.6279999999999899E-2</v>
      </c>
      <c r="W44" s="10">
        <v>1.9609999999999898E-2</v>
      </c>
      <c r="X44" s="10">
        <v>8.0929999999999908E-3</v>
      </c>
      <c r="Y44" s="10">
        <v>15.0299999999999</v>
      </c>
      <c r="Z44" s="10">
        <v>32.009999999999899</v>
      </c>
      <c r="AA44" s="10">
        <v>108.8</v>
      </c>
      <c r="AB44" s="10">
        <v>697.7</v>
      </c>
      <c r="AC44" s="10">
        <v>0.1651</v>
      </c>
      <c r="AD44" s="10">
        <v>0.77249999999999897</v>
      </c>
      <c r="AE44" s="10">
        <v>0.69430000000000003</v>
      </c>
      <c r="AF44" s="10">
        <v>0.2208</v>
      </c>
      <c r="AG44" s="10">
        <v>0.35959999999999898</v>
      </c>
      <c r="AH44">
        <v>0.1431</v>
      </c>
    </row>
    <row r="45" spans="2:34">
      <c r="C45" s="11" t="s">
        <v>155</v>
      </c>
      <c r="D45" s="10" t="s">
        <v>0</v>
      </c>
      <c r="E45" s="10">
        <v>13.71</v>
      </c>
      <c r="F45" s="10">
        <v>27.5399999999999</v>
      </c>
      <c r="G45" s="10">
        <v>96.73</v>
      </c>
      <c r="H45" s="10">
        <v>658.79999999999905</v>
      </c>
      <c r="I45" s="10">
        <v>0.1139</v>
      </c>
      <c r="J45" s="10">
        <v>0.1595</v>
      </c>
      <c r="K45" s="10">
        <v>0.16389999999999899</v>
      </c>
      <c r="L45" s="10">
        <v>7.36399999999999E-2</v>
      </c>
      <c r="M45" s="10">
        <v>0.2303</v>
      </c>
      <c r="N45" s="10">
        <v>7.077E-2</v>
      </c>
      <c r="O45" s="10">
        <v>0.37</v>
      </c>
      <c r="P45" s="10">
        <v>1.0329999999999899</v>
      </c>
      <c r="Q45" s="10">
        <v>2.879</v>
      </c>
      <c r="R45" s="10">
        <v>32.549999999999898</v>
      </c>
      <c r="S45" s="10">
        <v>5.607E-3</v>
      </c>
      <c r="T45" s="10">
        <v>4.24E-2</v>
      </c>
      <c r="U45" s="10">
        <v>4.7410000000000001E-2</v>
      </c>
      <c r="V45" s="10">
        <v>1.09E-2</v>
      </c>
      <c r="W45" s="10">
        <v>1.857E-2</v>
      </c>
      <c r="X45" s="10">
        <v>5.4660000000000004E-3</v>
      </c>
      <c r="Y45" s="10">
        <v>17.46</v>
      </c>
      <c r="Z45" s="10">
        <v>37.130000000000003</v>
      </c>
      <c r="AA45" s="10">
        <v>124.099999999999</v>
      </c>
      <c r="AB45" s="10">
        <v>943.2</v>
      </c>
      <c r="AC45" s="10">
        <v>0.1678</v>
      </c>
      <c r="AD45" s="10">
        <v>0.65769999999999895</v>
      </c>
      <c r="AE45" s="10">
        <v>0.7026</v>
      </c>
      <c r="AF45" s="10">
        <v>0.17119999999999899</v>
      </c>
      <c r="AG45" s="10">
        <v>0.42180000000000001</v>
      </c>
      <c r="AH45">
        <v>0.1341</v>
      </c>
    </row>
    <row r="46" spans="2:34">
      <c r="C46" s="11" t="s">
        <v>157</v>
      </c>
      <c r="D46" s="10" t="s">
        <v>0</v>
      </c>
      <c r="E46" s="10">
        <v>13.71</v>
      </c>
      <c r="F46" s="10">
        <v>20.68</v>
      </c>
      <c r="G46" s="10">
        <v>108.099999999999</v>
      </c>
      <c r="H46" s="10">
        <v>798.79999999999905</v>
      </c>
      <c r="I46" s="10">
        <v>0.11700000000000001</v>
      </c>
      <c r="J46" s="10">
        <v>0.20219999999999899</v>
      </c>
      <c r="K46" s="10">
        <v>0.17219999999999899</v>
      </c>
      <c r="L46" s="10">
        <v>0.1028</v>
      </c>
      <c r="M46" s="10">
        <v>0.21640000000000001</v>
      </c>
      <c r="N46" s="10">
        <v>7.356E-2</v>
      </c>
      <c r="O46" s="10">
        <v>0.56920000000000004</v>
      </c>
      <c r="P46" s="10">
        <v>1.073</v>
      </c>
      <c r="Q46" s="10">
        <v>3.8540000000000001</v>
      </c>
      <c r="R46" s="10">
        <v>54.18</v>
      </c>
      <c r="S46" s="10">
        <v>7.0260000000000001E-3</v>
      </c>
      <c r="T46" s="10">
        <v>2.5010000000000001E-2</v>
      </c>
      <c r="U46" s="10">
        <v>3.1879999999999901E-2</v>
      </c>
      <c r="V46" s="10">
        <v>1.2970000000000001E-2</v>
      </c>
      <c r="W46" s="10">
        <v>1.6889999999999902E-2</v>
      </c>
      <c r="X46" s="10">
        <v>4.1419999999999903E-3</v>
      </c>
      <c r="Y46" s="10">
        <v>20.96</v>
      </c>
      <c r="Z46" s="10">
        <v>31.48</v>
      </c>
      <c r="AA46" s="10">
        <v>136.80000000000001</v>
      </c>
      <c r="AB46" s="10">
        <v>1315</v>
      </c>
      <c r="AC46" s="10">
        <v>0.1789</v>
      </c>
      <c r="AD46" s="10">
        <v>0.42330000000000001</v>
      </c>
      <c r="AE46" s="10">
        <v>0.47839999999999899</v>
      </c>
      <c r="AF46" s="10">
        <v>0.20730000000000001</v>
      </c>
      <c r="AG46" s="10">
        <v>0.37059999999999899</v>
      </c>
      <c r="AH46">
        <v>0.1142</v>
      </c>
    </row>
    <row r="47" spans="2:34">
      <c r="C47" s="11" t="s">
        <v>159</v>
      </c>
      <c r="D47" s="10" t="s">
        <v>1</v>
      </c>
      <c r="E47" s="10">
        <v>13.71</v>
      </c>
      <c r="F47" s="10">
        <v>14.3599999999999</v>
      </c>
      <c r="G47" s="10">
        <v>87.459999999999894</v>
      </c>
      <c r="H47" s="10">
        <v>566.29999999999905</v>
      </c>
      <c r="I47" s="10">
        <v>9.7790000000000002E-2</v>
      </c>
      <c r="J47" s="10">
        <v>8.1290000000000001E-2</v>
      </c>
      <c r="K47" s="10">
        <v>6.6640000000000005E-2</v>
      </c>
      <c r="L47" s="10">
        <v>4.7809999999999901E-2</v>
      </c>
      <c r="M47" s="10">
        <v>0.1885</v>
      </c>
      <c r="N47" s="10">
        <v>5.7660000000000003E-2</v>
      </c>
      <c r="O47" s="10">
        <v>0.26989999999999897</v>
      </c>
      <c r="P47" s="10">
        <v>0.78859999999999897</v>
      </c>
      <c r="Q47" s="10">
        <v>2.0579999999999901</v>
      </c>
      <c r="R47" s="10">
        <v>23.559999999999899</v>
      </c>
      <c r="S47" s="10">
        <v>8.4620000000000008E-3</v>
      </c>
      <c r="T47" s="10">
        <v>1.46E-2</v>
      </c>
      <c r="U47" s="10">
        <v>2.3869999999999902E-2</v>
      </c>
      <c r="V47" s="10">
        <v>1.315E-2</v>
      </c>
      <c r="W47" s="10">
        <v>1.9800000000000002E-2</v>
      </c>
      <c r="X47" s="10">
        <v>2.3E-3</v>
      </c>
      <c r="Y47" s="10">
        <v>15.1099999999999</v>
      </c>
      <c r="Z47" s="10">
        <v>19.260000000000002</v>
      </c>
      <c r="AA47" s="10">
        <v>99.7</v>
      </c>
      <c r="AB47" s="10">
        <v>711.2</v>
      </c>
      <c r="AC47" s="10">
        <v>0.14399999999999899</v>
      </c>
      <c r="AD47" s="10">
        <v>0.17730000000000001</v>
      </c>
      <c r="AE47" s="10">
        <v>0.23899999999999899</v>
      </c>
      <c r="AF47" s="10">
        <v>0.1288</v>
      </c>
      <c r="AG47" s="10">
        <v>0.29770000000000002</v>
      </c>
      <c r="AH47">
        <v>7.2590000000000002E-2</v>
      </c>
    </row>
    <row r="48" spans="2:34">
      <c r="C48" s="11" t="s">
        <v>160</v>
      </c>
      <c r="D48" s="10" t="s">
        <v>1</v>
      </c>
      <c r="E48" s="10">
        <v>13.71</v>
      </c>
      <c r="F48" s="10">
        <v>15.71</v>
      </c>
      <c r="G48" s="10">
        <v>85.629999999999896</v>
      </c>
      <c r="H48" s="10">
        <v>520</v>
      </c>
      <c r="I48" s="10">
        <v>0.1075</v>
      </c>
      <c r="J48" s="10">
        <v>0.127</v>
      </c>
      <c r="K48" s="10">
        <v>4.5679999999999901E-2</v>
      </c>
      <c r="L48" s="10">
        <v>3.1099999999999899E-2</v>
      </c>
      <c r="M48" s="10">
        <v>0.19670000000000001</v>
      </c>
      <c r="N48" s="10">
        <v>6.8110000000000004E-2</v>
      </c>
      <c r="O48" s="10">
        <v>0.1852</v>
      </c>
      <c r="P48" s="10">
        <v>0.74770000000000003</v>
      </c>
      <c r="Q48" s="10">
        <v>1.383</v>
      </c>
      <c r="R48" s="10">
        <v>14.67</v>
      </c>
      <c r="S48" s="10">
        <v>4.0969999999999904E-3</v>
      </c>
      <c r="T48" s="10">
        <v>1.898E-2</v>
      </c>
      <c r="U48" s="10">
        <v>1.6979999999999901E-2</v>
      </c>
      <c r="V48" s="10">
        <v>6.4900000000000001E-3</v>
      </c>
      <c r="W48" s="10">
        <v>1.678E-2</v>
      </c>
      <c r="X48" s="10">
        <v>2.4250000000000001E-3</v>
      </c>
      <c r="Y48" s="10">
        <v>14.5</v>
      </c>
      <c r="Z48" s="10">
        <v>20.489999999999899</v>
      </c>
      <c r="AA48" s="10">
        <v>96.09</v>
      </c>
      <c r="AB48" s="10">
        <v>630.5</v>
      </c>
      <c r="AC48" s="10">
        <v>0.13120000000000001</v>
      </c>
      <c r="AD48" s="10">
        <v>0.27760000000000001</v>
      </c>
      <c r="AE48" s="10">
        <v>0.189</v>
      </c>
      <c r="AF48" s="10">
        <v>7.2830000000000006E-2</v>
      </c>
      <c r="AG48" s="10">
        <v>0.31840000000000002</v>
      </c>
      <c r="AH48">
        <v>8.183E-2</v>
      </c>
    </row>
    <row r="49" spans="3:34">
      <c r="C49" s="11" t="s">
        <v>161</v>
      </c>
      <c r="D49" s="10" t="s">
        <v>1</v>
      </c>
      <c r="E49" s="10">
        <v>13.71</v>
      </c>
      <c r="F49" s="10">
        <v>12.44</v>
      </c>
      <c r="G49" s="10">
        <v>60.34</v>
      </c>
      <c r="H49" s="10">
        <v>273.89999999999901</v>
      </c>
      <c r="I49" s="10">
        <v>0.1024</v>
      </c>
      <c r="J49" s="10">
        <v>6.4920000000000005E-2</v>
      </c>
      <c r="K49" s="10">
        <v>2.9559999999999899E-2</v>
      </c>
      <c r="L49" s="10">
        <v>2.0760000000000001E-2</v>
      </c>
      <c r="M49" s="10">
        <v>0.181499999999999</v>
      </c>
      <c r="N49" s="10">
        <v>6.905E-2</v>
      </c>
      <c r="O49" s="10">
        <v>0.27729999999999899</v>
      </c>
      <c r="P49" s="10">
        <v>0.9768</v>
      </c>
      <c r="Q49" s="10">
        <v>1.909</v>
      </c>
      <c r="R49" s="10">
        <v>15.6999999999999</v>
      </c>
      <c r="S49" s="10">
        <v>9.606E-3</v>
      </c>
      <c r="T49" s="10">
        <v>1.4319999999999901E-2</v>
      </c>
      <c r="U49" s="10">
        <v>1.985E-2</v>
      </c>
      <c r="V49" s="10">
        <v>1.421E-2</v>
      </c>
      <c r="W49" s="10">
        <v>2.027E-2</v>
      </c>
      <c r="X49" s="10">
        <v>2.9680000000000002E-3</v>
      </c>
      <c r="Y49" s="10">
        <v>10.23</v>
      </c>
      <c r="Z49" s="10">
        <v>15.66</v>
      </c>
      <c r="AA49" s="10">
        <v>65.129999999999896</v>
      </c>
      <c r="AB49" s="10">
        <v>314.89999999999901</v>
      </c>
      <c r="AC49" s="10">
        <v>0.13239999999999899</v>
      </c>
      <c r="AD49" s="10">
        <v>0.1148</v>
      </c>
      <c r="AE49" s="10">
        <v>8.8669999999999902E-2</v>
      </c>
      <c r="AF49" s="10">
        <v>6.2269999999999902E-2</v>
      </c>
      <c r="AG49" s="10">
        <v>0.245</v>
      </c>
      <c r="AH49">
        <v>7.7729999999999896E-2</v>
      </c>
    </row>
    <row r="50" spans="3:34">
      <c r="C50" s="11" t="s">
        <v>162</v>
      </c>
      <c r="D50" s="10" t="s">
        <v>0</v>
      </c>
      <c r="E50" s="10">
        <v>13.71</v>
      </c>
      <c r="F50" s="10">
        <v>14.26</v>
      </c>
      <c r="G50" s="10">
        <v>102.5</v>
      </c>
      <c r="H50" s="10">
        <v>704.39999999999895</v>
      </c>
      <c r="I50" s="10">
        <v>0.10730000000000001</v>
      </c>
      <c r="J50" s="10">
        <v>0.2135</v>
      </c>
      <c r="K50" s="10">
        <v>0.2077</v>
      </c>
      <c r="L50" s="10">
        <v>9.7559999999999897E-2</v>
      </c>
      <c r="M50" s="10">
        <v>0.25209999999999899</v>
      </c>
      <c r="N50" s="10">
        <v>7.0319999999999896E-2</v>
      </c>
      <c r="O50" s="10">
        <v>0.43880000000000002</v>
      </c>
      <c r="P50" s="10">
        <v>0.70960000000000001</v>
      </c>
      <c r="Q50" s="10">
        <v>3.3839999999999901</v>
      </c>
      <c r="R50" s="10">
        <v>44.909999999999897</v>
      </c>
      <c r="S50" s="10">
        <v>6.7889999999999904E-3</v>
      </c>
      <c r="T50" s="10">
        <v>5.3280000000000001E-2</v>
      </c>
      <c r="U50" s="10">
        <v>6.4460000000000003E-2</v>
      </c>
      <c r="V50" s="10">
        <v>2.2519999999999901E-2</v>
      </c>
      <c r="W50" s="10">
        <v>3.6720000000000003E-2</v>
      </c>
      <c r="X50" s="10">
        <v>4.3940000000000003E-3</v>
      </c>
      <c r="Y50" s="10">
        <v>18.07</v>
      </c>
      <c r="Z50" s="10">
        <v>19.079999999999899</v>
      </c>
      <c r="AA50" s="10">
        <v>125.099999999999</v>
      </c>
      <c r="AB50" s="10">
        <v>980.89999999999895</v>
      </c>
      <c r="AC50" s="10">
        <v>0.13900000000000001</v>
      </c>
      <c r="AD50" s="10">
        <v>0.59540000000000004</v>
      </c>
      <c r="AE50" s="10">
        <v>0.63049999999999895</v>
      </c>
      <c r="AF50" s="10">
        <v>0.23930000000000001</v>
      </c>
      <c r="AG50" s="10">
        <v>0.4667</v>
      </c>
      <c r="AH50">
        <v>9.9460000000000007E-2</v>
      </c>
    </row>
    <row r="51" spans="3:34">
      <c r="C51" s="11" t="s">
        <v>163</v>
      </c>
      <c r="D51" s="10" t="s">
        <v>0</v>
      </c>
      <c r="E51" s="10">
        <v>13.71</v>
      </c>
      <c r="F51" s="10">
        <v>23.0399999999999</v>
      </c>
      <c r="G51" s="10">
        <v>137.19999999999899</v>
      </c>
      <c r="H51" s="10">
        <v>1404</v>
      </c>
      <c r="I51" s="10">
        <v>9.4280000000000003E-2</v>
      </c>
      <c r="J51" s="10">
        <v>0.1022</v>
      </c>
      <c r="K51" s="10">
        <v>0.10970000000000001</v>
      </c>
      <c r="L51" s="10">
        <v>8.6319999999999897E-2</v>
      </c>
      <c r="M51" s="10">
        <v>0.1769</v>
      </c>
      <c r="N51" s="10">
        <v>5.2780000000000001E-2</v>
      </c>
      <c r="O51" s="10">
        <v>0.69169999999999898</v>
      </c>
      <c r="P51" s="10">
        <v>1.127</v>
      </c>
      <c r="Q51" s="10">
        <v>4.3029999999999902</v>
      </c>
      <c r="R51" s="10">
        <v>93.989999999999895</v>
      </c>
      <c r="S51" s="10">
        <v>4.7280000000000004E-3</v>
      </c>
      <c r="T51" s="10">
        <v>1.259E-2</v>
      </c>
      <c r="U51" s="10">
        <v>1.7149999999999901E-2</v>
      </c>
      <c r="V51" s="10">
        <v>1.038E-2</v>
      </c>
      <c r="W51" s="10">
        <v>1.08299999999999E-2</v>
      </c>
      <c r="X51" s="10">
        <v>1.9870000000000001E-3</v>
      </c>
      <c r="Y51" s="10">
        <v>29.17</v>
      </c>
      <c r="Z51" s="10">
        <v>35.590000000000003</v>
      </c>
      <c r="AA51" s="10">
        <v>188</v>
      </c>
      <c r="AB51" s="10">
        <v>2615</v>
      </c>
      <c r="AC51" s="10">
        <v>0.1401</v>
      </c>
      <c r="AD51" s="10">
        <v>0.26</v>
      </c>
      <c r="AE51" s="10">
        <v>0.3155</v>
      </c>
      <c r="AF51" s="10">
        <v>0.2009</v>
      </c>
      <c r="AG51" s="10">
        <v>0.28220000000000001</v>
      </c>
      <c r="AH51">
        <v>7.5259999999999896E-2</v>
      </c>
    </row>
    <row r="52" spans="3:34">
      <c r="C52" s="11" t="s">
        <v>164</v>
      </c>
      <c r="D52" s="10" t="s">
        <v>0</v>
      </c>
      <c r="E52" s="10">
        <v>13.71</v>
      </c>
      <c r="F52" s="10">
        <v>21.3799999999999</v>
      </c>
      <c r="G52" s="10">
        <v>110</v>
      </c>
      <c r="H52" s="10">
        <v>904.6</v>
      </c>
      <c r="I52" s="10">
        <v>0.11210000000000001</v>
      </c>
      <c r="J52" s="10">
        <v>0.1457</v>
      </c>
      <c r="K52" s="10">
        <v>0.1525</v>
      </c>
      <c r="L52" s="10">
        <v>9.1700000000000004E-2</v>
      </c>
      <c r="M52" s="10">
        <v>0.19950000000000001</v>
      </c>
      <c r="N52" s="10">
        <v>6.3299999999999898E-2</v>
      </c>
      <c r="O52" s="10">
        <v>0.80679999999999896</v>
      </c>
      <c r="P52" s="10">
        <v>0.90169999999999895</v>
      </c>
      <c r="Q52" s="10">
        <v>5.4550000000000001</v>
      </c>
      <c r="R52" s="10">
        <v>102.599999999999</v>
      </c>
      <c r="S52" s="10">
        <v>6.0480000000000004E-3</v>
      </c>
      <c r="T52" s="10">
        <v>1.882E-2</v>
      </c>
      <c r="U52" s="10">
        <v>2.741E-2</v>
      </c>
      <c r="V52" s="10">
        <v>1.12999999999999E-2</v>
      </c>
      <c r="W52" s="10">
        <v>1.468E-2</v>
      </c>
      <c r="X52" s="10">
        <v>2.8010000000000001E-3</v>
      </c>
      <c r="Y52" s="10">
        <v>26.46</v>
      </c>
      <c r="Z52" s="10">
        <v>31.559999999999899</v>
      </c>
      <c r="AA52" s="10">
        <v>177</v>
      </c>
      <c r="AB52" s="10">
        <v>2215</v>
      </c>
      <c r="AC52" s="10">
        <v>0.18049999999999899</v>
      </c>
      <c r="AD52" s="10">
        <v>0.35780000000000001</v>
      </c>
      <c r="AE52" s="10">
        <v>0.46949999999999897</v>
      </c>
      <c r="AF52" s="10">
        <v>0.20949999999999899</v>
      </c>
      <c r="AG52" s="10">
        <v>0.36130000000000001</v>
      </c>
      <c r="AH52">
        <v>9.5640000000000003E-2</v>
      </c>
    </row>
    <row r="53" spans="3:34">
      <c r="C53" s="11" t="s">
        <v>165</v>
      </c>
      <c r="D53" s="10" t="s">
        <v>0</v>
      </c>
      <c r="E53" s="10">
        <v>13.71</v>
      </c>
      <c r="F53" s="10">
        <v>16.399999999999899</v>
      </c>
      <c r="G53" s="10">
        <v>116</v>
      </c>
      <c r="H53" s="10">
        <v>912.7</v>
      </c>
      <c r="I53" s="10">
        <v>0.1186</v>
      </c>
      <c r="J53" s="10">
        <v>0.2276</v>
      </c>
      <c r="K53" s="10">
        <v>0.22289999999999899</v>
      </c>
      <c r="L53" s="10">
        <v>0.1401</v>
      </c>
      <c r="M53" s="10">
        <v>0.30399999999999899</v>
      </c>
      <c r="N53" s="10">
        <v>7.4130000000000001E-2</v>
      </c>
      <c r="O53" s="10">
        <v>1.046</v>
      </c>
      <c r="P53" s="10">
        <v>0.97599999999999898</v>
      </c>
      <c r="Q53" s="10">
        <v>7.27599999999999</v>
      </c>
      <c r="R53" s="10">
        <v>111.4</v>
      </c>
      <c r="S53" s="10">
        <v>8.0289999999999893E-3</v>
      </c>
      <c r="T53" s="10">
        <v>3.7990000000000003E-2</v>
      </c>
      <c r="U53" s="10">
        <v>3.7319999999999902E-2</v>
      </c>
      <c r="V53" s="10">
        <v>2.3970000000000002E-2</v>
      </c>
      <c r="W53" s="10">
        <v>2.308E-2</v>
      </c>
      <c r="X53" s="10">
        <v>7.4440000000000001E-3</v>
      </c>
      <c r="Y53" s="10">
        <v>22.25</v>
      </c>
      <c r="Z53" s="10">
        <v>21.399999999999899</v>
      </c>
      <c r="AA53" s="10">
        <v>152.4</v>
      </c>
      <c r="AB53" s="10">
        <v>1461</v>
      </c>
      <c r="AC53" s="10">
        <v>0.1545</v>
      </c>
      <c r="AD53" s="10">
        <v>0.39489999999999897</v>
      </c>
      <c r="AE53" s="10">
        <v>0.38529999999999898</v>
      </c>
      <c r="AF53" s="10">
        <v>0.255</v>
      </c>
      <c r="AG53" s="10">
        <v>0.40660000000000002</v>
      </c>
      <c r="AH53">
        <v>0.10589999999999899</v>
      </c>
    </row>
    <row r="54" spans="3:34">
      <c r="C54" s="11" t="s">
        <v>167</v>
      </c>
      <c r="D54" s="10" t="s">
        <v>0</v>
      </c>
      <c r="E54" s="10">
        <v>13.71</v>
      </c>
      <c r="F54" s="10">
        <v>20.25</v>
      </c>
      <c r="G54" s="10">
        <v>122.099999999999</v>
      </c>
      <c r="H54" s="10">
        <v>1094</v>
      </c>
      <c r="I54" s="10">
        <v>9.4399999999999901E-2</v>
      </c>
      <c r="J54" s="10">
        <v>0.1066</v>
      </c>
      <c r="K54" s="10">
        <v>0.14899999999999899</v>
      </c>
      <c r="L54" s="10">
        <v>7.7310000000000004E-2</v>
      </c>
      <c r="M54" s="10">
        <v>0.16969999999999899</v>
      </c>
      <c r="N54" s="10">
        <v>5.6989999999999902E-2</v>
      </c>
      <c r="O54" s="10">
        <v>0.85289999999999899</v>
      </c>
      <c r="P54" s="10">
        <v>1.849</v>
      </c>
      <c r="Q54" s="10">
        <v>5.6319999999999899</v>
      </c>
      <c r="R54" s="10">
        <v>93.54</v>
      </c>
      <c r="S54" s="10">
        <v>1.07499999999999E-2</v>
      </c>
      <c r="T54" s="10">
        <v>2.7220000000000001E-2</v>
      </c>
      <c r="U54" s="10">
        <v>5.0810000000000001E-2</v>
      </c>
      <c r="V54" s="10">
        <v>1.9109999999999901E-2</v>
      </c>
      <c r="W54" s="10">
        <v>2.2929999999999898E-2</v>
      </c>
      <c r="X54" s="10">
        <v>4.2170000000000003E-3</v>
      </c>
      <c r="Y54" s="10">
        <v>21.309999999999899</v>
      </c>
      <c r="Z54" s="10">
        <v>27.26</v>
      </c>
      <c r="AA54" s="10">
        <v>139.9</v>
      </c>
      <c r="AB54" s="10">
        <v>1403</v>
      </c>
      <c r="AC54" s="10">
        <v>0.1338</v>
      </c>
      <c r="AD54" s="10">
        <v>0.2117</v>
      </c>
      <c r="AE54" s="10">
        <v>0.34460000000000002</v>
      </c>
      <c r="AF54" s="10">
        <v>0.14899999999999899</v>
      </c>
      <c r="AG54" s="10">
        <v>0.2341</v>
      </c>
      <c r="AH54">
        <v>7.4209999999999901E-2</v>
      </c>
    </row>
    <row r="55" spans="3:34">
      <c r="C55" s="11" t="s">
        <v>168</v>
      </c>
      <c r="D55" s="10" t="s">
        <v>0</v>
      </c>
      <c r="E55" s="10">
        <v>13.71</v>
      </c>
      <c r="F55" s="10">
        <v>25.27</v>
      </c>
      <c r="G55" s="10">
        <v>102.4</v>
      </c>
      <c r="H55" s="10">
        <v>732.39999999999895</v>
      </c>
      <c r="I55" s="10">
        <v>0.1082</v>
      </c>
      <c r="J55" s="10">
        <v>0.16969999999999899</v>
      </c>
      <c r="K55" s="10">
        <v>0.16830000000000001</v>
      </c>
      <c r="L55" s="10">
        <v>8.7510000000000004E-2</v>
      </c>
      <c r="M55" s="10">
        <v>0.19259999999999899</v>
      </c>
      <c r="N55" s="10">
        <v>6.54E-2</v>
      </c>
      <c r="O55" s="10">
        <v>0.439</v>
      </c>
      <c r="P55" s="10">
        <v>1.012</v>
      </c>
      <c r="Q55" s="10">
        <v>3.4980000000000002</v>
      </c>
      <c r="R55" s="10">
        <v>43.5</v>
      </c>
      <c r="S55" s="10">
        <v>5.2329999999999903E-3</v>
      </c>
      <c r="T55" s="10">
        <v>3.057E-2</v>
      </c>
      <c r="U55" s="10">
        <v>3.576E-2</v>
      </c>
      <c r="V55" s="10">
        <v>1.08299999999999E-2</v>
      </c>
      <c r="W55" s="10">
        <v>1.7680000000000001E-2</v>
      </c>
      <c r="X55" s="10">
        <v>2.967E-3</v>
      </c>
      <c r="Y55" s="10">
        <v>20.27</v>
      </c>
      <c r="Z55" s="10">
        <v>36.71</v>
      </c>
      <c r="AA55" s="10">
        <v>149.30000000000001</v>
      </c>
      <c r="AB55" s="10">
        <v>1269</v>
      </c>
      <c r="AC55" s="10">
        <v>0.1641</v>
      </c>
      <c r="AD55" s="10">
        <v>0.61099999999999899</v>
      </c>
      <c r="AE55" s="10">
        <v>0.63349999999999895</v>
      </c>
      <c r="AF55" s="10">
        <v>0.2024</v>
      </c>
      <c r="AG55" s="10">
        <v>0.4027</v>
      </c>
      <c r="AH55">
        <v>9.8760000000000001E-2</v>
      </c>
    </row>
    <row r="56" spans="3:34">
      <c r="C56" s="11" t="s">
        <v>171</v>
      </c>
      <c r="D56" s="10" t="s">
        <v>0</v>
      </c>
      <c r="E56" s="10">
        <v>13.71</v>
      </c>
      <c r="F56" s="10">
        <v>18.6999999999999</v>
      </c>
      <c r="G56" s="10">
        <v>77.930000000000007</v>
      </c>
      <c r="H56" s="10">
        <v>440.6</v>
      </c>
      <c r="I56" s="10">
        <v>0.1109</v>
      </c>
      <c r="J56" s="10">
        <v>0.15160000000000001</v>
      </c>
      <c r="K56" s="10">
        <v>0.12180000000000001</v>
      </c>
      <c r="L56" s="10">
        <v>5.1819999999999901E-2</v>
      </c>
      <c r="M56" s="10">
        <v>0.2301</v>
      </c>
      <c r="N56" s="10">
        <v>7.7990000000000004E-2</v>
      </c>
      <c r="O56" s="10">
        <v>0.48249999999999899</v>
      </c>
      <c r="P56" s="10">
        <v>1.03</v>
      </c>
      <c r="Q56" s="10">
        <v>3.4750000000000001</v>
      </c>
      <c r="R56" s="10">
        <v>41</v>
      </c>
      <c r="S56" s="10">
        <v>5.5510000000000004E-3</v>
      </c>
      <c r="T56" s="10">
        <v>3.41399999999999E-2</v>
      </c>
      <c r="U56" s="10">
        <v>4.20499999999999E-2</v>
      </c>
      <c r="V56" s="10">
        <v>1.044E-2</v>
      </c>
      <c r="W56" s="10">
        <v>2.273E-2</v>
      </c>
      <c r="X56" s="10">
        <v>5.6670000000000002E-3</v>
      </c>
      <c r="Y56" s="10">
        <v>16.82</v>
      </c>
      <c r="Z56" s="10">
        <v>28.12</v>
      </c>
      <c r="AA56" s="10">
        <v>119.4</v>
      </c>
      <c r="AB56" s="10">
        <v>888.7</v>
      </c>
      <c r="AC56" s="10">
        <v>0.16370000000000001</v>
      </c>
      <c r="AD56" s="10">
        <v>0.57750000000000001</v>
      </c>
      <c r="AE56" s="10">
        <v>0.6956</v>
      </c>
      <c r="AF56" s="10">
        <v>0.15459999999999899</v>
      </c>
      <c r="AG56" s="10">
        <v>0.47610000000000002</v>
      </c>
      <c r="AH56">
        <v>0.14019999999999899</v>
      </c>
    </row>
    <row r="57" spans="3:34">
      <c r="C57" s="11" t="s">
        <v>172</v>
      </c>
      <c r="D57" s="10" t="s">
        <v>0</v>
      </c>
      <c r="E57" s="10">
        <v>13.71</v>
      </c>
      <c r="F57" s="10">
        <v>23.98</v>
      </c>
      <c r="G57" s="10">
        <v>112.8</v>
      </c>
      <c r="H57" s="10">
        <v>899.29999999999905</v>
      </c>
      <c r="I57" s="10">
        <v>0.1197</v>
      </c>
      <c r="J57" s="10">
        <v>0.14960000000000001</v>
      </c>
      <c r="K57" s="10">
        <v>0.2417</v>
      </c>
      <c r="L57" s="10">
        <v>0.1203</v>
      </c>
      <c r="M57" s="10">
        <v>0.2248</v>
      </c>
      <c r="N57" s="10">
        <v>6.3820000000000002E-2</v>
      </c>
      <c r="O57" s="10">
        <v>0.60089999999999899</v>
      </c>
      <c r="P57" s="10">
        <v>1.3979999999999899</v>
      </c>
      <c r="Q57" s="10">
        <v>3.9990000000000001</v>
      </c>
      <c r="R57" s="10">
        <v>67.78</v>
      </c>
      <c r="S57" s="10">
        <v>8.2679999999999906E-3</v>
      </c>
      <c r="T57" s="10">
        <v>3.082E-2</v>
      </c>
      <c r="U57" s="10">
        <v>5.042E-2</v>
      </c>
      <c r="V57" s="10">
        <v>1.112E-2</v>
      </c>
      <c r="W57" s="10">
        <v>2.102E-2</v>
      </c>
      <c r="X57" s="10">
        <v>3.8539999999999898E-3</v>
      </c>
      <c r="Y57" s="10">
        <v>20.8799999999999</v>
      </c>
      <c r="Z57" s="10">
        <v>32.090000000000003</v>
      </c>
      <c r="AA57" s="10">
        <v>136.099999999999</v>
      </c>
      <c r="AB57" s="10">
        <v>1344</v>
      </c>
      <c r="AC57" s="10">
        <v>0.16339999999999899</v>
      </c>
      <c r="AD57" s="10">
        <v>0.35589999999999899</v>
      </c>
      <c r="AE57" s="10">
        <v>0.55879999999999896</v>
      </c>
      <c r="AF57" s="10">
        <v>0.1847</v>
      </c>
      <c r="AG57" s="10">
        <v>0.35299999999999898</v>
      </c>
      <c r="AH57">
        <v>8.4820000000000007E-2</v>
      </c>
    </row>
    <row r="58" spans="3:34">
      <c r="C58" s="11" t="s">
        <v>174</v>
      </c>
      <c r="D58" s="10" t="s">
        <v>0</v>
      </c>
      <c r="E58" s="10">
        <v>13.71</v>
      </c>
      <c r="F58" s="10">
        <v>17.8799999999999</v>
      </c>
      <c r="G58" s="10">
        <v>107</v>
      </c>
      <c r="H58" s="10">
        <v>807.2</v>
      </c>
      <c r="I58" s="10">
        <v>0.104</v>
      </c>
      <c r="J58" s="10">
        <v>0.15590000000000001</v>
      </c>
      <c r="K58" s="10">
        <v>0.13539999999999899</v>
      </c>
      <c r="L58" s="10">
        <v>7.7520000000000006E-2</v>
      </c>
      <c r="M58" s="10">
        <v>0.19980000000000001</v>
      </c>
      <c r="N58" s="10">
        <v>6.515E-2</v>
      </c>
      <c r="O58" s="10">
        <v>0.33400000000000002</v>
      </c>
      <c r="P58" s="10">
        <v>0.68569999999999898</v>
      </c>
      <c r="Q58" s="10">
        <v>2.1829999999999901</v>
      </c>
      <c r="R58" s="10">
        <v>35.03</v>
      </c>
      <c r="S58" s="10">
        <v>4.1850000000000004E-3</v>
      </c>
      <c r="T58" s="10">
        <v>2.8680000000000001E-2</v>
      </c>
      <c r="U58" s="10">
        <v>2.664E-2</v>
      </c>
      <c r="V58" s="10">
        <v>9.0670000000000004E-3</v>
      </c>
      <c r="W58" s="10">
        <v>1.703E-2</v>
      </c>
      <c r="X58" s="10">
        <v>3.8170000000000001E-3</v>
      </c>
      <c r="Y58" s="10">
        <v>20.21</v>
      </c>
      <c r="Z58" s="10">
        <v>27.26</v>
      </c>
      <c r="AA58" s="10">
        <v>132.69999999999899</v>
      </c>
      <c r="AB58" s="10">
        <v>1261</v>
      </c>
      <c r="AC58" s="10">
        <v>0.14460000000000001</v>
      </c>
      <c r="AD58" s="10">
        <v>0.58040000000000003</v>
      </c>
      <c r="AE58" s="10">
        <v>0.52739999999999898</v>
      </c>
      <c r="AF58" s="10">
        <v>0.18640000000000001</v>
      </c>
      <c r="AG58" s="10">
        <v>0.42699999999999899</v>
      </c>
      <c r="AH58">
        <v>0.12330000000000001</v>
      </c>
    </row>
    <row r="59" spans="3:34">
      <c r="C59" s="11" t="s">
        <v>176</v>
      </c>
      <c r="D59" s="10" t="s">
        <v>0</v>
      </c>
      <c r="E59" s="10">
        <v>13.71</v>
      </c>
      <c r="F59" s="10">
        <v>21.719999999999899</v>
      </c>
      <c r="G59" s="10">
        <v>93.629999999999896</v>
      </c>
      <c r="H59" s="10">
        <v>633</v>
      </c>
      <c r="I59" s="10">
        <v>9.8229999999999901E-2</v>
      </c>
      <c r="J59" s="10">
        <v>0.109799999999999</v>
      </c>
      <c r="K59" s="10">
        <v>0.13189999999999899</v>
      </c>
      <c r="L59" s="10">
        <v>5.5980000000000002E-2</v>
      </c>
      <c r="M59" s="10">
        <v>0.1885</v>
      </c>
      <c r="N59" s="10">
        <v>6.1249999999999902E-2</v>
      </c>
      <c r="O59" s="10">
        <v>0.28599999999999898</v>
      </c>
      <c r="P59" s="10">
        <v>1.0189999999999899</v>
      </c>
      <c r="Q59" s="10">
        <v>2.657</v>
      </c>
      <c r="R59" s="10">
        <v>24.91</v>
      </c>
      <c r="S59" s="10">
        <v>5.8780000000000004E-3</v>
      </c>
      <c r="T59" s="10">
        <v>2.9950000000000001E-2</v>
      </c>
      <c r="U59" s="10">
        <v>4.8149999999999901E-2</v>
      </c>
      <c r="V59" s="10">
        <v>1.1610000000000001E-2</v>
      </c>
      <c r="W59" s="10">
        <v>2.0279999999999899E-2</v>
      </c>
      <c r="X59" s="10">
        <v>4.0220000000000004E-3</v>
      </c>
      <c r="Y59" s="10">
        <v>15.89</v>
      </c>
      <c r="Z59" s="10">
        <v>30.3599999999999</v>
      </c>
      <c r="AA59" s="10">
        <v>116.2</v>
      </c>
      <c r="AB59" s="10">
        <v>799.6</v>
      </c>
      <c r="AC59" s="10">
        <v>0.14460000000000001</v>
      </c>
      <c r="AD59" s="10">
        <v>0.42380000000000001</v>
      </c>
      <c r="AE59" s="10">
        <v>0.51859999999999895</v>
      </c>
      <c r="AF59" s="10">
        <v>0.1447</v>
      </c>
      <c r="AG59" s="10">
        <v>0.35909999999999898</v>
      </c>
      <c r="AH59">
        <v>0.1014</v>
      </c>
    </row>
    <row r="60" spans="3:34">
      <c r="C60" s="11" t="s">
        <v>177</v>
      </c>
      <c r="D60" s="10" t="s">
        <v>1</v>
      </c>
      <c r="E60" s="10">
        <v>13.71</v>
      </c>
      <c r="F60" s="10">
        <v>18.420000000000002</v>
      </c>
      <c r="G60" s="10">
        <v>82.6099999999999</v>
      </c>
      <c r="H60" s="10">
        <v>523.79999999999905</v>
      </c>
      <c r="I60" s="10">
        <v>8.9829999999999896E-2</v>
      </c>
      <c r="J60" s="10">
        <v>3.7659999999999902E-2</v>
      </c>
      <c r="K60" s="10">
        <v>2.562E-2</v>
      </c>
      <c r="L60" s="10">
        <v>2.9229999999999898E-2</v>
      </c>
      <c r="M60" s="10">
        <v>0.1467</v>
      </c>
      <c r="N60" s="10">
        <v>5.8630000000000002E-2</v>
      </c>
      <c r="O60" s="10">
        <v>0.18390000000000001</v>
      </c>
      <c r="P60" s="10">
        <v>2.3420000000000001</v>
      </c>
      <c r="Q60" s="10">
        <v>1.1699999999999899</v>
      </c>
      <c r="R60" s="10">
        <v>14.16</v>
      </c>
      <c r="S60" s="10">
        <v>4.352E-3</v>
      </c>
      <c r="T60" s="10">
        <v>4.8989999999999902E-3</v>
      </c>
      <c r="U60" s="10">
        <v>1.34299999999999E-2</v>
      </c>
      <c r="V60" s="10">
        <v>1.16399999999999E-2</v>
      </c>
      <c r="W60" s="10">
        <v>2.6710000000000001E-2</v>
      </c>
      <c r="X60" s="10">
        <v>1.77699999999999E-3</v>
      </c>
      <c r="Y60" s="10">
        <v>13.3</v>
      </c>
      <c r="Z60" s="10">
        <v>22.809999999999899</v>
      </c>
      <c r="AA60" s="10">
        <v>84.459999999999894</v>
      </c>
      <c r="AB60" s="10">
        <v>545.89999999999895</v>
      </c>
      <c r="AC60" s="10">
        <v>9.7009999999999902E-2</v>
      </c>
      <c r="AD60" s="10">
        <v>4.6190000000000002E-2</v>
      </c>
      <c r="AE60" s="10">
        <v>4.8329999999999901E-2</v>
      </c>
      <c r="AF60" s="10">
        <v>5.0130000000000001E-2</v>
      </c>
      <c r="AG60" s="10">
        <v>0.19869999999999899</v>
      </c>
      <c r="AH60">
        <v>6.1690000000000002E-2</v>
      </c>
    </row>
    <row r="61" spans="3:34">
      <c r="C61" s="11" t="s">
        <v>178</v>
      </c>
      <c r="D61" s="10" t="s">
        <v>0</v>
      </c>
      <c r="E61" s="10">
        <v>13.71</v>
      </c>
      <c r="F61" s="10">
        <v>25.1999999999999</v>
      </c>
      <c r="G61" s="10">
        <v>95.54</v>
      </c>
      <c r="H61" s="10">
        <v>698.79999999999905</v>
      </c>
      <c r="I61" s="10">
        <v>9.3869999999999898E-2</v>
      </c>
      <c r="J61" s="10">
        <v>5.1310000000000001E-2</v>
      </c>
      <c r="K61" s="10">
        <v>2.3980000000000001E-2</v>
      </c>
      <c r="L61" s="10">
        <v>2.8989999999999901E-2</v>
      </c>
      <c r="M61" s="10">
        <v>0.1565</v>
      </c>
      <c r="N61" s="10">
        <v>5.5039999999999902E-2</v>
      </c>
      <c r="O61" s="10">
        <v>1.214</v>
      </c>
      <c r="P61" s="10">
        <v>2.1880000000000002</v>
      </c>
      <c r="Q61" s="10">
        <v>8.077</v>
      </c>
      <c r="R61" s="10">
        <v>106</v>
      </c>
      <c r="S61" s="10">
        <v>6.8830000000000002E-3</v>
      </c>
      <c r="T61" s="10">
        <v>1.094E-2</v>
      </c>
      <c r="U61" s="10">
        <v>1.8180000000000002E-2</v>
      </c>
      <c r="V61" s="10">
        <v>1.917E-2</v>
      </c>
      <c r="W61" s="10">
        <v>7.8820000000000001E-3</v>
      </c>
      <c r="X61" s="10">
        <v>1.7539999999999899E-3</v>
      </c>
      <c r="Y61" s="10">
        <v>14.99</v>
      </c>
      <c r="Z61" s="10">
        <v>25.1999999999999</v>
      </c>
      <c r="AA61" s="10">
        <v>95.54</v>
      </c>
      <c r="AB61" s="10">
        <v>698.79999999999905</v>
      </c>
      <c r="AC61" s="10">
        <v>9.3869999999999898E-2</v>
      </c>
      <c r="AD61" s="10">
        <v>5.1310000000000001E-2</v>
      </c>
      <c r="AE61" s="10">
        <v>2.3980000000000001E-2</v>
      </c>
      <c r="AF61" s="10">
        <v>2.8989999999999901E-2</v>
      </c>
      <c r="AG61" s="10">
        <v>0.1565</v>
      </c>
      <c r="AH61">
        <v>5.5039999999999902E-2</v>
      </c>
    </row>
    <row r="62" spans="3:34">
      <c r="C62" s="11" t="s">
        <v>180</v>
      </c>
      <c r="D62" s="10" t="s">
        <v>0</v>
      </c>
      <c r="E62" s="10">
        <v>13.71</v>
      </c>
      <c r="F62" s="10">
        <v>21.579999999999899</v>
      </c>
      <c r="G62" s="10">
        <v>86.18</v>
      </c>
      <c r="H62" s="10">
        <v>563</v>
      </c>
      <c r="I62" s="10">
        <v>8.1619999999999901E-2</v>
      </c>
      <c r="J62" s="10">
        <v>6.0310000000000002E-2</v>
      </c>
      <c r="K62" s="10">
        <v>3.1099999999999899E-2</v>
      </c>
      <c r="L62" s="10">
        <v>2.0310000000000002E-2</v>
      </c>
      <c r="M62" s="10">
        <v>0.1784</v>
      </c>
      <c r="N62" s="10">
        <v>5.5870000000000003E-2</v>
      </c>
      <c r="O62" s="10">
        <v>0.23849999999999899</v>
      </c>
      <c r="P62" s="10">
        <v>0.82650000000000001</v>
      </c>
      <c r="Q62" s="10">
        <v>1.5720000000000001</v>
      </c>
      <c r="R62" s="10">
        <v>20.53</v>
      </c>
      <c r="S62" s="10">
        <v>3.27999999999999E-3</v>
      </c>
      <c r="T62" s="10">
        <v>1.102E-2</v>
      </c>
      <c r="U62" s="10">
        <v>1.38999999999999E-2</v>
      </c>
      <c r="V62" s="10">
        <v>6.881E-3</v>
      </c>
      <c r="W62" s="10">
        <v>1.38E-2</v>
      </c>
      <c r="X62" s="10">
        <v>1.286E-3</v>
      </c>
      <c r="Y62" s="10">
        <v>15.93</v>
      </c>
      <c r="Z62" s="10">
        <v>30.25</v>
      </c>
      <c r="AA62" s="10">
        <v>102.5</v>
      </c>
      <c r="AB62" s="10">
        <v>787.89999999999895</v>
      </c>
      <c r="AC62" s="10">
        <v>0.1094</v>
      </c>
      <c r="AD62" s="10">
        <v>0.20430000000000001</v>
      </c>
      <c r="AE62" s="10">
        <v>0.20849999999999899</v>
      </c>
      <c r="AF62" s="10">
        <v>0.11119999999999899</v>
      </c>
      <c r="AG62" s="10">
        <v>0.2994</v>
      </c>
      <c r="AH62">
        <v>7.1459999999999899E-2</v>
      </c>
    </row>
    <row r="63" spans="3:34">
      <c r="C63" s="11" t="s">
        <v>181</v>
      </c>
      <c r="D63" s="10" t="s">
        <v>0</v>
      </c>
      <c r="E63" s="10">
        <v>13.71</v>
      </c>
      <c r="F63" s="10">
        <v>21.35</v>
      </c>
      <c r="G63" s="10">
        <v>71.900000000000006</v>
      </c>
      <c r="H63" s="10">
        <v>371.1</v>
      </c>
      <c r="I63" s="10">
        <v>0.1227</v>
      </c>
      <c r="J63" s="10">
        <v>0.12180000000000001</v>
      </c>
      <c r="K63" s="10">
        <v>0.10440000000000001</v>
      </c>
      <c r="L63" s="10">
        <v>5.66899999999999E-2</v>
      </c>
      <c r="M63" s="10">
        <v>0.1895</v>
      </c>
      <c r="N63" s="10">
        <v>6.86999999999999E-2</v>
      </c>
      <c r="O63" s="10">
        <v>0.2366</v>
      </c>
      <c r="P63" s="10">
        <v>1.4279999999999899</v>
      </c>
      <c r="Q63" s="10">
        <v>1.8220000000000001</v>
      </c>
      <c r="R63" s="10">
        <v>16.969999999999899</v>
      </c>
      <c r="S63" s="10">
        <v>8.064E-3</v>
      </c>
      <c r="T63" s="10">
        <v>1.7639999999999899E-2</v>
      </c>
      <c r="U63" s="10">
        <v>2.5950000000000001E-2</v>
      </c>
      <c r="V63" s="10">
        <v>1.0370000000000001E-2</v>
      </c>
      <c r="W63" s="10">
        <v>1.357E-2</v>
      </c>
      <c r="X63" s="10">
        <v>3.0400000000000002E-3</v>
      </c>
      <c r="Y63" s="10">
        <v>12.84</v>
      </c>
      <c r="Z63" s="10">
        <v>35.340000000000003</v>
      </c>
      <c r="AA63" s="10">
        <v>87.219999999999899</v>
      </c>
      <c r="AB63" s="10">
        <v>514</v>
      </c>
      <c r="AC63" s="10">
        <v>0.19089999999999899</v>
      </c>
      <c r="AD63" s="10">
        <v>0.26979999999999899</v>
      </c>
      <c r="AE63" s="10">
        <v>0.40229999999999899</v>
      </c>
      <c r="AF63" s="10">
        <v>0.1424</v>
      </c>
      <c r="AG63" s="10">
        <v>0.2964</v>
      </c>
      <c r="AH63">
        <v>9.6060000000000006E-2</v>
      </c>
    </row>
    <row r="64" spans="3:34">
      <c r="C64" s="11" t="s">
        <v>184</v>
      </c>
      <c r="D64" s="10" t="s">
        <v>0</v>
      </c>
      <c r="E64" s="10">
        <v>13.71</v>
      </c>
      <c r="F64" s="10">
        <v>21.809999999999899</v>
      </c>
      <c r="G64" s="10">
        <v>85.42</v>
      </c>
      <c r="H64" s="10">
        <v>531.5</v>
      </c>
      <c r="I64" s="10">
        <v>9.7140000000000004E-2</v>
      </c>
      <c r="J64" s="10">
        <v>0.1047</v>
      </c>
      <c r="K64" s="10">
        <v>8.25899999999999E-2</v>
      </c>
      <c r="L64" s="10">
        <v>5.25199999999999E-2</v>
      </c>
      <c r="M64" s="10">
        <v>0.17460000000000001</v>
      </c>
      <c r="N64" s="10">
        <v>6.1769999999999901E-2</v>
      </c>
      <c r="O64" s="10">
        <v>0.1938</v>
      </c>
      <c r="P64" s="10">
        <v>0.61229999999999896</v>
      </c>
      <c r="Q64" s="10">
        <v>1.3340000000000001</v>
      </c>
      <c r="R64" s="10">
        <v>14.49</v>
      </c>
      <c r="S64" s="10">
        <v>3.3500000000000001E-3</v>
      </c>
      <c r="T64" s="10">
        <v>1.384E-2</v>
      </c>
      <c r="U64" s="10">
        <v>1.452E-2</v>
      </c>
      <c r="V64" s="10">
        <v>6.8529999999999902E-3</v>
      </c>
      <c r="W64" s="10">
        <v>1.11299999999999E-2</v>
      </c>
      <c r="X64" s="10">
        <v>1.72E-3</v>
      </c>
      <c r="Y64" s="10">
        <v>16.23</v>
      </c>
      <c r="Z64" s="10">
        <v>29.89</v>
      </c>
      <c r="AA64" s="10">
        <v>105.5</v>
      </c>
      <c r="AB64" s="10">
        <v>740.7</v>
      </c>
      <c r="AC64" s="10">
        <v>0.15029999999999899</v>
      </c>
      <c r="AD64" s="10">
        <v>0.39040000000000002</v>
      </c>
      <c r="AE64" s="10">
        <v>0.37280000000000002</v>
      </c>
      <c r="AF64" s="10">
        <v>0.16070000000000001</v>
      </c>
      <c r="AG64" s="10">
        <v>0.36930000000000002</v>
      </c>
      <c r="AH64">
        <v>9.6180000000000002E-2</v>
      </c>
    </row>
    <row r="65" spans="3:34">
      <c r="C65" s="11" t="s">
        <v>186</v>
      </c>
      <c r="D65" s="10" t="s">
        <v>1</v>
      </c>
      <c r="E65" s="10">
        <v>13.71</v>
      </c>
      <c r="F65" s="10">
        <v>16.84</v>
      </c>
      <c r="G65" s="10">
        <v>51.71</v>
      </c>
      <c r="H65" s="10">
        <v>201.9</v>
      </c>
      <c r="I65" s="10">
        <v>8.5999999999999896E-2</v>
      </c>
      <c r="J65" s="10">
        <v>5.94299999999999E-2</v>
      </c>
      <c r="K65" s="10">
        <v>1.5879999999999901E-2</v>
      </c>
      <c r="L65" s="10">
        <v>5.9170000000000004E-3</v>
      </c>
      <c r="M65" s="10">
        <v>0.1769</v>
      </c>
      <c r="N65" s="10">
        <v>6.5030000000000004E-2</v>
      </c>
      <c r="O65" s="10">
        <v>0.156299999999999</v>
      </c>
      <c r="P65" s="10">
        <v>0.956699999999999</v>
      </c>
      <c r="Q65" s="10">
        <v>1.0940000000000001</v>
      </c>
      <c r="R65" s="10">
        <v>8.2050000000000001</v>
      </c>
      <c r="S65" s="10">
        <v>8.9680000000000003E-3</v>
      </c>
      <c r="T65" s="10">
        <v>1.6459999999999898E-2</v>
      </c>
      <c r="U65" s="10">
        <v>1.5879999999999901E-2</v>
      </c>
      <c r="V65" s="10">
        <v>5.9170000000000004E-3</v>
      </c>
      <c r="W65" s="10">
        <v>2.5739999999999898E-2</v>
      </c>
      <c r="X65" s="10">
        <v>2.5820000000000001E-3</v>
      </c>
      <c r="Y65" s="10">
        <v>8.9640000000000004</v>
      </c>
      <c r="Z65" s="10">
        <v>21.96</v>
      </c>
      <c r="AA65" s="10">
        <v>57.259999999999899</v>
      </c>
      <c r="AB65" s="10">
        <v>242.19999999999899</v>
      </c>
      <c r="AC65" s="10">
        <v>0.12970000000000001</v>
      </c>
      <c r="AD65" s="10">
        <v>0.13569999999999899</v>
      </c>
      <c r="AE65" s="10">
        <v>6.88E-2</v>
      </c>
      <c r="AF65" s="10">
        <v>2.564E-2</v>
      </c>
      <c r="AG65" s="10">
        <v>0.3105</v>
      </c>
      <c r="AH65">
        <v>7.4090000000000003E-2</v>
      </c>
    </row>
    <row r="66" spans="3:34">
      <c r="C66" s="11" t="s">
        <v>187</v>
      </c>
      <c r="D66" s="10" t="s">
        <v>0</v>
      </c>
      <c r="E66" s="10">
        <v>13.71</v>
      </c>
      <c r="F66" s="10">
        <v>18.66</v>
      </c>
      <c r="G66" s="10">
        <v>85.98</v>
      </c>
      <c r="H66" s="10">
        <v>534.6</v>
      </c>
      <c r="I66" s="10">
        <v>0.1158</v>
      </c>
      <c r="J66" s="10">
        <v>0.1231</v>
      </c>
      <c r="K66" s="10">
        <v>0.1226</v>
      </c>
      <c r="L66" s="10">
        <v>7.3400000000000007E-2</v>
      </c>
      <c r="M66" s="10">
        <v>0.21279999999999899</v>
      </c>
      <c r="N66" s="10">
        <v>6.77699999999999E-2</v>
      </c>
      <c r="O66" s="10">
        <v>0.28710000000000002</v>
      </c>
      <c r="P66" s="10">
        <v>0.89370000000000005</v>
      </c>
      <c r="Q66" s="10">
        <v>1.897</v>
      </c>
      <c r="R66" s="10">
        <v>24.25</v>
      </c>
      <c r="S66" s="10">
        <v>6.5319999999999901E-3</v>
      </c>
      <c r="T66" s="10">
        <v>2.3359999999999902E-2</v>
      </c>
      <c r="U66" s="10">
        <v>2.9049999999999899E-2</v>
      </c>
      <c r="V66" s="10">
        <v>1.21499999999999E-2</v>
      </c>
      <c r="W66" s="10">
        <v>1.7430000000000001E-2</v>
      </c>
      <c r="X66" s="10">
        <v>3.643E-3</v>
      </c>
      <c r="Y66" s="10">
        <v>15.67</v>
      </c>
      <c r="Z66" s="10">
        <v>27.9499999999999</v>
      </c>
      <c r="AA66" s="10">
        <v>102.8</v>
      </c>
      <c r="AB66" s="10">
        <v>759.39999999999895</v>
      </c>
      <c r="AC66" s="10">
        <v>0.17860000000000001</v>
      </c>
      <c r="AD66" s="10">
        <v>0.41660000000000003</v>
      </c>
      <c r="AE66" s="10">
        <v>0.50060000000000004</v>
      </c>
      <c r="AF66" s="10">
        <v>0.20880000000000001</v>
      </c>
      <c r="AG66" s="10">
        <v>0.39</v>
      </c>
      <c r="AH66">
        <v>0.1179</v>
      </c>
    </row>
    <row r="67" spans="3:34">
      <c r="C67" s="11" t="s">
        <v>188</v>
      </c>
      <c r="D67" s="10" t="s">
        <v>1</v>
      </c>
      <c r="E67" s="10">
        <v>13.71</v>
      </c>
      <c r="F67" s="10">
        <v>14.63</v>
      </c>
      <c r="G67" s="10">
        <v>78.040000000000006</v>
      </c>
      <c r="H67" s="10">
        <v>449.3</v>
      </c>
      <c r="I67" s="10">
        <v>0.1031</v>
      </c>
      <c r="J67" s="10">
        <v>9.0920000000000001E-2</v>
      </c>
      <c r="K67" s="10">
        <v>6.5920000000000006E-2</v>
      </c>
      <c r="L67" s="10">
        <v>2.7490000000000001E-2</v>
      </c>
      <c r="M67" s="10">
        <v>0.16750000000000001</v>
      </c>
      <c r="N67" s="10">
        <v>6.04299999999999E-2</v>
      </c>
      <c r="O67" s="10">
        <v>0.2636</v>
      </c>
      <c r="P67" s="10">
        <v>0.72940000000000005</v>
      </c>
      <c r="Q67" s="10">
        <v>1.8480000000000001</v>
      </c>
      <c r="R67" s="10">
        <v>19.87</v>
      </c>
      <c r="S67" s="10">
        <v>5.4879999999999903E-3</v>
      </c>
      <c r="T67" s="10">
        <v>1.427E-2</v>
      </c>
      <c r="U67" s="10">
        <v>2.3220000000000001E-2</v>
      </c>
      <c r="V67" s="10">
        <v>5.6600000000000001E-3</v>
      </c>
      <c r="W67" s="10">
        <v>1.42799999999999E-2</v>
      </c>
      <c r="X67" s="10">
        <v>2.4220000000000001E-3</v>
      </c>
      <c r="Y67" s="10">
        <v>13.76</v>
      </c>
      <c r="Z67" s="10">
        <v>20.6999999999999</v>
      </c>
      <c r="AA67" s="10">
        <v>89.879999999999896</v>
      </c>
      <c r="AB67" s="10">
        <v>582.6</v>
      </c>
      <c r="AC67" s="10">
        <v>0.14940000000000001</v>
      </c>
      <c r="AD67" s="10">
        <v>0.21560000000000001</v>
      </c>
      <c r="AE67" s="10">
        <v>0.30499999999999899</v>
      </c>
      <c r="AF67" s="10">
        <v>6.5479999999999899E-2</v>
      </c>
      <c r="AG67" s="10">
        <v>0.2747</v>
      </c>
      <c r="AH67">
        <v>8.301E-2</v>
      </c>
    </row>
    <row r="68" spans="3:34">
      <c r="C68" s="11" t="s">
        <v>189</v>
      </c>
      <c r="D68" s="10" t="s">
        <v>1</v>
      </c>
      <c r="E68" s="10">
        <v>13.71</v>
      </c>
      <c r="F68" s="10">
        <v>22.3</v>
      </c>
      <c r="G68" s="10">
        <v>86.909999999999897</v>
      </c>
      <c r="H68" s="10">
        <v>561</v>
      </c>
      <c r="I68" s="10">
        <v>8.7520000000000001E-2</v>
      </c>
      <c r="J68" s="10">
        <v>7.6980000000000007E-2</v>
      </c>
      <c r="K68" s="10">
        <v>4.75099999999999E-2</v>
      </c>
      <c r="L68" s="10">
        <v>3.3840000000000002E-2</v>
      </c>
      <c r="M68" s="10">
        <v>0.18090000000000001</v>
      </c>
      <c r="N68" s="10">
        <v>5.7180000000000002E-2</v>
      </c>
      <c r="O68" s="10">
        <v>0.23380000000000001</v>
      </c>
      <c r="P68" s="10">
        <v>1.353</v>
      </c>
      <c r="Q68" s="10">
        <v>1.7350000000000001</v>
      </c>
      <c r="R68" s="10">
        <v>20.1999999999999</v>
      </c>
      <c r="S68" s="10">
        <v>4.4549999999999902E-3</v>
      </c>
      <c r="T68" s="10">
        <v>1.3820000000000001E-2</v>
      </c>
      <c r="U68" s="10">
        <v>2.095E-2</v>
      </c>
      <c r="V68" s="10">
        <v>1.184E-2</v>
      </c>
      <c r="W68" s="10">
        <v>1.6410000000000001E-2</v>
      </c>
      <c r="X68" s="10">
        <v>1.9559999999999899E-3</v>
      </c>
      <c r="Y68" s="10">
        <v>15.15</v>
      </c>
      <c r="Z68" s="10">
        <v>31.82</v>
      </c>
      <c r="AA68" s="10">
        <v>99</v>
      </c>
      <c r="AB68" s="10">
        <v>698.79999999999905</v>
      </c>
      <c r="AC68" s="10">
        <v>0.1162</v>
      </c>
      <c r="AD68" s="10">
        <v>0.1711</v>
      </c>
      <c r="AE68" s="10">
        <v>0.22819999999999899</v>
      </c>
      <c r="AF68" s="10">
        <v>0.12820000000000001</v>
      </c>
      <c r="AG68" s="10">
        <v>0.28710000000000002</v>
      </c>
      <c r="AH68">
        <v>6.9169999999999898E-2</v>
      </c>
    </row>
    <row r="69" spans="3:34">
      <c r="C69" s="11" t="s">
        <v>192</v>
      </c>
      <c r="D69" s="10" t="s">
        <v>1</v>
      </c>
      <c r="E69" s="10">
        <v>13.71</v>
      </c>
      <c r="F69" s="10">
        <v>18.239999999999899</v>
      </c>
      <c r="G69" s="10">
        <v>75.709999999999894</v>
      </c>
      <c r="H69" s="10">
        <v>437.6</v>
      </c>
      <c r="I69" s="10">
        <v>8.2610000000000003E-2</v>
      </c>
      <c r="J69" s="10">
        <v>4.75099999999999E-2</v>
      </c>
      <c r="K69" s="10">
        <v>1.9720000000000001E-2</v>
      </c>
      <c r="L69" s="10">
        <v>1.349E-2</v>
      </c>
      <c r="M69" s="10">
        <v>0.18679999999999899</v>
      </c>
      <c r="N69" s="10">
        <v>6.1100000000000002E-2</v>
      </c>
      <c r="O69" s="10">
        <v>0.2273</v>
      </c>
      <c r="P69" s="10">
        <v>0.63290000000000002</v>
      </c>
      <c r="Q69" s="10">
        <v>1.52</v>
      </c>
      <c r="R69" s="10">
        <v>17.469999999999899</v>
      </c>
      <c r="S69" s="10">
        <v>7.2100000000000003E-3</v>
      </c>
      <c r="T69" s="10">
        <v>8.3800000000000003E-3</v>
      </c>
      <c r="U69" s="10">
        <v>1.311E-2</v>
      </c>
      <c r="V69" s="10">
        <v>8.0000000000000002E-3</v>
      </c>
      <c r="W69" s="10">
        <v>1.9959999999999901E-2</v>
      </c>
      <c r="X69" s="10">
        <v>2.6350000000000002E-3</v>
      </c>
      <c r="Y69" s="10">
        <v>13.1</v>
      </c>
      <c r="Z69" s="10">
        <v>21.329999999999899</v>
      </c>
      <c r="AA69" s="10">
        <v>83.67</v>
      </c>
      <c r="AB69" s="10">
        <v>527.20000000000005</v>
      </c>
      <c r="AC69" s="10">
        <v>0.1144</v>
      </c>
      <c r="AD69" s="10">
        <v>8.906E-2</v>
      </c>
      <c r="AE69" s="10">
        <v>9.2030000000000001E-2</v>
      </c>
      <c r="AF69" s="10">
        <v>6.2960000000000002E-2</v>
      </c>
      <c r="AG69" s="10">
        <v>0.27850000000000003</v>
      </c>
      <c r="AH69">
        <v>7.4079999999999896E-2</v>
      </c>
    </row>
    <row r="70" spans="3:34">
      <c r="C70" s="11" t="s">
        <v>193</v>
      </c>
      <c r="D70" s="10" t="s">
        <v>0</v>
      </c>
      <c r="E70" s="10">
        <v>13.71</v>
      </c>
      <c r="F70" s="10">
        <v>18.6999999999999</v>
      </c>
      <c r="G70" s="10">
        <v>120.3</v>
      </c>
      <c r="H70" s="10">
        <v>1033</v>
      </c>
      <c r="I70" s="10">
        <v>0.1148</v>
      </c>
      <c r="J70" s="10">
        <v>0.14849999999999899</v>
      </c>
      <c r="K70" s="10">
        <v>0.1772</v>
      </c>
      <c r="L70" s="10">
        <v>0.106</v>
      </c>
      <c r="M70" s="10">
        <v>0.2092</v>
      </c>
      <c r="N70" s="10">
        <v>6.3100000000000003E-2</v>
      </c>
      <c r="O70" s="10">
        <v>0.8337</v>
      </c>
      <c r="P70" s="10">
        <v>1.593</v>
      </c>
      <c r="Q70" s="10">
        <v>4.87699999999999</v>
      </c>
      <c r="R70" s="10">
        <v>98.81</v>
      </c>
      <c r="S70" s="10">
        <v>3.8990000000000001E-3</v>
      </c>
      <c r="T70" s="10">
        <v>2.9610000000000001E-2</v>
      </c>
      <c r="U70" s="10">
        <v>2.8170000000000001E-2</v>
      </c>
      <c r="V70" s="10">
        <v>9.2219999999999906E-3</v>
      </c>
      <c r="W70" s="10">
        <v>2.674E-2</v>
      </c>
      <c r="X70" s="10">
        <v>5.1260000000000003E-3</v>
      </c>
      <c r="Y70" s="10">
        <v>20.6</v>
      </c>
      <c r="Z70" s="10">
        <v>24.1299999999999</v>
      </c>
      <c r="AA70" s="10">
        <v>135.099999999999</v>
      </c>
      <c r="AB70" s="10">
        <v>1321</v>
      </c>
      <c r="AC70" s="10">
        <v>0.128</v>
      </c>
      <c r="AD70" s="10">
        <v>0.22969999999999899</v>
      </c>
      <c r="AE70" s="10">
        <v>0.26229999999999898</v>
      </c>
      <c r="AF70" s="10">
        <v>0.13250000000000001</v>
      </c>
      <c r="AG70" s="10">
        <v>0.30209999999999898</v>
      </c>
      <c r="AH70">
        <v>7.9869999999999899E-2</v>
      </c>
    </row>
    <row r="71" spans="3:34">
      <c r="C71" s="11" t="s">
        <v>194</v>
      </c>
      <c r="D71" s="10" t="s">
        <v>0</v>
      </c>
      <c r="E71" s="10">
        <v>13.71</v>
      </c>
      <c r="F71" s="10">
        <v>22.02</v>
      </c>
      <c r="G71" s="10">
        <v>97.26</v>
      </c>
      <c r="H71" s="10">
        <v>712.79999999999905</v>
      </c>
      <c r="I71" s="10">
        <v>9.0560000000000002E-2</v>
      </c>
      <c r="J71" s="10">
        <v>7.0809999999999901E-2</v>
      </c>
      <c r="K71" s="10">
        <v>5.253E-2</v>
      </c>
      <c r="L71" s="10">
        <v>3.3340000000000002E-2</v>
      </c>
      <c r="M71" s="10">
        <v>0.16159999999999899</v>
      </c>
      <c r="N71" s="10">
        <v>5.6840000000000002E-2</v>
      </c>
      <c r="O71" s="10">
        <v>0.3105</v>
      </c>
      <c r="P71" s="10">
        <v>0.83389999999999898</v>
      </c>
      <c r="Q71" s="10">
        <v>2.097</v>
      </c>
      <c r="R71" s="10">
        <v>29.91</v>
      </c>
      <c r="S71" s="10">
        <v>4.6750000000000003E-3</v>
      </c>
      <c r="T71" s="10">
        <v>1.03E-2</v>
      </c>
      <c r="U71" s="10">
        <v>1.6029999999999898E-2</v>
      </c>
      <c r="V71" s="10">
        <v>9.2219999999999906E-3</v>
      </c>
      <c r="W71" s="10">
        <v>1.095E-2</v>
      </c>
      <c r="X71" s="10">
        <v>1.629E-3</v>
      </c>
      <c r="Y71" s="10">
        <v>18.100000000000001</v>
      </c>
      <c r="Z71" s="10">
        <v>31.69</v>
      </c>
      <c r="AA71" s="10">
        <v>117.7</v>
      </c>
      <c r="AB71" s="10">
        <v>1030</v>
      </c>
      <c r="AC71" s="10">
        <v>0.1389</v>
      </c>
      <c r="AD71" s="10">
        <v>0.20569999999999899</v>
      </c>
      <c r="AE71" s="10">
        <v>0.2712</v>
      </c>
      <c r="AF71" s="10">
        <v>0.153</v>
      </c>
      <c r="AG71" s="10">
        <v>0.26750000000000002</v>
      </c>
      <c r="AH71">
        <v>7.8729999999999897E-2</v>
      </c>
    </row>
    <row r="72" spans="3:34">
      <c r="C72" s="11" t="s">
        <v>195</v>
      </c>
      <c r="D72" s="10" t="s">
        <v>1</v>
      </c>
      <c r="E72" s="10">
        <v>13.71</v>
      </c>
      <c r="F72" s="10">
        <v>18.75</v>
      </c>
      <c r="G72" s="10">
        <v>73.34</v>
      </c>
      <c r="H72" s="10">
        <v>409</v>
      </c>
      <c r="I72" s="10">
        <v>9.5240000000000005E-2</v>
      </c>
      <c r="J72" s="10">
        <v>5.4730000000000001E-2</v>
      </c>
      <c r="K72" s="10">
        <v>3.0360000000000002E-2</v>
      </c>
      <c r="L72" s="10">
        <v>2.2780000000000002E-2</v>
      </c>
      <c r="M72" s="10">
        <v>0.192</v>
      </c>
      <c r="N72" s="10">
        <v>5.90699999999999E-2</v>
      </c>
      <c r="O72" s="10">
        <v>0.32490000000000002</v>
      </c>
      <c r="P72" s="10">
        <v>0.95909999999999895</v>
      </c>
      <c r="Q72" s="10">
        <v>2.1829999999999901</v>
      </c>
      <c r="R72" s="10">
        <v>23.469999999999899</v>
      </c>
      <c r="S72" s="10">
        <v>8.3280000000000003E-3</v>
      </c>
      <c r="T72" s="10">
        <v>8.7220000000000006E-3</v>
      </c>
      <c r="U72" s="10">
        <v>1.349E-2</v>
      </c>
      <c r="V72" s="10">
        <v>8.6700000000000006E-3</v>
      </c>
      <c r="W72" s="10">
        <v>3.218E-2</v>
      </c>
      <c r="X72" s="10">
        <v>2.3860000000000001E-3</v>
      </c>
      <c r="Y72" s="10">
        <v>12.84</v>
      </c>
      <c r="Z72" s="10">
        <v>22.469999999999899</v>
      </c>
      <c r="AA72" s="10">
        <v>81.81</v>
      </c>
      <c r="AB72" s="10">
        <v>506.19999999999902</v>
      </c>
      <c r="AC72" s="10">
        <v>0.1249</v>
      </c>
      <c r="AD72" s="10">
        <v>8.72E-2</v>
      </c>
      <c r="AE72" s="10">
        <v>9.0759999999999896E-2</v>
      </c>
      <c r="AF72" s="10">
        <v>6.3159999999999897E-2</v>
      </c>
      <c r="AG72" s="10">
        <v>0.3306</v>
      </c>
      <c r="AH72">
        <v>7.0360000000000006E-2</v>
      </c>
    </row>
    <row r="73" spans="3:34">
      <c r="C73" s="11" t="s">
        <v>196</v>
      </c>
      <c r="D73" s="10" t="s">
        <v>0</v>
      </c>
      <c r="E73" s="10">
        <v>13.71</v>
      </c>
      <c r="F73" s="10">
        <v>18.57</v>
      </c>
      <c r="G73" s="10">
        <v>125.5</v>
      </c>
      <c r="H73" s="10">
        <v>1152</v>
      </c>
      <c r="I73" s="10">
        <v>0.1053</v>
      </c>
      <c r="J73" s="10">
        <v>0.12670000000000001</v>
      </c>
      <c r="K73" s="10">
        <v>0.1323</v>
      </c>
      <c r="L73" s="10">
        <v>8.9940000000000006E-2</v>
      </c>
      <c r="M73" s="10">
        <v>0.19170000000000001</v>
      </c>
      <c r="N73" s="10">
        <v>5.9610000000000003E-2</v>
      </c>
      <c r="O73" s="10">
        <v>0.72750000000000004</v>
      </c>
      <c r="P73" s="10">
        <v>1.1930000000000001</v>
      </c>
      <c r="Q73" s="10">
        <v>4.83699999999999</v>
      </c>
      <c r="R73" s="10">
        <v>102.5</v>
      </c>
      <c r="S73" s="10">
        <v>6.4580000000000002E-3</v>
      </c>
      <c r="T73" s="10">
        <v>2.3060000000000001E-2</v>
      </c>
      <c r="U73" s="10">
        <v>2.945E-2</v>
      </c>
      <c r="V73" s="10">
        <v>1.538E-2</v>
      </c>
      <c r="W73" s="10">
        <v>1.8519999999999901E-2</v>
      </c>
      <c r="X73" s="10">
        <v>2.6080000000000001E-3</v>
      </c>
      <c r="Y73" s="10">
        <v>26.14</v>
      </c>
      <c r="Z73" s="10">
        <v>28.14</v>
      </c>
      <c r="AA73" s="10">
        <v>170.099999999999</v>
      </c>
      <c r="AB73" s="10">
        <v>2145</v>
      </c>
      <c r="AC73" s="10">
        <v>0.16239999999999899</v>
      </c>
      <c r="AD73" s="10">
        <v>0.35110000000000002</v>
      </c>
      <c r="AE73" s="10">
        <v>0.38790000000000002</v>
      </c>
      <c r="AF73" s="10">
        <v>0.20910000000000001</v>
      </c>
      <c r="AG73" s="10">
        <v>0.35370000000000001</v>
      </c>
      <c r="AH73">
        <v>8.294E-2</v>
      </c>
    </row>
    <row r="74" spans="3:34">
      <c r="C74" s="11" t="s">
        <v>198</v>
      </c>
      <c r="D74" s="10" t="s">
        <v>1</v>
      </c>
      <c r="E74" s="10">
        <v>13.71</v>
      </c>
      <c r="F74" s="10">
        <v>19.309999999999899</v>
      </c>
      <c r="G74" s="10">
        <v>82.6099999999999</v>
      </c>
      <c r="H74" s="10">
        <v>527.20000000000005</v>
      </c>
      <c r="I74" s="10">
        <v>8.0600000000000005E-2</v>
      </c>
      <c r="J74" s="10">
        <v>3.789E-2</v>
      </c>
      <c r="K74" s="10">
        <v>6.9200000000000002E-4</v>
      </c>
      <c r="L74" s="10">
        <v>4.1669999999999902E-3</v>
      </c>
      <c r="M74" s="10">
        <v>0.18190000000000001</v>
      </c>
      <c r="N74" s="10">
        <v>5.5010000000000003E-2</v>
      </c>
      <c r="O74" s="10">
        <v>0.40400000000000003</v>
      </c>
      <c r="P74" s="10">
        <v>1.214</v>
      </c>
      <c r="Q74" s="10">
        <v>2.5950000000000002</v>
      </c>
      <c r="R74" s="10">
        <v>32.96</v>
      </c>
      <c r="S74" s="10">
        <v>7.4910000000000003E-3</v>
      </c>
      <c r="T74" s="10">
        <v>8.5929999999999895E-3</v>
      </c>
      <c r="U74" s="10">
        <v>6.9200000000000002E-4</v>
      </c>
      <c r="V74" s="10">
        <v>4.1669999999999902E-3</v>
      </c>
      <c r="W74" s="10">
        <v>2.1899999999999899E-2</v>
      </c>
      <c r="X74" s="10">
        <v>2.99E-3</v>
      </c>
      <c r="Y74" s="10">
        <v>14.23</v>
      </c>
      <c r="Z74" s="10">
        <v>22.25</v>
      </c>
      <c r="AA74" s="10">
        <v>90.239999999999895</v>
      </c>
      <c r="AB74" s="10">
        <v>624.1</v>
      </c>
      <c r="AC74" s="10">
        <v>0.1021</v>
      </c>
      <c r="AD74" s="10">
        <v>6.191E-2</v>
      </c>
      <c r="AE74" s="10">
        <v>1.8450000000000001E-3</v>
      </c>
      <c r="AF74" s="10">
        <v>1.111E-2</v>
      </c>
      <c r="AG74" s="10">
        <v>0.24390000000000001</v>
      </c>
      <c r="AH74">
        <v>6.2890000000000001E-2</v>
      </c>
    </row>
    <row r="75" spans="3:34">
      <c r="C75" s="11" t="s">
        <v>199</v>
      </c>
      <c r="D75" s="10" t="s">
        <v>1</v>
      </c>
      <c r="E75" s="10">
        <v>13.71</v>
      </c>
      <c r="F75" s="10">
        <v>11.7899999999999</v>
      </c>
      <c r="G75" s="10">
        <v>54.34</v>
      </c>
      <c r="H75" s="10">
        <v>224.5</v>
      </c>
      <c r="I75" s="10">
        <v>9.7519999999999898E-2</v>
      </c>
      <c r="J75" s="10">
        <v>5.2720000000000003E-2</v>
      </c>
      <c r="K75" s="10">
        <v>2.061E-2</v>
      </c>
      <c r="L75" s="10">
        <v>7.7990000000000004E-3</v>
      </c>
      <c r="M75" s="10">
        <v>0.16830000000000001</v>
      </c>
      <c r="N75" s="10">
        <v>7.1870000000000003E-2</v>
      </c>
      <c r="O75" s="10">
        <v>0.15590000000000001</v>
      </c>
      <c r="P75" s="10">
        <v>0.5796</v>
      </c>
      <c r="Q75" s="10">
        <v>1.046</v>
      </c>
      <c r="R75" s="10">
        <v>8.3219999999999903</v>
      </c>
      <c r="S75" s="10">
        <v>1.01099999999999E-2</v>
      </c>
      <c r="T75" s="10">
        <v>1.055E-2</v>
      </c>
      <c r="U75" s="10">
        <v>1.9810000000000001E-2</v>
      </c>
      <c r="V75" s="10">
        <v>5.7419999999999902E-3</v>
      </c>
      <c r="W75" s="10">
        <v>2.0899999999999901E-2</v>
      </c>
      <c r="X75" s="10">
        <v>2.7880000000000001E-3</v>
      </c>
      <c r="Y75" s="10">
        <v>9.5069999999999908</v>
      </c>
      <c r="Z75" s="10">
        <v>15.4</v>
      </c>
      <c r="AA75" s="10">
        <v>59.899999999999899</v>
      </c>
      <c r="AB75" s="10">
        <v>274.89999999999901</v>
      </c>
      <c r="AC75" s="10">
        <v>0.17330000000000001</v>
      </c>
      <c r="AD75" s="10">
        <v>0.1239</v>
      </c>
      <c r="AE75" s="10">
        <v>0.1168</v>
      </c>
      <c r="AF75" s="10">
        <v>4.419E-2</v>
      </c>
      <c r="AG75" s="10">
        <v>0.32200000000000001</v>
      </c>
      <c r="AH75">
        <v>9.0260000000000007E-2</v>
      </c>
    </row>
    <row r="76" spans="3:34">
      <c r="C76" s="11" t="s">
        <v>200</v>
      </c>
      <c r="D76" s="10" t="s">
        <v>1</v>
      </c>
      <c r="E76" s="10">
        <v>13.71</v>
      </c>
      <c r="F76" s="10">
        <v>14.88</v>
      </c>
      <c r="G76" s="10">
        <v>64.549999999999898</v>
      </c>
      <c r="H76" s="10">
        <v>311.89999999999901</v>
      </c>
      <c r="I76" s="10">
        <v>0.1134</v>
      </c>
      <c r="J76" s="10">
        <v>8.0610000000000001E-2</v>
      </c>
      <c r="K76" s="10">
        <v>1.0840000000000001E-2</v>
      </c>
      <c r="L76" s="10">
        <v>1.29E-2</v>
      </c>
      <c r="M76" s="10">
        <v>0.27429999999999899</v>
      </c>
      <c r="N76" s="10">
        <v>6.9599999999999898E-2</v>
      </c>
      <c r="O76" s="10">
        <v>0.51580000000000004</v>
      </c>
      <c r="P76" s="10">
        <v>1.4410000000000001</v>
      </c>
      <c r="Q76" s="10">
        <v>3.3119999999999901</v>
      </c>
      <c r="R76" s="10">
        <v>34.619999999999898</v>
      </c>
      <c r="S76" s="10">
        <v>7.5139999999999903E-3</v>
      </c>
      <c r="T76" s="10">
        <v>1.099E-2</v>
      </c>
      <c r="U76" s="10">
        <v>7.6649999999999904E-3</v>
      </c>
      <c r="V76" s="10">
        <v>8.1930000000000006E-3</v>
      </c>
      <c r="W76" s="10">
        <v>4.1829999999999902E-2</v>
      </c>
      <c r="X76" s="10">
        <v>5.953E-3</v>
      </c>
      <c r="Y76" s="10">
        <v>11.02</v>
      </c>
      <c r="Z76" s="10">
        <v>17.4499999999999</v>
      </c>
      <c r="AA76" s="10">
        <v>69.8599999999999</v>
      </c>
      <c r="AB76" s="10">
        <v>368.6</v>
      </c>
      <c r="AC76" s="10">
        <v>0.1275</v>
      </c>
      <c r="AD76" s="10">
        <v>9.8659999999999901E-2</v>
      </c>
      <c r="AE76" s="10">
        <v>2.1680000000000001E-2</v>
      </c>
      <c r="AF76" s="10">
        <v>2.579E-2</v>
      </c>
      <c r="AG76" s="10">
        <v>0.35570000000000002</v>
      </c>
      <c r="AH76">
        <v>8.0199999999999896E-2</v>
      </c>
    </row>
    <row r="77" spans="3:34">
      <c r="C77" s="11" t="s">
        <v>201</v>
      </c>
      <c r="D77" s="10" t="s">
        <v>1</v>
      </c>
      <c r="E77" s="10">
        <v>13.71</v>
      </c>
      <c r="F77" s="10">
        <v>20.98</v>
      </c>
      <c r="G77" s="10">
        <v>54.659999999999897</v>
      </c>
      <c r="H77" s="10">
        <v>221.8</v>
      </c>
      <c r="I77" s="10">
        <v>0.12429999999999899</v>
      </c>
      <c r="J77" s="10">
        <v>8.9630000000000001E-2</v>
      </c>
      <c r="K77" s="10">
        <v>2.9999999999999898E-2</v>
      </c>
      <c r="L77" s="10">
        <v>9.2589999999999895E-3</v>
      </c>
      <c r="M77" s="10">
        <v>0.18279999999999899</v>
      </c>
      <c r="N77" s="10">
        <v>6.7570000000000005E-2</v>
      </c>
      <c r="O77" s="10">
        <v>0.35820000000000002</v>
      </c>
      <c r="P77" s="10">
        <v>2.0670000000000002</v>
      </c>
      <c r="Q77" s="10">
        <v>2.4929999999999901</v>
      </c>
      <c r="R77" s="10">
        <v>18.39</v>
      </c>
      <c r="S77" s="10">
        <v>1.193E-2</v>
      </c>
      <c r="T77" s="10">
        <v>3.1620000000000002E-2</v>
      </c>
      <c r="U77" s="10">
        <v>2.9999999999999898E-2</v>
      </c>
      <c r="V77" s="10">
        <v>9.2589999999999895E-3</v>
      </c>
      <c r="W77" s="10">
        <v>3.3570000000000003E-2</v>
      </c>
      <c r="X77" s="10">
        <v>3.04799999999999E-3</v>
      </c>
      <c r="Y77" s="10">
        <v>9.5649999999999906</v>
      </c>
      <c r="Z77" s="10">
        <v>27.0399999999999</v>
      </c>
      <c r="AA77" s="10">
        <v>62.06</v>
      </c>
      <c r="AB77" s="10">
        <v>273.89999999999901</v>
      </c>
      <c r="AC77" s="10">
        <v>0.16389999999999899</v>
      </c>
      <c r="AD77" s="10">
        <v>0.16980000000000001</v>
      </c>
      <c r="AE77" s="10">
        <v>9.0010000000000007E-2</v>
      </c>
      <c r="AF77" s="10">
        <v>2.7779999999999899E-2</v>
      </c>
      <c r="AG77" s="10">
        <v>0.29720000000000002</v>
      </c>
      <c r="AH77">
        <v>7.7119999999999897E-2</v>
      </c>
    </row>
    <row r="78" spans="3:34">
      <c r="C78" s="11" t="s">
        <v>204</v>
      </c>
      <c r="D78" s="10" t="s">
        <v>0</v>
      </c>
      <c r="E78" s="10">
        <v>13.71</v>
      </c>
      <c r="F78" s="10">
        <v>23.84</v>
      </c>
      <c r="G78" s="10">
        <v>82.689999999999898</v>
      </c>
      <c r="H78" s="10">
        <v>499</v>
      </c>
      <c r="I78" s="10">
        <v>0.11219999999999899</v>
      </c>
      <c r="J78" s="10">
        <v>0.12620000000000001</v>
      </c>
      <c r="K78" s="10">
        <v>0.1128</v>
      </c>
      <c r="L78" s="10">
        <v>6.8729999999999902E-2</v>
      </c>
      <c r="M78" s="10">
        <v>0.1905</v>
      </c>
      <c r="N78" s="10">
        <v>6.59E-2</v>
      </c>
      <c r="O78" s="10">
        <v>0.42549999999999899</v>
      </c>
      <c r="P78" s="10">
        <v>1.1779999999999899</v>
      </c>
      <c r="Q78" s="10">
        <v>2.927</v>
      </c>
      <c r="R78" s="10">
        <v>36.46</v>
      </c>
      <c r="S78" s="10">
        <v>7.7809999999999902E-3</v>
      </c>
      <c r="T78" s="10">
        <v>2.648E-2</v>
      </c>
      <c r="U78" s="10">
        <v>2.9729999999999899E-2</v>
      </c>
      <c r="V78" s="10">
        <v>1.29E-2</v>
      </c>
      <c r="W78" s="10">
        <v>1.635E-2</v>
      </c>
      <c r="X78" s="10">
        <v>3.601E-3</v>
      </c>
      <c r="Y78" s="10">
        <v>17.09</v>
      </c>
      <c r="Z78" s="10">
        <v>33.469999999999899</v>
      </c>
      <c r="AA78" s="10">
        <v>111.8</v>
      </c>
      <c r="AB78" s="10">
        <v>888.29999999999905</v>
      </c>
      <c r="AC78" s="10">
        <v>0.18509999999999899</v>
      </c>
      <c r="AD78" s="10">
        <v>0.40610000000000002</v>
      </c>
      <c r="AE78" s="10">
        <v>0.40239999999999898</v>
      </c>
      <c r="AF78" s="10">
        <v>0.1716</v>
      </c>
      <c r="AG78" s="10">
        <v>0.33829999999999899</v>
      </c>
      <c r="AH78">
        <v>0.1031</v>
      </c>
    </row>
    <row r="79" spans="3:34">
      <c r="C79" s="11" t="s">
        <v>205</v>
      </c>
      <c r="D79" s="10" t="s">
        <v>0</v>
      </c>
      <c r="E79" s="10">
        <v>13.71</v>
      </c>
      <c r="F79" s="10">
        <v>23.94</v>
      </c>
      <c r="G79" s="10">
        <v>97.4</v>
      </c>
      <c r="H79" s="10">
        <v>668.29999999999905</v>
      </c>
      <c r="I79" s="10">
        <v>0.1172</v>
      </c>
      <c r="J79" s="10">
        <v>0.1479</v>
      </c>
      <c r="K79" s="10">
        <v>0.12670000000000001</v>
      </c>
      <c r="L79" s="10">
        <v>9.0289999999999898E-2</v>
      </c>
      <c r="M79" s="10">
        <v>0.1953</v>
      </c>
      <c r="N79" s="10">
        <v>6.6540000000000002E-2</v>
      </c>
      <c r="O79" s="10">
        <v>0.35770000000000002</v>
      </c>
      <c r="P79" s="10">
        <v>1.2809999999999899</v>
      </c>
      <c r="Q79" s="10">
        <v>2.4500000000000002</v>
      </c>
      <c r="R79" s="10">
        <v>35.24</v>
      </c>
      <c r="S79" s="10">
        <v>6.7029999999999902E-3</v>
      </c>
      <c r="T79" s="10">
        <v>2.3099999999999898E-2</v>
      </c>
      <c r="U79" s="10">
        <v>2.315E-2</v>
      </c>
      <c r="V79" s="10">
        <v>1.184E-2</v>
      </c>
      <c r="W79" s="10">
        <v>1.9E-2</v>
      </c>
      <c r="X79" s="10">
        <v>3.2239999999999899E-3</v>
      </c>
      <c r="Y79" s="10">
        <v>17.309999999999899</v>
      </c>
      <c r="Z79" s="10">
        <v>33.39</v>
      </c>
      <c r="AA79" s="10">
        <v>114.599999999999</v>
      </c>
      <c r="AB79" s="10">
        <v>925.1</v>
      </c>
      <c r="AC79" s="10">
        <v>0.1648</v>
      </c>
      <c r="AD79" s="10">
        <v>0.34160000000000001</v>
      </c>
      <c r="AE79" s="10">
        <v>0.3024</v>
      </c>
      <c r="AF79" s="10">
        <v>0.16139999999999899</v>
      </c>
      <c r="AG79" s="10">
        <v>0.33210000000000001</v>
      </c>
      <c r="AH79">
        <v>8.9109999999999898E-2</v>
      </c>
    </row>
    <row r="80" spans="3:34">
      <c r="C80" s="11" t="s">
        <v>207</v>
      </c>
      <c r="D80" s="10" t="s">
        <v>1</v>
      </c>
      <c r="E80" s="10">
        <v>13.71</v>
      </c>
      <c r="F80" s="10">
        <v>19.0399999999999</v>
      </c>
      <c r="G80" s="10">
        <v>71.799999999999898</v>
      </c>
      <c r="H80" s="10">
        <v>394.1</v>
      </c>
      <c r="I80" s="10">
        <v>8.1390000000000004E-2</v>
      </c>
      <c r="J80" s="10">
        <v>4.7010000000000003E-2</v>
      </c>
      <c r="K80" s="10">
        <v>3.7089999999999901E-2</v>
      </c>
      <c r="L80" s="10">
        <v>2.23E-2</v>
      </c>
      <c r="M80" s="10">
        <v>0.15160000000000001</v>
      </c>
      <c r="N80" s="10">
        <v>5.6669999999999901E-2</v>
      </c>
      <c r="O80" s="10">
        <v>0.2727</v>
      </c>
      <c r="P80" s="10">
        <v>0.94289999999999896</v>
      </c>
      <c r="Q80" s="10">
        <v>1.831</v>
      </c>
      <c r="R80" s="10">
        <v>18.149999999999899</v>
      </c>
      <c r="S80" s="10">
        <v>9.2820000000000003E-3</v>
      </c>
      <c r="T80" s="10">
        <v>9.2160000000000002E-3</v>
      </c>
      <c r="U80" s="10">
        <v>2.0629999999999898E-2</v>
      </c>
      <c r="V80" s="10">
        <v>8.9650000000000007E-3</v>
      </c>
      <c r="W80" s="10">
        <v>2.1829999999999902E-2</v>
      </c>
      <c r="X80" s="10">
        <v>2.1459999999999899E-3</v>
      </c>
      <c r="Y80" s="10">
        <v>12.33</v>
      </c>
      <c r="Z80" s="10">
        <v>23.84</v>
      </c>
      <c r="AA80" s="10">
        <v>78</v>
      </c>
      <c r="AB80" s="10">
        <v>466.69999999999902</v>
      </c>
      <c r="AC80" s="10">
        <v>0.129</v>
      </c>
      <c r="AD80" s="10">
        <v>9.1480000000000006E-2</v>
      </c>
      <c r="AE80" s="10">
        <v>0.1444</v>
      </c>
      <c r="AF80" s="10">
        <v>6.9610000000000005E-2</v>
      </c>
      <c r="AG80" s="10">
        <v>0.23999999999999899</v>
      </c>
      <c r="AH80">
        <v>6.64099999999999E-2</v>
      </c>
    </row>
    <row r="81" spans="3:34">
      <c r="C81" s="11" t="s">
        <v>209</v>
      </c>
      <c r="D81" s="10" t="s">
        <v>1</v>
      </c>
      <c r="E81" s="10">
        <v>13.71</v>
      </c>
      <c r="F81" s="10">
        <v>16.489999999999899</v>
      </c>
      <c r="G81" s="10">
        <v>81.37</v>
      </c>
      <c r="H81" s="10">
        <v>502.5</v>
      </c>
      <c r="I81" s="10">
        <v>9.8309999999999897E-2</v>
      </c>
      <c r="J81" s="10">
        <v>5.23399999999999E-2</v>
      </c>
      <c r="K81" s="10">
        <v>3.653E-2</v>
      </c>
      <c r="L81" s="10">
        <v>2.8639999999999902E-2</v>
      </c>
      <c r="M81" s="10">
        <v>0.159</v>
      </c>
      <c r="N81" s="10">
        <v>5.65299999999999E-2</v>
      </c>
      <c r="O81" s="10">
        <v>0.23680000000000001</v>
      </c>
      <c r="P81" s="10">
        <v>0.87319999999999898</v>
      </c>
      <c r="Q81" s="10">
        <v>1.4710000000000001</v>
      </c>
      <c r="R81" s="10">
        <v>18.329999999999899</v>
      </c>
      <c r="S81" s="10">
        <v>7.9620000000000003E-3</v>
      </c>
      <c r="T81" s="10">
        <v>5.6119999999999903E-3</v>
      </c>
      <c r="U81" s="10">
        <v>1.585E-2</v>
      </c>
      <c r="V81" s="10">
        <v>8.6619999999999892E-3</v>
      </c>
      <c r="W81" s="10">
        <v>2.2540000000000001E-2</v>
      </c>
      <c r="X81" s="10">
        <v>1.90599999999999E-3</v>
      </c>
      <c r="Y81" s="10">
        <v>13.46</v>
      </c>
      <c r="Z81" s="10">
        <v>19.760000000000002</v>
      </c>
      <c r="AA81" s="10">
        <v>85.67</v>
      </c>
      <c r="AB81" s="10">
        <v>554.89999999999895</v>
      </c>
      <c r="AC81" s="10">
        <v>0.12959999999999899</v>
      </c>
      <c r="AD81" s="10">
        <v>7.0610000000000006E-2</v>
      </c>
      <c r="AE81" s="10">
        <v>0.10390000000000001</v>
      </c>
      <c r="AF81" s="10">
        <v>5.88199999999999E-2</v>
      </c>
      <c r="AG81" s="10">
        <v>0.23830000000000001</v>
      </c>
      <c r="AH81">
        <v>6.4100000000000004E-2</v>
      </c>
    </row>
    <row r="82" spans="3:34">
      <c r="C82" s="11" t="s">
        <v>210</v>
      </c>
      <c r="D82" s="10" t="s">
        <v>0</v>
      </c>
      <c r="E82" s="10">
        <v>13.71</v>
      </c>
      <c r="F82" s="10">
        <v>21.309999999999899</v>
      </c>
      <c r="G82" s="10">
        <v>123.599999999999</v>
      </c>
      <c r="H82" s="10">
        <v>1130</v>
      </c>
      <c r="I82" s="10">
        <v>9.0090000000000003E-2</v>
      </c>
      <c r="J82" s="10">
        <v>0.10290000000000001</v>
      </c>
      <c r="K82" s="10">
        <v>0.108</v>
      </c>
      <c r="L82" s="10">
        <v>7.95099999999999E-2</v>
      </c>
      <c r="M82" s="10">
        <v>0.15820000000000001</v>
      </c>
      <c r="N82" s="10">
        <v>5.4609999999999902E-2</v>
      </c>
      <c r="O82" s="10">
        <v>0.78879999999999895</v>
      </c>
      <c r="P82" s="10">
        <v>0.79749999999999899</v>
      </c>
      <c r="Q82" s="10">
        <v>5.48599999999999</v>
      </c>
      <c r="R82" s="10">
        <v>96.049999999999898</v>
      </c>
      <c r="S82" s="10">
        <v>4.444E-3</v>
      </c>
      <c r="T82" s="10">
        <v>1.652E-2</v>
      </c>
      <c r="U82" s="10">
        <v>2.2689999999999901E-2</v>
      </c>
      <c r="V82" s="10">
        <v>1.37E-2</v>
      </c>
      <c r="W82" s="10">
        <v>1.3860000000000001E-2</v>
      </c>
      <c r="X82" s="10">
        <v>1.6980000000000001E-3</v>
      </c>
      <c r="Y82" s="10">
        <v>24.8599999999999</v>
      </c>
      <c r="Z82" s="10">
        <v>26.579999999999899</v>
      </c>
      <c r="AA82" s="10">
        <v>165.9</v>
      </c>
      <c r="AB82" s="10">
        <v>1866</v>
      </c>
      <c r="AC82" s="10">
        <v>0.1193</v>
      </c>
      <c r="AD82" s="10">
        <v>0.2336</v>
      </c>
      <c r="AE82" s="10">
        <v>0.268699999999999</v>
      </c>
      <c r="AF82" s="10">
        <v>0.1789</v>
      </c>
      <c r="AG82" s="10">
        <v>0.25509999999999899</v>
      </c>
      <c r="AH82">
        <v>6.5890000000000004E-2</v>
      </c>
    </row>
    <row r="83" spans="3:34">
      <c r="C83" s="11" t="s">
        <v>212</v>
      </c>
      <c r="D83" s="10" t="s">
        <v>0</v>
      </c>
      <c r="E83" s="10">
        <v>13.71</v>
      </c>
      <c r="F83" s="10">
        <v>24.52</v>
      </c>
      <c r="G83" s="10">
        <v>114.2</v>
      </c>
      <c r="H83" s="10">
        <v>929.39999999999895</v>
      </c>
      <c r="I83" s="10">
        <v>0.1071</v>
      </c>
      <c r="J83" s="10">
        <v>0.183</v>
      </c>
      <c r="K83" s="10">
        <v>0.16919999999999899</v>
      </c>
      <c r="L83" s="10">
        <v>7.94399999999999E-2</v>
      </c>
      <c r="M83" s="10">
        <v>0.19270000000000001</v>
      </c>
      <c r="N83" s="10">
        <v>6.48699999999999E-2</v>
      </c>
      <c r="O83" s="10">
        <v>0.5907</v>
      </c>
      <c r="P83" s="10">
        <v>1.0409999999999899</v>
      </c>
      <c r="Q83" s="10">
        <v>3.7050000000000001</v>
      </c>
      <c r="R83" s="10">
        <v>69.469999999999899</v>
      </c>
      <c r="S83" s="10">
        <v>5.8199999999999901E-3</v>
      </c>
      <c r="T83" s="10">
        <v>5.6160000000000002E-2</v>
      </c>
      <c r="U83" s="10">
        <v>4.2520000000000002E-2</v>
      </c>
      <c r="V83" s="10">
        <v>1.1270000000000001E-2</v>
      </c>
      <c r="W83" s="10">
        <v>1.5270000000000001E-2</v>
      </c>
      <c r="X83" s="10">
        <v>6.2989999999999904E-3</v>
      </c>
      <c r="Y83" s="10">
        <v>23.32</v>
      </c>
      <c r="Z83" s="10">
        <v>33.82</v>
      </c>
      <c r="AA83" s="10">
        <v>151.599999999999</v>
      </c>
      <c r="AB83" s="10">
        <v>1681</v>
      </c>
      <c r="AC83" s="10">
        <v>0.1585</v>
      </c>
      <c r="AD83" s="10">
        <v>0.73939999999999895</v>
      </c>
      <c r="AE83" s="10">
        <v>0.65659999999999896</v>
      </c>
      <c r="AF83" s="10">
        <v>0.18990000000000001</v>
      </c>
      <c r="AG83" s="10">
        <v>0.33129999999999898</v>
      </c>
      <c r="AH83">
        <v>0.13389999999999899</v>
      </c>
    </row>
    <row r="84" spans="3:34">
      <c r="C84" s="11" t="s">
        <v>215</v>
      </c>
      <c r="D84" s="10" t="s">
        <v>0</v>
      </c>
      <c r="E84" s="10">
        <v>13.71</v>
      </c>
      <c r="F84" s="10">
        <v>19.649999999999899</v>
      </c>
      <c r="G84" s="10">
        <v>104.099999999999</v>
      </c>
      <c r="H84" s="10">
        <v>817.7</v>
      </c>
      <c r="I84" s="10">
        <v>9.16799999999999E-2</v>
      </c>
      <c r="J84" s="10">
        <v>8.4239999999999898E-2</v>
      </c>
      <c r="K84" s="10">
        <v>9.7689999999999902E-2</v>
      </c>
      <c r="L84" s="10">
        <v>6.6379999999999897E-2</v>
      </c>
      <c r="M84" s="10">
        <v>0.17979999999999899</v>
      </c>
      <c r="N84" s="10">
        <v>5.391E-2</v>
      </c>
      <c r="O84" s="10">
        <v>0.74739999999999895</v>
      </c>
      <c r="P84" s="10">
        <v>1.016</v>
      </c>
      <c r="Q84" s="10">
        <v>5.0289999999999901</v>
      </c>
      <c r="R84" s="10">
        <v>79.25</v>
      </c>
      <c r="S84" s="10">
        <v>1.082E-2</v>
      </c>
      <c r="T84" s="10">
        <v>2.2030000000000001E-2</v>
      </c>
      <c r="U84" s="10">
        <v>3.5000000000000003E-2</v>
      </c>
      <c r="V84" s="10">
        <v>1.8089999999999901E-2</v>
      </c>
      <c r="W84" s="10">
        <v>1.55E-2</v>
      </c>
      <c r="X84" s="10">
        <v>1.9480000000000001E-3</v>
      </c>
      <c r="Y84" s="10">
        <v>19.77</v>
      </c>
      <c r="Z84" s="10">
        <v>24.559999999999899</v>
      </c>
      <c r="AA84" s="10">
        <v>128.80000000000001</v>
      </c>
      <c r="AB84" s="10">
        <v>1223</v>
      </c>
      <c r="AC84" s="10">
        <v>0.149999999999999</v>
      </c>
      <c r="AD84" s="10">
        <v>0.20449999999999899</v>
      </c>
      <c r="AE84" s="10">
        <v>0.28289999999999899</v>
      </c>
      <c r="AF84" s="10">
        <v>0.152</v>
      </c>
      <c r="AG84" s="10">
        <v>0.26500000000000001</v>
      </c>
      <c r="AH84">
        <v>6.3869999999999899E-2</v>
      </c>
    </row>
    <row r="85" spans="3:34">
      <c r="C85" s="11" t="s">
        <v>216</v>
      </c>
      <c r="D85" s="10" t="s">
        <v>1</v>
      </c>
      <c r="E85" s="10">
        <v>13.71</v>
      </c>
      <c r="F85" s="10">
        <v>10.94</v>
      </c>
      <c r="G85" s="10">
        <v>87.909999999999897</v>
      </c>
      <c r="H85" s="10">
        <v>559.20000000000005</v>
      </c>
      <c r="I85" s="10">
        <v>0.12909999999999899</v>
      </c>
      <c r="J85" s="10">
        <v>0.1047</v>
      </c>
      <c r="K85" s="10">
        <v>6.8769999999999901E-2</v>
      </c>
      <c r="L85" s="10">
        <v>6.5559999999999896E-2</v>
      </c>
      <c r="M85" s="10">
        <v>0.24030000000000001</v>
      </c>
      <c r="N85" s="10">
        <v>6.64099999999999E-2</v>
      </c>
      <c r="O85" s="10">
        <v>0.41010000000000002</v>
      </c>
      <c r="P85" s="10">
        <v>1.014</v>
      </c>
      <c r="Q85" s="10">
        <v>2.6520000000000001</v>
      </c>
      <c r="R85" s="10">
        <v>32.649999999999899</v>
      </c>
      <c r="S85" s="10">
        <v>1.34E-2</v>
      </c>
      <c r="T85" s="10">
        <v>2.8389999999999901E-2</v>
      </c>
      <c r="U85" s="10">
        <v>1.162E-2</v>
      </c>
      <c r="V85" s="10">
        <v>8.2389999999999894E-3</v>
      </c>
      <c r="W85" s="10">
        <v>2.572E-2</v>
      </c>
      <c r="X85" s="10">
        <v>6.1640000000000002E-3</v>
      </c>
      <c r="Y85" s="10">
        <v>14.08</v>
      </c>
      <c r="Z85" s="10">
        <v>12.49</v>
      </c>
      <c r="AA85" s="10">
        <v>91.3599999999999</v>
      </c>
      <c r="AB85" s="10">
        <v>605.5</v>
      </c>
      <c r="AC85" s="10">
        <v>0.14510000000000001</v>
      </c>
      <c r="AD85" s="10">
        <v>0.137899999999999</v>
      </c>
      <c r="AE85" s="10">
        <v>8.5389999999999897E-2</v>
      </c>
      <c r="AF85" s="10">
        <v>7.40699999999999E-2</v>
      </c>
      <c r="AG85" s="10">
        <v>0.27100000000000002</v>
      </c>
      <c r="AH85">
        <v>7.1910000000000002E-2</v>
      </c>
    </row>
    <row r="86" spans="3:34">
      <c r="C86" s="11" t="s">
        <v>217</v>
      </c>
      <c r="D86" s="10" t="s">
        <v>0</v>
      </c>
      <c r="E86" s="10">
        <v>13.71</v>
      </c>
      <c r="F86" s="10">
        <v>16.149999999999899</v>
      </c>
      <c r="G86" s="10">
        <v>120.2</v>
      </c>
      <c r="H86" s="10">
        <v>1006</v>
      </c>
      <c r="I86" s="10">
        <v>0.1065</v>
      </c>
      <c r="J86" s="10">
        <v>0.21460000000000001</v>
      </c>
      <c r="K86" s="10">
        <v>0.16839999999999899</v>
      </c>
      <c r="L86" s="10">
        <v>0.108</v>
      </c>
      <c r="M86" s="10">
        <v>0.2152</v>
      </c>
      <c r="N86" s="10">
        <v>6.6729999999999901E-2</v>
      </c>
      <c r="O86" s="10">
        <v>0.98060000000000003</v>
      </c>
      <c r="P86" s="10">
        <v>0.55049999999999899</v>
      </c>
      <c r="Q86" s="10">
        <v>6.3109999999999902</v>
      </c>
      <c r="R86" s="10">
        <v>134.80000000000001</v>
      </c>
      <c r="S86" s="10">
        <v>7.9399999999999905E-3</v>
      </c>
      <c r="T86" s="10">
        <v>5.83899999999999E-2</v>
      </c>
      <c r="U86" s="10">
        <v>4.6580000000000003E-2</v>
      </c>
      <c r="V86" s="10">
        <v>2.07E-2</v>
      </c>
      <c r="W86" s="10">
        <v>2.5909999999999898E-2</v>
      </c>
      <c r="X86" s="10">
        <v>7.0540000000000004E-3</v>
      </c>
      <c r="Y86" s="10">
        <v>22.39</v>
      </c>
      <c r="Z86" s="10">
        <v>18.91</v>
      </c>
      <c r="AA86" s="10">
        <v>150.099999999999</v>
      </c>
      <c r="AB86" s="10">
        <v>1610</v>
      </c>
      <c r="AC86" s="10">
        <v>0.14779999999999899</v>
      </c>
      <c r="AD86" s="10">
        <v>0.56340000000000001</v>
      </c>
      <c r="AE86" s="10">
        <v>0.37859999999999899</v>
      </c>
      <c r="AF86" s="10">
        <v>0.2102</v>
      </c>
      <c r="AG86" s="10">
        <v>0.37509999999999899</v>
      </c>
      <c r="AH86">
        <v>0.1108</v>
      </c>
    </row>
    <row r="87" spans="3:34">
      <c r="C87" s="11" t="s">
        <v>219</v>
      </c>
      <c r="D87" s="10" t="s">
        <v>1</v>
      </c>
      <c r="E87" s="10">
        <v>13.71</v>
      </c>
      <c r="F87" s="10">
        <v>18</v>
      </c>
      <c r="G87" s="10">
        <v>83.189999999999898</v>
      </c>
      <c r="H87" s="10">
        <v>506.3</v>
      </c>
      <c r="I87" s="10">
        <v>9.9339999999999901E-2</v>
      </c>
      <c r="J87" s="10">
        <v>9.5460000000000003E-2</v>
      </c>
      <c r="K87" s="10">
        <v>3.8890000000000001E-2</v>
      </c>
      <c r="L87" s="10">
        <v>2.315E-2</v>
      </c>
      <c r="M87" s="10">
        <v>0.17180000000000001</v>
      </c>
      <c r="N87" s="10">
        <v>5.9970000000000002E-2</v>
      </c>
      <c r="O87" s="10">
        <v>0.26550000000000001</v>
      </c>
      <c r="P87" s="10">
        <v>1.095</v>
      </c>
      <c r="Q87" s="10">
        <v>1.778</v>
      </c>
      <c r="R87" s="10">
        <v>20.350000000000001</v>
      </c>
      <c r="S87" s="10">
        <v>5.293E-3</v>
      </c>
      <c r="T87" s="10">
        <v>1.661E-2</v>
      </c>
      <c r="U87" s="10">
        <v>2.0709999999999899E-2</v>
      </c>
      <c r="V87" s="10">
        <v>8.1790000000000005E-3</v>
      </c>
      <c r="W87" s="10">
        <v>1.7479999999999898E-2</v>
      </c>
      <c r="X87" s="10">
        <v>2.8479999999999899E-3</v>
      </c>
      <c r="Y87" s="10">
        <v>14.24</v>
      </c>
      <c r="Z87" s="10">
        <v>24.82</v>
      </c>
      <c r="AA87" s="10">
        <v>91.879999999999896</v>
      </c>
      <c r="AB87" s="10">
        <v>622.1</v>
      </c>
      <c r="AC87" s="10">
        <v>0.12889999999999899</v>
      </c>
      <c r="AD87" s="10">
        <v>0.21410000000000001</v>
      </c>
      <c r="AE87" s="10">
        <v>0.1731</v>
      </c>
      <c r="AF87" s="10">
        <v>7.92599999999999E-2</v>
      </c>
      <c r="AG87" s="10">
        <v>0.27789999999999898</v>
      </c>
      <c r="AH87">
        <v>7.918E-2</v>
      </c>
    </row>
    <row r="88" spans="3:34">
      <c r="C88" s="11" t="s">
        <v>220</v>
      </c>
      <c r="D88" s="10" t="s">
        <v>1</v>
      </c>
      <c r="E88" s="10">
        <v>13.71</v>
      </c>
      <c r="F88" s="10">
        <v>20.969999999999899</v>
      </c>
      <c r="G88" s="10">
        <v>73.81</v>
      </c>
      <c r="H88" s="10">
        <v>401.5</v>
      </c>
      <c r="I88" s="10">
        <v>0.11020000000000001</v>
      </c>
      <c r="J88" s="10">
        <v>9.3619999999999898E-2</v>
      </c>
      <c r="K88" s="10">
        <v>4.5909999999999902E-2</v>
      </c>
      <c r="L88" s="10">
        <v>2.2329999999999899E-2</v>
      </c>
      <c r="M88" s="10">
        <v>0.1842</v>
      </c>
      <c r="N88" s="10">
        <v>7.0050000000000001E-2</v>
      </c>
      <c r="O88" s="10">
        <v>0.3251</v>
      </c>
      <c r="P88" s="10">
        <v>2.1739999999999902</v>
      </c>
      <c r="Q88" s="10">
        <v>2.077</v>
      </c>
      <c r="R88" s="10">
        <v>24.62</v>
      </c>
      <c r="S88" s="10">
        <v>1.0370000000000001E-2</v>
      </c>
      <c r="T88" s="10">
        <v>1.7059999999999902E-2</v>
      </c>
      <c r="U88" s="10">
        <v>2.5860000000000001E-2</v>
      </c>
      <c r="V88" s="10">
        <v>7.5059999999999901E-3</v>
      </c>
      <c r="W88" s="10">
        <v>1.8159999999999898E-2</v>
      </c>
      <c r="X88" s="10">
        <v>3.9760000000000004E-3</v>
      </c>
      <c r="Y88" s="10">
        <v>13.1099999999999</v>
      </c>
      <c r="Z88" s="10">
        <v>32.159999999999897</v>
      </c>
      <c r="AA88" s="10">
        <v>84.53</v>
      </c>
      <c r="AB88" s="10">
        <v>525.1</v>
      </c>
      <c r="AC88" s="10">
        <v>0.15570000000000001</v>
      </c>
      <c r="AD88" s="10">
        <v>0.1676</v>
      </c>
      <c r="AE88" s="10">
        <v>0.17549999999999899</v>
      </c>
      <c r="AF88" s="10">
        <v>6.1269999999999901E-2</v>
      </c>
      <c r="AG88" s="10">
        <v>0.2762</v>
      </c>
      <c r="AH88">
        <v>8.8510000000000005E-2</v>
      </c>
    </row>
    <row r="89" spans="3:34">
      <c r="C89" s="11" t="s">
        <v>221</v>
      </c>
      <c r="D89" s="10" t="s">
        <v>1</v>
      </c>
      <c r="E89" s="10">
        <v>13.71</v>
      </c>
      <c r="F89" s="10">
        <v>15.8599999999999</v>
      </c>
      <c r="G89" s="10">
        <v>86.489999999999895</v>
      </c>
      <c r="H89" s="10">
        <v>520</v>
      </c>
      <c r="I89" s="10">
        <v>0.10780000000000001</v>
      </c>
      <c r="J89" s="10">
        <v>0.1535</v>
      </c>
      <c r="K89" s="10">
        <v>0.1169</v>
      </c>
      <c r="L89" s="10">
        <v>6.9870000000000002E-2</v>
      </c>
      <c r="M89" s="10">
        <v>0.19420000000000001</v>
      </c>
      <c r="N89" s="10">
        <v>6.9019999999999901E-2</v>
      </c>
      <c r="O89" s="10">
        <v>0.28599999999999898</v>
      </c>
      <c r="P89" s="10">
        <v>1.016</v>
      </c>
      <c r="Q89" s="10">
        <v>1.5349999999999899</v>
      </c>
      <c r="R89" s="10">
        <v>12.96</v>
      </c>
      <c r="S89" s="10">
        <v>6.7939999999999902E-3</v>
      </c>
      <c r="T89" s="10">
        <v>3.57499999999999E-2</v>
      </c>
      <c r="U89" s="10">
        <v>3.9800000000000002E-2</v>
      </c>
      <c r="V89" s="10">
        <v>1.383E-2</v>
      </c>
      <c r="W89" s="10">
        <v>2.1340000000000001E-2</v>
      </c>
      <c r="X89" s="10">
        <v>4.6030000000000003E-3</v>
      </c>
      <c r="Y89" s="10">
        <v>15.5299999999999</v>
      </c>
      <c r="Z89" s="10">
        <v>23.19</v>
      </c>
      <c r="AA89" s="10">
        <v>96.659999999999897</v>
      </c>
      <c r="AB89" s="10">
        <v>614.89999999999895</v>
      </c>
      <c r="AC89" s="10">
        <v>0.15359999999999899</v>
      </c>
      <c r="AD89" s="10">
        <v>0.47910000000000003</v>
      </c>
      <c r="AE89" s="10">
        <v>0.48580000000000001</v>
      </c>
      <c r="AF89" s="10">
        <v>0.17080000000000001</v>
      </c>
      <c r="AG89" s="10">
        <v>0.35270000000000001</v>
      </c>
      <c r="AH89">
        <v>0.1016</v>
      </c>
    </row>
    <row r="90" spans="3:34">
      <c r="C90" s="11" t="s">
        <v>222</v>
      </c>
      <c r="D90" s="10" t="s">
        <v>0</v>
      </c>
      <c r="E90" s="10">
        <v>13.71</v>
      </c>
      <c r="F90" s="10">
        <v>24.91</v>
      </c>
      <c r="G90" s="10">
        <v>171.5</v>
      </c>
      <c r="H90" s="10">
        <v>1878</v>
      </c>
      <c r="I90" s="10">
        <v>0.10630000000000001</v>
      </c>
      <c r="J90" s="10">
        <v>0.26650000000000001</v>
      </c>
      <c r="K90" s="10">
        <v>0.33389999999999898</v>
      </c>
      <c r="L90" s="10">
        <v>0.1845</v>
      </c>
      <c r="M90" s="10">
        <v>0.18290000000000001</v>
      </c>
      <c r="N90" s="10">
        <v>6.7820000000000005E-2</v>
      </c>
      <c r="O90" s="10">
        <v>0.89729999999999899</v>
      </c>
      <c r="P90" s="10">
        <v>1.474</v>
      </c>
      <c r="Q90" s="10">
        <v>7.3819999999999899</v>
      </c>
      <c r="R90" s="10">
        <v>120</v>
      </c>
      <c r="S90" s="10">
        <v>8.1659999999999892E-3</v>
      </c>
      <c r="T90" s="10">
        <v>5.6930000000000001E-2</v>
      </c>
      <c r="U90" s="10">
        <v>5.72999999999999E-2</v>
      </c>
      <c r="V90" s="10">
        <v>2.0299999999999901E-2</v>
      </c>
      <c r="W90" s="10">
        <v>1.065E-2</v>
      </c>
      <c r="X90" s="10">
        <v>5.8929999999999903E-3</v>
      </c>
      <c r="Y90" s="10">
        <v>30</v>
      </c>
      <c r="Z90" s="10">
        <v>33.619999999999898</v>
      </c>
      <c r="AA90" s="10">
        <v>211.69999999999899</v>
      </c>
      <c r="AB90" s="10">
        <v>2562</v>
      </c>
      <c r="AC90" s="10">
        <v>0.1573</v>
      </c>
      <c r="AD90" s="10">
        <v>0.60760000000000003</v>
      </c>
      <c r="AE90" s="10">
        <v>0.64759999999999895</v>
      </c>
      <c r="AF90" s="10">
        <v>0.28670000000000001</v>
      </c>
      <c r="AG90" s="10">
        <v>0.23549999999999899</v>
      </c>
      <c r="AH90">
        <v>0.1051</v>
      </c>
    </row>
    <row r="91" spans="3:34">
      <c r="C91" s="11" t="s">
        <v>223</v>
      </c>
      <c r="D91" s="10" t="s">
        <v>0</v>
      </c>
      <c r="E91" s="10">
        <v>13.71</v>
      </c>
      <c r="F91" s="10">
        <v>26.2899999999999</v>
      </c>
      <c r="G91" s="10">
        <v>129.099999999999</v>
      </c>
      <c r="H91" s="10">
        <v>1132</v>
      </c>
      <c r="I91" s="10">
        <v>0.1215</v>
      </c>
      <c r="J91" s="10">
        <v>0.17910000000000001</v>
      </c>
      <c r="K91" s="10">
        <v>0.19370000000000001</v>
      </c>
      <c r="L91" s="10">
        <v>0.1469</v>
      </c>
      <c r="M91" s="10">
        <v>0.16339999999999899</v>
      </c>
      <c r="N91" s="10">
        <v>7.2239999999999902E-2</v>
      </c>
      <c r="O91" s="10">
        <v>0.51900000000000002</v>
      </c>
      <c r="P91" s="10">
        <v>2.91</v>
      </c>
      <c r="Q91" s="10">
        <v>5.8010000000000002</v>
      </c>
      <c r="R91" s="10">
        <v>67.099999999999895</v>
      </c>
      <c r="S91" s="10">
        <v>7.5449999999999901E-3</v>
      </c>
      <c r="T91" s="10">
        <v>6.0499999999999901E-2</v>
      </c>
      <c r="U91" s="10">
        <v>2.1340000000000001E-2</v>
      </c>
      <c r="V91" s="10">
        <v>1.8429999999999901E-2</v>
      </c>
      <c r="W91" s="10">
        <v>3.056E-2</v>
      </c>
      <c r="X91" s="10">
        <v>1.039E-2</v>
      </c>
      <c r="Y91" s="10">
        <v>20.329999999999899</v>
      </c>
      <c r="Z91" s="10">
        <v>32.719999999999899</v>
      </c>
      <c r="AA91" s="10">
        <v>141.30000000000001</v>
      </c>
      <c r="AB91" s="10">
        <v>1298</v>
      </c>
      <c r="AC91" s="10">
        <v>0.13919999999999899</v>
      </c>
      <c r="AD91" s="10">
        <v>0.28170000000000001</v>
      </c>
      <c r="AE91" s="10">
        <v>0.2432</v>
      </c>
      <c r="AF91" s="10">
        <v>0.18410000000000001</v>
      </c>
      <c r="AG91" s="10">
        <v>0.2311</v>
      </c>
      <c r="AH91">
        <v>9.2030000000000001E-2</v>
      </c>
    </row>
    <row r="92" spans="3:34">
      <c r="C92" s="11" t="s">
        <v>227</v>
      </c>
      <c r="D92" s="10" t="s">
        <v>0</v>
      </c>
      <c r="E92" s="10">
        <v>13.71</v>
      </c>
      <c r="F92" s="10">
        <v>24.59</v>
      </c>
      <c r="G92" s="10">
        <v>122</v>
      </c>
      <c r="H92" s="10">
        <v>1076</v>
      </c>
      <c r="I92" s="10">
        <v>9.0289999999999898E-2</v>
      </c>
      <c r="J92" s="10">
        <v>0.1206</v>
      </c>
      <c r="K92" s="10">
        <v>0.14680000000000001</v>
      </c>
      <c r="L92" s="10">
        <v>8.2710000000000006E-2</v>
      </c>
      <c r="M92" s="10">
        <v>0.1953</v>
      </c>
      <c r="N92" s="10">
        <v>5.629E-2</v>
      </c>
      <c r="O92" s="10">
        <v>0.54949999999999899</v>
      </c>
      <c r="P92" s="10">
        <v>0.66359999999999897</v>
      </c>
      <c r="Q92" s="10">
        <v>3.0550000000000002</v>
      </c>
      <c r="R92" s="10">
        <v>57.649999999999899</v>
      </c>
      <c r="S92" s="10">
        <v>3.872E-3</v>
      </c>
      <c r="T92" s="10">
        <v>1.8419999999999902E-2</v>
      </c>
      <c r="U92" s="10">
        <v>3.7100000000000001E-2</v>
      </c>
      <c r="V92" s="10">
        <v>1.2E-2</v>
      </c>
      <c r="W92" s="10">
        <v>1.9640000000000001E-2</v>
      </c>
      <c r="X92" s="10">
        <v>3.3370000000000001E-3</v>
      </c>
      <c r="Y92" s="10">
        <v>24.559999999999899</v>
      </c>
      <c r="Z92" s="10">
        <v>30.41</v>
      </c>
      <c r="AA92" s="10">
        <v>152.9</v>
      </c>
      <c r="AB92" s="10">
        <v>1623</v>
      </c>
      <c r="AC92" s="10">
        <v>0.1249</v>
      </c>
      <c r="AD92" s="10">
        <v>0.3206</v>
      </c>
      <c r="AE92" s="10">
        <v>0.57550000000000001</v>
      </c>
      <c r="AF92" s="10">
        <v>0.1956</v>
      </c>
      <c r="AG92" s="10">
        <v>0.39560000000000001</v>
      </c>
      <c r="AH92">
        <v>9.2880000000000004E-2</v>
      </c>
    </row>
    <row r="93" spans="3:34">
      <c r="C93" s="11" t="s">
        <v>228</v>
      </c>
      <c r="D93" s="10" t="s">
        <v>1</v>
      </c>
      <c r="E93" s="10">
        <v>13.71</v>
      </c>
      <c r="F93" s="10">
        <v>21.8</v>
      </c>
      <c r="G93" s="10">
        <v>79.78</v>
      </c>
      <c r="H93" s="10">
        <v>466.1</v>
      </c>
      <c r="I93" s="10">
        <v>8.7720000000000006E-2</v>
      </c>
      <c r="J93" s="10">
        <v>9.4450000000000006E-2</v>
      </c>
      <c r="K93" s="10">
        <v>6.0150000000000002E-2</v>
      </c>
      <c r="L93" s="10">
        <v>3.74499999999999E-2</v>
      </c>
      <c r="M93" s="10">
        <v>0.193</v>
      </c>
      <c r="N93" s="10">
        <v>6.404E-2</v>
      </c>
      <c r="O93" s="10">
        <v>0.29780000000000001</v>
      </c>
      <c r="P93" s="10">
        <v>1.502</v>
      </c>
      <c r="Q93" s="10">
        <v>2.2029999999999901</v>
      </c>
      <c r="R93" s="10">
        <v>20.9499999999999</v>
      </c>
      <c r="S93" s="10">
        <v>7.1120000000000003E-3</v>
      </c>
      <c r="T93" s="10">
        <v>2.4930000000000001E-2</v>
      </c>
      <c r="U93" s="10">
        <v>2.7029999999999901E-2</v>
      </c>
      <c r="V93" s="10">
        <v>1.2930000000000001E-2</v>
      </c>
      <c r="W93" s="10">
        <v>1.958E-2</v>
      </c>
      <c r="X93" s="10">
        <v>4.463E-3</v>
      </c>
      <c r="Y93" s="10">
        <v>13.83</v>
      </c>
      <c r="Z93" s="10">
        <v>30.5</v>
      </c>
      <c r="AA93" s="10">
        <v>91.459999999999894</v>
      </c>
      <c r="AB93" s="10">
        <v>574.70000000000005</v>
      </c>
      <c r="AC93" s="10">
        <v>0.13039999999999899</v>
      </c>
      <c r="AD93" s="10">
        <v>0.24629999999999899</v>
      </c>
      <c r="AE93" s="10">
        <v>0.24340000000000001</v>
      </c>
      <c r="AF93" s="10">
        <v>0.1205</v>
      </c>
      <c r="AG93" s="10">
        <v>0.29720000000000002</v>
      </c>
      <c r="AH93">
        <v>9.2609999999999901E-2</v>
      </c>
    </row>
    <row r="94" spans="3:34">
      <c r="C94" s="11" t="s">
        <v>230</v>
      </c>
      <c r="D94" s="10" t="s">
        <v>1</v>
      </c>
      <c r="E94" s="10">
        <v>13.71</v>
      </c>
      <c r="F94" s="10">
        <v>24.02</v>
      </c>
      <c r="G94" s="10">
        <v>94.569999999999894</v>
      </c>
      <c r="H94" s="10">
        <v>662.7</v>
      </c>
      <c r="I94" s="10">
        <v>8.974E-2</v>
      </c>
      <c r="J94" s="10">
        <v>8.60599999999999E-2</v>
      </c>
      <c r="K94" s="10">
        <v>3.1019999999999898E-2</v>
      </c>
      <c r="L94" s="10">
        <v>2.9569999999999898E-2</v>
      </c>
      <c r="M94" s="10">
        <v>0.16850000000000001</v>
      </c>
      <c r="N94" s="10">
        <v>5.86599999999999E-2</v>
      </c>
      <c r="O94" s="10">
        <v>0.37209999999999899</v>
      </c>
      <c r="P94" s="10">
        <v>1.111</v>
      </c>
      <c r="Q94" s="10">
        <v>2.2789999999999901</v>
      </c>
      <c r="R94" s="10">
        <v>33.759999999999899</v>
      </c>
      <c r="S94" s="10">
        <v>4.8679999999999904E-3</v>
      </c>
      <c r="T94" s="10">
        <v>1.8180000000000002E-2</v>
      </c>
      <c r="U94" s="10">
        <v>1.1209999999999901E-2</v>
      </c>
      <c r="V94" s="10">
        <v>8.6060000000000008E-3</v>
      </c>
      <c r="W94" s="10">
        <v>2.085E-2</v>
      </c>
      <c r="X94" s="10">
        <v>2.8930000000000002E-3</v>
      </c>
      <c r="Y94" s="10">
        <v>16.1099999999999</v>
      </c>
      <c r="Z94" s="10">
        <v>29.1099999999999</v>
      </c>
      <c r="AA94" s="10">
        <v>102.9</v>
      </c>
      <c r="AB94" s="10">
        <v>803.7</v>
      </c>
      <c r="AC94" s="10">
        <v>0.1115</v>
      </c>
      <c r="AD94" s="10">
        <v>0.17660000000000001</v>
      </c>
      <c r="AE94" s="10">
        <v>9.1889999999999902E-2</v>
      </c>
      <c r="AF94" s="10">
        <v>6.9459999999999897E-2</v>
      </c>
      <c r="AG94" s="10">
        <v>0.25219999999999898</v>
      </c>
      <c r="AH94">
        <v>7.2459999999999899E-2</v>
      </c>
    </row>
    <row r="95" spans="3:34">
      <c r="C95" s="11" t="s">
        <v>231</v>
      </c>
      <c r="D95" s="10" t="s">
        <v>0</v>
      </c>
      <c r="E95" s="10">
        <v>13.71</v>
      </c>
      <c r="F95" s="10">
        <v>22.76</v>
      </c>
      <c r="G95" s="10">
        <v>100.2</v>
      </c>
      <c r="H95" s="10">
        <v>728.2</v>
      </c>
      <c r="I95" s="10">
        <v>9.1999999999999901E-2</v>
      </c>
      <c r="J95" s="10">
        <v>0.1036</v>
      </c>
      <c r="K95" s="10">
        <v>0.11219999999999899</v>
      </c>
      <c r="L95" s="10">
        <v>7.4829999999999897E-2</v>
      </c>
      <c r="M95" s="10">
        <v>0.17169999999999899</v>
      </c>
      <c r="N95" s="10">
        <v>6.0970000000000003E-2</v>
      </c>
      <c r="O95" s="10">
        <v>0.31290000000000001</v>
      </c>
      <c r="P95" s="10">
        <v>0.84130000000000005</v>
      </c>
      <c r="Q95" s="10">
        <v>2.0750000000000002</v>
      </c>
      <c r="R95" s="10">
        <v>29.44</v>
      </c>
      <c r="S95" s="10">
        <v>9.8820000000000002E-3</v>
      </c>
      <c r="T95" s="10">
        <v>2.444E-2</v>
      </c>
      <c r="U95" s="10">
        <v>4.5310000000000003E-2</v>
      </c>
      <c r="V95" s="10">
        <v>1.763E-2</v>
      </c>
      <c r="W95" s="10">
        <v>2.4709999999999899E-2</v>
      </c>
      <c r="X95" s="10">
        <v>2.1419999999999898E-3</v>
      </c>
      <c r="Y95" s="10">
        <v>16.43</v>
      </c>
      <c r="Z95" s="10">
        <v>25.84</v>
      </c>
      <c r="AA95" s="10">
        <v>107.5</v>
      </c>
      <c r="AB95" s="10">
        <v>830.89999999999895</v>
      </c>
      <c r="AC95" s="10">
        <v>0.12570000000000001</v>
      </c>
      <c r="AD95" s="10">
        <v>0.19969999999999899</v>
      </c>
      <c r="AE95" s="10">
        <v>0.28460000000000002</v>
      </c>
      <c r="AF95" s="10">
        <v>0.14760000000000001</v>
      </c>
      <c r="AG95" s="10">
        <v>0.25559999999999899</v>
      </c>
      <c r="AH95">
        <v>6.8279999999999896E-2</v>
      </c>
    </row>
    <row r="96" spans="3:34">
      <c r="C96" s="11" t="s">
        <v>234</v>
      </c>
      <c r="D96" s="10" t="s">
        <v>0</v>
      </c>
      <c r="E96" s="10">
        <v>13.71</v>
      </c>
      <c r="F96" s="10">
        <v>19.829999999999899</v>
      </c>
      <c r="G96" s="10">
        <v>100.3</v>
      </c>
      <c r="H96" s="10">
        <v>705.6</v>
      </c>
      <c r="I96" s="10">
        <v>0.10390000000000001</v>
      </c>
      <c r="J96" s="10">
        <v>0.15529999999999899</v>
      </c>
      <c r="K96" s="10">
        <v>0.17</v>
      </c>
      <c r="L96" s="10">
        <v>8.8150000000000006E-2</v>
      </c>
      <c r="M96" s="10">
        <v>0.1855</v>
      </c>
      <c r="N96" s="10">
        <v>6.2839999999999896E-2</v>
      </c>
      <c r="O96" s="10">
        <v>0.4768</v>
      </c>
      <c r="P96" s="10">
        <v>0.96440000000000003</v>
      </c>
      <c r="Q96" s="10">
        <v>3.706</v>
      </c>
      <c r="R96" s="10">
        <v>47.14</v>
      </c>
      <c r="S96" s="10">
        <v>9.2499999999999891E-3</v>
      </c>
      <c r="T96" s="10">
        <v>3.7150000000000002E-2</v>
      </c>
      <c r="U96" s="10">
        <v>4.8669999999999901E-2</v>
      </c>
      <c r="V96" s="10">
        <v>1.8509999999999902E-2</v>
      </c>
      <c r="W96" s="10">
        <v>1.498E-2</v>
      </c>
      <c r="X96" s="10">
        <v>3.5200000000000001E-3</v>
      </c>
      <c r="Y96" s="10">
        <v>18.23</v>
      </c>
      <c r="Z96" s="10">
        <v>24.23</v>
      </c>
      <c r="AA96" s="10">
        <v>123.5</v>
      </c>
      <c r="AB96" s="10">
        <v>1025</v>
      </c>
      <c r="AC96" s="10">
        <v>0.15509999999999899</v>
      </c>
      <c r="AD96" s="10">
        <v>0.42030000000000001</v>
      </c>
      <c r="AE96" s="10">
        <v>0.52029999999999899</v>
      </c>
      <c r="AF96" s="10">
        <v>0.21149999999999899</v>
      </c>
      <c r="AG96" s="10">
        <v>0.28339999999999899</v>
      </c>
      <c r="AH96">
        <v>8.2339999999999899E-2</v>
      </c>
    </row>
    <row r="97" spans="3:34">
      <c r="C97" s="11" t="s">
        <v>236</v>
      </c>
      <c r="D97" s="10" t="s">
        <v>1</v>
      </c>
      <c r="E97" s="10">
        <v>13.71</v>
      </c>
      <c r="F97" s="10">
        <v>17.84</v>
      </c>
      <c r="G97" s="10">
        <v>77.790000000000006</v>
      </c>
      <c r="H97" s="10">
        <v>451.1</v>
      </c>
      <c r="I97" s="10">
        <v>0.1045</v>
      </c>
      <c r="J97" s="10">
        <v>7.0569999999999897E-2</v>
      </c>
      <c r="K97" s="10">
        <v>2.4899999999999901E-2</v>
      </c>
      <c r="L97" s="10">
        <v>2.9409999999999901E-2</v>
      </c>
      <c r="M97" s="10">
        <v>0.19</v>
      </c>
      <c r="N97" s="10">
        <v>6.6350000000000006E-2</v>
      </c>
      <c r="O97" s="10">
        <v>0.36609999999999898</v>
      </c>
      <c r="P97" s="10">
        <v>1.5109999999999899</v>
      </c>
      <c r="Q97" s="10">
        <v>2.41</v>
      </c>
      <c r="R97" s="10">
        <v>24.44</v>
      </c>
      <c r="S97" s="10">
        <v>5.4330000000000003E-3</v>
      </c>
      <c r="T97" s="10">
        <v>1.179E-2</v>
      </c>
      <c r="U97" s="10">
        <v>1.1310000000000001E-2</v>
      </c>
      <c r="V97" s="10">
        <v>1.519E-2</v>
      </c>
      <c r="W97" s="10">
        <v>2.2200000000000001E-2</v>
      </c>
      <c r="X97" s="10">
        <v>3.408E-3</v>
      </c>
      <c r="Y97" s="10">
        <v>12.83</v>
      </c>
      <c r="Z97" s="10">
        <v>20.92</v>
      </c>
      <c r="AA97" s="10">
        <v>82.14</v>
      </c>
      <c r="AB97" s="10">
        <v>495.19999999999902</v>
      </c>
      <c r="AC97" s="10">
        <v>0.114</v>
      </c>
      <c r="AD97" s="10">
        <v>9.3579999999999899E-2</v>
      </c>
      <c r="AE97" s="10">
        <v>4.97999999999999E-2</v>
      </c>
      <c r="AF97" s="10">
        <v>5.88199999999999E-2</v>
      </c>
      <c r="AG97" s="10">
        <v>0.22270000000000001</v>
      </c>
      <c r="AH97">
        <v>7.3760000000000006E-2</v>
      </c>
    </row>
    <row r="98" spans="3:34">
      <c r="C98" s="11" t="s">
        <v>237</v>
      </c>
      <c r="D98" s="10" t="s">
        <v>1</v>
      </c>
      <c r="E98" s="10">
        <v>13.71</v>
      </c>
      <c r="F98" s="10">
        <v>19.940000000000001</v>
      </c>
      <c r="G98" s="10">
        <v>62.1099999999999</v>
      </c>
      <c r="H98" s="10">
        <v>294.5</v>
      </c>
      <c r="I98" s="10">
        <v>0.1024</v>
      </c>
      <c r="J98" s="10">
        <v>5.3010000000000002E-2</v>
      </c>
      <c r="K98" s="10">
        <v>6.829E-3</v>
      </c>
      <c r="L98" s="10">
        <v>7.9369999999999892E-3</v>
      </c>
      <c r="M98" s="10">
        <v>0.13500000000000001</v>
      </c>
      <c r="N98" s="10">
        <v>6.8900000000000003E-2</v>
      </c>
      <c r="O98" s="10">
        <v>0.33500000000000002</v>
      </c>
      <c r="P98" s="10">
        <v>2.0430000000000001</v>
      </c>
      <c r="Q98" s="10">
        <v>2.1320000000000001</v>
      </c>
      <c r="R98" s="10">
        <v>20.05</v>
      </c>
      <c r="S98" s="10">
        <v>1.11299999999999E-2</v>
      </c>
      <c r="T98" s="10">
        <v>1.4630000000000001E-2</v>
      </c>
      <c r="U98" s="10">
        <v>5.3080000000000002E-3</v>
      </c>
      <c r="V98" s="10">
        <v>5.2500000000000003E-3</v>
      </c>
      <c r="W98" s="10">
        <v>1.8010000000000002E-2</v>
      </c>
      <c r="X98" s="10">
        <v>5.6670000000000002E-3</v>
      </c>
      <c r="Y98" s="10">
        <v>10.92</v>
      </c>
      <c r="Z98" s="10">
        <v>26.2899999999999</v>
      </c>
      <c r="AA98" s="10">
        <v>68.81</v>
      </c>
      <c r="AB98" s="10">
        <v>366.1</v>
      </c>
      <c r="AC98" s="10">
        <v>0.131599999999999</v>
      </c>
      <c r="AD98" s="10">
        <v>9.4729999999999898E-2</v>
      </c>
      <c r="AE98" s="10">
        <v>2.0490000000000001E-2</v>
      </c>
      <c r="AF98" s="10">
        <v>2.3810000000000001E-2</v>
      </c>
      <c r="AG98" s="10">
        <v>0.19339999999999899</v>
      </c>
      <c r="AH98">
        <v>8.9880000000000002E-2</v>
      </c>
    </row>
    <row r="99" spans="3:34">
      <c r="C99" s="11" t="s">
        <v>238</v>
      </c>
      <c r="D99" s="10" t="s">
        <v>1</v>
      </c>
      <c r="E99" s="10">
        <v>13.71</v>
      </c>
      <c r="F99" s="10">
        <v>12.84</v>
      </c>
      <c r="G99" s="10">
        <v>74.34</v>
      </c>
      <c r="H99" s="10">
        <v>412.6</v>
      </c>
      <c r="I99" s="10">
        <v>8.9829999999999896E-2</v>
      </c>
      <c r="J99" s="10">
        <v>7.52499999999999E-2</v>
      </c>
      <c r="K99" s="10">
        <v>4.19599999999999E-2</v>
      </c>
      <c r="L99" s="10">
        <v>3.3500000000000002E-2</v>
      </c>
      <c r="M99" s="10">
        <v>0.16200000000000001</v>
      </c>
      <c r="N99" s="10">
        <v>6.5820000000000004E-2</v>
      </c>
      <c r="O99" s="10">
        <v>0.23150000000000001</v>
      </c>
      <c r="P99" s="10">
        <v>0.53910000000000002</v>
      </c>
      <c r="Q99" s="10">
        <v>1.4750000000000001</v>
      </c>
      <c r="R99" s="10">
        <v>15.75</v>
      </c>
      <c r="S99" s="10">
        <v>6.1529999999999901E-3</v>
      </c>
      <c r="T99" s="10">
        <v>1.32999999999999E-2</v>
      </c>
      <c r="U99" s="10">
        <v>1.6930000000000001E-2</v>
      </c>
      <c r="V99" s="10">
        <v>6.8840000000000004E-3</v>
      </c>
      <c r="W99" s="10">
        <v>1.651E-2</v>
      </c>
      <c r="X99" s="10">
        <v>2.5509999999999899E-3</v>
      </c>
      <c r="Y99" s="10">
        <v>13.06</v>
      </c>
      <c r="Z99" s="10">
        <v>17.16</v>
      </c>
      <c r="AA99" s="10">
        <v>82.959999999999894</v>
      </c>
      <c r="AB99" s="10">
        <v>512.5</v>
      </c>
      <c r="AC99" s="10">
        <v>0.1431</v>
      </c>
      <c r="AD99" s="10">
        <v>0.18509999999999899</v>
      </c>
      <c r="AE99" s="10">
        <v>0.19220000000000001</v>
      </c>
      <c r="AF99" s="10">
        <v>8.4489999999999899E-2</v>
      </c>
      <c r="AG99" s="10">
        <v>0.2772</v>
      </c>
      <c r="AH99">
        <v>8.7559999999999902E-2</v>
      </c>
    </row>
    <row r="100" spans="3:34">
      <c r="C100" s="11" t="s">
        <v>239</v>
      </c>
      <c r="D100" s="10" t="s">
        <v>0</v>
      </c>
      <c r="E100" s="10">
        <v>13.71</v>
      </c>
      <c r="F100" s="10">
        <v>19.77</v>
      </c>
      <c r="G100" s="10">
        <v>94.48</v>
      </c>
      <c r="H100" s="10">
        <v>642.5</v>
      </c>
      <c r="I100" s="10">
        <v>9.7519999999999898E-2</v>
      </c>
      <c r="J100" s="10">
        <v>0.11409999999999899</v>
      </c>
      <c r="K100" s="10">
        <v>9.3880000000000005E-2</v>
      </c>
      <c r="L100" s="10">
        <v>5.83899999999999E-2</v>
      </c>
      <c r="M100" s="10">
        <v>0.18790000000000001</v>
      </c>
      <c r="N100" s="10">
        <v>6.3899999999999901E-2</v>
      </c>
      <c r="O100" s="10">
        <v>0.28949999999999898</v>
      </c>
      <c r="P100" s="10">
        <v>1.851</v>
      </c>
      <c r="Q100" s="10">
        <v>2.3759999999999901</v>
      </c>
      <c r="R100" s="10">
        <v>26.85</v>
      </c>
      <c r="S100" s="10">
        <v>8.005E-3</v>
      </c>
      <c r="T100" s="10">
        <v>2.895E-2</v>
      </c>
      <c r="U100" s="10">
        <v>3.3210000000000003E-2</v>
      </c>
      <c r="V100" s="10">
        <v>1.42399999999999E-2</v>
      </c>
      <c r="W100" s="10">
        <v>1.46199999999999E-2</v>
      </c>
      <c r="X100" s="10">
        <v>4.4520000000000002E-3</v>
      </c>
      <c r="Y100" s="10">
        <v>16.329999999999899</v>
      </c>
      <c r="Z100" s="10">
        <v>30.8599999999999</v>
      </c>
      <c r="AA100" s="10">
        <v>109.5</v>
      </c>
      <c r="AB100" s="10">
        <v>826.39999999999895</v>
      </c>
      <c r="AC100" s="10">
        <v>0.1431</v>
      </c>
      <c r="AD100" s="10">
        <v>0.30259999999999898</v>
      </c>
      <c r="AE100" s="10">
        <v>0.31940000000000002</v>
      </c>
      <c r="AF100" s="10">
        <v>0.1565</v>
      </c>
      <c r="AG100" s="10">
        <v>0.27179999999999899</v>
      </c>
      <c r="AH100">
        <v>9.3530000000000002E-2</v>
      </c>
    </row>
    <row r="101" spans="3:34">
      <c r="C101" s="11" t="s">
        <v>243</v>
      </c>
      <c r="D101" s="10" t="s">
        <v>1</v>
      </c>
      <c r="E101" s="10">
        <v>13.71</v>
      </c>
      <c r="F101" s="10">
        <v>19.399999999999899</v>
      </c>
      <c r="G101" s="10">
        <v>63.95</v>
      </c>
      <c r="H101" s="10">
        <v>298.3</v>
      </c>
      <c r="I101" s="10">
        <v>0.10050000000000001</v>
      </c>
      <c r="J101" s="10">
        <v>9.6970000000000001E-2</v>
      </c>
      <c r="K101" s="10">
        <v>6.15399999999999E-2</v>
      </c>
      <c r="L101" s="10">
        <v>3.0290000000000001E-2</v>
      </c>
      <c r="M101" s="10">
        <v>0.19450000000000001</v>
      </c>
      <c r="N101" s="10">
        <v>6.3219999999999901E-2</v>
      </c>
      <c r="O101" s="10">
        <v>0.18029999999999899</v>
      </c>
      <c r="P101" s="10">
        <v>1.222</v>
      </c>
      <c r="Q101" s="10">
        <v>1.528</v>
      </c>
      <c r="R101" s="10">
        <v>11.77</v>
      </c>
      <c r="S101" s="10">
        <v>9.0580000000000001E-3</v>
      </c>
      <c r="T101" s="10">
        <v>2.196E-2</v>
      </c>
      <c r="U101" s="10">
        <v>3.0290000000000001E-2</v>
      </c>
      <c r="V101" s="10">
        <v>1.112E-2</v>
      </c>
      <c r="W101" s="10">
        <v>1.609E-2</v>
      </c>
      <c r="X101" s="10">
        <v>3.5699999999999898E-3</v>
      </c>
      <c r="Y101" s="10">
        <v>10.76</v>
      </c>
      <c r="Z101" s="10">
        <v>26.829999999999899</v>
      </c>
      <c r="AA101" s="10">
        <v>72.219999999999899</v>
      </c>
      <c r="AB101" s="10">
        <v>361.19999999999902</v>
      </c>
      <c r="AC101" s="10">
        <v>0.15590000000000001</v>
      </c>
      <c r="AD101" s="10">
        <v>0.23019999999999899</v>
      </c>
      <c r="AE101" s="10">
        <v>0.26440000000000002</v>
      </c>
      <c r="AF101" s="10">
        <v>9.7489999999999896E-2</v>
      </c>
      <c r="AG101" s="10">
        <v>0.26219999999999899</v>
      </c>
      <c r="AH101">
        <v>8.4900000000000003E-2</v>
      </c>
    </row>
    <row r="102" spans="3:34">
      <c r="C102" s="11" t="s">
        <v>244</v>
      </c>
      <c r="D102" s="10" t="s">
        <v>1</v>
      </c>
      <c r="E102" s="10">
        <v>13.71</v>
      </c>
      <c r="F102" s="10">
        <v>19.2899999999999</v>
      </c>
      <c r="G102" s="10">
        <v>67.409999999999897</v>
      </c>
      <c r="H102" s="10">
        <v>336.1</v>
      </c>
      <c r="I102" s="10">
        <v>9.9890000000000007E-2</v>
      </c>
      <c r="J102" s="10">
        <v>8.5779999999999898E-2</v>
      </c>
      <c r="K102" s="10">
        <v>2.9950000000000001E-2</v>
      </c>
      <c r="L102" s="10">
        <v>1.201E-2</v>
      </c>
      <c r="M102" s="10">
        <v>0.22170000000000001</v>
      </c>
      <c r="N102" s="10">
        <v>6.4810000000000006E-2</v>
      </c>
      <c r="O102" s="10">
        <v>0.35499999999999898</v>
      </c>
      <c r="P102" s="10">
        <v>1.534</v>
      </c>
      <c r="Q102" s="10">
        <v>2.302</v>
      </c>
      <c r="R102" s="10">
        <v>23.1299999999999</v>
      </c>
      <c r="S102" s="10">
        <v>7.5950000000000002E-3</v>
      </c>
      <c r="T102" s="10">
        <v>2.2190000000000001E-2</v>
      </c>
      <c r="U102" s="10">
        <v>2.8799999999999899E-2</v>
      </c>
      <c r="V102" s="10">
        <v>8.6140000000000001E-3</v>
      </c>
      <c r="W102" s="10">
        <v>2.7099999999999898E-2</v>
      </c>
      <c r="X102" s="10">
        <v>3.4510000000000001E-3</v>
      </c>
      <c r="Y102" s="10">
        <v>11.5399999999999</v>
      </c>
      <c r="Z102" s="10">
        <v>23.309999999999899</v>
      </c>
      <c r="AA102" s="10">
        <v>74.219999999999899</v>
      </c>
      <c r="AB102" s="10">
        <v>402.8</v>
      </c>
      <c r="AC102" s="10">
        <v>0.121899999999999</v>
      </c>
      <c r="AD102" s="10">
        <v>0.14860000000000001</v>
      </c>
      <c r="AE102" s="10">
        <v>7.9869999999999899E-2</v>
      </c>
      <c r="AF102" s="10">
        <v>3.2030000000000003E-2</v>
      </c>
      <c r="AG102" s="10">
        <v>0.28260000000000002</v>
      </c>
      <c r="AH102">
        <v>7.5520000000000004E-2</v>
      </c>
    </row>
    <row r="103" spans="3:34">
      <c r="C103" s="11" t="s">
        <v>245</v>
      </c>
      <c r="D103" s="10" t="s">
        <v>0</v>
      </c>
      <c r="E103" s="10">
        <v>13.71</v>
      </c>
      <c r="F103" s="10">
        <v>15.56</v>
      </c>
      <c r="G103" s="10">
        <v>87.209999999999894</v>
      </c>
      <c r="H103" s="10">
        <v>530.20000000000005</v>
      </c>
      <c r="I103" s="10">
        <v>0.13980000000000001</v>
      </c>
      <c r="J103" s="10">
        <v>0.17649999999999899</v>
      </c>
      <c r="K103" s="10">
        <v>0.20710000000000001</v>
      </c>
      <c r="L103" s="10">
        <v>9.6009999999999901E-2</v>
      </c>
      <c r="M103" s="10">
        <v>0.1925</v>
      </c>
      <c r="N103" s="10">
        <v>7.6920000000000002E-2</v>
      </c>
      <c r="O103" s="10">
        <v>0.39079999999999898</v>
      </c>
      <c r="P103" s="10">
        <v>0.92379999999999896</v>
      </c>
      <c r="Q103" s="10">
        <v>2.41</v>
      </c>
      <c r="R103" s="10">
        <v>34.659999999999897</v>
      </c>
      <c r="S103" s="10">
        <v>7.162E-3</v>
      </c>
      <c r="T103" s="10">
        <v>2.912E-2</v>
      </c>
      <c r="U103" s="10">
        <v>5.4730000000000001E-2</v>
      </c>
      <c r="V103" s="10">
        <v>1.388E-2</v>
      </c>
      <c r="W103" s="10">
        <v>1.54699999999999E-2</v>
      </c>
      <c r="X103" s="10">
        <v>7.0980000000000001E-3</v>
      </c>
      <c r="Y103" s="10">
        <v>16.309999999999899</v>
      </c>
      <c r="Z103" s="10">
        <v>22.399999999999899</v>
      </c>
      <c r="AA103" s="10">
        <v>106.4</v>
      </c>
      <c r="AB103" s="10">
        <v>827.2</v>
      </c>
      <c r="AC103" s="10">
        <v>0.1862</v>
      </c>
      <c r="AD103" s="10">
        <v>0.40989999999999899</v>
      </c>
      <c r="AE103" s="10">
        <v>0.63759999999999895</v>
      </c>
      <c r="AF103" s="10">
        <v>0.1986</v>
      </c>
      <c r="AG103" s="10">
        <v>0.31469999999999898</v>
      </c>
      <c r="AH103">
        <v>0.14050000000000001</v>
      </c>
    </row>
    <row r="104" spans="3:34">
      <c r="C104" s="11" t="s">
        <v>246</v>
      </c>
      <c r="D104" s="10" t="s">
        <v>1</v>
      </c>
      <c r="E104" s="10">
        <v>13.71</v>
      </c>
      <c r="F104" s="10">
        <v>18.329999999999899</v>
      </c>
      <c r="G104" s="10">
        <v>75.17</v>
      </c>
      <c r="H104" s="10">
        <v>412.5</v>
      </c>
      <c r="I104" s="10">
        <v>0.1142</v>
      </c>
      <c r="J104" s="10">
        <v>0.1017</v>
      </c>
      <c r="K104" s="10">
        <v>7.0699999999999902E-2</v>
      </c>
      <c r="L104" s="10">
        <v>3.4849999999999902E-2</v>
      </c>
      <c r="M104" s="10">
        <v>0.18010000000000001</v>
      </c>
      <c r="N104" s="10">
        <v>6.5199999999999897E-2</v>
      </c>
      <c r="O104" s="10">
        <v>0.305999999999999</v>
      </c>
      <c r="P104" s="10">
        <v>1.657</v>
      </c>
      <c r="Q104" s="10">
        <v>2.15499999999999</v>
      </c>
      <c r="R104" s="10">
        <v>20.62</v>
      </c>
      <c r="S104" s="10">
        <v>8.5400000000000007E-3</v>
      </c>
      <c r="T104" s="10">
        <v>2.3099999999999898E-2</v>
      </c>
      <c r="U104" s="10">
        <v>2.945E-2</v>
      </c>
      <c r="V104" s="10">
        <v>1.39799999999999E-2</v>
      </c>
      <c r="W104" s="10">
        <v>1.5650000000000001E-2</v>
      </c>
      <c r="X104" s="10">
        <v>3.8400000000000001E-3</v>
      </c>
      <c r="Y104" s="10">
        <v>13.14</v>
      </c>
      <c r="Z104" s="10">
        <v>29.26</v>
      </c>
      <c r="AA104" s="10">
        <v>85.51</v>
      </c>
      <c r="AB104" s="10">
        <v>521.70000000000005</v>
      </c>
      <c r="AC104" s="10">
        <v>0.16880000000000001</v>
      </c>
      <c r="AD104" s="10">
        <v>0.26600000000000001</v>
      </c>
      <c r="AE104" s="10">
        <v>0.2873</v>
      </c>
      <c r="AF104" s="10">
        <v>0.12180000000000001</v>
      </c>
      <c r="AG104" s="10">
        <v>0.28060000000000002</v>
      </c>
      <c r="AH104">
        <v>9.0969999999999898E-2</v>
      </c>
    </row>
    <row r="105" spans="3:34">
      <c r="C105" s="11" t="s">
        <v>247</v>
      </c>
      <c r="D105" s="10" t="s">
        <v>1</v>
      </c>
      <c r="E105" s="10">
        <v>13.71</v>
      </c>
      <c r="F105" s="10">
        <v>18.5399999999999</v>
      </c>
      <c r="G105" s="10">
        <v>79.010000000000005</v>
      </c>
      <c r="H105" s="10">
        <v>466.69999999999902</v>
      </c>
      <c r="I105" s="10">
        <v>8.4769999999999901E-2</v>
      </c>
      <c r="J105" s="10">
        <v>6.8150000000000002E-2</v>
      </c>
      <c r="K105" s="10">
        <v>2.6429999999999901E-2</v>
      </c>
      <c r="L105" s="10">
        <v>1.9210000000000001E-2</v>
      </c>
      <c r="M105" s="10">
        <v>0.16020000000000001</v>
      </c>
      <c r="N105" s="10">
        <v>6.0659999999999901E-2</v>
      </c>
      <c r="O105" s="10">
        <v>0.11990000000000001</v>
      </c>
      <c r="P105" s="10">
        <v>0.89439999999999897</v>
      </c>
      <c r="Q105" s="10">
        <v>0.84840000000000004</v>
      </c>
      <c r="R105" s="10">
        <v>9.2270000000000003</v>
      </c>
      <c r="S105" s="10">
        <v>3.457E-3</v>
      </c>
      <c r="T105" s="10">
        <v>1.047E-2</v>
      </c>
      <c r="U105" s="10">
        <v>1.167E-2</v>
      </c>
      <c r="V105" s="10">
        <v>5.55799999999999E-3</v>
      </c>
      <c r="W105" s="10">
        <v>1.251E-2</v>
      </c>
      <c r="X105" s="10">
        <v>1.356E-3</v>
      </c>
      <c r="Y105" s="10">
        <v>13.2899999999999</v>
      </c>
      <c r="Z105" s="10">
        <v>27.489999999999899</v>
      </c>
      <c r="AA105" s="10">
        <v>85.56</v>
      </c>
      <c r="AB105" s="10">
        <v>544.1</v>
      </c>
      <c r="AC105" s="10">
        <v>0.11840000000000001</v>
      </c>
      <c r="AD105" s="10">
        <v>0.1963</v>
      </c>
      <c r="AE105" s="10">
        <v>0.19370000000000001</v>
      </c>
      <c r="AF105" s="10">
        <v>8.4419999999999898E-2</v>
      </c>
      <c r="AG105" s="10">
        <v>0.29830000000000001</v>
      </c>
      <c r="AH105">
        <v>7.18499999999999E-2</v>
      </c>
    </row>
    <row r="106" spans="3:34">
      <c r="C106" s="11" t="s">
        <v>248</v>
      </c>
      <c r="D106" s="10" t="s">
        <v>0</v>
      </c>
      <c r="E106" s="10">
        <v>13.71</v>
      </c>
      <c r="F106" s="10">
        <v>19.670000000000002</v>
      </c>
      <c r="G106" s="10">
        <v>152.80000000000001</v>
      </c>
      <c r="H106" s="10">
        <v>1509</v>
      </c>
      <c r="I106" s="10">
        <v>0.1326</v>
      </c>
      <c r="J106" s="10">
        <v>0.27679999999999899</v>
      </c>
      <c r="K106" s="10">
        <v>0.4264</v>
      </c>
      <c r="L106" s="10">
        <v>0.18229999999999899</v>
      </c>
      <c r="M106" s="10">
        <v>0.25559999999999899</v>
      </c>
      <c r="N106" s="10">
        <v>7.0389999999999897E-2</v>
      </c>
      <c r="O106" s="10">
        <v>1.2150000000000001</v>
      </c>
      <c r="P106" s="10">
        <v>1.5449999999999899</v>
      </c>
      <c r="Q106" s="10">
        <v>10.050000000000001</v>
      </c>
      <c r="R106" s="10">
        <v>170</v>
      </c>
      <c r="S106" s="10">
        <v>6.515E-3</v>
      </c>
      <c r="T106" s="10">
        <v>8.6679999999999896E-2</v>
      </c>
      <c r="U106" s="10">
        <v>0.104</v>
      </c>
      <c r="V106" s="10">
        <v>2.4799999999999899E-2</v>
      </c>
      <c r="W106" s="10">
        <v>3.1119999999999901E-2</v>
      </c>
      <c r="X106" s="10">
        <v>5.0369999999999903E-3</v>
      </c>
      <c r="Y106" s="10">
        <v>28.399999999999899</v>
      </c>
      <c r="Z106" s="10">
        <v>28.01</v>
      </c>
      <c r="AA106" s="10">
        <v>206.8</v>
      </c>
      <c r="AB106" s="10">
        <v>2360</v>
      </c>
      <c r="AC106" s="10">
        <v>0.1701</v>
      </c>
      <c r="AD106" s="10">
        <v>0.69969999999999899</v>
      </c>
      <c r="AE106" s="10">
        <v>0.96079999999999899</v>
      </c>
      <c r="AF106" s="10">
        <v>0.29099999999999898</v>
      </c>
      <c r="AG106" s="10">
        <v>0.40550000000000003</v>
      </c>
      <c r="AH106">
        <v>9.7890000000000005E-2</v>
      </c>
    </row>
    <row r="107" spans="3:34">
      <c r="C107" s="11" t="s">
        <v>249</v>
      </c>
      <c r="D107" s="10" t="s">
        <v>1</v>
      </c>
      <c r="E107" s="10">
        <v>13.71</v>
      </c>
      <c r="F107" s="10">
        <v>21.26</v>
      </c>
      <c r="G107" s="10">
        <v>72.48</v>
      </c>
      <c r="H107" s="10">
        <v>396.5</v>
      </c>
      <c r="I107" s="10">
        <v>8.7590000000000001E-2</v>
      </c>
      <c r="J107" s="10">
        <v>6.5750000000000003E-2</v>
      </c>
      <c r="K107" s="10">
        <v>5.1330000000000001E-2</v>
      </c>
      <c r="L107" s="10">
        <v>1.899E-2</v>
      </c>
      <c r="M107" s="10">
        <v>0.1487</v>
      </c>
      <c r="N107" s="10">
        <v>6.5290000000000001E-2</v>
      </c>
      <c r="O107" s="10">
        <v>0.2344</v>
      </c>
      <c r="P107" s="10">
        <v>0.98609999999999898</v>
      </c>
      <c r="Q107" s="10">
        <v>1.597</v>
      </c>
      <c r="R107" s="10">
        <v>16.41</v>
      </c>
      <c r="S107" s="10">
        <v>9.1129999999999892E-3</v>
      </c>
      <c r="T107" s="10">
        <v>1.5570000000000001E-2</v>
      </c>
      <c r="U107" s="10">
        <v>2.443E-2</v>
      </c>
      <c r="V107" s="10">
        <v>6.4349999999999902E-3</v>
      </c>
      <c r="W107" s="10">
        <v>1.5679999999999899E-2</v>
      </c>
      <c r="X107" s="10">
        <v>2.477E-3</v>
      </c>
      <c r="Y107" s="10">
        <v>13.01</v>
      </c>
      <c r="Z107" s="10">
        <v>29.149999999999899</v>
      </c>
      <c r="AA107" s="10">
        <v>83.989999999999895</v>
      </c>
      <c r="AB107" s="10">
        <v>518.1</v>
      </c>
      <c r="AC107" s="10">
        <v>0.1699</v>
      </c>
      <c r="AD107" s="10">
        <v>0.21959999999999899</v>
      </c>
      <c r="AE107" s="10">
        <v>0.312</v>
      </c>
      <c r="AF107" s="10">
        <v>8.2780000000000006E-2</v>
      </c>
      <c r="AG107" s="10">
        <v>0.28289999999999899</v>
      </c>
      <c r="AH107">
        <v>8.8319999999999899E-2</v>
      </c>
    </row>
    <row r="108" spans="3:34">
      <c r="C108" s="11" t="s">
        <v>251</v>
      </c>
      <c r="D108" s="10" t="s">
        <v>1</v>
      </c>
      <c r="E108" s="10">
        <v>13.71</v>
      </c>
      <c r="F108" s="10">
        <v>20.76</v>
      </c>
      <c r="G108" s="10">
        <v>82.15</v>
      </c>
      <c r="H108" s="10">
        <v>480.39999999999901</v>
      </c>
      <c r="I108" s="10">
        <v>9.9330000000000002E-2</v>
      </c>
      <c r="J108" s="10">
        <v>0.12089999999999899</v>
      </c>
      <c r="K108" s="10">
        <v>0.1065</v>
      </c>
      <c r="L108" s="10">
        <v>6.021E-2</v>
      </c>
      <c r="M108" s="10">
        <v>0.17349999999999899</v>
      </c>
      <c r="N108" s="10">
        <v>7.0699999999999902E-2</v>
      </c>
      <c r="O108" s="10">
        <v>0.34239999999999898</v>
      </c>
      <c r="P108" s="10">
        <v>1.8029999999999899</v>
      </c>
      <c r="Q108" s="10">
        <v>2.7109999999999901</v>
      </c>
      <c r="R108" s="10">
        <v>20.48</v>
      </c>
      <c r="S108" s="10">
        <v>1.291E-2</v>
      </c>
      <c r="T108" s="10">
        <v>4.04199999999999E-2</v>
      </c>
      <c r="U108" s="10">
        <v>5.101E-2</v>
      </c>
      <c r="V108" s="10">
        <v>2.2950000000000002E-2</v>
      </c>
      <c r="W108" s="10">
        <v>2.1440000000000001E-2</v>
      </c>
      <c r="X108" s="10">
        <v>5.8910000000000004E-3</v>
      </c>
      <c r="Y108" s="10">
        <v>13.33</v>
      </c>
      <c r="Z108" s="10">
        <v>25.469999999999899</v>
      </c>
      <c r="AA108" s="10">
        <v>89</v>
      </c>
      <c r="AB108" s="10">
        <v>527.39999999999895</v>
      </c>
      <c r="AC108" s="10">
        <v>0.12870000000000001</v>
      </c>
      <c r="AD108" s="10">
        <v>0.22500000000000001</v>
      </c>
      <c r="AE108" s="10">
        <v>0.22159999999999899</v>
      </c>
      <c r="AF108" s="10">
        <v>0.1105</v>
      </c>
      <c r="AG108" s="10">
        <v>0.22259999999999899</v>
      </c>
      <c r="AH108">
        <v>8.4860000000000005E-2</v>
      </c>
    </row>
    <row r="109" spans="3:34">
      <c r="C109" s="11" t="s">
        <v>252</v>
      </c>
      <c r="D109" s="10" t="s">
        <v>1</v>
      </c>
      <c r="E109" s="10">
        <v>13.71</v>
      </c>
      <c r="F109" s="10">
        <v>19.649999999999899</v>
      </c>
      <c r="G109" s="10">
        <v>97.829999999999899</v>
      </c>
      <c r="H109" s="10">
        <v>629.89999999999895</v>
      </c>
      <c r="I109" s="10">
        <v>7.8369999999999898E-2</v>
      </c>
      <c r="J109" s="10">
        <v>0.2233</v>
      </c>
      <c r="K109" s="10">
        <v>0.30030000000000001</v>
      </c>
      <c r="L109" s="10">
        <v>7.7979999999999897E-2</v>
      </c>
      <c r="M109" s="10">
        <v>0.1704</v>
      </c>
      <c r="N109" s="10">
        <v>7.7689999999999898E-2</v>
      </c>
      <c r="O109" s="10">
        <v>0.36280000000000001</v>
      </c>
      <c r="P109" s="10">
        <v>1.49</v>
      </c>
      <c r="Q109" s="10">
        <v>3.399</v>
      </c>
      <c r="R109" s="10">
        <v>29.25</v>
      </c>
      <c r="S109" s="10">
        <v>5.2979999999999902E-3</v>
      </c>
      <c r="T109" s="10">
        <v>7.4459999999999901E-2</v>
      </c>
      <c r="U109" s="10">
        <v>0.14349999999999899</v>
      </c>
      <c r="V109" s="10">
        <v>2.2919999999999899E-2</v>
      </c>
      <c r="W109" s="10">
        <v>2.5659999999999902E-2</v>
      </c>
      <c r="X109" s="10">
        <v>1.298E-2</v>
      </c>
      <c r="Y109" s="10">
        <v>15.3</v>
      </c>
      <c r="Z109" s="10">
        <v>23.73</v>
      </c>
      <c r="AA109" s="10">
        <v>107</v>
      </c>
      <c r="AB109" s="10">
        <v>709</v>
      </c>
      <c r="AC109" s="10">
        <v>8.949E-2</v>
      </c>
      <c r="AD109" s="10">
        <v>0.41930000000000001</v>
      </c>
      <c r="AE109" s="10">
        <v>0.67830000000000001</v>
      </c>
      <c r="AF109" s="10">
        <v>0.150499999999999</v>
      </c>
      <c r="AG109" s="10">
        <v>0.23980000000000001</v>
      </c>
      <c r="AH109">
        <v>0.1082</v>
      </c>
    </row>
    <row r="110" spans="3:34">
      <c r="C110" s="11" t="s">
        <v>253</v>
      </c>
      <c r="D110" s="10" t="s">
        <v>1</v>
      </c>
      <c r="E110" s="10">
        <v>13.71</v>
      </c>
      <c r="F110" s="10">
        <v>20.190000000000001</v>
      </c>
      <c r="G110" s="10">
        <v>68.64</v>
      </c>
      <c r="H110" s="10">
        <v>334.19999999999902</v>
      </c>
      <c r="I110" s="10">
        <v>0.11219999999999899</v>
      </c>
      <c r="J110" s="10">
        <v>0.1303</v>
      </c>
      <c r="K110" s="10">
        <v>6.4759999999999901E-2</v>
      </c>
      <c r="L110" s="10">
        <v>3.0679999999999898E-2</v>
      </c>
      <c r="M110" s="10">
        <v>0.19220000000000001</v>
      </c>
      <c r="N110" s="10">
        <v>7.782E-2</v>
      </c>
      <c r="O110" s="10">
        <v>0.33360000000000001</v>
      </c>
      <c r="P110" s="10">
        <v>1.86</v>
      </c>
      <c r="Q110" s="10">
        <v>2.0409999999999902</v>
      </c>
      <c r="R110" s="10">
        <v>19.91</v>
      </c>
      <c r="S110" s="10">
        <v>1.188E-2</v>
      </c>
      <c r="T110" s="10">
        <v>3.7470000000000003E-2</v>
      </c>
      <c r="U110" s="10">
        <v>4.5909999999999902E-2</v>
      </c>
      <c r="V110" s="10">
        <v>1.5440000000000001E-2</v>
      </c>
      <c r="W110" s="10">
        <v>2.2870000000000001E-2</v>
      </c>
      <c r="X110" s="10">
        <v>6.7920000000000003E-3</v>
      </c>
      <c r="Y110" s="10">
        <v>11.16</v>
      </c>
      <c r="Z110" s="10">
        <v>22.75</v>
      </c>
      <c r="AA110" s="10">
        <v>72.62</v>
      </c>
      <c r="AB110" s="10">
        <v>374.39999999999901</v>
      </c>
      <c r="AC110" s="10">
        <v>0.13</v>
      </c>
      <c r="AD110" s="10">
        <v>0.2049</v>
      </c>
      <c r="AE110" s="10">
        <v>0.1295</v>
      </c>
      <c r="AF110" s="10">
        <v>6.1359999999999901E-2</v>
      </c>
      <c r="AG110" s="10">
        <v>0.23830000000000001</v>
      </c>
      <c r="AH110">
        <v>9.0260000000000007E-2</v>
      </c>
    </row>
    <row r="111" spans="3:34">
      <c r="C111" s="11" t="s">
        <v>254</v>
      </c>
      <c r="D111" s="10" t="s">
        <v>1</v>
      </c>
      <c r="E111" s="10">
        <v>13.71</v>
      </c>
      <c r="F111" s="10">
        <v>15.83</v>
      </c>
      <c r="G111" s="10">
        <v>55.84</v>
      </c>
      <c r="H111" s="10">
        <v>230.9</v>
      </c>
      <c r="I111" s="10">
        <v>0.115</v>
      </c>
      <c r="J111" s="10">
        <v>8.201E-2</v>
      </c>
      <c r="K111" s="10">
        <v>4.1320000000000003E-2</v>
      </c>
      <c r="L111" s="10">
        <v>1.924E-2</v>
      </c>
      <c r="M111" s="10">
        <v>0.16489999999999899</v>
      </c>
      <c r="N111" s="10">
        <v>7.6329999999999898E-2</v>
      </c>
      <c r="O111" s="10">
        <v>0.16650000000000001</v>
      </c>
      <c r="P111" s="10">
        <v>0.58640000000000003</v>
      </c>
      <c r="Q111" s="10">
        <v>1.3540000000000001</v>
      </c>
      <c r="R111" s="10">
        <v>8.9659999999999904</v>
      </c>
      <c r="S111" s="10">
        <v>8.2609999999999906E-3</v>
      </c>
      <c r="T111" s="10">
        <v>2.213E-2</v>
      </c>
      <c r="U111" s="10">
        <v>3.2590000000000001E-2</v>
      </c>
      <c r="V111" s="10">
        <v>1.04E-2</v>
      </c>
      <c r="W111" s="10">
        <v>1.7080000000000001E-2</v>
      </c>
      <c r="X111" s="10">
        <v>3.8059999999999899E-3</v>
      </c>
      <c r="Y111" s="10">
        <v>9.6280000000000001</v>
      </c>
      <c r="Z111" s="10">
        <v>19.62</v>
      </c>
      <c r="AA111" s="10">
        <v>64.48</v>
      </c>
      <c r="AB111" s="10">
        <v>284.39999999999901</v>
      </c>
      <c r="AC111" s="10">
        <v>0.1724</v>
      </c>
      <c r="AD111" s="10">
        <v>0.2364</v>
      </c>
      <c r="AE111" s="10">
        <v>0.24560000000000001</v>
      </c>
      <c r="AF111" s="10">
        <v>0.105</v>
      </c>
      <c r="AG111" s="10">
        <v>0.29260000000000003</v>
      </c>
      <c r="AH111">
        <v>0.1017</v>
      </c>
    </row>
    <row r="112" spans="3:34">
      <c r="C112" s="11" t="s">
        <v>256</v>
      </c>
      <c r="D112" s="10" t="s">
        <v>1</v>
      </c>
      <c r="E112" s="10">
        <v>13.71</v>
      </c>
      <c r="F112" s="10">
        <v>15.76</v>
      </c>
      <c r="G112" s="10">
        <v>58.74</v>
      </c>
      <c r="H112" s="10">
        <v>245.19999999999899</v>
      </c>
      <c r="I112" s="10">
        <v>9.4619999999999899E-2</v>
      </c>
      <c r="J112" s="10">
        <v>0.12429999999999899</v>
      </c>
      <c r="K112" s="10">
        <v>9.2630000000000004E-2</v>
      </c>
      <c r="L112" s="10">
        <v>2.308E-2</v>
      </c>
      <c r="M112" s="10">
        <v>0.1305</v>
      </c>
      <c r="N112" s="10">
        <v>7.1629999999999902E-2</v>
      </c>
      <c r="O112" s="10">
        <v>0.31319999999999898</v>
      </c>
      <c r="P112" s="10">
        <v>0.97889999999999899</v>
      </c>
      <c r="Q112" s="10">
        <v>3.27999999999999</v>
      </c>
      <c r="R112" s="10">
        <v>16.940000000000001</v>
      </c>
      <c r="S112" s="10">
        <v>1.8350000000000002E-2</v>
      </c>
      <c r="T112" s="10">
        <v>6.7599999999999896E-2</v>
      </c>
      <c r="U112" s="10">
        <v>9.2630000000000004E-2</v>
      </c>
      <c r="V112" s="10">
        <v>2.308E-2</v>
      </c>
      <c r="W112" s="10">
        <v>2.384E-2</v>
      </c>
      <c r="X112" s="10">
        <v>5.6010000000000001E-3</v>
      </c>
      <c r="Y112" s="10">
        <v>9.4139999999999908</v>
      </c>
      <c r="Z112" s="10">
        <v>17.07</v>
      </c>
      <c r="AA112" s="10">
        <v>63.34</v>
      </c>
      <c r="AB112" s="10">
        <v>270</v>
      </c>
      <c r="AC112" s="10">
        <v>0.1179</v>
      </c>
      <c r="AD112" s="10">
        <v>0.18790000000000001</v>
      </c>
      <c r="AE112" s="10">
        <v>0.15440000000000001</v>
      </c>
      <c r="AF112" s="10">
        <v>3.8460000000000001E-2</v>
      </c>
      <c r="AG112" s="10">
        <v>0.16520000000000001</v>
      </c>
      <c r="AH112">
        <v>7.72199999999999E-2</v>
      </c>
    </row>
    <row r="113" spans="3:34">
      <c r="C113" s="11" t="s">
        <v>257</v>
      </c>
      <c r="D113" s="10" t="s">
        <v>0</v>
      </c>
      <c r="E113" s="10">
        <v>13.71</v>
      </c>
      <c r="F113" s="10">
        <v>16.670000000000002</v>
      </c>
      <c r="G113" s="10">
        <v>98.64</v>
      </c>
      <c r="H113" s="10">
        <v>682.5</v>
      </c>
      <c r="I113" s="10">
        <v>0.1162</v>
      </c>
      <c r="J113" s="10">
        <v>0.16489999999999899</v>
      </c>
      <c r="K113" s="10">
        <v>0.16900000000000001</v>
      </c>
      <c r="L113" s="10">
        <v>8.9230000000000004E-2</v>
      </c>
      <c r="M113" s="10">
        <v>0.2157</v>
      </c>
      <c r="N113" s="10">
        <v>6.7680000000000004E-2</v>
      </c>
      <c r="O113" s="10">
        <v>0.42659999999999898</v>
      </c>
      <c r="P113" s="10">
        <v>0.94889999999999897</v>
      </c>
      <c r="Q113" s="10">
        <v>2.9889999999999901</v>
      </c>
      <c r="R113" s="10">
        <v>41.18</v>
      </c>
      <c r="S113" s="10">
        <v>6.9849999999999903E-3</v>
      </c>
      <c r="T113" s="10">
        <v>2.563E-2</v>
      </c>
      <c r="U113" s="10">
        <v>3.0110000000000001E-2</v>
      </c>
      <c r="V113" s="10">
        <v>1.2710000000000001E-2</v>
      </c>
      <c r="W113" s="10">
        <v>1.602E-2</v>
      </c>
      <c r="X113" s="10">
        <v>3.8839999999999899E-3</v>
      </c>
      <c r="Y113" s="10">
        <v>18.809999999999899</v>
      </c>
      <c r="Z113" s="10">
        <v>27.37</v>
      </c>
      <c r="AA113" s="10">
        <v>127.099999999999</v>
      </c>
      <c r="AB113" s="10">
        <v>1095</v>
      </c>
      <c r="AC113" s="10">
        <v>0.187799999999999</v>
      </c>
      <c r="AD113" s="10">
        <v>0.44800000000000001</v>
      </c>
      <c r="AE113" s="10">
        <v>0.47039999999999899</v>
      </c>
      <c r="AF113" s="10">
        <v>0.20269999999999899</v>
      </c>
      <c r="AG113" s="10">
        <v>0.35849999999999899</v>
      </c>
      <c r="AH113">
        <v>0.1065</v>
      </c>
    </row>
    <row r="114" spans="3:34">
      <c r="C114" s="11" t="s">
        <v>258</v>
      </c>
      <c r="D114" s="10" t="s">
        <v>0</v>
      </c>
      <c r="E114" s="10">
        <v>13.71</v>
      </c>
      <c r="F114" s="10">
        <v>22.91</v>
      </c>
      <c r="G114" s="10">
        <v>105.7</v>
      </c>
      <c r="H114" s="10">
        <v>782.6</v>
      </c>
      <c r="I114" s="10">
        <v>0.11550000000000001</v>
      </c>
      <c r="J114" s="10">
        <v>0.175199999999999</v>
      </c>
      <c r="K114" s="10">
        <v>0.21329999999999899</v>
      </c>
      <c r="L114" s="10">
        <v>9.4789999999999902E-2</v>
      </c>
      <c r="M114" s="10">
        <v>0.20960000000000001</v>
      </c>
      <c r="N114" s="10">
        <v>7.331E-2</v>
      </c>
      <c r="O114" s="10">
        <v>0.55200000000000005</v>
      </c>
      <c r="P114" s="10">
        <v>1.0720000000000001</v>
      </c>
      <c r="Q114" s="10">
        <v>3.5979999999999901</v>
      </c>
      <c r="R114" s="10">
        <v>58.63</v>
      </c>
      <c r="S114" s="10">
        <v>8.6990000000000001E-3</v>
      </c>
      <c r="T114" s="10">
        <v>3.97599999999999E-2</v>
      </c>
      <c r="U114" s="10">
        <v>5.94999999999999E-2</v>
      </c>
      <c r="V114" s="10">
        <v>1.38999999999999E-2</v>
      </c>
      <c r="W114" s="10">
        <v>1.495E-2</v>
      </c>
      <c r="X114" s="10">
        <v>5.9839999999999902E-3</v>
      </c>
      <c r="Y114" s="10">
        <v>20.190000000000001</v>
      </c>
      <c r="Z114" s="10">
        <v>30.5</v>
      </c>
      <c r="AA114" s="10">
        <v>130.30000000000001</v>
      </c>
      <c r="AB114" s="10">
        <v>1272</v>
      </c>
      <c r="AC114" s="10">
        <v>0.1855</v>
      </c>
      <c r="AD114" s="10">
        <v>0.49249999999999899</v>
      </c>
      <c r="AE114" s="10">
        <v>0.73560000000000003</v>
      </c>
      <c r="AF114" s="10">
        <v>0.2034</v>
      </c>
      <c r="AG114" s="10">
        <v>0.32740000000000002</v>
      </c>
      <c r="AH114">
        <v>0.12520000000000001</v>
      </c>
    </row>
    <row r="115" spans="3:34">
      <c r="C115" s="11" t="s">
        <v>259</v>
      </c>
      <c r="D115" s="10" t="s">
        <v>0</v>
      </c>
      <c r="E115" s="10">
        <v>13.71</v>
      </c>
      <c r="F115" s="10">
        <v>20.010000000000002</v>
      </c>
      <c r="G115" s="10">
        <v>114.2</v>
      </c>
      <c r="H115" s="10">
        <v>982</v>
      </c>
      <c r="I115" s="10">
        <v>8.40199999999999E-2</v>
      </c>
      <c r="J115" s="10">
        <v>6.7220000000000002E-2</v>
      </c>
      <c r="K115" s="10">
        <v>7.2929999999999898E-2</v>
      </c>
      <c r="L115" s="10">
        <v>5.5960000000000003E-2</v>
      </c>
      <c r="M115" s="10">
        <v>0.21290000000000001</v>
      </c>
      <c r="N115" s="10">
        <v>5.0250000000000003E-2</v>
      </c>
      <c r="O115" s="10">
        <v>0.55059999999999898</v>
      </c>
      <c r="P115" s="10">
        <v>1.214</v>
      </c>
      <c r="Q115" s="10">
        <v>3.3570000000000002</v>
      </c>
      <c r="R115" s="10">
        <v>54.0399999999999</v>
      </c>
      <c r="S115" s="10">
        <v>4.0239999999999903E-3</v>
      </c>
      <c r="T115" s="10">
        <v>8.4220000000000007E-3</v>
      </c>
      <c r="U115" s="10">
        <v>2.291E-2</v>
      </c>
      <c r="V115" s="10">
        <v>9.8630000000000002E-3</v>
      </c>
      <c r="W115" s="10">
        <v>5.01399999999999E-2</v>
      </c>
      <c r="X115" s="10">
        <v>1.902E-3</v>
      </c>
      <c r="Y115" s="10">
        <v>20.579999999999899</v>
      </c>
      <c r="Z115" s="10">
        <v>27.829999999999899</v>
      </c>
      <c r="AA115" s="10">
        <v>129.19999999999899</v>
      </c>
      <c r="AB115" s="10">
        <v>1261</v>
      </c>
      <c r="AC115" s="10">
        <v>0.1072</v>
      </c>
      <c r="AD115" s="10">
        <v>0.1202</v>
      </c>
      <c r="AE115" s="10">
        <v>0.22489999999999899</v>
      </c>
      <c r="AF115" s="10">
        <v>0.118499999999999</v>
      </c>
      <c r="AG115" s="10">
        <v>0.48820000000000002</v>
      </c>
      <c r="AH115">
        <v>6.1109999999999901E-2</v>
      </c>
    </row>
    <row r="116" spans="3:34">
      <c r="C116" s="11" t="s">
        <v>261</v>
      </c>
      <c r="D116" s="10" t="s">
        <v>0</v>
      </c>
      <c r="E116" s="10">
        <v>13.71</v>
      </c>
      <c r="F116" s="10">
        <v>17.12</v>
      </c>
      <c r="G116" s="10">
        <v>121.4</v>
      </c>
      <c r="H116" s="10">
        <v>1077</v>
      </c>
      <c r="I116" s="10">
        <v>0.10539999999999899</v>
      </c>
      <c r="J116" s="10">
        <v>0.11</v>
      </c>
      <c r="K116" s="10">
        <v>0.1457</v>
      </c>
      <c r="L116" s="10">
        <v>8.6650000000000005E-2</v>
      </c>
      <c r="M116" s="10">
        <v>0.1966</v>
      </c>
      <c r="N116" s="10">
        <v>6.2129999999999901E-2</v>
      </c>
      <c r="O116" s="10">
        <v>0.71279999999999899</v>
      </c>
      <c r="P116" s="10">
        <v>1.581</v>
      </c>
      <c r="Q116" s="10">
        <v>4.8949999999999898</v>
      </c>
      <c r="R116" s="10">
        <v>90.469999999999899</v>
      </c>
      <c r="S116" s="10">
        <v>8.1019999999999894E-3</v>
      </c>
      <c r="T116" s="10">
        <v>2.1010000000000001E-2</v>
      </c>
      <c r="U116" s="10">
        <v>3.3419999999999901E-2</v>
      </c>
      <c r="V116" s="10">
        <v>1.601E-2</v>
      </c>
      <c r="W116" s="10">
        <v>2.0449999999999899E-2</v>
      </c>
      <c r="X116" s="10">
        <v>4.5700000000000003E-3</v>
      </c>
      <c r="Y116" s="10">
        <v>22.25</v>
      </c>
      <c r="Z116" s="10">
        <v>24.899999999999899</v>
      </c>
      <c r="AA116" s="10">
        <v>145.4</v>
      </c>
      <c r="AB116" s="10">
        <v>1549</v>
      </c>
      <c r="AC116" s="10">
        <v>0.15029999999999899</v>
      </c>
      <c r="AD116" s="10">
        <v>0.2291</v>
      </c>
      <c r="AE116" s="10">
        <v>0.32719999999999899</v>
      </c>
      <c r="AF116" s="10">
        <v>0.16739999999999899</v>
      </c>
      <c r="AG116" s="10">
        <v>0.28939999999999899</v>
      </c>
      <c r="AH116">
        <v>8.4559999999999899E-2</v>
      </c>
    </row>
    <row r="117" spans="3:34">
      <c r="C117" s="11" t="s">
        <v>262</v>
      </c>
      <c r="D117" s="10" t="s">
        <v>0</v>
      </c>
      <c r="E117" s="10">
        <v>13.71</v>
      </c>
      <c r="F117" s="10">
        <v>20.1999999999999</v>
      </c>
      <c r="G117" s="10">
        <v>166.19999999999899</v>
      </c>
      <c r="H117" s="10">
        <v>1761</v>
      </c>
      <c r="I117" s="10">
        <v>0.1447</v>
      </c>
      <c r="J117" s="10">
        <v>0.28670000000000001</v>
      </c>
      <c r="K117" s="10">
        <v>0.42680000000000001</v>
      </c>
      <c r="L117" s="10">
        <v>0.20119999999999899</v>
      </c>
      <c r="M117" s="10">
        <v>0.26550000000000001</v>
      </c>
      <c r="N117" s="10">
        <v>6.8769999999999901E-2</v>
      </c>
      <c r="O117" s="10">
        <v>1.5089999999999899</v>
      </c>
      <c r="P117" s="10">
        <v>3.12</v>
      </c>
      <c r="Q117" s="10">
        <v>9.8070000000000004</v>
      </c>
      <c r="R117" s="10">
        <v>233</v>
      </c>
      <c r="S117" s="10">
        <v>2.333E-2</v>
      </c>
      <c r="T117" s="10">
        <v>9.8059999999999897E-2</v>
      </c>
      <c r="U117" s="10">
        <v>0.1278</v>
      </c>
      <c r="V117" s="10">
        <v>1.822E-2</v>
      </c>
      <c r="W117" s="10">
        <v>4.5469999999999899E-2</v>
      </c>
      <c r="X117" s="10">
        <v>9.8750000000000001E-3</v>
      </c>
      <c r="Y117" s="10">
        <v>26.02</v>
      </c>
      <c r="Z117" s="10">
        <v>23.989999999999899</v>
      </c>
      <c r="AA117" s="10">
        <v>180.9</v>
      </c>
      <c r="AB117" s="10">
        <v>2073</v>
      </c>
      <c r="AC117" s="10">
        <v>0.1696</v>
      </c>
      <c r="AD117" s="10">
        <v>0.4244</v>
      </c>
      <c r="AE117" s="10">
        <v>0.58030000000000004</v>
      </c>
      <c r="AF117" s="10">
        <v>0.2248</v>
      </c>
      <c r="AG117" s="10">
        <v>0.32219999999999899</v>
      </c>
      <c r="AH117">
        <v>8.0089999999999897E-2</v>
      </c>
    </row>
    <row r="118" spans="3:34">
      <c r="C118" s="11" t="s">
        <v>264</v>
      </c>
      <c r="D118" s="10" t="s">
        <v>1</v>
      </c>
      <c r="E118" s="10">
        <v>13.71</v>
      </c>
      <c r="F118" s="10">
        <v>16.39</v>
      </c>
      <c r="G118" s="10">
        <v>86.099999999999895</v>
      </c>
      <c r="H118" s="10">
        <v>553.5</v>
      </c>
      <c r="I118" s="10">
        <v>7.1150000000000005E-2</v>
      </c>
      <c r="J118" s="10">
        <v>7.3249999999999899E-2</v>
      </c>
      <c r="K118" s="10">
        <v>8.0920000000000006E-2</v>
      </c>
      <c r="L118" s="10">
        <v>2.8000000000000001E-2</v>
      </c>
      <c r="M118" s="10">
        <v>0.14219999999999899</v>
      </c>
      <c r="N118" s="10">
        <v>5.82299999999999E-2</v>
      </c>
      <c r="O118" s="10">
        <v>0.16389999999999899</v>
      </c>
      <c r="P118" s="10">
        <v>1.1399999999999899</v>
      </c>
      <c r="Q118" s="10">
        <v>1.2230000000000001</v>
      </c>
      <c r="R118" s="10">
        <v>14.66</v>
      </c>
      <c r="S118" s="10">
        <v>5.9189999999999902E-3</v>
      </c>
      <c r="T118" s="10">
        <v>3.27E-2</v>
      </c>
      <c r="U118" s="10">
        <v>4.9570000000000003E-2</v>
      </c>
      <c r="V118" s="10">
        <v>1.038E-2</v>
      </c>
      <c r="W118" s="10">
        <v>1.208E-2</v>
      </c>
      <c r="X118" s="10">
        <v>4.0759999999999902E-3</v>
      </c>
      <c r="Y118" s="10">
        <v>14.26</v>
      </c>
      <c r="Z118" s="10">
        <v>22.75</v>
      </c>
      <c r="AA118" s="10">
        <v>91.989999999999895</v>
      </c>
      <c r="AB118" s="10">
        <v>632.1</v>
      </c>
      <c r="AC118" s="10">
        <v>0.10249999999999899</v>
      </c>
      <c r="AD118" s="10">
        <v>0.25309999999999899</v>
      </c>
      <c r="AE118" s="10">
        <v>0.33079999999999898</v>
      </c>
      <c r="AF118" s="10">
        <v>8.9779999999999902E-2</v>
      </c>
      <c r="AG118" s="10">
        <v>0.20480000000000001</v>
      </c>
      <c r="AH118">
        <v>7.6280000000000001E-2</v>
      </c>
    </row>
    <row r="119" spans="3:34">
      <c r="C119" s="11" t="s">
        <v>265</v>
      </c>
      <c r="D119" s="10" t="s">
        <v>1</v>
      </c>
      <c r="E119" s="10">
        <v>13.71</v>
      </c>
      <c r="F119" s="10">
        <v>17.21</v>
      </c>
      <c r="G119" s="10">
        <v>88.439999999999898</v>
      </c>
      <c r="H119" s="10">
        <v>588.70000000000005</v>
      </c>
      <c r="I119" s="10">
        <v>8.78499999999999E-2</v>
      </c>
      <c r="J119" s="10">
        <v>6.1359999999999901E-2</v>
      </c>
      <c r="K119" s="10">
        <v>1.4200000000000001E-2</v>
      </c>
      <c r="L119" s="10">
        <v>1.141E-2</v>
      </c>
      <c r="M119" s="10">
        <v>0.16139999999999899</v>
      </c>
      <c r="N119" s="10">
        <v>5.8900000000000001E-2</v>
      </c>
      <c r="O119" s="10">
        <v>0.2185</v>
      </c>
      <c r="P119" s="10">
        <v>0.85609999999999897</v>
      </c>
      <c r="Q119" s="10">
        <v>1.4950000000000001</v>
      </c>
      <c r="R119" s="10">
        <v>17.91</v>
      </c>
      <c r="S119" s="10">
        <v>4.5989999999999902E-3</v>
      </c>
      <c r="T119" s="10">
        <v>9.1690000000000001E-3</v>
      </c>
      <c r="U119" s="10">
        <v>9.1269999999999893E-3</v>
      </c>
      <c r="V119" s="10">
        <v>4.8139999999999902E-3</v>
      </c>
      <c r="W119" s="10">
        <v>1.247E-2</v>
      </c>
      <c r="X119" s="10">
        <v>1.7080000000000001E-3</v>
      </c>
      <c r="Y119" s="10">
        <v>15.49</v>
      </c>
      <c r="Z119" s="10">
        <v>23.579999999999899</v>
      </c>
      <c r="AA119" s="10">
        <v>100.3</v>
      </c>
      <c r="AB119" s="10">
        <v>725.89999999999895</v>
      </c>
      <c r="AC119" s="10">
        <v>0.1157</v>
      </c>
      <c r="AD119" s="10">
        <v>0.13500000000000001</v>
      </c>
      <c r="AE119" s="10">
        <v>8.115E-2</v>
      </c>
      <c r="AF119" s="10">
        <v>5.1040000000000002E-2</v>
      </c>
      <c r="AG119" s="10">
        <v>0.2364</v>
      </c>
      <c r="AH119">
        <v>7.1819999999999898E-2</v>
      </c>
    </row>
    <row r="120" spans="3:34">
      <c r="C120" s="11" t="s">
        <v>267</v>
      </c>
      <c r="D120" s="10" t="s">
        <v>0</v>
      </c>
      <c r="E120" s="10">
        <v>13.71</v>
      </c>
      <c r="F120" s="10">
        <v>18.91</v>
      </c>
      <c r="G120" s="10">
        <v>123.4</v>
      </c>
      <c r="H120" s="10">
        <v>1138</v>
      </c>
      <c r="I120" s="10">
        <v>8.2170000000000007E-2</v>
      </c>
      <c r="J120" s="10">
        <v>8.0280000000000004E-2</v>
      </c>
      <c r="K120" s="10">
        <v>9.2710000000000001E-2</v>
      </c>
      <c r="L120" s="10">
        <v>5.6270000000000001E-2</v>
      </c>
      <c r="M120" s="10">
        <v>0.1946</v>
      </c>
      <c r="N120" s="10">
        <v>5.0439999999999902E-2</v>
      </c>
      <c r="O120" s="10">
        <v>0.68959999999999899</v>
      </c>
      <c r="P120" s="10">
        <v>1.3420000000000001</v>
      </c>
      <c r="Q120" s="10">
        <v>5.2160000000000002</v>
      </c>
      <c r="R120" s="10">
        <v>81.23</v>
      </c>
      <c r="S120" s="10">
        <v>4.4279999999999901E-3</v>
      </c>
      <c r="T120" s="10">
        <v>2.7310000000000001E-2</v>
      </c>
      <c r="U120" s="10">
        <v>4.0399999999999901E-2</v>
      </c>
      <c r="V120" s="10">
        <v>1.3610000000000001E-2</v>
      </c>
      <c r="W120" s="10">
        <v>2.0299999999999901E-2</v>
      </c>
      <c r="X120" s="10">
        <v>2.686E-3</v>
      </c>
      <c r="Y120" s="10">
        <v>22.32</v>
      </c>
      <c r="Z120" s="10">
        <v>25.73</v>
      </c>
      <c r="AA120" s="10">
        <v>148.19999999999899</v>
      </c>
      <c r="AB120" s="10">
        <v>1538</v>
      </c>
      <c r="AC120" s="10">
        <v>0.1021</v>
      </c>
      <c r="AD120" s="10">
        <v>0.22639999999999899</v>
      </c>
      <c r="AE120" s="10">
        <v>0.32069999999999899</v>
      </c>
      <c r="AF120" s="10">
        <v>0.12180000000000001</v>
      </c>
      <c r="AG120" s="10">
        <v>0.28410000000000002</v>
      </c>
      <c r="AH120">
        <v>6.5409999999999899E-2</v>
      </c>
    </row>
    <row r="121" spans="3:34">
      <c r="C121" s="11" t="s">
        <v>268</v>
      </c>
      <c r="D121" s="10" t="s">
        <v>1</v>
      </c>
      <c r="E121" s="10">
        <v>13.71</v>
      </c>
      <c r="F121" s="10">
        <v>16.39</v>
      </c>
      <c r="G121" s="10">
        <v>99.579999999999899</v>
      </c>
      <c r="H121" s="10">
        <v>674.5</v>
      </c>
      <c r="I121" s="10">
        <v>0.115</v>
      </c>
      <c r="J121" s="10">
        <v>0.1807</v>
      </c>
      <c r="K121" s="10">
        <v>0.1138</v>
      </c>
      <c r="L121" s="10">
        <v>8.5339999999999902E-2</v>
      </c>
      <c r="M121" s="10">
        <v>0.2001</v>
      </c>
      <c r="N121" s="10">
        <v>6.4670000000000005E-2</v>
      </c>
      <c r="O121" s="10">
        <v>0.43090000000000001</v>
      </c>
      <c r="P121" s="10">
        <v>1.0680000000000001</v>
      </c>
      <c r="Q121" s="10">
        <v>2.79599999999999</v>
      </c>
      <c r="R121" s="10">
        <v>39.840000000000003</v>
      </c>
      <c r="S121" s="10">
        <v>9.0060000000000001E-3</v>
      </c>
      <c r="T121" s="10">
        <v>4.1849999999999901E-2</v>
      </c>
      <c r="U121" s="10">
        <v>3.2039999999999902E-2</v>
      </c>
      <c r="V121" s="10">
        <v>2.2579999999999899E-2</v>
      </c>
      <c r="W121" s="10">
        <v>2.3529999999999902E-2</v>
      </c>
      <c r="X121" s="10">
        <v>4.9839999999999902E-3</v>
      </c>
      <c r="Y121" s="10">
        <v>16.1099999999999</v>
      </c>
      <c r="Z121" s="10">
        <v>18.329999999999899</v>
      </c>
      <c r="AA121" s="10">
        <v>105.9</v>
      </c>
      <c r="AB121" s="10">
        <v>762.6</v>
      </c>
      <c r="AC121" s="10">
        <v>0.1386</v>
      </c>
      <c r="AD121" s="10">
        <v>0.2883</v>
      </c>
      <c r="AE121" s="10">
        <v>0.19600000000000001</v>
      </c>
      <c r="AF121" s="10">
        <v>0.14230000000000001</v>
      </c>
      <c r="AG121" s="10">
        <v>0.25900000000000001</v>
      </c>
      <c r="AH121">
        <v>7.7789999999999901E-2</v>
      </c>
    </row>
    <row r="122" spans="3:34">
      <c r="C122" s="11" t="s">
        <v>269</v>
      </c>
      <c r="D122" s="10" t="s">
        <v>0</v>
      </c>
      <c r="E122" s="10">
        <v>13.71</v>
      </c>
      <c r="F122" s="10">
        <v>25.12</v>
      </c>
      <c r="G122" s="10">
        <v>130.4</v>
      </c>
      <c r="H122" s="10">
        <v>1192</v>
      </c>
      <c r="I122" s="10">
        <v>0.10150000000000001</v>
      </c>
      <c r="J122" s="10">
        <v>0.15890000000000001</v>
      </c>
      <c r="K122" s="10">
        <v>0.2545</v>
      </c>
      <c r="L122" s="10">
        <v>0.1149</v>
      </c>
      <c r="M122" s="10">
        <v>0.22020000000000001</v>
      </c>
      <c r="N122" s="10">
        <v>6.11299999999999E-2</v>
      </c>
      <c r="O122" s="10">
        <v>0.49530000000000002</v>
      </c>
      <c r="P122" s="10">
        <v>1.1990000000000001</v>
      </c>
      <c r="Q122" s="10">
        <v>2.7650000000000001</v>
      </c>
      <c r="R122" s="10">
        <v>63.329999999999899</v>
      </c>
      <c r="S122" s="10">
        <v>5.0330000000000001E-3</v>
      </c>
      <c r="T122" s="10">
        <v>3.1789999999999902E-2</v>
      </c>
      <c r="U122" s="10">
        <v>4.7550000000000002E-2</v>
      </c>
      <c r="V122" s="10">
        <v>1.043E-2</v>
      </c>
      <c r="W122" s="10">
        <v>1.5779999999999898E-2</v>
      </c>
      <c r="X122" s="10">
        <v>3.2239999999999899E-3</v>
      </c>
      <c r="Y122" s="10">
        <v>22.6299999999999</v>
      </c>
      <c r="Z122" s="10">
        <v>33.579999999999899</v>
      </c>
      <c r="AA122" s="10">
        <v>148.69999999999899</v>
      </c>
      <c r="AB122" s="10">
        <v>1589</v>
      </c>
      <c r="AC122" s="10">
        <v>0.1275</v>
      </c>
      <c r="AD122" s="10">
        <v>0.3861</v>
      </c>
      <c r="AE122" s="10">
        <v>0.56730000000000003</v>
      </c>
      <c r="AF122" s="10">
        <v>0.17319999999999899</v>
      </c>
      <c r="AG122" s="10">
        <v>0.33050000000000002</v>
      </c>
      <c r="AH122">
        <v>8.4650000000000003E-2</v>
      </c>
    </row>
    <row r="123" spans="3:34">
      <c r="C123" s="11" t="s">
        <v>271</v>
      </c>
      <c r="D123" s="10" t="s">
        <v>0</v>
      </c>
      <c r="E123" s="10">
        <v>13.71</v>
      </c>
      <c r="F123" s="10">
        <v>19.48</v>
      </c>
      <c r="G123" s="10">
        <v>101.7</v>
      </c>
      <c r="H123" s="10">
        <v>748.89999999999895</v>
      </c>
      <c r="I123" s="10">
        <v>0.10920000000000001</v>
      </c>
      <c r="J123" s="10">
        <v>0.12230000000000001</v>
      </c>
      <c r="K123" s="10">
        <v>0.14660000000000001</v>
      </c>
      <c r="L123" s="10">
        <v>8.08699999999999E-2</v>
      </c>
      <c r="M123" s="10">
        <v>0.19309999999999899</v>
      </c>
      <c r="N123" s="10">
        <v>5.79599999999999E-2</v>
      </c>
      <c r="O123" s="10">
        <v>0.4743</v>
      </c>
      <c r="P123" s="10">
        <v>0.78590000000000004</v>
      </c>
      <c r="Q123" s="10">
        <v>3.0939999999999901</v>
      </c>
      <c r="R123" s="10">
        <v>48.31</v>
      </c>
      <c r="S123" s="10">
        <v>6.2399999999999903E-3</v>
      </c>
      <c r="T123" s="10">
        <v>1.4840000000000001E-2</v>
      </c>
      <c r="U123" s="10">
        <v>2.8129999999999902E-2</v>
      </c>
      <c r="V123" s="10">
        <v>1.093E-2</v>
      </c>
      <c r="W123" s="10">
        <v>1.397E-2</v>
      </c>
      <c r="X123" s="10">
        <v>2.4610000000000001E-3</v>
      </c>
      <c r="Y123" s="10">
        <v>19.260000000000002</v>
      </c>
      <c r="Z123" s="10">
        <v>26</v>
      </c>
      <c r="AA123" s="10">
        <v>124.9</v>
      </c>
      <c r="AB123" s="10">
        <v>1156</v>
      </c>
      <c r="AC123" s="10">
        <v>0.15459999999999899</v>
      </c>
      <c r="AD123" s="10">
        <v>0.2394</v>
      </c>
      <c r="AE123" s="10">
        <v>0.37909999999999899</v>
      </c>
      <c r="AF123" s="10">
        <v>0.15140000000000001</v>
      </c>
      <c r="AG123" s="10">
        <v>0.28370000000000001</v>
      </c>
      <c r="AH123">
        <v>8.01899999999999E-2</v>
      </c>
    </row>
    <row r="124" spans="3:34">
      <c r="C124" s="11" t="s">
        <v>272</v>
      </c>
      <c r="D124" s="10" t="s">
        <v>0</v>
      </c>
      <c r="E124" s="10">
        <v>13.71</v>
      </c>
      <c r="F124" s="10">
        <v>21.5399999999999</v>
      </c>
      <c r="G124" s="10">
        <v>106.2</v>
      </c>
      <c r="H124" s="10">
        <v>809.79999999999905</v>
      </c>
      <c r="I124" s="10">
        <v>0.1008</v>
      </c>
      <c r="J124" s="10">
        <v>0.12839999999999899</v>
      </c>
      <c r="K124" s="10">
        <v>0.1043</v>
      </c>
      <c r="L124" s="10">
        <v>5.6129999999999902E-2</v>
      </c>
      <c r="M124" s="10">
        <v>0.216</v>
      </c>
      <c r="N124" s="10">
        <v>5.89099999999999E-2</v>
      </c>
      <c r="O124" s="10">
        <v>0.43319999999999897</v>
      </c>
      <c r="P124" s="10">
        <v>1.2649999999999899</v>
      </c>
      <c r="Q124" s="10">
        <v>2.8439999999999901</v>
      </c>
      <c r="R124" s="10">
        <v>43.68</v>
      </c>
      <c r="S124" s="10">
        <v>4.8770000000000003E-3</v>
      </c>
      <c r="T124" s="10">
        <v>1.9519999999999899E-2</v>
      </c>
      <c r="U124" s="10">
        <v>2.2190000000000001E-2</v>
      </c>
      <c r="V124" s="10">
        <v>9.2309999999999892E-3</v>
      </c>
      <c r="W124" s="10">
        <v>1.5350000000000001E-2</v>
      </c>
      <c r="X124" s="10">
        <v>2.3730000000000001E-3</v>
      </c>
      <c r="Y124" s="10">
        <v>19.469999999999899</v>
      </c>
      <c r="Z124" s="10">
        <v>31.68</v>
      </c>
      <c r="AA124" s="10">
        <v>129.69999999999899</v>
      </c>
      <c r="AB124" s="10">
        <v>1175</v>
      </c>
      <c r="AC124" s="10">
        <v>0.13950000000000001</v>
      </c>
      <c r="AD124" s="10">
        <v>0.30549999999999899</v>
      </c>
      <c r="AE124" s="10">
        <v>0.29920000000000002</v>
      </c>
      <c r="AF124" s="10">
        <v>0.13120000000000001</v>
      </c>
      <c r="AG124" s="10">
        <v>0.34799999999999898</v>
      </c>
      <c r="AH124">
        <v>7.6189999999999897E-2</v>
      </c>
    </row>
    <row r="125" spans="3:34">
      <c r="C125" s="11" t="s">
        <v>273</v>
      </c>
      <c r="D125" s="10" t="s">
        <v>1</v>
      </c>
      <c r="E125" s="10">
        <v>13.71</v>
      </c>
      <c r="F125" s="10">
        <v>13.93</v>
      </c>
      <c r="G125" s="10">
        <v>102</v>
      </c>
      <c r="H125" s="10">
        <v>761.7</v>
      </c>
      <c r="I125" s="10">
        <v>9.4619999999999899E-2</v>
      </c>
      <c r="J125" s="10">
        <v>9.4619999999999899E-2</v>
      </c>
      <c r="K125" s="10">
        <v>7.13499999999999E-2</v>
      </c>
      <c r="L125" s="10">
        <v>5.9330000000000001E-2</v>
      </c>
      <c r="M125" s="10">
        <v>0.18160000000000001</v>
      </c>
      <c r="N125" s="10">
        <v>5.7230000000000003E-2</v>
      </c>
      <c r="O125" s="10">
        <v>0.31169999999999898</v>
      </c>
      <c r="P125" s="10">
        <v>0.8155</v>
      </c>
      <c r="Q125" s="10">
        <v>1.972</v>
      </c>
      <c r="R125" s="10">
        <v>27.94</v>
      </c>
      <c r="S125" s="10">
        <v>5.2170000000000003E-3</v>
      </c>
      <c r="T125" s="10">
        <v>1.515E-2</v>
      </c>
      <c r="U125" s="10">
        <v>1.678E-2</v>
      </c>
      <c r="V125" s="10">
        <v>1.268E-2</v>
      </c>
      <c r="W125" s="10">
        <v>1.669E-2</v>
      </c>
      <c r="X125" s="10">
        <v>2.33E-3</v>
      </c>
      <c r="Y125" s="10">
        <v>17.5</v>
      </c>
      <c r="Z125" s="10">
        <v>19.25</v>
      </c>
      <c r="AA125" s="10">
        <v>114.3</v>
      </c>
      <c r="AB125" s="10">
        <v>922.79999999999905</v>
      </c>
      <c r="AC125" s="10">
        <v>0.12230000000000001</v>
      </c>
      <c r="AD125" s="10">
        <v>0.19489999999999899</v>
      </c>
      <c r="AE125" s="10">
        <v>0.1709</v>
      </c>
      <c r="AF125" s="10">
        <v>0.137399999999999</v>
      </c>
      <c r="AG125" s="10">
        <v>0.27229999999999899</v>
      </c>
      <c r="AH125">
        <v>7.0709999999999898E-2</v>
      </c>
    </row>
    <row r="126" spans="3:34">
      <c r="C126" s="11" t="s">
        <v>275</v>
      </c>
      <c r="D126" s="10" t="s">
        <v>0</v>
      </c>
      <c r="E126" s="10">
        <v>13.71</v>
      </c>
      <c r="F126" s="10">
        <v>22.469999999999899</v>
      </c>
      <c r="G126" s="10">
        <v>81.719999999999899</v>
      </c>
      <c r="H126" s="10">
        <v>506.3</v>
      </c>
      <c r="I126" s="10">
        <v>9.0550000000000005E-2</v>
      </c>
      <c r="J126" s="10">
        <v>5.7610000000000001E-2</v>
      </c>
      <c r="K126" s="10">
        <v>4.7109999999999902E-2</v>
      </c>
      <c r="L126" s="10">
        <v>2.7040000000000002E-2</v>
      </c>
      <c r="M126" s="10">
        <v>0.1585</v>
      </c>
      <c r="N126" s="10">
        <v>6.0650000000000003E-2</v>
      </c>
      <c r="O126" s="10">
        <v>0.23669999999999899</v>
      </c>
      <c r="P126" s="10">
        <v>1.3799999999999899</v>
      </c>
      <c r="Q126" s="10">
        <v>1.4570000000000001</v>
      </c>
      <c r="R126" s="10">
        <v>19.87</v>
      </c>
      <c r="S126" s="10">
        <v>7.49899999999999E-3</v>
      </c>
      <c r="T126" s="10">
        <v>1.2019999999999901E-2</v>
      </c>
      <c r="U126" s="10">
        <v>2.332E-2</v>
      </c>
      <c r="V126" s="10">
        <v>8.9200000000000008E-3</v>
      </c>
      <c r="W126" s="10">
        <v>1.6469999999999901E-2</v>
      </c>
      <c r="X126" s="10">
        <v>2.6289999999999899E-3</v>
      </c>
      <c r="Y126" s="10">
        <v>14.49</v>
      </c>
      <c r="Z126" s="10">
        <v>33.369999999999898</v>
      </c>
      <c r="AA126" s="10">
        <v>92.04</v>
      </c>
      <c r="AB126" s="10">
        <v>653.6</v>
      </c>
      <c r="AC126" s="10">
        <v>0.1419</v>
      </c>
      <c r="AD126" s="10">
        <v>0.15229999999999899</v>
      </c>
      <c r="AE126" s="10">
        <v>0.2177</v>
      </c>
      <c r="AF126" s="10">
        <v>9.3310000000000004E-2</v>
      </c>
      <c r="AG126" s="10">
        <v>0.28289999999999899</v>
      </c>
      <c r="AH126">
        <v>8.0670000000000006E-2</v>
      </c>
    </row>
    <row r="127" spans="3:34">
      <c r="C127" s="11" t="s">
        <v>277</v>
      </c>
      <c r="D127" s="10" t="s">
        <v>1</v>
      </c>
      <c r="E127" s="10">
        <v>13.71</v>
      </c>
      <c r="F127" s="10">
        <v>15.39</v>
      </c>
      <c r="G127" s="10">
        <v>73.06</v>
      </c>
      <c r="H127" s="10">
        <v>399.8</v>
      </c>
      <c r="I127" s="10">
        <v>9.6390000000000003E-2</v>
      </c>
      <c r="J127" s="10">
        <v>6.8890000000000007E-2</v>
      </c>
      <c r="K127" s="10">
        <v>3.5029999999999901E-2</v>
      </c>
      <c r="L127" s="10">
        <v>2.8750000000000001E-2</v>
      </c>
      <c r="M127" s="10">
        <v>0.1734</v>
      </c>
      <c r="N127" s="10">
        <v>5.8650000000000001E-2</v>
      </c>
      <c r="O127" s="10">
        <v>0.1759</v>
      </c>
      <c r="P127" s="10">
        <v>0.99380000000000002</v>
      </c>
      <c r="Q127" s="10">
        <v>1.143</v>
      </c>
      <c r="R127" s="10">
        <v>12.67</v>
      </c>
      <c r="S127" s="10">
        <v>5.1330000000000004E-3</v>
      </c>
      <c r="T127" s="10">
        <v>1.521E-2</v>
      </c>
      <c r="U127" s="10">
        <v>1.434E-2</v>
      </c>
      <c r="V127" s="10">
        <v>8.6020000000000003E-3</v>
      </c>
      <c r="W127" s="10">
        <v>1.5010000000000001E-2</v>
      </c>
      <c r="X127" s="10">
        <v>1.588E-3</v>
      </c>
      <c r="Y127" s="10">
        <v>12.32</v>
      </c>
      <c r="Z127" s="10">
        <v>22.02</v>
      </c>
      <c r="AA127" s="10">
        <v>79.930000000000007</v>
      </c>
      <c r="AB127" s="10">
        <v>462</v>
      </c>
      <c r="AC127" s="10">
        <v>0.118999999999999</v>
      </c>
      <c r="AD127" s="10">
        <v>0.1648</v>
      </c>
      <c r="AE127" s="10">
        <v>0.1399</v>
      </c>
      <c r="AF127" s="10">
        <v>8.4760000000000002E-2</v>
      </c>
      <c r="AG127" s="10">
        <v>0.2676</v>
      </c>
      <c r="AH127">
        <v>6.7650000000000002E-2</v>
      </c>
    </row>
    <row r="128" spans="3:34">
      <c r="C128" s="11" t="s">
        <v>280</v>
      </c>
      <c r="D128" s="10" t="s">
        <v>1</v>
      </c>
      <c r="E128" s="10">
        <v>13.71</v>
      </c>
      <c r="F128" s="10">
        <v>11.97</v>
      </c>
      <c r="G128" s="10">
        <v>61.24</v>
      </c>
      <c r="H128" s="10">
        <v>288.5</v>
      </c>
      <c r="I128" s="10">
        <v>9.2499999999999902E-2</v>
      </c>
      <c r="J128" s="10">
        <v>4.1020000000000001E-2</v>
      </c>
      <c r="K128" s="10">
        <v>0</v>
      </c>
      <c r="L128" s="10">
        <v>0</v>
      </c>
      <c r="M128" s="10">
        <v>0.1903</v>
      </c>
      <c r="N128" s="10">
        <v>6.4219999999999902E-2</v>
      </c>
      <c r="O128" s="10">
        <v>0.1988</v>
      </c>
      <c r="P128" s="10">
        <v>0.496</v>
      </c>
      <c r="Q128" s="10">
        <v>1.218</v>
      </c>
      <c r="R128" s="10">
        <v>12.26</v>
      </c>
      <c r="S128" s="10">
        <v>6.0400000000000002E-3</v>
      </c>
      <c r="T128" s="10">
        <v>5.65599999999999E-3</v>
      </c>
      <c r="U128" s="10">
        <v>0</v>
      </c>
      <c r="V128" s="10">
        <v>0</v>
      </c>
      <c r="W128" s="10">
        <v>2.2769999999999901E-2</v>
      </c>
      <c r="X128" s="10">
        <v>3.2200000000000002E-3</v>
      </c>
      <c r="Y128" s="10">
        <v>10.6199999999999</v>
      </c>
      <c r="Z128" s="10">
        <v>14.1</v>
      </c>
      <c r="AA128" s="10">
        <v>66.53</v>
      </c>
      <c r="AB128" s="10">
        <v>342.89999999999901</v>
      </c>
      <c r="AC128" s="10">
        <v>0.1234</v>
      </c>
      <c r="AD128" s="10">
        <v>7.2040000000000007E-2</v>
      </c>
      <c r="AE128" s="10">
        <v>0</v>
      </c>
      <c r="AF128" s="10">
        <v>0</v>
      </c>
      <c r="AG128" s="10">
        <v>0.3105</v>
      </c>
      <c r="AH128">
        <v>8.1509999999999902E-2</v>
      </c>
    </row>
    <row r="129" spans="3:34">
      <c r="C129" s="11" t="s">
        <v>281</v>
      </c>
      <c r="D129" s="10" t="s">
        <v>0</v>
      </c>
      <c r="E129" s="10">
        <v>13.71</v>
      </c>
      <c r="F129" s="10">
        <v>18.05</v>
      </c>
      <c r="G129" s="10">
        <v>105.099999999999</v>
      </c>
      <c r="H129" s="10">
        <v>813</v>
      </c>
      <c r="I129" s="10">
        <v>9.7210000000000005E-2</v>
      </c>
      <c r="J129" s="10">
        <v>0.1137</v>
      </c>
      <c r="K129" s="10">
        <v>9.4469999999999901E-2</v>
      </c>
      <c r="L129" s="10">
        <v>5.94299999999999E-2</v>
      </c>
      <c r="M129" s="10">
        <v>0.18609999999999899</v>
      </c>
      <c r="N129" s="10">
        <v>6.2480000000000001E-2</v>
      </c>
      <c r="O129" s="10">
        <v>0.70489999999999897</v>
      </c>
      <c r="P129" s="10">
        <v>1.3320000000000001</v>
      </c>
      <c r="Q129" s="10">
        <v>4.5330000000000004</v>
      </c>
      <c r="R129" s="10">
        <v>74.079999999999899</v>
      </c>
      <c r="S129" s="10">
        <v>6.77E-3</v>
      </c>
      <c r="T129" s="10">
        <v>1.9380000000000001E-2</v>
      </c>
      <c r="U129" s="10">
        <v>3.0669999999999899E-2</v>
      </c>
      <c r="V129" s="10">
        <v>1.167E-2</v>
      </c>
      <c r="W129" s="10">
        <v>1.8749999999999899E-2</v>
      </c>
      <c r="X129" s="10">
        <v>3.434E-3</v>
      </c>
      <c r="Y129" s="10">
        <v>19.920000000000002</v>
      </c>
      <c r="Z129" s="10">
        <v>25.27</v>
      </c>
      <c r="AA129" s="10">
        <v>129</v>
      </c>
      <c r="AB129" s="10">
        <v>1233</v>
      </c>
      <c r="AC129" s="10">
        <v>0.13139999999999899</v>
      </c>
      <c r="AD129" s="10">
        <v>0.22359999999999899</v>
      </c>
      <c r="AE129" s="10">
        <v>0.2802</v>
      </c>
      <c r="AF129" s="10">
        <v>0.1216</v>
      </c>
      <c r="AG129" s="10">
        <v>0.2792</v>
      </c>
      <c r="AH129">
        <v>8.158E-2</v>
      </c>
    </row>
    <row r="130" spans="3:34">
      <c r="C130" s="11" t="s">
        <v>282</v>
      </c>
      <c r="D130" s="10" t="s">
        <v>1</v>
      </c>
      <c r="E130" s="10">
        <v>13.71</v>
      </c>
      <c r="F130" s="10">
        <v>17.309999999999899</v>
      </c>
      <c r="G130" s="10">
        <v>73.659999999999897</v>
      </c>
      <c r="H130" s="10">
        <v>398</v>
      </c>
      <c r="I130" s="10">
        <v>0.10920000000000001</v>
      </c>
      <c r="J130" s="10">
        <v>9.486E-2</v>
      </c>
      <c r="K130" s="10">
        <v>2.0310000000000002E-2</v>
      </c>
      <c r="L130" s="10">
        <v>1.8610000000000002E-2</v>
      </c>
      <c r="M130" s="10">
        <v>0.16450000000000001</v>
      </c>
      <c r="N130" s="10">
        <v>6.5619999999999901E-2</v>
      </c>
      <c r="O130" s="10">
        <v>0.2843</v>
      </c>
      <c r="P130" s="10">
        <v>1.9079999999999899</v>
      </c>
      <c r="Q130" s="10">
        <v>1.9370000000000001</v>
      </c>
      <c r="R130" s="10">
        <v>21.3799999999999</v>
      </c>
      <c r="S130" s="10">
        <v>6.6639999999999902E-3</v>
      </c>
      <c r="T130" s="10">
        <v>1.7350000000000001E-2</v>
      </c>
      <c r="U130" s="10">
        <v>1.158E-2</v>
      </c>
      <c r="V130" s="10">
        <v>9.5200000000000007E-3</v>
      </c>
      <c r="W130" s="10">
        <v>2.282E-2</v>
      </c>
      <c r="X130" s="10">
        <v>3.5260000000000001E-3</v>
      </c>
      <c r="Y130" s="10">
        <v>12.7799999999999</v>
      </c>
      <c r="Z130" s="10">
        <v>26.76</v>
      </c>
      <c r="AA130" s="10">
        <v>82.659999999999897</v>
      </c>
      <c r="AB130" s="10">
        <v>503</v>
      </c>
      <c r="AC130" s="10">
        <v>0.14130000000000001</v>
      </c>
      <c r="AD130" s="10">
        <v>0.1792</v>
      </c>
      <c r="AE130" s="10">
        <v>7.7079999999999899E-2</v>
      </c>
      <c r="AF130" s="10">
        <v>6.4019999999999896E-2</v>
      </c>
      <c r="AG130" s="10">
        <v>0.25840000000000002</v>
      </c>
      <c r="AH130">
        <v>8.0960000000000004E-2</v>
      </c>
    </row>
    <row r="131" spans="3:34">
      <c r="C131" s="11" t="s">
        <v>284</v>
      </c>
      <c r="D131" s="10" t="s">
        <v>1</v>
      </c>
      <c r="E131" s="10">
        <v>13.71</v>
      </c>
      <c r="F131" s="10">
        <v>14.97</v>
      </c>
      <c r="G131" s="10">
        <v>68.260000000000005</v>
      </c>
      <c r="H131" s="10">
        <v>355.3</v>
      </c>
      <c r="I131" s="10">
        <v>7.7929999999999902E-2</v>
      </c>
      <c r="J131" s="10">
        <v>5.1389999999999901E-2</v>
      </c>
      <c r="K131" s="10">
        <v>2.2509999999999902E-2</v>
      </c>
      <c r="L131" s="10">
        <v>7.8750000000000001E-3</v>
      </c>
      <c r="M131" s="10">
        <v>0.1399</v>
      </c>
      <c r="N131" s="10">
        <v>5.688E-2</v>
      </c>
      <c r="O131" s="10">
        <v>0.2525</v>
      </c>
      <c r="P131" s="10">
        <v>1.2390000000000001</v>
      </c>
      <c r="Q131" s="10">
        <v>1.806</v>
      </c>
      <c r="R131" s="10">
        <v>17.739999999999899</v>
      </c>
      <c r="S131" s="10">
        <v>6.5469999999999903E-3</v>
      </c>
      <c r="T131" s="10">
        <v>1.7809999999999899E-2</v>
      </c>
      <c r="U131" s="10">
        <v>2.018E-2</v>
      </c>
      <c r="V131" s="10">
        <v>5.6119999999999903E-3</v>
      </c>
      <c r="W131" s="10">
        <v>1.6709999999999899E-2</v>
      </c>
      <c r="X131" s="10">
        <v>2.3600000000000001E-3</v>
      </c>
      <c r="Y131" s="10">
        <v>11.9499999999999</v>
      </c>
      <c r="Z131" s="10">
        <v>20.719999999999899</v>
      </c>
      <c r="AA131" s="10">
        <v>77.790000000000006</v>
      </c>
      <c r="AB131" s="10">
        <v>441.19999999999902</v>
      </c>
      <c r="AC131" s="10">
        <v>0.1076</v>
      </c>
      <c r="AD131" s="10">
        <v>0.12230000000000001</v>
      </c>
      <c r="AE131" s="10">
        <v>9.7549999999999901E-2</v>
      </c>
      <c r="AF131" s="10">
        <v>3.4130000000000001E-2</v>
      </c>
      <c r="AG131" s="10">
        <v>0.23</v>
      </c>
      <c r="AH131">
        <v>6.769E-2</v>
      </c>
    </row>
    <row r="132" spans="3:34">
      <c r="C132" s="11" t="s">
        <v>285</v>
      </c>
      <c r="D132" s="10" t="s">
        <v>1</v>
      </c>
      <c r="E132" s="10">
        <v>13.71</v>
      </c>
      <c r="F132" s="10">
        <v>14.65</v>
      </c>
      <c r="G132" s="10">
        <v>78.1099999999999</v>
      </c>
      <c r="H132" s="10">
        <v>432.8</v>
      </c>
      <c r="I132" s="10">
        <v>0.1152</v>
      </c>
      <c r="J132" s="10">
        <v>0.12959999999999899</v>
      </c>
      <c r="K132" s="10">
        <v>3.7100000000000001E-2</v>
      </c>
      <c r="L132" s="10">
        <v>3.0030000000000001E-2</v>
      </c>
      <c r="M132" s="10">
        <v>0.19950000000000001</v>
      </c>
      <c r="N132" s="10">
        <v>7.8390000000000001E-2</v>
      </c>
      <c r="O132" s="10">
        <v>0.3962</v>
      </c>
      <c r="P132" s="10">
        <v>0.65380000000000005</v>
      </c>
      <c r="Q132" s="10">
        <v>3.0209999999999901</v>
      </c>
      <c r="R132" s="10">
        <v>25.03</v>
      </c>
      <c r="S132" s="10">
        <v>1.017E-2</v>
      </c>
      <c r="T132" s="10">
        <v>4.7410000000000001E-2</v>
      </c>
      <c r="U132" s="10">
        <v>2.7890000000000002E-2</v>
      </c>
      <c r="V132" s="10">
        <v>1.11E-2</v>
      </c>
      <c r="W132" s="10">
        <v>3.1269999999999902E-2</v>
      </c>
      <c r="X132" s="10">
        <v>9.4230000000000008E-3</v>
      </c>
      <c r="Y132" s="10">
        <v>13.15</v>
      </c>
      <c r="Z132" s="10">
        <v>16.510000000000002</v>
      </c>
      <c r="AA132" s="10">
        <v>86.26</v>
      </c>
      <c r="AB132" s="10">
        <v>509.6</v>
      </c>
      <c r="AC132" s="10">
        <v>0.1424</v>
      </c>
      <c r="AD132" s="10">
        <v>0.25169999999999898</v>
      </c>
      <c r="AE132" s="10">
        <v>9.4200000000000006E-2</v>
      </c>
      <c r="AF132" s="10">
        <v>6.0420000000000001E-2</v>
      </c>
      <c r="AG132" s="10">
        <v>0.2727</v>
      </c>
      <c r="AH132">
        <v>0.1036</v>
      </c>
    </row>
    <row r="133" spans="3:34">
      <c r="C133" s="11" t="s">
        <v>287</v>
      </c>
      <c r="D133" s="10" t="s">
        <v>1</v>
      </c>
      <c r="E133" s="10">
        <v>13.71</v>
      </c>
      <c r="F133" s="10">
        <v>18.77</v>
      </c>
      <c r="G133" s="10">
        <v>97.84</v>
      </c>
      <c r="H133" s="10">
        <v>689.5</v>
      </c>
      <c r="I133" s="10">
        <v>8.1379999999999897E-2</v>
      </c>
      <c r="J133" s="10">
        <v>0.1167</v>
      </c>
      <c r="K133" s="10">
        <v>9.04999999999999E-2</v>
      </c>
      <c r="L133" s="10">
        <v>3.5619999999999902E-2</v>
      </c>
      <c r="M133" s="10">
        <v>0.1744</v>
      </c>
      <c r="N133" s="10">
        <v>6.4930000000000002E-2</v>
      </c>
      <c r="O133" s="10">
        <v>0.42199999999999899</v>
      </c>
      <c r="P133" s="10">
        <v>1.909</v>
      </c>
      <c r="Q133" s="10">
        <v>3.2709999999999901</v>
      </c>
      <c r="R133" s="10">
        <v>39.43</v>
      </c>
      <c r="S133" s="10">
        <v>5.79E-3</v>
      </c>
      <c r="T133" s="10">
        <v>4.8770000000000001E-2</v>
      </c>
      <c r="U133" s="10">
        <v>5.3030000000000001E-2</v>
      </c>
      <c r="V133" s="10">
        <v>1.5270000000000001E-2</v>
      </c>
      <c r="W133" s="10">
        <v>3.356E-2</v>
      </c>
      <c r="X133" s="10">
        <v>9.3679999999999892E-3</v>
      </c>
      <c r="Y133" s="10">
        <v>16.25</v>
      </c>
      <c r="Z133" s="10">
        <v>25.469999999999899</v>
      </c>
      <c r="AA133" s="10">
        <v>107.099999999999</v>
      </c>
      <c r="AB133" s="10">
        <v>809.7</v>
      </c>
      <c r="AC133" s="10">
        <v>9.96999999999999E-2</v>
      </c>
      <c r="AD133" s="10">
        <v>0.25209999999999899</v>
      </c>
      <c r="AE133" s="10">
        <v>0.25</v>
      </c>
      <c r="AF133" s="10">
        <v>8.405E-2</v>
      </c>
      <c r="AG133" s="10">
        <v>0.28520000000000001</v>
      </c>
      <c r="AH133">
        <v>9.2179999999999901E-2</v>
      </c>
    </row>
    <row r="134" spans="3:34">
      <c r="C134" s="11" t="s">
        <v>289</v>
      </c>
      <c r="D134" s="10" t="s">
        <v>1</v>
      </c>
      <c r="E134" s="10">
        <v>13.71</v>
      </c>
      <c r="F134" s="10">
        <v>17.91</v>
      </c>
      <c r="G134" s="10">
        <v>88.12</v>
      </c>
      <c r="H134" s="10">
        <v>585</v>
      </c>
      <c r="I134" s="10">
        <v>7.94399999999999E-2</v>
      </c>
      <c r="J134" s="10">
        <v>6.37599999999999E-2</v>
      </c>
      <c r="K134" s="10">
        <v>2.8809999999999902E-2</v>
      </c>
      <c r="L134" s="10">
        <v>1.329E-2</v>
      </c>
      <c r="M134" s="10">
        <v>0.14729999999999899</v>
      </c>
      <c r="N134" s="10">
        <v>5.5800000000000002E-2</v>
      </c>
      <c r="O134" s="10">
        <v>0.25</v>
      </c>
      <c r="P134" s="10">
        <v>0.75739999999999896</v>
      </c>
      <c r="Q134" s="10">
        <v>1.573</v>
      </c>
      <c r="R134" s="10">
        <v>21.469999999999899</v>
      </c>
      <c r="S134" s="10">
        <v>2.8379999999999898E-3</v>
      </c>
      <c r="T134" s="10">
        <v>1.592E-2</v>
      </c>
      <c r="U134" s="10">
        <v>1.78E-2</v>
      </c>
      <c r="V134" s="10">
        <v>5.8279999999999903E-3</v>
      </c>
      <c r="W134" s="10">
        <v>1.329E-2</v>
      </c>
      <c r="X134" s="10">
        <v>1.9759999999999899E-3</v>
      </c>
      <c r="Y134" s="10">
        <v>15.34</v>
      </c>
      <c r="Z134" s="10">
        <v>22.46</v>
      </c>
      <c r="AA134" s="10">
        <v>97.189999999999898</v>
      </c>
      <c r="AB134" s="10">
        <v>725.89999999999895</v>
      </c>
      <c r="AC134" s="10">
        <v>9.7110000000000002E-2</v>
      </c>
      <c r="AD134" s="10">
        <v>0.18240000000000001</v>
      </c>
      <c r="AE134" s="10">
        <v>0.15640000000000001</v>
      </c>
      <c r="AF134" s="10">
        <v>6.019E-2</v>
      </c>
      <c r="AG134" s="10">
        <v>0.23499999999999899</v>
      </c>
      <c r="AH134">
        <v>7.0139999999999897E-2</v>
      </c>
    </row>
    <row r="135" spans="3:34">
      <c r="C135" s="11" t="s">
        <v>292</v>
      </c>
      <c r="D135" s="10" t="s">
        <v>1</v>
      </c>
      <c r="E135" s="10">
        <v>13.71</v>
      </c>
      <c r="F135" s="10">
        <v>15.34</v>
      </c>
      <c r="G135" s="10">
        <v>63.78</v>
      </c>
      <c r="H135" s="10">
        <v>300.19999999999902</v>
      </c>
      <c r="I135" s="10">
        <v>0.1072</v>
      </c>
      <c r="J135" s="10">
        <v>0.15989999999999899</v>
      </c>
      <c r="K135" s="10">
        <v>0.4108</v>
      </c>
      <c r="L135" s="10">
        <v>7.8570000000000001E-2</v>
      </c>
      <c r="M135" s="10">
        <v>0.25480000000000003</v>
      </c>
      <c r="N135" s="10">
        <v>9.2960000000000001E-2</v>
      </c>
      <c r="O135" s="10">
        <v>0.82450000000000001</v>
      </c>
      <c r="P135" s="10">
        <v>2.6640000000000001</v>
      </c>
      <c r="Q135" s="10">
        <v>4.0730000000000004</v>
      </c>
      <c r="R135" s="10">
        <v>49.85</v>
      </c>
      <c r="S135" s="10">
        <v>1.0970000000000001E-2</v>
      </c>
      <c r="T135" s="10">
        <v>9.5860000000000001E-2</v>
      </c>
      <c r="U135" s="10">
        <v>0.39600000000000002</v>
      </c>
      <c r="V135" s="10">
        <v>5.27899999999999E-2</v>
      </c>
      <c r="W135" s="10">
        <v>3.5459999999999901E-2</v>
      </c>
      <c r="X135" s="10">
        <v>2.9839999999999901E-2</v>
      </c>
      <c r="Y135" s="10">
        <v>11.02</v>
      </c>
      <c r="Z135" s="10">
        <v>19.489999999999899</v>
      </c>
      <c r="AA135" s="10">
        <v>71.040000000000006</v>
      </c>
      <c r="AB135" s="10">
        <v>380.5</v>
      </c>
      <c r="AC135" s="10">
        <v>0.12920000000000001</v>
      </c>
      <c r="AD135" s="10">
        <v>0.2772</v>
      </c>
      <c r="AE135" s="10">
        <v>0.8216</v>
      </c>
      <c r="AF135" s="10">
        <v>0.15709999999999899</v>
      </c>
      <c r="AG135" s="10">
        <v>0.31080000000000002</v>
      </c>
      <c r="AH135">
        <v>0.12590000000000001</v>
      </c>
    </row>
    <row r="136" spans="3:34">
      <c r="C136" s="11" t="s">
        <v>293</v>
      </c>
      <c r="D136" s="10" t="s">
        <v>1</v>
      </c>
      <c r="E136" s="10">
        <v>13.71</v>
      </c>
      <c r="F136" s="10">
        <v>13.08</v>
      </c>
      <c r="G136" s="10">
        <v>70.87</v>
      </c>
      <c r="H136" s="10">
        <v>381.89999999999901</v>
      </c>
      <c r="I136" s="10">
        <v>9.7540000000000002E-2</v>
      </c>
      <c r="J136" s="10">
        <v>5.1130000000000002E-2</v>
      </c>
      <c r="K136" s="10">
        <v>1.9820000000000001E-2</v>
      </c>
      <c r="L136" s="10">
        <v>1.7860000000000001E-2</v>
      </c>
      <c r="M136" s="10">
        <v>0.183</v>
      </c>
      <c r="N136" s="10">
        <v>6.105E-2</v>
      </c>
      <c r="O136" s="10">
        <v>0.225099999999999</v>
      </c>
      <c r="P136" s="10">
        <v>0.78149999999999897</v>
      </c>
      <c r="Q136" s="10">
        <v>1.429</v>
      </c>
      <c r="R136" s="10">
        <v>15.48</v>
      </c>
      <c r="S136" s="10">
        <v>9.0189999999999906E-3</v>
      </c>
      <c r="T136" s="10">
        <v>8.9849999999999895E-3</v>
      </c>
      <c r="U136" s="10">
        <v>1.196E-2</v>
      </c>
      <c r="V136" s="10">
        <v>8.2319999999999893E-3</v>
      </c>
      <c r="W136" s="10">
        <v>2.3879999999999901E-2</v>
      </c>
      <c r="X136" s="10">
        <v>1.619E-3</v>
      </c>
      <c r="Y136" s="10">
        <v>11.99</v>
      </c>
      <c r="Z136" s="10">
        <v>16.3</v>
      </c>
      <c r="AA136" s="10">
        <v>76.25</v>
      </c>
      <c r="AB136" s="10">
        <v>440.8</v>
      </c>
      <c r="AC136" s="10">
        <v>0.1341</v>
      </c>
      <c r="AD136" s="10">
        <v>8.9709999999999901E-2</v>
      </c>
      <c r="AE136" s="10">
        <v>7.1160000000000001E-2</v>
      </c>
      <c r="AF136" s="10">
        <v>5.5059999999999901E-2</v>
      </c>
      <c r="AG136" s="10">
        <v>0.28589999999999899</v>
      </c>
      <c r="AH136">
        <v>6.7720000000000002E-2</v>
      </c>
    </row>
    <row r="137" spans="3:34">
      <c r="C137" s="11" t="s">
        <v>295</v>
      </c>
      <c r="D137" s="10" t="s">
        <v>1</v>
      </c>
      <c r="E137" s="10">
        <v>13.71</v>
      </c>
      <c r="F137" s="10">
        <v>17.940000000000001</v>
      </c>
      <c r="G137" s="10">
        <v>78.269999999999897</v>
      </c>
      <c r="H137" s="10">
        <v>460.3</v>
      </c>
      <c r="I137" s="10">
        <v>8.6540000000000006E-2</v>
      </c>
      <c r="J137" s="10">
        <v>6.6790000000000002E-2</v>
      </c>
      <c r="K137" s="10">
        <v>3.8850000000000003E-2</v>
      </c>
      <c r="L137" s="10">
        <v>2.3310000000000001E-2</v>
      </c>
      <c r="M137" s="10">
        <v>0.19700000000000001</v>
      </c>
      <c r="N137" s="10">
        <v>6.2280000000000002E-2</v>
      </c>
      <c r="O137" s="10">
        <v>0.22</v>
      </c>
      <c r="P137" s="10">
        <v>0.98229999999999895</v>
      </c>
      <c r="Q137" s="10">
        <v>1.484</v>
      </c>
      <c r="R137" s="10">
        <v>16.510000000000002</v>
      </c>
      <c r="S137" s="10">
        <v>5.5180000000000003E-3</v>
      </c>
      <c r="T137" s="10">
        <v>1.562E-2</v>
      </c>
      <c r="U137" s="10">
        <v>1.9939999999999899E-2</v>
      </c>
      <c r="V137" s="10">
        <v>7.9240000000000005E-3</v>
      </c>
      <c r="W137" s="10">
        <v>1.7989999999999898E-2</v>
      </c>
      <c r="X137" s="10">
        <v>2.4840000000000001E-3</v>
      </c>
      <c r="Y137" s="10">
        <v>13.59</v>
      </c>
      <c r="Z137" s="10">
        <v>25.219999999999899</v>
      </c>
      <c r="AA137" s="10">
        <v>86.599999999999895</v>
      </c>
      <c r="AB137" s="10">
        <v>564.20000000000005</v>
      </c>
      <c r="AC137" s="10">
        <v>0.1217</v>
      </c>
      <c r="AD137" s="10">
        <v>0.17879999999999899</v>
      </c>
      <c r="AE137" s="10">
        <v>0.1943</v>
      </c>
      <c r="AF137" s="10">
        <v>8.2110000000000002E-2</v>
      </c>
      <c r="AG137" s="10">
        <v>0.31130000000000002</v>
      </c>
      <c r="AH137">
        <v>8.1320000000000003E-2</v>
      </c>
    </row>
    <row r="138" spans="3:34">
      <c r="C138" s="11" t="s">
        <v>296</v>
      </c>
      <c r="D138" s="10" t="s">
        <v>0</v>
      </c>
      <c r="E138" s="10">
        <v>13.71</v>
      </c>
      <c r="F138" s="10">
        <v>20.739999999999899</v>
      </c>
      <c r="G138" s="10">
        <v>117.4</v>
      </c>
      <c r="H138" s="10">
        <v>963.7</v>
      </c>
      <c r="I138" s="10">
        <v>0.1115</v>
      </c>
      <c r="J138" s="10">
        <v>0.16650000000000001</v>
      </c>
      <c r="K138" s="10">
        <v>0.1855</v>
      </c>
      <c r="L138" s="10">
        <v>0.10539999999999899</v>
      </c>
      <c r="M138" s="10">
        <v>0.1971</v>
      </c>
      <c r="N138" s="10">
        <v>6.166E-2</v>
      </c>
      <c r="O138" s="10">
        <v>0.81130000000000002</v>
      </c>
      <c r="P138" s="10">
        <v>1.3999999999999899</v>
      </c>
      <c r="Q138" s="10">
        <v>5.54</v>
      </c>
      <c r="R138" s="10">
        <v>93.909999999999897</v>
      </c>
      <c r="S138" s="10">
        <v>9.0369999999999895E-3</v>
      </c>
      <c r="T138" s="10">
        <v>4.9540000000000001E-2</v>
      </c>
      <c r="U138" s="10">
        <v>5.2060000000000002E-2</v>
      </c>
      <c r="V138" s="10">
        <v>1.8409999999999899E-2</v>
      </c>
      <c r="W138" s="10">
        <v>1.7780000000000001E-2</v>
      </c>
      <c r="X138" s="10">
        <v>4.9680000000000002E-3</v>
      </c>
      <c r="Y138" s="10">
        <v>20.469999999999899</v>
      </c>
      <c r="Z138" s="10">
        <v>25.1099999999999</v>
      </c>
      <c r="AA138" s="10">
        <v>132.9</v>
      </c>
      <c r="AB138" s="10">
        <v>1302</v>
      </c>
      <c r="AC138" s="10">
        <v>0.14180000000000001</v>
      </c>
      <c r="AD138" s="10">
        <v>0.3498</v>
      </c>
      <c r="AE138" s="10">
        <v>0.35830000000000001</v>
      </c>
      <c r="AF138" s="10">
        <v>0.1515</v>
      </c>
      <c r="AG138" s="10">
        <v>0.24629999999999899</v>
      </c>
      <c r="AH138">
        <v>7.7380000000000004E-2</v>
      </c>
    </row>
    <row r="139" spans="3:34">
      <c r="C139" s="11" t="s">
        <v>297</v>
      </c>
      <c r="D139" s="10" t="s">
        <v>1</v>
      </c>
      <c r="E139" s="10">
        <v>13.71</v>
      </c>
      <c r="F139" s="10">
        <v>19.46</v>
      </c>
      <c r="G139" s="10">
        <v>108.4</v>
      </c>
      <c r="H139" s="10">
        <v>880.2</v>
      </c>
      <c r="I139" s="10">
        <v>7.4450000000000002E-2</v>
      </c>
      <c r="J139" s="10">
        <v>7.2230000000000003E-2</v>
      </c>
      <c r="K139" s="10">
        <v>5.14999999999999E-2</v>
      </c>
      <c r="L139" s="10">
        <v>2.7709999999999901E-2</v>
      </c>
      <c r="M139" s="10">
        <v>0.18440000000000001</v>
      </c>
      <c r="N139" s="10">
        <v>5.2679999999999901E-2</v>
      </c>
      <c r="O139" s="10">
        <v>0.47889999999999899</v>
      </c>
      <c r="P139" s="10">
        <v>2.06</v>
      </c>
      <c r="Q139" s="10">
        <v>3.4790000000000001</v>
      </c>
      <c r="R139" s="10">
        <v>46.6099999999999</v>
      </c>
      <c r="S139" s="10">
        <v>3.4429999999999899E-3</v>
      </c>
      <c r="T139" s="10">
        <v>2.6610000000000002E-2</v>
      </c>
      <c r="U139" s="10">
        <v>3.056E-2</v>
      </c>
      <c r="V139" s="10">
        <v>1.11E-2</v>
      </c>
      <c r="W139" s="10">
        <v>1.52E-2</v>
      </c>
      <c r="X139" s="10">
        <v>1.519E-3</v>
      </c>
      <c r="Y139" s="10">
        <v>18.219999999999899</v>
      </c>
      <c r="Z139" s="10">
        <v>28.07</v>
      </c>
      <c r="AA139" s="10">
        <v>120.3</v>
      </c>
      <c r="AB139" s="10">
        <v>1032</v>
      </c>
      <c r="AC139" s="10">
        <v>8.7739999999999901E-2</v>
      </c>
      <c r="AD139" s="10">
        <v>0.17100000000000001</v>
      </c>
      <c r="AE139" s="10">
        <v>0.18820000000000001</v>
      </c>
      <c r="AF139" s="10">
        <v>8.4360000000000004E-2</v>
      </c>
      <c r="AG139" s="10">
        <v>0.25269999999999898</v>
      </c>
      <c r="AH139">
        <v>5.9720000000000002E-2</v>
      </c>
    </row>
    <row r="140" spans="3:34">
      <c r="C140" s="11" t="s">
        <v>298</v>
      </c>
      <c r="D140" s="10" t="s">
        <v>1</v>
      </c>
      <c r="E140" s="10">
        <v>13.71</v>
      </c>
      <c r="F140" s="10">
        <v>12.74</v>
      </c>
      <c r="G140" s="10">
        <v>76.84</v>
      </c>
      <c r="H140" s="10">
        <v>448.6</v>
      </c>
      <c r="I140" s="10">
        <v>9.3109999999999901E-2</v>
      </c>
      <c r="J140" s="10">
        <v>5.2409999999999901E-2</v>
      </c>
      <c r="K140" s="10">
        <v>1.9720000000000001E-2</v>
      </c>
      <c r="L140" s="10">
        <v>1.9630000000000002E-2</v>
      </c>
      <c r="M140" s="10">
        <v>0.159</v>
      </c>
      <c r="N140" s="10">
        <v>5.90699999999999E-2</v>
      </c>
      <c r="O140" s="10">
        <v>0.1822</v>
      </c>
      <c r="P140" s="10">
        <v>0.72850000000000004</v>
      </c>
      <c r="Q140" s="10">
        <v>1.171</v>
      </c>
      <c r="R140" s="10">
        <v>13.25</v>
      </c>
      <c r="S140" s="10">
        <v>5.5279999999999904E-3</v>
      </c>
      <c r="T140" s="10">
        <v>9.7890000000000008E-3</v>
      </c>
      <c r="U140" s="10">
        <v>8.3420000000000005E-3</v>
      </c>
      <c r="V140" s="10">
        <v>6.2729999999999904E-3</v>
      </c>
      <c r="W140" s="10">
        <v>1.465E-2</v>
      </c>
      <c r="X140" s="10">
        <v>2.5300000000000001E-3</v>
      </c>
      <c r="Y140" s="10">
        <v>13.14</v>
      </c>
      <c r="Z140" s="10">
        <v>18.41</v>
      </c>
      <c r="AA140" s="10">
        <v>84.079999999999899</v>
      </c>
      <c r="AB140" s="10">
        <v>532.79999999999905</v>
      </c>
      <c r="AC140" s="10">
        <v>0.1275</v>
      </c>
      <c r="AD140" s="10">
        <v>0.1232</v>
      </c>
      <c r="AE140" s="10">
        <v>8.6360000000000006E-2</v>
      </c>
      <c r="AF140" s="10">
        <v>7.0250000000000007E-2</v>
      </c>
      <c r="AG140" s="10">
        <v>0.25140000000000001</v>
      </c>
      <c r="AH140">
        <v>7.8979999999999898E-2</v>
      </c>
    </row>
    <row r="141" spans="3:34">
      <c r="C141" s="11" t="s">
        <v>300</v>
      </c>
      <c r="D141" s="10" t="s">
        <v>1</v>
      </c>
      <c r="E141" s="10">
        <v>13.71</v>
      </c>
      <c r="F141" s="10">
        <v>20.18</v>
      </c>
      <c r="G141" s="10">
        <v>76.099999999999895</v>
      </c>
      <c r="H141" s="10">
        <v>419.8</v>
      </c>
      <c r="I141" s="10">
        <v>0.1089</v>
      </c>
      <c r="J141" s="10">
        <v>0.11409999999999899</v>
      </c>
      <c r="K141" s="10">
        <v>6.8430000000000005E-2</v>
      </c>
      <c r="L141" s="10">
        <v>3.7379999999999899E-2</v>
      </c>
      <c r="M141" s="10">
        <v>0.1993</v>
      </c>
      <c r="N141" s="10">
        <v>6.4530000000000004E-2</v>
      </c>
      <c r="O141" s="10">
        <v>0.50180000000000002</v>
      </c>
      <c r="P141" s="10">
        <v>1.6930000000000001</v>
      </c>
      <c r="Q141" s="10">
        <v>3.9260000000000002</v>
      </c>
      <c r="R141" s="10">
        <v>38.340000000000003</v>
      </c>
      <c r="S141" s="10">
        <v>9.4330000000000004E-3</v>
      </c>
      <c r="T141" s="10">
        <v>2.4049999999999901E-2</v>
      </c>
      <c r="U141" s="10">
        <v>4.1669999999999902E-2</v>
      </c>
      <c r="V141" s="10">
        <v>1.1520000000000001E-2</v>
      </c>
      <c r="W141" s="10">
        <v>3.397E-2</v>
      </c>
      <c r="X141" s="10">
        <v>5.0610000000000004E-3</v>
      </c>
      <c r="Y141" s="10">
        <v>13.32</v>
      </c>
      <c r="Z141" s="10">
        <v>26.21</v>
      </c>
      <c r="AA141" s="10">
        <v>88.909999999999897</v>
      </c>
      <c r="AB141" s="10">
        <v>543.89999999999895</v>
      </c>
      <c r="AC141" s="10">
        <v>0.1358</v>
      </c>
      <c r="AD141" s="10">
        <v>0.18920000000000001</v>
      </c>
      <c r="AE141" s="10">
        <v>0.1956</v>
      </c>
      <c r="AF141" s="10">
        <v>7.9089999999999896E-2</v>
      </c>
      <c r="AG141" s="10">
        <v>0.31680000000000003</v>
      </c>
      <c r="AH141">
        <v>7.9869999999999899E-2</v>
      </c>
    </row>
    <row r="142" spans="3:34">
      <c r="C142" s="11" t="s">
        <v>302</v>
      </c>
      <c r="D142" s="10" t="s">
        <v>0</v>
      </c>
      <c r="E142" s="10">
        <v>13.71</v>
      </c>
      <c r="F142" s="10">
        <v>18.149999999999899</v>
      </c>
      <c r="G142" s="10">
        <v>130.69999999999899</v>
      </c>
      <c r="H142" s="10">
        <v>1214</v>
      </c>
      <c r="I142" s="10">
        <v>0.112</v>
      </c>
      <c r="J142" s="10">
        <v>0.1666</v>
      </c>
      <c r="K142" s="10">
        <v>0.25080000000000002</v>
      </c>
      <c r="L142" s="10">
        <v>0.12859999999999899</v>
      </c>
      <c r="M142" s="10">
        <v>0.20269999999999899</v>
      </c>
      <c r="N142" s="10">
        <v>6.0819999999999902E-2</v>
      </c>
      <c r="O142" s="10">
        <v>0.73640000000000005</v>
      </c>
      <c r="P142" s="10">
        <v>1.048</v>
      </c>
      <c r="Q142" s="10">
        <v>4.79199999999999</v>
      </c>
      <c r="R142" s="10">
        <v>97.069999999999894</v>
      </c>
      <c r="S142" s="10">
        <v>4.0569999999999903E-3</v>
      </c>
      <c r="T142" s="10">
        <v>2.2769999999999901E-2</v>
      </c>
      <c r="U142" s="10">
        <v>4.0289999999999902E-2</v>
      </c>
      <c r="V142" s="10">
        <v>1.303E-2</v>
      </c>
      <c r="W142" s="10">
        <v>1.686E-2</v>
      </c>
      <c r="X142" s="10">
        <v>3.3180000000000002E-3</v>
      </c>
      <c r="Y142" s="10">
        <v>26.73</v>
      </c>
      <c r="Z142" s="10">
        <v>26.39</v>
      </c>
      <c r="AA142" s="10">
        <v>174.9</v>
      </c>
      <c r="AB142" s="10">
        <v>2232</v>
      </c>
      <c r="AC142" s="10">
        <v>0.14380000000000001</v>
      </c>
      <c r="AD142" s="10">
        <v>0.3846</v>
      </c>
      <c r="AE142" s="10">
        <v>0.68100000000000005</v>
      </c>
      <c r="AF142" s="10">
        <v>0.22470000000000001</v>
      </c>
      <c r="AG142" s="10">
        <v>0.36430000000000001</v>
      </c>
      <c r="AH142">
        <v>9.2230000000000006E-2</v>
      </c>
    </row>
    <row r="143" spans="3:34">
      <c r="C143" s="11" t="s">
        <v>303</v>
      </c>
      <c r="D143" s="10" t="s">
        <v>1</v>
      </c>
      <c r="E143" s="10">
        <v>13.71</v>
      </c>
      <c r="F143" s="10">
        <v>22.219999999999899</v>
      </c>
      <c r="G143" s="10">
        <v>79.849999999999895</v>
      </c>
      <c r="H143" s="10">
        <v>464.5</v>
      </c>
      <c r="I143" s="10">
        <v>0.1012</v>
      </c>
      <c r="J143" s="10">
        <v>0.10150000000000001</v>
      </c>
      <c r="K143" s="10">
        <v>5.3699999999999901E-2</v>
      </c>
      <c r="L143" s="10">
        <v>2.8219999999999901E-2</v>
      </c>
      <c r="M143" s="10">
        <v>0.15509999999999899</v>
      </c>
      <c r="N143" s="10">
        <v>6.7610000000000003E-2</v>
      </c>
      <c r="O143" s="10">
        <v>0.2949</v>
      </c>
      <c r="P143" s="10">
        <v>1.6559999999999899</v>
      </c>
      <c r="Q143" s="10">
        <v>1.9550000000000001</v>
      </c>
      <c r="R143" s="10">
        <v>21.55</v>
      </c>
      <c r="S143" s="10">
        <v>1.1339999999999901E-2</v>
      </c>
      <c r="T143" s="10">
        <v>3.175E-2</v>
      </c>
      <c r="U143" s="10">
        <v>3.125E-2</v>
      </c>
      <c r="V143" s="10">
        <v>1.1350000000000001E-2</v>
      </c>
      <c r="W143" s="10">
        <v>1.8790000000000001E-2</v>
      </c>
      <c r="X143" s="10">
        <v>5.3480000000000003E-3</v>
      </c>
      <c r="Y143" s="10">
        <v>13.58</v>
      </c>
      <c r="Z143" s="10">
        <v>28.68</v>
      </c>
      <c r="AA143" s="10">
        <v>87.3599999999999</v>
      </c>
      <c r="AB143" s="10">
        <v>553</v>
      </c>
      <c r="AC143" s="10">
        <v>0.1452</v>
      </c>
      <c r="AD143" s="10">
        <v>0.23380000000000001</v>
      </c>
      <c r="AE143" s="10">
        <v>0.16880000000000001</v>
      </c>
      <c r="AF143" s="10">
        <v>8.1939999999999902E-2</v>
      </c>
      <c r="AG143" s="10">
        <v>0.2268</v>
      </c>
      <c r="AH143">
        <v>9.0819999999999901E-2</v>
      </c>
    </row>
    <row r="144" spans="3:34">
      <c r="C144" s="11" t="s">
        <v>305</v>
      </c>
      <c r="D144" s="10" t="s">
        <v>1</v>
      </c>
      <c r="E144" s="10">
        <v>13.71</v>
      </c>
      <c r="F144" s="10">
        <v>19.760000000000002</v>
      </c>
      <c r="G144" s="10">
        <v>95.5</v>
      </c>
      <c r="H144" s="10">
        <v>690.2</v>
      </c>
      <c r="I144" s="10">
        <v>8.4209999999999896E-2</v>
      </c>
      <c r="J144" s="10">
        <v>5.3519999999999901E-2</v>
      </c>
      <c r="K144" s="10">
        <v>1.9470000000000001E-2</v>
      </c>
      <c r="L144" s="10">
        <v>1.9390000000000001E-2</v>
      </c>
      <c r="M144" s="10">
        <v>0.1515</v>
      </c>
      <c r="N144" s="10">
        <v>5.2659999999999901E-2</v>
      </c>
      <c r="O144" s="10">
        <v>0.184</v>
      </c>
      <c r="P144" s="10">
        <v>1.06499999999999</v>
      </c>
      <c r="Q144" s="10">
        <v>1.286</v>
      </c>
      <c r="R144" s="10">
        <v>16.64</v>
      </c>
      <c r="S144" s="10">
        <v>3.6340000000000001E-3</v>
      </c>
      <c r="T144" s="10">
        <v>7.9830000000000005E-3</v>
      </c>
      <c r="U144" s="10">
        <v>8.2679999999999906E-3</v>
      </c>
      <c r="V144" s="10">
        <v>6.4320000000000002E-3</v>
      </c>
      <c r="W144" s="10">
        <v>1.924E-2</v>
      </c>
      <c r="X144" s="10">
        <v>1.5200000000000001E-3</v>
      </c>
      <c r="Y144" s="10">
        <v>15.98</v>
      </c>
      <c r="Z144" s="10">
        <v>25.82</v>
      </c>
      <c r="AA144" s="10">
        <v>102.3</v>
      </c>
      <c r="AB144" s="10">
        <v>782.1</v>
      </c>
      <c r="AC144" s="10">
        <v>0.1045</v>
      </c>
      <c r="AD144" s="10">
        <v>9.99499999999999E-2</v>
      </c>
      <c r="AE144" s="10">
        <v>7.7499999999999902E-2</v>
      </c>
      <c r="AF144" s="10">
        <v>5.7540000000000001E-2</v>
      </c>
      <c r="AG144" s="10">
        <v>0.2646</v>
      </c>
      <c r="AH144">
        <v>6.0850000000000001E-2</v>
      </c>
    </row>
    <row r="145" spans="3:34">
      <c r="C145" s="11" t="s">
        <v>306</v>
      </c>
      <c r="D145" s="10" t="s">
        <v>1</v>
      </c>
      <c r="E145" s="10">
        <v>13.71</v>
      </c>
      <c r="F145" s="10">
        <v>9.7100000000000009</v>
      </c>
      <c r="G145" s="10">
        <v>68.769999999999897</v>
      </c>
      <c r="H145" s="10">
        <v>357.6</v>
      </c>
      <c r="I145" s="10">
        <v>9.59399999999999E-2</v>
      </c>
      <c r="J145" s="10">
        <v>5.7360000000000001E-2</v>
      </c>
      <c r="K145" s="10">
        <v>2.5309999999999899E-2</v>
      </c>
      <c r="L145" s="10">
        <v>1.6979999999999901E-2</v>
      </c>
      <c r="M145" s="10">
        <v>0.1381</v>
      </c>
      <c r="N145" s="10">
        <v>6.4000000000000001E-2</v>
      </c>
      <c r="O145" s="10">
        <v>0.17280000000000001</v>
      </c>
      <c r="P145" s="10">
        <v>0.40639999999999898</v>
      </c>
      <c r="Q145" s="10">
        <v>1.1259999999999899</v>
      </c>
      <c r="R145" s="10">
        <v>11.48</v>
      </c>
      <c r="S145" s="10">
        <v>7.809E-3</v>
      </c>
      <c r="T145" s="10">
        <v>9.8160000000000001E-3</v>
      </c>
      <c r="U145" s="10">
        <v>1.099E-2</v>
      </c>
      <c r="V145" s="10">
        <v>5.3439999999999903E-3</v>
      </c>
      <c r="W145" s="10">
        <v>1.2540000000000001E-2</v>
      </c>
      <c r="X145" s="10">
        <v>2.1199999999999899E-3</v>
      </c>
      <c r="Y145" s="10">
        <v>11.6</v>
      </c>
      <c r="Z145" s="10">
        <v>12.02</v>
      </c>
      <c r="AA145" s="10">
        <v>73.659999999999897</v>
      </c>
      <c r="AB145" s="10">
        <v>414</v>
      </c>
      <c r="AC145" s="10">
        <v>0.14360000000000001</v>
      </c>
      <c r="AD145" s="10">
        <v>0.12570000000000001</v>
      </c>
      <c r="AE145" s="10">
        <v>0.1047</v>
      </c>
      <c r="AF145" s="10">
        <v>4.6030000000000001E-2</v>
      </c>
      <c r="AG145" s="10">
        <v>0.20899999999999899</v>
      </c>
      <c r="AH145">
        <v>7.6990000000000003E-2</v>
      </c>
    </row>
    <row r="146" spans="3:34">
      <c r="C146" s="11" t="s">
        <v>307</v>
      </c>
      <c r="D146" s="10" t="s">
        <v>0</v>
      </c>
      <c r="E146" s="10">
        <v>13.71</v>
      </c>
      <c r="F146" s="10">
        <v>18.8</v>
      </c>
      <c r="G146" s="10">
        <v>109.3</v>
      </c>
      <c r="H146" s="10">
        <v>886.29999999999905</v>
      </c>
      <c r="I146" s="10">
        <v>8.8650000000000007E-2</v>
      </c>
      <c r="J146" s="10">
        <v>9.1819999999999902E-2</v>
      </c>
      <c r="K146" s="10">
        <v>8.4220000000000003E-2</v>
      </c>
      <c r="L146" s="10">
        <v>6.5759999999999902E-2</v>
      </c>
      <c r="M146" s="10">
        <v>0.1893</v>
      </c>
      <c r="N146" s="10">
        <v>5.534E-2</v>
      </c>
      <c r="O146" s="10">
        <v>0.59899999999999898</v>
      </c>
      <c r="P146" s="10">
        <v>1.391</v>
      </c>
      <c r="Q146" s="10">
        <v>4.1289999999999898</v>
      </c>
      <c r="R146" s="10">
        <v>67.34</v>
      </c>
      <c r="S146" s="10">
        <v>6.123E-3</v>
      </c>
      <c r="T146" s="10">
        <v>2.47E-2</v>
      </c>
      <c r="U146" s="10">
        <v>2.6259999999999901E-2</v>
      </c>
      <c r="V146" s="10">
        <v>1.6039999999999902E-2</v>
      </c>
      <c r="W146" s="10">
        <v>2.0910000000000002E-2</v>
      </c>
      <c r="X146" s="10">
        <v>3.493E-3</v>
      </c>
      <c r="Y146" s="10">
        <v>20.05</v>
      </c>
      <c r="Z146" s="10">
        <v>26.3</v>
      </c>
      <c r="AA146" s="10">
        <v>130.69999999999899</v>
      </c>
      <c r="AB146" s="10">
        <v>1260</v>
      </c>
      <c r="AC146" s="10">
        <v>0.1168</v>
      </c>
      <c r="AD146" s="10">
        <v>0.21190000000000001</v>
      </c>
      <c r="AE146" s="10">
        <v>0.23180000000000001</v>
      </c>
      <c r="AF146" s="10">
        <v>0.1474</v>
      </c>
      <c r="AG146" s="10">
        <v>0.28100000000000003</v>
      </c>
      <c r="AH146">
        <v>7.22799999999999E-2</v>
      </c>
    </row>
    <row r="147" spans="3:34">
      <c r="C147" s="11" t="s">
        <v>308</v>
      </c>
      <c r="D147" s="10" t="s">
        <v>0</v>
      </c>
      <c r="E147" s="10">
        <v>13.71</v>
      </c>
      <c r="F147" s="10">
        <v>24.68</v>
      </c>
      <c r="G147" s="10">
        <v>116.099999999999</v>
      </c>
      <c r="H147" s="10">
        <v>984.6</v>
      </c>
      <c r="I147" s="10">
        <v>0.10489999999999899</v>
      </c>
      <c r="J147" s="10">
        <v>0.1603</v>
      </c>
      <c r="K147" s="10">
        <v>0.21590000000000001</v>
      </c>
      <c r="L147" s="10">
        <v>0.1043</v>
      </c>
      <c r="M147" s="10">
        <v>0.15379999999999899</v>
      </c>
      <c r="N147" s="10">
        <v>6.3649999999999901E-2</v>
      </c>
      <c r="O147" s="10">
        <v>1.0880000000000001</v>
      </c>
      <c r="P147" s="10">
        <v>1.4099999999999899</v>
      </c>
      <c r="Q147" s="10">
        <v>7.33699999999999</v>
      </c>
      <c r="R147" s="10">
        <v>122.3</v>
      </c>
      <c r="S147" s="10">
        <v>6.1739999999999903E-3</v>
      </c>
      <c r="T147" s="10">
        <v>3.63399999999999E-2</v>
      </c>
      <c r="U147" s="10">
        <v>4.6440000000000002E-2</v>
      </c>
      <c r="V147" s="10">
        <v>1.5689999999999898E-2</v>
      </c>
      <c r="W147" s="10">
        <v>1.145E-2</v>
      </c>
      <c r="X147" s="10">
        <v>5.1200000000000004E-3</v>
      </c>
      <c r="Y147" s="10">
        <v>23.14</v>
      </c>
      <c r="Z147" s="10">
        <v>32.329999999999899</v>
      </c>
      <c r="AA147" s="10">
        <v>155.30000000000001</v>
      </c>
      <c r="AB147" s="10">
        <v>1660</v>
      </c>
      <c r="AC147" s="10">
        <v>0.1376</v>
      </c>
      <c r="AD147" s="10">
        <v>0.38300000000000001</v>
      </c>
      <c r="AE147" s="10">
        <v>0.48899999999999899</v>
      </c>
      <c r="AF147" s="10">
        <v>0.1721</v>
      </c>
      <c r="AG147" s="10">
        <v>0.216</v>
      </c>
      <c r="AH147">
        <v>9.2999999999999902E-2</v>
      </c>
    </row>
    <row r="148" spans="3:34">
      <c r="C148" s="11" t="s">
        <v>309</v>
      </c>
      <c r="D148" s="10" t="s">
        <v>1</v>
      </c>
      <c r="E148" s="10">
        <v>13.71</v>
      </c>
      <c r="F148" s="10">
        <v>16.9499999999999</v>
      </c>
      <c r="G148" s="10">
        <v>96.219999999999899</v>
      </c>
      <c r="H148" s="10">
        <v>685.89999999999895</v>
      </c>
      <c r="I148" s="10">
        <v>9.8549999999999902E-2</v>
      </c>
      <c r="J148" s="10">
        <v>7.8850000000000003E-2</v>
      </c>
      <c r="K148" s="10">
        <v>2.6020000000000001E-2</v>
      </c>
      <c r="L148" s="10">
        <v>3.7810000000000003E-2</v>
      </c>
      <c r="M148" s="10">
        <v>0.17799999999999899</v>
      </c>
      <c r="N148" s="10">
        <v>5.6500000000000002E-2</v>
      </c>
      <c r="O148" s="10">
        <v>0.27129999999999899</v>
      </c>
      <c r="P148" s="10">
        <v>1.2170000000000001</v>
      </c>
      <c r="Q148" s="10">
        <v>1.893</v>
      </c>
      <c r="R148" s="10">
        <v>24.28</v>
      </c>
      <c r="S148" s="10">
        <v>5.0800000000000003E-3</v>
      </c>
      <c r="T148" s="10">
        <v>1.37E-2</v>
      </c>
      <c r="U148" s="10">
        <v>7.2760000000000003E-3</v>
      </c>
      <c r="V148" s="10">
        <v>9.0729999999999908E-3</v>
      </c>
      <c r="W148" s="10">
        <v>1.35E-2</v>
      </c>
      <c r="X148" s="10">
        <v>1.7060000000000001E-3</v>
      </c>
      <c r="Y148" s="10">
        <v>16.1099999999999</v>
      </c>
      <c r="Z148" s="10">
        <v>23</v>
      </c>
      <c r="AA148" s="10">
        <v>104.599999999999</v>
      </c>
      <c r="AB148" s="10">
        <v>793.7</v>
      </c>
      <c r="AC148" s="10">
        <v>0.1216</v>
      </c>
      <c r="AD148" s="10">
        <v>0.16370000000000001</v>
      </c>
      <c r="AE148" s="10">
        <v>6.64799999999999E-2</v>
      </c>
      <c r="AF148" s="10">
        <v>8.4849999999999898E-2</v>
      </c>
      <c r="AG148" s="10">
        <v>0.2404</v>
      </c>
      <c r="AH148">
        <v>6.4280000000000004E-2</v>
      </c>
    </row>
    <row r="149" spans="3:34">
      <c r="C149" s="11" t="s">
        <v>310</v>
      </c>
      <c r="D149" s="10" t="s">
        <v>1</v>
      </c>
      <c r="E149" s="10">
        <v>13.71</v>
      </c>
      <c r="F149" s="10">
        <v>12.39</v>
      </c>
      <c r="G149" s="10">
        <v>78.849999999999895</v>
      </c>
      <c r="H149" s="10">
        <v>464.1</v>
      </c>
      <c r="I149" s="10">
        <v>0.1028</v>
      </c>
      <c r="J149" s="10">
        <v>6.98099999999999E-2</v>
      </c>
      <c r="K149" s="10">
        <v>3.9870000000000003E-2</v>
      </c>
      <c r="L149" s="10">
        <v>3.6999999999999901E-2</v>
      </c>
      <c r="M149" s="10">
        <v>0.19589999999999899</v>
      </c>
      <c r="N149" s="10">
        <v>5.9549999999999902E-2</v>
      </c>
      <c r="O149" s="10">
        <v>0.23599999999999899</v>
      </c>
      <c r="P149" s="10">
        <v>0.66559999999999897</v>
      </c>
      <c r="Q149" s="10">
        <v>1.6699999999999899</v>
      </c>
      <c r="R149" s="10">
        <v>17.43</v>
      </c>
      <c r="S149" s="10">
        <v>8.0450000000000001E-3</v>
      </c>
      <c r="T149" s="10">
        <v>1.18E-2</v>
      </c>
      <c r="U149" s="10">
        <v>1.6830000000000001E-2</v>
      </c>
      <c r="V149" s="10">
        <v>1.24099999999999E-2</v>
      </c>
      <c r="W149" s="10">
        <v>1.924E-2</v>
      </c>
      <c r="X149" s="10">
        <v>2.248E-3</v>
      </c>
      <c r="Y149" s="10">
        <v>13.5</v>
      </c>
      <c r="Z149" s="10">
        <v>15.64</v>
      </c>
      <c r="AA149" s="10">
        <v>86.969999999999899</v>
      </c>
      <c r="AB149" s="10">
        <v>549.1</v>
      </c>
      <c r="AC149" s="10">
        <v>0.13850000000000001</v>
      </c>
      <c r="AD149" s="10">
        <v>0.12659999999999899</v>
      </c>
      <c r="AE149" s="10">
        <v>0.1242</v>
      </c>
      <c r="AF149" s="10">
        <v>9.3909999999999896E-2</v>
      </c>
      <c r="AG149" s="10">
        <v>0.28270000000000001</v>
      </c>
      <c r="AH149">
        <v>6.7710000000000006E-2</v>
      </c>
    </row>
    <row r="150" spans="3:34">
      <c r="C150" s="11" t="s">
        <v>313</v>
      </c>
      <c r="D150" s="10" t="s">
        <v>1</v>
      </c>
      <c r="E150" s="10">
        <v>13.71</v>
      </c>
      <c r="F150" s="10">
        <v>14.71</v>
      </c>
      <c r="G150" s="10">
        <v>70.209999999999894</v>
      </c>
      <c r="H150" s="10">
        <v>372.69999999999902</v>
      </c>
      <c r="I150" s="10">
        <v>0.100599999999999</v>
      </c>
      <c r="J150" s="10">
        <v>5.7430000000000002E-2</v>
      </c>
      <c r="K150" s="10">
        <v>2.3630000000000002E-2</v>
      </c>
      <c r="L150" s="10">
        <v>2.5829999999999902E-2</v>
      </c>
      <c r="M150" s="10">
        <v>0.15659999999999899</v>
      </c>
      <c r="N150" s="10">
        <v>6.6689999999999902E-2</v>
      </c>
      <c r="O150" s="10">
        <v>0.20730000000000001</v>
      </c>
      <c r="P150" s="10">
        <v>1.8049999999999899</v>
      </c>
      <c r="Q150" s="10">
        <v>1.377</v>
      </c>
      <c r="R150" s="10">
        <v>19.079999999999899</v>
      </c>
      <c r="S150" s="10">
        <v>1.49599999999999E-2</v>
      </c>
      <c r="T150" s="10">
        <v>2.121E-2</v>
      </c>
      <c r="U150" s="10">
        <v>1.453E-2</v>
      </c>
      <c r="V150" s="10">
        <v>1.583E-2</v>
      </c>
      <c r="W150" s="10">
        <v>3.082E-2</v>
      </c>
      <c r="X150" s="10">
        <v>4.7850000000000002E-3</v>
      </c>
      <c r="Y150" s="10">
        <v>11.35</v>
      </c>
      <c r="Z150" s="10">
        <v>16.82</v>
      </c>
      <c r="AA150" s="10">
        <v>72.010000000000005</v>
      </c>
      <c r="AB150" s="10">
        <v>396.5</v>
      </c>
      <c r="AC150" s="10">
        <v>0.1216</v>
      </c>
      <c r="AD150" s="10">
        <v>8.2400000000000001E-2</v>
      </c>
      <c r="AE150" s="10">
        <v>3.9379999999999901E-2</v>
      </c>
      <c r="AF150" s="10">
        <v>4.3060000000000001E-2</v>
      </c>
      <c r="AG150" s="10">
        <v>0.19020000000000001</v>
      </c>
      <c r="AH150">
        <v>7.3130000000000001E-2</v>
      </c>
    </row>
    <row r="151" spans="3:34">
      <c r="C151" s="11" t="s">
        <v>318</v>
      </c>
      <c r="D151" s="10" t="s">
        <v>1</v>
      </c>
      <c r="E151" s="10">
        <v>13.71</v>
      </c>
      <c r="F151" s="10">
        <v>22.219999999999899</v>
      </c>
      <c r="G151" s="10">
        <v>82.01</v>
      </c>
      <c r="H151" s="10">
        <v>526.39999999999895</v>
      </c>
      <c r="I151" s="10">
        <v>6.2509999999999899E-2</v>
      </c>
      <c r="J151" s="10">
        <v>1.9380000000000001E-2</v>
      </c>
      <c r="K151" s="10">
        <v>1.5950000000000001E-3</v>
      </c>
      <c r="L151" s="10">
        <v>1.8519999999999899E-3</v>
      </c>
      <c r="M151" s="10">
        <v>0.13950000000000001</v>
      </c>
      <c r="N151" s="10">
        <v>5.23399999999999E-2</v>
      </c>
      <c r="O151" s="10">
        <v>0.1731</v>
      </c>
      <c r="P151" s="10">
        <v>1.1419999999999899</v>
      </c>
      <c r="Q151" s="10">
        <v>1.101</v>
      </c>
      <c r="R151" s="10">
        <v>14.34</v>
      </c>
      <c r="S151" s="10">
        <v>3.418E-3</v>
      </c>
      <c r="T151" s="10">
        <v>2.2520000000000001E-3</v>
      </c>
      <c r="U151" s="10">
        <v>1.5950000000000001E-3</v>
      </c>
      <c r="V151" s="10">
        <v>1.8519999999999899E-3</v>
      </c>
      <c r="W151" s="10">
        <v>1.6129999999999901E-2</v>
      </c>
      <c r="X151" s="10">
        <v>9.6829999999999898E-4</v>
      </c>
      <c r="Y151" s="10">
        <v>14</v>
      </c>
      <c r="Z151" s="10">
        <v>29.02</v>
      </c>
      <c r="AA151" s="10">
        <v>88.18</v>
      </c>
      <c r="AB151" s="10">
        <v>608.79999999999905</v>
      </c>
      <c r="AC151" s="10">
        <v>8.1250000000000003E-2</v>
      </c>
      <c r="AD151" s="10">
        <v>3.4320000000000003E-2</v>
      </c>
      <c r="AE151" s="10">
        <v>7.9769999999999893E-3</v>
      </c>
      <c r="AF151" s="10">
        <v>9.2589999999999895E-3</v>
      </c>
      <c r="AG151" s="10">
        <v>0.22950000000000001</v>
      </c>
      <c r="AH151">
        <v>5.8430000000000003E-2</v>
      </c>
    </row>
    <row r="152" spans="3:34">
      <c r="C152" s="11" t="s">
        <v>320</v>
      </c>
      <c r="D152" s="10" t="s">
        <v>0</v>
      </c>
      <c r="E152" s="10">
        <v>13.71</v>
      </c>
      <c r="F152" s="10">
        <v>21.87</v>
      </c>
      <c r="G152" s="10">
        <v>182.099999999999</v>
      </c>
      <c r="H152" s="10">
        <v>2250</v>
      </c>
      <c r="I152" s="10">
        <v>0.1094</v>
      </c>
      <c r="J152" s="10">
        <v>0.19139999999999899</v>
      </c>
      <c r="K152" s="10">
        <v>0.28710000000000002</v>
      </c>
      <c r="L152" s="10">
        <v>0.187799999999999</v>
      </c>
      <c r="M152" s="10">
        <v>0.17999999999999899</v>
      </c>
      <c r="N152" s="10">
        <v>5.7700000000000001E-2</v>
      </c>
      <c r="O152" s="10">
        <v>0.83609999999999896</v>
      </c>
      <c r="P152" s="10">
        <v>1.4810000000000001</v>
      </c>
      <c r="Q152" s="10">
        <v>5.82</v>
      </c>
      <c r="R152" s="10">
        <v>128.69999999999899</v>
      </c>
      <c r="S152" s="10">
        <v>4.6309999999999902E-3</v>
      </c>
      <c r="T152" s="10">
        <v>2.537E-2</v>
      </c>
      <c r="U152" s="10">
        <v>3.109E-2</v>
      </c>
      <c r="V152" s="10">
        <v>1.24099999999999E-2</v>
      </c>
      <c r="W152" s="10">
        <v>1.575E-2</v>
      </c>
      <c r="X152" s="10">
        <v>2.7469999999999899E-3</v>
      </c>
      <c r="Y152" s="10">
        <v>33.119999999999898</v>
      </c>
      <c r="Z152" s="10">
        <v>32.85</v>
      </c>
      <c r="AA152" s="10">
        <v>220.8</v>
      </c>
      <c r="AB152" s="10">
        <v>3216</v>
      </c>
      <c r="AC152" s="10">
        <v>0.1472</v>
      </c>
      <c r="AD152" s="10">
        <v>0.40339999999999898</v>
      </c>
      <c r="AE152" s="10">
        <v>0.53400000000000003</v>
      </c>
      <c r="AF152" s="10">
        <v>0.26879999999999898</v>
      </c>
      <c r="AG152" s="10">
        <v>0.28560000000000002</v>
      </c>
      <c r="AH152">
        <v>8.0820000000000003E-2</v>
      </c>
    </row>
    <row r="153" spans="3:34">
      <c r="C153" s="11" t="s">
        <v>321</v>
      </c>
      <c r="D153" s="10" t="s">
        <v>0</v>
      </c>
      <c r="E153" s="10">
        <v>13.71</v>
      </c>
      <c r="F153" s="10">
        <v>26.57</v>
      </c>
      <c r="G153" s="10">
        <v>142.69999999999899</v>
      </c>
      <c r="H153" s="10">
        <v>1311</v>
      </c>
      <c r="I153" s="10">
        <v>0.11409999999999899</v>
      </c>
      <c r="J153" s="10">
        <v>0.28320000000000001</v>
      </c>
      <c r="K153" s="10">
        <v>0.2487</v>
      </c>
      <c r="L153" s="10">
        <v>0.14960000000000001</v>
      </c>
      <c r="M153" s="10">
        <v>0.23949999999999899</v>
      </c>
      <c r="N153" s="10">
        <v>7.3980000000000004E-2</v>
      </c>
      <c r="O153" s="10">
        <v>0.62980000000000003</v>
      </c>
      <c r="P153" s="10">
        <v>0.76290000000000002</v>
      </c>
      <c r="Q153" s="10">
        <v>4.4139999999999899</v>
      </c>
      <c r="R153" s="10">
        <v>81.459999999999894</v>
      </c>
      <c r="S153" s="10">
        <v>4.2529999999999903E-3</v>
      </c>
      <c r="T153" s="10">
        <v>4.759E-2</v>
      </c>
      <c r="U153" s="10">
        <v>3.87199999999999E-2</v>
      </c>
      <c r="V153" s="10">
        <v>1.567E-2</v>
      </c>
      <c r="W153" s="10">
        <v>1.7979999999999899E-2</v>
      </c>
      <c r="X153" s="10">
        <v>5.2950000000000002E-3</v>
      </c>
      <c r="Y153" s="10">
        <v>26.68</v>
      </c>
      <c r="Z153" s="10">
        <v>33.479999999999897</v>
      </c>
      <c r="AA153" s="10">
        <v>176.5</v>
      </c>
      <c r="AB153" s="10">
        <v>2089</v>
      </c>
      <c r="AC153" s="10">
        <v>0.14910000000000001</v>
      </c>
      <c r="AD153" s="10">
        <v>0.75839999999999896</v>
      </c>
      <c r="AE153" s="10">
        <v>0.67800000000000005</v>
      </c>
      <c r="AF153" s="10">
        <v>0.2903</v>
      </c>
      <c r="AG153" s="10">
        <v>0.4098</v>
      </c>
      <c r="AH153">
        <v>0.12839999999999899</v>
      </c>
    </row>
    <row r="154" spans="3:34">
      <c r="C154" s="11" t="s">
        <v>323</v>
      </c>
      <c r="D154" s="10" t="s">
        <v>1</v>
      </c>
      <c r="E154" s="10">
        <v>13.71</v>
      </c>
      <c r="F154" s="10">
        <v>14.92</v>
      </c>
      <c r="G154" s="10">
        <v>73.53</v>
      </c>
      <c r="H154" s="10">
        <v>402</v>
      </c>
      <c r="I154" s="10">
        <v>9.0590000000000004E-2</v>
      </c>
      <c r="J154" s="10">
        <v>8.15499999999999E-2</v>
      </c>
      <c r="K154" s="10">
        <v>6.18099999999999E-2</v>
      </c>
      <c r="L154" s="10">
        <v>2.3609999999999898E-2</v>
      </c>
      <c r="M154" s="10">
        <v>0.1167</v>
      </c>
      <c r="N154" s="10">
        <v>6.2170000000000003E-2</v>
      </c>
      <c r="O154" s="10">
        <v>0.33439999999999898</v>
      </c>
      <c r="P154" s="10">
        <v>1.1080000000000001</v>
      </c>
      <c r="Q154" s="10">
        <v>1.9019999999999899</v>
      </c>
      <c r="R154" s="10">
        <v>22.77</v>
      </c>
      <c r="S154" s="10">
        <v>7.3559999999999902E-3</v>
      </c>
      <c r="T154" s="10">
        <v>3.7280000000000001E-2</v>
      </c>
      <c r="U154" s="10">
        <v>5.9150000000000001E-2</v>
      </c>
      <c r="V154" s="10">
        <v>1.712E-2</v>
      </c>
      <c r="W154" s="10">
        <v>2.1649999999999898E-2</v>
      </c>
      <c r="X154" s="10">
        <v>4.7840000000000001E-3</v>
      </c>
      <c r="Y154" s="10">
        <v>12.3699999999999</v>
      </c>
      <c r="Z154" s="10">
        <v>17.6999999999999</v>
      </c>
      <c r="AA154" s="10">
        <v>79.12</v>
      </c>
      <c r="AB154" s="10">
        <v>467.19999999999902</v>
      </c>
      <c r="AC154" s="10">
        <v>0.11210000000000001</v>
      </c>
      <c r="AD154" s="10">
        <v>0.161</v>
      </c>
      <c r="AE154" s="10">
        <v>0.1648</v>
      </c>
      <c r="AF154" s="10">
        <v>6.2960000000000002E-2</v>
      </c>
      <c r="AG154" s="10">
        <v>0.18110000000000001</v>
      </c>
      <c r="AH154">
        <v>7.4270000000000003E-2</v>
      </c>
    </row>
    <row r="155" spans="3:34">
      <c r="C155" s="11" t="s">
        <v>324</v>
      </c>
      <c r="D155" s="10" t="s">
        <v>0</v>
      </c>
      <c r="E155" s="10">
        <v>13.71</v>
      </c>
      <c r="F155" s="10">
        <v>22.41</v>
      </c>
      <c r="G155" s="10">
        <v>98.92</v>
      </c>
      <c r="H155" s="10">
        <v>710.6</v>
      </c>
      <c r="I155" s="10">
        <v>9.0569999999999901E-2</v>
      </c>
      <c r="J155" s="10">
        <v>0.1052</v>
      </c>
      <c r="K155" s="10">
        <v>5.3749999999999902E-2</v>
      </c>
      <c r="L155" s="10">
        <v>3.2629999999999902E-2</v>
      </c>
      <c r="M155" s="10">
        <v>0.17269999999999899</v>
      </c>
      <c r="N155" s="10">
        <v>6.3170000000000004E-2</v>
      </c>
      <c r="O155" s="10">
        <v>0.2054</v>
      </c>
      <c r="P155" s="10">
        <v>0.49559999999999899</v>
      </c>
      <c r="Q155" s="10">
        <v>1.3440000000000001</v>
      </c>
      <c r="R155" s="10">
        <v>19.53</v>
      </c>
      <c r="S155" s="10">
        <v>3.29E-3</v>
      </c>
      <c r="T155" s="10">
        <v>1.3950000000000001E-2</v>
      </c>
      <c r="U155" s="10">
        <v>1.7739999999999902E-2</v>
      </c>
      <c r="V155" s="10">
        <v>6.00899999999999E-3</v>
      </c>
      <c r="W155" s="10">
        <v>1.172E-2</v>
      </c>
      <c r="X155" s="10">
        <v>2.575E-3</v>
      </c>
      <c r="Y155" s="10">
        <v>17.8</v>
      </c>
      <c r="Z155" s="10">
        <v>28.03</v>
      </c>
      <c r="AA155" s="10">
        <v>113.8</v>
      </c>
      <c r="AB155" s="10">
        <v>973.1</v>
      </c>
      <c r="AC155" s="10">
        <v>0.13009999999999899</v>
      </c>
      <c r="AD155" s="10">
        <v>0.32990000000000003</v>
      </c>
      <c r="AE155" s="10">
        <v>0.36299999999999899</v>
      </c>
      <c r="AF155" s="10">
        <v>0.1226</v>
      </c>
      <c r="AG155" s="10">
        <v>0.3175</v>
      </c>
      <c r="AH155">
        <v>9.7720000000000001E-2</v>
      </c>
    </row>
    <row r="156" spans="3:34">
      <c r="C156" s="11" t="s">
        <v>325</v>
      </c>
      <c r="D156" s="10" t="s">
        <v>1</v>
      </c>
      <c r="E156" s="10">
        <v>13.71</v>
      </c>
      <c r="F156" s="10">
        <v>15.1099999999999</v>
      </c>
      <c r="G156" s="10">
        <v>63.759999999999899</v>
      </c>
      <c r="H156" s="10">
        <v>317.5</v>
      </c>
      <c r="I156" s="10">
        <v>9.2670000000000002E-2</v>
      </c>
      <c r="J156" s="10">
        <v>4.6949999999999902E-2</v>
      </c>
      <c r="K156" s="10">
        <v>1.5969999999999899E-3</v>
      </c>
      <c r="L156" s="10">
        <v>2.4039999999999899E-3</v>
      </c>
      <c r="M156" s="10">
        <v>0.17030000000000001</v>
      </c>
      <c r="N156" s="10">
        <v>6.0479999999999902E-2</v>
      </c>
      <c r="O156" s="10">
        <v>0.42449999999999899</v>
      </c>
      <c r="P156" s="10">
        <v>1.268</v>
      </c>
      <c r="Q156" s="10">
        <v>2.68</v>
      </c>
      <c r="R156" s="10">
        <v>26.43</v>
      </c>
      <c r="S156" s="10">
        <v>1.439E-2</v>
      </c>
      <c r="T156" s="10">
        <v>1.2E-2</v>
      </c>
      <c r="U156" s="10">
        <v>1.5969999999999899E-3</v>
      </c>
      <c r="V156" s="10">
        <v>2.4039999999999899E-3</v>
      </c>
      <c r="W156" s="10">
        <v>2.538E-2</v>
      </c>
      <c r="X156" s="10">
        <v>3.47E-3</v>
      </c>
      <c r="Y156" s="10">
        <v>11.8699999999999</v>
      </c>
      <c r="Z156" s="10">
        <v>21.18</v>
      </c>
      <c r="AA156" s="10">
        <v>75.39</v>
      </c>
      <c r="AB156" s="10">
        <v>437</v>
      </c>
      <c r="AC156" s="10">
        <v>0.15210000000000001</v>
      </c>
      <c r="AD156" s="10">
        <v>0.1019</v>
      </c>
      <c r="AE156" s="10">
        <v>6.9199999999999904E-3</v>
      </c>
      <c r="AF156" s="10">
        <v>1.042E-2</v>
      </c>
      <c r="AG156" s="10">
        <v>0.29330000000000001</v>
      </c>
      <c r="AH156">
        <v>7.69699999999999E-2</v>
      </c>
    </row>
    <row r="157" spans="3:34">
      <c r="C157" s="11" t="s">
        <v>326</v>
      </c>
      <c r="D157" s="10" t="s">
        <v>0</v>
      </c>
      <c r="E157" s="10">
        <v>13.71</v>
      </c>
      <c r="F157" s="10">
        <v>18.579999999999899</v>
      </c>
      <c r="G157" s="10">
        <v>118.599999999999</v>
      </c>
      <c r="H157" s="10">
        <v>1041</v>
      </c>
      <c r="I157" s="10">
        <v>8.5879999999999901E-2</v>
      </c>
      <c r="J157" s="10">
        <v>8.4680000000000005E-2</v>
      </c>
      <c r="K157" s="10">
        <v>8.1689999999999902E-2</v>
      </c>
      <c r="L157" s="10">
        <v>5.81399999999999E-2</v>
      </c>
      <c r="M157" s="10">
        <v>0.16209999999999899</v>
      </c>
      <c r="N157" s="10">
        <v>5.425E-2</v>
      </c>
      <c r="O157" s="10">
        <v>0.25769999999999899</v>
      </c>
      <c r="P157" s="10">
        <v>0.47570000000000001</v>
      </c>
      <c r="Q157" s="10">
        <v>1.81699999999999</v>
      </c>
      <c r="R157" s="10">
        <v>28.92</v>
      </c>
      <c r="S157" s="10">
        <v>2.8660000000000001E-3</v>
      </c>
      <c r="T157" s="10">
        <v>9.1809999999999895E-3</v>
      </c>
      <c r="U157" s="10">
        <v>1.4120000000000001E-2</v>
      </c>
      <c r="V157" s="10">
        <v>6.7190000000000001E-3</v>
      </c>
      <c r="W157" s="10">
        <v>1.069E-2</v>
      </c>
      <c r="X157" s="10">
        <v>1.0870000000000001E-3</v>
      </c>
      <c r="Y157" s="10">
        <v>21.309999999999899</v>
      </c>
      <c r="Z157" s="10">
        <v>26.3599999999999</v>
      </c>
      <c r="AA157" s="10">
        <v>139.19999999999899</v>
      </c>
      <c r="AB157" s="10">
        <v>1410</v>
      </c>
      <c r="AC157" s="10">
        <v>0.1234</v>
      </c>
      <c r="AD157" s="10">
        <v>0.2445</v>
      </c>
      <c r="AE157" s="10">
        <v>0.3538</v>
      </c>
      <c r="AF157" s="10">
        <v>0.15709999999999899</v>
      </c>
      <c r="AG157" s="10">
        <v>0.3206</v>
      </c>
      <c r="AH157">
        <v>6.93799999999999E-2</v>
      </c>
    </row>
    <row r="158" spans="3:34">
      <c r="C158" s="11" t="s">
        <v>327</v>
      </c>
      <c r="D158" s="10" t="s">
        <v>1</v>
      </c>
      <c r="E158" s="10">
        <v>13.71</v>
      </c>
      <c r="F158" s="10">
        <v>17.190000000000001</v>
      </c>
      <c r="G158" s="10">
        <v>74.680000000000007</v>
      </c>
      <c r="H158" s="10">
        <v>420.3</v>
      </c>
      <c r="I158" s="10">
        <v>9.7739999999999896E-2</v>
      </c>
      <c r="J158" s="10">
        <v>6.1409999999999902E-2</v>
      </c>
      <c r="K158" s="10">
        <v>3.8089999999999902E-2</v>
      </c>
      <c r="L158" s="10">
        <v>3.2390000000000002E-2</v>
      </c>
      <c r="M158" s="10">
        <v>0.15160000000000001</v>
      </c>
      <c r="N158" s="10">
        <v>6.09499999999999E-2</v>
      </c>
      <c r="O158" s="10">
        <v>0.24510000000000001</v>
      </c>
      <c r="P158" s="10">
        <v>0.76549999999999896</v>
      </c>
      <c r="Q158" s="10">
        <v>1.742</v>
      </c>
      <c r="R158" s="10">
        <v>17.8599999999999</v>
      </c>
      <c r="S158" s="10">
        <v>6.9049999999999901E-3</v>
      </c>
      <c r="T158" s="10">
        <v>8.7039999999999895E-3</v>
      </c>
      <c r="U158" s="10">
        <v>1.9779999999999898E-2</v>
      </c>
      <c r="V158" s="10">
        <v>1.1849999999999901E-2</v>
      </c>
      <c r="W158" s="10">
        <v>1.8970000000000001E-2</v>
      </c>
      <c r="X158" s="10">
        <v>1.671E-3</v>
      </c>
      <c r="Y158" s="10">
        <v>13.01</v>
      </c>
      <c r="Z158" s="10">
        <v>21.39</v>
      </c>
      <c r="AA158" s="10">
        <v>84.42</v>
      </c>
      <c r="AB158" s="10">
        <v>521.5</v>
      </c>
      <c r="AC158" s="10">
        <v>0.1323</v>
      </c>
      <c r="AD158" s="10">
        <v>0.104</v>
      </c>
      <c r="AE158" s="10">
        <v>0.15210000000000001</v>
      </c>
      <c r="AF158" s="10">
        <v>0.1099</v>
      </c>
      <c r="AG158" s="10">
        <v>0.25719999999999898</v>
      </c>
      <c r="AH158">
        <v>7.0970000000000005E-2</v>
      </c>
    </row>
    <row r="159" spans="3:34">
      <c r="C159" s="11" t="s">
        <v>328</v>
      </c>
      <c r="D159" s="10" t="s">
        <v>1</v>
      </c>
      <c r="E159" s="10">
        <v>13.71</v>
      </c>
      <c r="F159" s="10">
        <v>17.39</v>
      </c>
      <c r="G159" s="10">
        <v>75.269999999999897</v>
      </c>
      <c r="H159" s="10">
        <v>428.89999999999901</v>
      </c>
      <c r="I159" s="10">
        <v>0.1007</v>
      </c>
      <c r="J159" s="10">
        <v>5.5620000000000003E-2</v>
      </c>
      <c r="K159" s="10">
        <v>2.3529999999999902E-2</v>
      </c>
      <c r="L159" s="10">
        <v>1.553E-2</v>
      </c>
      <c r="M159" s="10">
        <v>0.17180000000000001</v>
      </c>
      <c r="N159" s="10">
        <v>5.77999999999999E-2</v>
      </c>
      <c r="O159" s="10">
        <v>0.18590000000000001</v>
      </c>
      <c r="P159" s="10">
        <v>1.9259999999999899</v>
      </c>
      <c r="Q159" s="10">
        <v>1.0109999999999899</v>
      </c>
      <c r="R159" s="10">
        <v>14.47</v>
      </c>
      <c r="S159" s="10">
        <v>7.8309999999999907E-3</v>
      </c>
      <c r="T159" s="10">
        <v>8.7760000000000008E-3</v>
      </c>
      <c r="U159" s="10">
        <v>1.55599999999999E-2</v>
      </c>
      <c r="V159" s="10">
        <v>6.2399999999999903E-3</v>
      </c>
      <c r="W159" s="10">
        <v>3.1390000000000001E-2</v>
      </c>
      <c r="X159" s="10">
        <v>1.9880000000000002E-3</v>
      </c>
      <c r="Y159" s="10">
        <v>12.57</v>
      </c>
      <c r="Z159" s="10">
        <v>26.48</v>
      </c>
      <c r="AA159" s="10">
        <v>79.569999999999894</v>
      </c>
      <c r="AB159" s="10">
        <v>489.5</v>
      </c>
      <c r="AC159" s="10">
        <v>0.1356</v>
      </c>
      <c r="AD159" s="10">
        <v>0.1</v>
      </c>
      <c r="AE159" s="10">
        <v>8.80299999999999E-2</v>
      </c>
      <c r="AF159" s="10">
        <v>4.3060000000000001E-2</v>
      </c>
      <c r="AG159" s="10">
        <v>0.32</v>
      </c>
      <c r="AH159">
        <v>6.5759999999999902E-2</v>
      </c>
    </row>
    <row r="160" spans="3:34">
      <c r="C160" s="11" t="s">
        <v>329</v>
      </c>
      <c r="D160" s="10" t="s">
        <v>1</v>
      </c>
      <c r="E160" s="10">
        <v>13.71</v>
      </c>
      <c r="F160" s="10">
        <v>15.9</v>
      </c>
      <c r="G160" s="10">
        <v>78.829999999999899</v>
      </c>
      <c r="H160" s="10">
        <v>463.69999999999902</v>
      </c>
      <c r="I160" s="10">
        <v>8.07999999999999E-2</v>
      </c>
      <c r="J160" s="10">
        <v>7.25299999999999E-2</v>
      </c>
      <c r="K160" s="10">
        <v>3.8440000000000002E-2</v>
      </c>
      <c r="L160" s="10">
        <v>1.6539999999999899E-2</v>
      </c>
      <c r="M160" s="10">
        <v>0.16669999999999899</v>
      </c>
      <c r="N160" s="10">
        <v>5.47399999999999E-2</v>
      </c>
      <c r="O160" s="10">
        <v>0.2382</v>
      </c>
      <c r="P160" s="10">
        <v>0.83550000000000002</v>
      </c>
      <c r="Q160" s="10">
        <v>1.6870000000000001</v>
      </c>
      <c r="R160" s="10">
        <v>18.32</v>
      </c>
      <c r="S160" s="10">
        <v>5.9959999999999901E-3</v>
      </c>
      <c r="T160" s="10">
        <v>2.2120000000000001E-2</v>
      </c>
      <c r="U160" s="10">
        <v>2.1170000000000001E-2</v>
      </c>
      <c r="V160" s="10">
        <v>6.4330000000000003E-3</v>
      </c>
      <c r="W160" s="10">
        <v>2.0250000000000001E-2</v>
      </c>
      <c r="X160" s="10">
        <v>1.725E-3</v>
      </c>
      <c r="Y160" s="10">
        <v>13.35</v>
      </c>
      <c r="Z160" s="10">
        <v>19.59</v>
      </c>
      <c r="AA160" s="10">
        <v>86.65</v>
      </c>
      <c r="AB160" s="10">
        <v>546.70000000000005</v>
      </c>
      <c r="AC160" s="10">
        <v>0.1096</v>
      </c>
      <c r="AD160" s="10">
        <v>0.16500000000000001</v>
      </c>
      <c r="AE160" s="10">
        <v>0.14230000000000001</v>
      </c>
      <c r="AF160" s="10">
        <v>4.8149999999999901E-2</v>
      </c>
      <c r="AG160" s="10">
        <v>0.2482</v>
      </c>
      <c r="AH160">
        <v>6.3060000000000005E-2</v>
      </c>
    </row>
    <row r="161" spans="3:34">
      <c r="C161" s="11" t="s">
        <v>331</v>
      </c>
      <c r="D161" s="10" t="s">
        <v>1</v>
      </c>
      <c r="E161" s="10">
        <v>13.71</v>
      </c>
      <c r="F161" s="10">
        <v>21.41</v>
      </c>
      <c r="G161" s="10">
        <v>82.019999999999897</v>
      </c>
      <c r="H161" s="10">
        <v>507.39999999999901</v>
      </c>
      <c r="I161" s="10">
        <v>8.7489999999999901E-2</v>
      </c>
      <c r="J161" s="10">
        <v>6.6009999999999902E-2</v>
      </c>
      <c r="K161" s="10">
        <v>3.1119999999999901E-2</v>
      </c>
      <c r="L161" s="10">
        <v>2.8639999999999902E-2</v>
      </c>
      <c r="M161" s="10">
        <v>0.1694</v>
      </c>
      <c r="N161" s="10">
        <v>6.2869999999999898E-2</v>
      </c>
      <c r="O161" s="10">
        <v>0.73109999999999897</v>
      </c>
      <c r="P161" s="10">
        <v>1.748</v>
      </c>
      <c r="Q161" s="10">
        <v>5.1180000000000003</v>
      </c>
      <c r="R161" s="10">
        <v>53.649999999999899</v>
      </c>
      <c r="S161" s="10">
        <v>4.5710000000000004E-3</v>
      </c>
      <c r="T161" s="10">
        <v>1.7899999999999899E-2</v>
      </c>
      <c r="U161" s="10">
        <v>2.1760000000000002E-2</v>
      </c>
      <c r="V161" s="10">
        <v>1.7569999999999902E-2</v>
      </c>
      <c r="W161" s="10">
        <v>3.3730000000000003E-2</v>
      </c>
      <c r="X161" s="10">
        <v>5.875E-3</v>
      </c>
      <c r="Y161" s="10">
        <v>13.75</v>
      </c>
      <c r="Z161" s="10">
        <v>23.5</v>
      </c>
      <c r="AA161" s="10">
        <v>89.04</v>
      </c>
      <c r="AB161" s="10">
        <v>579.5</v>
      </c>
      <c r="AC161" s="10">
        <v>9.3880000000000005E-2</v>
      </c>
      <c r="AD161" s="10">
        <v>8.9779999999999902E-2</v>
      </c>
      <c r="AE161" s="10">
        <v>5.1860000000000003E-2</v>
      </c>
      <c r="AF161" s="10">
        <v>4.7730000000000002E-2</v>
      </c>
      <c r="AG161" s="10">
        <v>0.21790000000000001</v>
      </c>
      <c r="AH161">
        <v>6.8709999999999896E-2</v>
      </c>
    </row>
    <row r="162" spans="3:34">
      <c r="C162" s="11" t="s">
        <v>332</v>
      </c>
      <c r="D162" s="10" t="s">
        <v>1</v>
      </c>
      <c r="E162" s="10">
        <v>13.71</v>
      </c>
      <c r="F162" s="10">
        <v>18.219999999999899</v>
      </c>
      <c r="G162" s="10">
        <v>60.729999999999897</v>
      </c>
      <c r="H162" s="10">
        <v>288.10000000000002</v>
      </c>
      <c r="I162" s="10">
        <v>6.9500000000000006E-2</v>
      </c>
      <c r="J162" s="10">
        <v>2.3439999999999898E-2</v>
      </c>
      <c r="K162" s="10">
        <v>0</v>
      </c>
      <c r="L162" s="10">
        <v>0</v>
      </c>
      <c r="M162" s="10">
        <v>0.1653</v>
      </c>
      <c r="N162" s="10">
        <v>6.447E-2</v>
      </c>
      <c r="O162" s="10">
        <v>0.35389999999999899</v>
      </c>
      <c r="P162" s="10">
        <v>4.88499999999999</v>
      </c>
      <c r="Q162" s="10">
        <v>2.23</v>
      </c>
      <c r="R162" s="10">
        <v>21.69</v>
      </c>
      <c r="S162" s="10">
        <v>1.7129999999999899E-3</v>
      </c>
      <c r="T162" s="10">
        <v>6.7359999999999903E-3</v>
      </c>
      <c r="U162" s="10">
        <v>0</v>
      </c>
      <c r="V162" s="10">
        <v>0</v>
      </c>
      <c r="W162" s="10">
        <v>3.7990000000000003E-2</v>
      </c>
      <c r="X162" s="10">
        <v>1.688E-3</v>
      </c>
      <c r="Y162" s="10">
        <v>9.968</v>
      </c>
      <c r="Z162" s="10">
        <v>20.829999999999899</v>
      </c>
      <c r="AA162" s="10">
        <v>62.25</v>
      </c>
      <c r="AB162" s="10">
        <v>303.8</v>
      </c>
      <c r="AC162" s="10">
        <v>7.11699999999999E-2</v>
      </c>
      <c r="AD162" s="10">
        <v>2.7289999999999901E-2</v>
      </c>
      <c r="AE162" s="10">
        <v>0</v>
      </c>
      <c r="AF162" s="10">
        <v>0</v>
      </c>
      <c r="AG162" s="10">
        <v>0.19089999999999899</v>
      </c>
      <c r="AH162">
        <v>6.5589999999999898E-2</v>
      </c>
    </row>
    <row r="163" spans="3:34">
      <c r="C163" s="11" t="s">
        <v>334</v>
      </c>
      <c r="D163" s="10" t="s">
        <v>0</v>
      </c>
      <c r="E163" s="10">
        <v>13.71</v>
      </c>
      <c r="F163" s="10">
        <v>23.21</v>
      </c>
      <c r="G163" s="10">
        <v>100.4</v>
      </c>
      <c r="H163" s="10">
        <v>671.39999999999895</v>
      </c>
      <c r="I163" s="10">
        <v>0.10440000000000001</v>
      </c>
      <c r="J163" s="10">
        <v>0.19800000000000001</v>
      </c>
      <c r="K163" s="10">
        <v>0.16969999999999899</v>
      </c>
      <c r="L163" s="10">
        <v>8.8779999999999901E-2</v>
      </c>
      <c r="M163" s="10">
        <v>0.17369999999999899</v>
      </c>
      <c r="N163" s="10">
        <v>6.6720000000000002E-2</v>
      </c>
      <c r="O163" s="10">
        <v>0.27960000000000002</v>
      </c>
      <c r="P163" s="10">
        <v>0.96220000000000006</v>
      </c>
      <c r="Q163" s="10">
        <v>3.5910000000000002</v>
      </c>
      <c r="R163" s="10">
        <v>25.1999999999999</v>
      </c>
      <c r="S163" s="10">
        <v>8.0809999999999892E-3</v>
      </c>
      <c r="T163" s="10">
        <v>5.1220000000000002E-2</v>
      </c>
      <c r="U163" s="10">
        <v>5.55099999999999E-2</v>
      </c>
      <c r="V163" s="10">
        <v>1.883E-2</v>
      </c>
      <c r="W163" s="10">
        <v>2.545E-2</v>
      </c>
      <c r="X163" s="10">
        <v>4.3119999999999903E-3</v>
      </c>
      <c r="Y163" s="10">
        <v>16.079999999999899</v>
      </c>
      <c r="Z163" s="10">
        <v>27.78</v>
      </c>
      <c r="AA163" s="10">
        <v>118.599999999999</v>
      </c>
      <c r="AB163" s="10">
        <v>784.7</v>
      </c>
      <c r="AC163" s="10">
        <v>0.131599999999999</v>
      </c>
      <c r="AD163" s="10">
        <v>0.46479999999999899</v>
      </c>
      <c r="AE163" s="10">
        <v>0.45889999999999898</v>
      </c>
      <c r="AF163" s="10">
        <v>0.17269999999999899</v>
      </c>
      <c r="AG163" s="10">
        <v>0.29999999999999899</v>
      </c>
      <c r="AH163">
        <v>8.7010000000000004E-2</v>
      </c>
    </row>
    <row r="164" spans="3:34">
      <c r="C164" s="11" t="s">
        <v>335</v>
      </c>
      <c r="D164" s="10" t="s">
        <v>1</v>
      </c>
      <c r="E164" s="10">
        <v>13.71</v>
      </c>
      <c r="F164" s="10">
        <v>16.329999999999899</v>
      </c>
      <c r="G164" s="10">
        <v>82.53</v>
      </c>
      <c r="H164" s="10">
        <v>516.39999999999895</v>
      </c>
      <c r="I164" s="10">
        <v>7.9409999999999897E-2</v>
      </c>
      <c r="J164" s="10">
        <v>5.3659999999999902E-2</v>
      </c>
      <c r="K164" s="10">
        <v>3.8730000000000001E-2</v>
      </c>
      <c r="L164" s="10">
        <v>2.3769999999999899E-2</v>
      </c>
      <c r="M164" s="10">
        <v>0.18290000000000001</v>
      </c>
      <c r="N164" s="10">
        <v>5.6669999999999901E-2</v>
      </c>
      <c r="O164" s="10">
        <v>0.19420000000000001</v>
      </c>
      <c r="P164" s="10">
        <v>0.90859999999999896</v>
      </c>
      <c r="Q164" s="10">
        <v>1.4930000000000001</v>
      </c>
      <c r="R164" s="10">
        <v>15.75</v>
      </c>
      <c r="S164" s="10">
        <v>5.2979999999999902E-3</v>
      </c>
      <c r="T164" s="10">
        <v>1.5869999999999902E-2</v>
      </c>
      <c r="U164" s="10">
        <v>2.3210000000000001E-2</v>
      </c>
      <c r="V164" s="10">
        <v>8.4200000000000004E-3</v>
      </c>
      <c r="W164" s="10">
        <v>1.8530000000000001E-2</v>
      </c>
      <c r="X164" s="10">
        <v>2.1519999999999899E-3</v>
      </c>
      <c r="Y164" s="10">
        <v>13.88</v>
      </c>
      <c r="Z164" s="10">
        <v>22</v>
      </c>
      <c r="AA164" s="10">
        <v>90.81</v>
      </c>
      <c r="AB164" s="10">
        <v>600.6</v>
      </c>
      <c r="AC164" s="10">
        <v>0.10970000000000001</v>
      </c>
      <c r="AD164" s="10">
        <v>0.15060000000000001</v>
      </c>
      <c r="AE164" s="10">
        <v>0.1764</v>
      </c>
      <c r="AF164" s="10">
        <v>8.2350000000000007E-2</v>
      </c>
      <c r="AG164" s="10">
        <v>0.3024</v>
      </c>
      <c r="AH164">
        <v>6.9489999999999899E-2</v>
      </c>
    </row>
    <row r="165" spans="3:34">
      <c r="C165" s="11" t="s">
        <v>339</v>
      </c>
      <c r="D165" s="10" t="s">
        <v>0</v>
      </c>
      <c r="E165" s="10">
        <v>13.71</v>
      </c>
      <c r="F165" s="10">
        <v>20.219999999999899</v>
      </c>
      <c r="G165" s="10">
        <v>94.489999999999895</v>
      </c>
      <c r="H165" s="10">
        <v>642.70000000000005</v>
      </c>
      <c r="I165" s="10">
        <v>9.8720000000000002E-2</v>
      </c>
      <c r="J165" s="10">
        <v>0.1206</v>
      </c>
      <c r="K165" s="10">
        <v>0.11799999999999899</v>
      </c>
      <c r="L165" s="10">
        <v>5.9799999999999902E-2</v>
      </c>
      <c r="M165" s="10">
        <v>0.19500000000000001</v>
      </c>
      <c r="N165" s="10">
        <v>6.4659999999999898E-2</v>
      </c>
      <c r="O165" s="10">
        <v>0.2092</v>
      </c>
      <c r="P165" s="10">
        <v>0.65090000000000003</v>
      </c>
      <c r="Q165" s="10">
        <v>1.446</v>
      </c>
      <c r="R165" s="10">
        <v>19.420000000000002</v>
      </c>
      <c r="S165" s="10">
        <v>4.0439999999999903E-3</v>
      </c>
      <c r="T165" s="10">
        <v>1.5970000000000002E-2</v>
      </c>
      <c r="U165" s="10">
        <v>0.02</v>
      </c>
      <c r="V165" s="10">
        <v>7.3029999999999901E-3</v>
      </c>
      <c r="W165" s="10">
        <v>1.52199999999999E-2</v>
      </c>
      <c r="X165" s="10">
        <v>1.9759999999999899E-3</v>
      </c>
      <c r="Y165" s="10">
        <v>18.329999999999899</v>
      </c>
      <c r="Z165" s="10">
        <v>30.12</v>
      </c>
      <c r="AA165" s="10">
        <v>117.9</v>
      </c>
      <c r="AB165" s="10">
        <v>1044</v>
      </c>
      <c r="AC165" s="10">
        <v>0.1552</v>
      </c>
      <c r="AD165" s="10">
        <v>0.40560000000000002</v>
      </c>
      <c r="AE165" s="10">
        <v>0.49669999999999898</v>
      </c>
      <c r="AF165" s="10">
        <v>0.18379999999999899</v>
      </c>
      <c r="AG165" s="10">
        <v>0.4753</v>
      </c>
      <c r="AH165">
        <v>0.1013</v>
      </c>
    </row>
    <row r="166" spans="3:34">
      <c r="C166" s="11" t="s">
        <v>340</v>
      </c>
      <c r="D166" s="10" t="s">
        <v>1</v>
      </c>
      <c r="E166" s="10">
        <v>13.71</v>
      </c>
      <c r="F166" s="10">
        <v>19.559999999999899</v>
      </c>
      <c r="G166" s="10">
        <v>78.540000000000006</v>
      </c>
      <c r="H166" s="10">
        <v>461</v>
      </c>
      <c r="I166" s="10">
        <v>9.5860000000000001E-2</v>
      </c>
      <c r="J166" s="10">
        <v>8.08699999999999E-2</v>
      </c>
      <c r="K166" s="10">
        <v>4.18699999999999E-2</v>
      </c>
      <c r="L166" s="10">
        <v>4.1070000000000002E-2</v>
      </c>
      <c r="M166" s="10">
        <v>0.19789999999999899</v>
      </c>
      <c r="N166" s="10">
        <v>6.0130000000000003E-2</v>
      </c>
      <c r="O166" s="10">
        <v>0.35339999999999899</v>
      </c>
      <c r="P166" s="10">
        <v>1.3260000000000001</v>
      </c>
      <c r="Q166" s="10">
        <v>2.3079999999999901</v>
      </c>
      <c r="R166" s="10">
        <v>27.239999999999899</v>
      </c>
      <c r="S166" s="10">
        <v>7.5139999999999903E-3</v>
      </c>
      <c r="T166" s="10">
        <v>1.779E-2</v>
      </c>
      <c r="U166" s="10">
        <v>1.401E-2</v>
      </c>
      <c r="V166" s="10">
        <v>1.14E-2</v>
      </c>
      <c r="W166" s="10">
        <v>1.503E-2</v>
      </c>
      <c r="X166" s="10">
        <v>3.3379999999999898E-3</v>
      </c>
      <c r="Y166" s="10">
        <v>14.44</v>
      </c>
      <c r="Z166" s="10">
        <v>28.3599999999999</v>
      </c>
      <c r="AA166" s="10">
        <v>92.15</v>
      </c>
      <c r="AB166" s="10">
        <v>638.39999999999895</v>
      </c>
      <c r="AC166" s="10">
        <v>0.1429</v>
      </c>
      <c r="AD166" s="10">
        <v>0.20419999999999899</v>
      </c>
      <c r="AE166" s="10">
        <v>0.13769999999999899</v>
      </c>
      <c r="AF166" s="10">
        <v>0.108</v>
      </c>
      <c r="AG166" s="10">
        <v>0.26679999999999898</v>
      </c>
      <c r="AH166">
        <v>8.1739999999999896E-2</v>
      </c>
    </row>
    <row r="167" spans="3:34">
      <c r="C167" s="11" t="s">
        <v>341</v>
      </c>
      <c r="D167" s="10" t="s">
        <v>0</v>
      </c>
      <c r="E167" s="10">
        <v>13.71</v>
      </c>
      <c r="F167" s="10">
        <v>19.32</v>
      </c>
      <c r="G167" s="10">
        <v>115.099999999999</v>
      </c>
      <c r="H167" s="10">
        <v>951.6</v>
      </c>
      <c r="I167" s="10">
        <v>8.9679999999999899E-2</v>
      </c>
      <c r="J167" s="10">
        <v>0.1198</v>
      </c>
      <c r="K167" s="10">
        <v>0.1036</v>
      </c>
      <c r="L167" s="10">
        <v>7.4880000000000002E-2</v>
      </c>
      <c r="M167" s="10">
        <v>0.15060000000000001</v>
      </c>
      <c r="N167" s="10">
        <v>5.491E-2</v>
      </c>
      <c r="O167" s="10">
        <v>0.39710000000000001</v>
      </c>
      <c r="P167" s="10">
        <v>0.82820000000000005</v>
      </c>
      <c r="Q167" s="10">
        <v>3.0880000000000001</v>
      </c>
      <c r="R167" s="10">
        <v>40.729999999999897</v>
      </c>
      <c r="S167" s="10">
        <v>6.0899999999999904E-3</v>
      </c>
      <c r="T167" s="10">
        <v>2.5690000000000001E-2</v>
      </c>
      <c r="U167" s="10">
        <v>2.7130000000000001E-2</v>
      </c>
      <c r="V167" s="10">
        <v>1.345E-2</v>
      </c>
      <c r="W167" s="10">
        <v>1.5939999999999899E-2</v>
      </c>
      <c r="X167" s="10">
        <v>2.6580000000000002E-3</v>
      </c>
      <c r="Y167" s="10">
        <v>20.420000000000002</v>
      </c>
      <c r="Z167" s="10">
        <v>25.84</v>
      </c>
      <c r="AA167" s="10">
        <v>139.5</v>
      </c>
      <c r="AB167" s="10">
        <v>1239</v>
      </c>
      <c r="AC167" s="10">
        <v>0.1381</v>
      </c>
      <c r="AD167" s="10">
        <v>0.34200000000000003</v>
      </c>
      <c r="AE167" s="10">
        <v>0.3508</v>
      </c>
      <c r="AF167" s="10">
        <v>0.19389999999999899</v>
      </c>
      <c r="AG167" s="10">
        <v>0.2928</v>
      </c>
      <c r="AH167">
        <v>7.8670000000000004E-2</v>
      </c>
    </row>
    <row r="168" spans="3:34">
      <c r="C168" s="11" t="s">
        <v>343</v>
      </c>
      <c r="D168" s="10" t="s">
        <v>0</v>
      </c>
      <c r="E168" s="10">
        <v>13.71</v>
      </c>
      <c r="F168" s="10">
        <v>23.75</v>
      </c>
      <c r="G168" s="10">
        <v>91.56</v>
      </c>
      <c r="H168" s="10">
        <v>597.79999999999905</v>
      </c>
      <c r="I168" s="10">
        <v>0.1323</v>
      </c>
      <c r="J168" s="10">
        <v>0.17680000000000001</v>
      </c>
      <c r="K168" s="10">
        <v>0.15579999999999899</v>
      </c>
      <c r="L168" s="10">
        <v>9.1759999999999897E-2</v>
      </c>
      <c r="M168" s="10">
        <v>0.225099999999999</v>
      </c>
      <c r="N168" s="10">
        <v>7.4209999999999901E-2</v>
      </c>
      <c r="O168" s="10">
        <v>0.56479999999999897</v>
      </c>
      <c r="P168" s="10">
        <v>1.9299999999999899</v>
      </c>
      <c r="Q168" s="10">
        <v>3.90899999999999</v>
      </c>
      <c r="R168" s="10">
        <v>52.719999999999899</v>
      </c>
      <c r="S168" s="10">
        <v>8.8240000000000002E-3</v>
      </c>
      <c r="T168" s="10">
        <v>3.108E-2</v>
      </c>
      <c r="U168" s="10">
        <v>3.1119999999999901E-2</v>
      </c>
      <c r="V168" s="10">
        <v>1.291E-2</v>
      </c>
      <c r="W168" s="10">
        <v>1.9980000000000001E-2</v>
      </c>
      <c r="X168" s="10">
        <v>4.50599999999999E-3</v>
      </c>
      <c r="Y168" s="10">
        <v>19.1999999999999</v>
      </c>
      <c r="Z168" s="10">
        <v>41.85</v>
      </c>
      <c r="AA168" s="10">
        <v>128.5</v>
      </c>
      <c r="AB168" s="10">
        <v>1153</v>
      </c>
      <c r="AC168" s="10">
        <v>0.22259999999999899</v>
      </c>
      <c r="AD168" s="10">
        <v>0.52090000000000003</v>
      </c>
      <c r="AE168" s="10">
        <v>0.46460000000000001</v>
      </c>
      <c r="AF168" s="10">
        <v>0.20130000000000001</v>
      </c>
      <c r="AG168" s="10">
        <v>0.44319999999999898</v>
      </c>
      <c r="AH168">
        <v>0.1086</v>
      </c>
    </row>
    <row r="169" spans="3:34">
      <c r="C169" s="11" t="s">
        <v>344</v>
      </c>
      <c r="D169" s="10" t="s">
        <v>1</v>
      </c>
      <c r="E169" s="10">
        <v>13.71</v>
      </c>
      <c r="F169" s="10">
        <v>18.600000000000001</v>
      </c>
      <c r="G169" s="10">
        <v>81.09</v>
      </c>
      <c r="H169" s="10">
        <v>481.89999999999901</v>
      </c>
      <c r="I169" s="10">
        <v>9.9650000000000002E-2</v>
      </c>
      <c r="J169" s="10">
        <v>0.10580000000000001</v>
      </c>
      <c r="K169" s="10">
        <v>8.0049999999999899E-2</v>
      </c>
      <c r="L169" s="10">
        <v>3.8210000000000001E-2</v>
      </c>
      <c r="M169" s="10">
        <v>0.1925</v>
      </c>
      <c r="N169" s="10">
        <v>6.3729999999999898E-2</v>
      </c>
      <c r="O169" s="10">
        <v>0.39610000000000001</v>
      </c>
      <c r="P169" s="10">
        <v>1.044</v>
      </c>
      <c r="Q169" s="10">
        <v>2.4969999999999901</v>
      </c>
      <c r="R169" s="10">
        <v>30.2899999999999</v>
      </c>
      <c r="S169" s="10">
        <v>6.953E-3</v>
      </c>
      <c r="T169" s="10">
        <v>1.9109999999999901E-2</v>
      </c>
      <c r="U169" s="10">
        <v>2.7009999999999899E-2</v>
      </c>
      <c r="V169" s="10">
        <v>1.0370000000000001E-2</v>
      </c>
      <c r="W169" s="10">
        <v>1.7819999999999898E-2</v>
      </c>
      <c r="X169" s="10">
        <v>3.5860000000000002E-3</v>
      </c>
      <c r="Y169" s="10">
        <v>14.97</v>
      </c>
      <c r="Z169" s="10">
        <v>24.64</v>
      </c>
      <c r="AA169" s="10">
        <v>96.049999999999898</v>
      </c>
      <c r="AB169" s="10">
        <v>677.89999999999895</v>
      </c>
      <c r="AC169" s="10">
        <v>0.1426</v>
      </c>
      <c r="AD169" s="10">
        <v>0.23780000000000001</v>
      </c>
      <c r="AE169" s="10">
        <v>0.2671</v>
      </c>
      <c r="AF169" s="10">
        <v>0.10150000000000001</v>
      </c>
      <c r="AG169" s="10">
        <v>0.3014</v>
      </c>
      <c r="AH169">
        <v>8.7499999999999897E-2</v>
      </c>
    </row>
    <row r="170" spans="3:34">
      <c r="C170" s="11" t="s">
        <v>346</v>
      </c>
      <c r="D170" s="10" t="s">
        <v>1</v>
      </c>
      <c r="E170" s="10">
        <v>13.71</v>
      </c>
      <c r="F170" s="10">
        <v>17.27</v>
      </c>
      <c r="G170" s="10">
        <v>62.92</v>
      </c>
      <c r="H170" s="10">
        <v>295.39999999999901</v>
      </c>
      <c r="I170" s="10">
        <v>0.1089</v>
      </c>
      <c r="J170" s="10">
        <v>7.2319999999999898E-2</v>
      </c>
      <c r="K170" s="10">
        <v>1.7559999999999899E-2</v>
      </c>
      <c r="L170" s="10">
        <v>1.9519999999999899E-2</v>
      </c>
      <c r="M170" s="10">
        <v>0.19339999999999899</v>
      </c>
      <c r="N170" s="10">
        <v>6.2850000000000003E-2</v>
      </c>
      <c r="O170" s="10">
        <v>0.2137</v>
      </c>
      <c r="P170" s="10">
        <v>1.3420000000000001</v>
      </c>
      <c r="Q170" s="10">
        <v>1.5169999999999899</v>
      </c>
      <c r="R170" s="10">
        <v>12.33</v>
      </c>
      <c r="S170" s="10">
        <v>9.7190000000000002E-3</v>
      </c>
      <c r="T170" s="10">
        <v>1.24899999999999E-2</v>
      </c>
      <c r="U170" s="10">
        <v>7.9749999999999908E-3</v>
      </c>
      <c r="V170" s="10">
        <v>7.5269999999999903E-3</v>
      </c>
      <c r="W170" s="10">
        <v>2.2100000000000002E-2</v>
      </c>
      <c r="X170" s="10">
        <v>2.4719999999999898E-3</v>
      </c>
      <c r="Y170" s="10">
        <v>10.42</v>
      </c>
      <c r="Z170" s="10">
        <v>23.219999999999899</v>
      </c>
      <c r="AA170" s="10">
        <v>67.079999999999899</v>
      </c>
      <c r="AB170" s="10">
        <v>331.6</v>
      </c>
      <c r="AC170" s="10">
        <v>0.14149999999999899</v>
      </c>
      <c r="AD170" s="10">
        <v>0.12470000000000001</v>
      </c>
      <c r="AE170" s="10">
        <v>6.2129999999999901E-2</v>
      </c>
      <c r="AF170" s="10">
        <v>5.5879999999999902E-2</v>
      </c>
      <c r="AG170" s="10">
        <v>0.2989</v>
      </c>
      <c r="AH170">
        <v>7.3800000000000004E-2</v>
      </c>
    </row>
    <row r="171" spans="3:34">
      <c r="C171" s="11" t="s">
        <v>347</v>
      </c>
      <c r="D171" s="10" t="s">
        <v>0</v>
      </c>
      <c r="E171" s="10">
        <v>13.71</v>
      </c>
      <c r="F171" s="10">
        <v>20.260000000000002</v>
      </c>
      <c r="G171" s="10">
        <v>109.7</v>
      </c>
      <c r="H171" s="10">
        <v>904.29999999999905</v>
      </c>
      <c r="I171" s="10">
        <v>8.7720000000000006E-2</v>
      </c>
      <c r="J171" s="10">
        <v>7.3039999999999897E-2</v>
      </c>
      <c r="K171" s="10">
        <v>6.9500000000000006E-2</v>
      </c>
      <c r="L171" s="10">
        <v>5.3900000000000003E-2</v>
      </c>
      <c r="M171" s="10">
        <v>0.2026</v>
      </c>
      <c r="N171" s="10">
        <v>5.2229999999999902E-2</v>
      </c>
      <c r="O171" s="10">
        <v>0.58579999999999899</v>
      </c>
      <c r="P171" s="10">
        <v>0.85540000000000005</v>
      </c>
      <c r="Q171" s="10">
        <v>4.1059999999999901</v>
      </c>
      <c r="R171" s="10">
        <v>68.459999999999894</v>
      </c>
      <c r="S171" s="10">
        <v>5.0379999999999904E-3</v>
      </c>
      <c r="T171" s="10">
        <v>1.503E-2</v>
      </c>
      <c r="U171" s="10">
        <v>1.9460000000000002E-2</v>
      </c>
      <c r="V171" s="10">
        <v>1.123E-2</v>
      </c>
      <c r="W171" s="10">
        <v>2.2939999999999901E-2</v>
      </c>
      <c r="X171" s="10">
        <v>2.581E-3</v>
      </c>
      <c r="Y171" s="10">
        <v>19.8</v>
      </c>
      <c r="Z171" s="10">
        <v>25.05</v>
      </c>
      <c r="AA171" s="10">
        <v>130</v>
      </c>
      <c r="AB171" s="10">
        <v>1210</v>
      </c>
      <c r="AC171" s="10">
        <v>0.1111</v>
      </c>
      <c r="AD171" s="10">
        <v>0.14860000000000001</v>
      </c>
      <c r="AE171" s="10">
        <v>0.19320000000000001</v>
      </c>
      <c r="AF171" s="10">
        <v>0.1096</v>
      </c>
      <c r="AG171" s="10">
        <v>0.32750000000000001</v>
      </c>
      <c r="AH171">
        <v>6.46899999999999E-2</v>
      </c>
    </row>
    <row r="172" spans="3:34">
      <c r="C172" s="11" t="s">
        <v>348</v>
      </c>
      <c r="D172" s="10" t="s">
        <v>1</v>
      </c>
      <c r="E172" s="10">
        <v>13.71</v>
      </c>
      <c r="F172" s="10">
        <v>22.5399999999999</v>
      </c>
      <c r="G172" s="10">
        <v>87.019999999999897</v>
      </c>
      <c r="H172" s="10">
        <v>529.39999999999895</v>
      </c>
      <c r="I172" s="10">
        <v>0.1002</v>
      </c>
      <c r="J172" s="10">
        <v>0.14829999999999899</v>
      </c>
      <c r="K172" s="10">
        <v>8.7050000000000002E-2</v>
      </c>
      <c r="L172" s="10">
        <v>5.1020000000000003E-2</v>
      </c>
      <c r="M172" s="10">
        <v>0.185</v>
      </c>
      <c r="N172" s="10">
        <v>7.3099999999999901E-2</v>
      </c>
      <c r="O172" s="10">
        <v>0.19309999999999899</v>
      </c>
      <c r="P172" s="10">
        <v>0.92230000000000001</v>
      </c>
      <c r="Q172" s="10">
        <v>1.4910000000000001</v>
      </c>
      <c r="R172" s="10">
        <v>15.09</v>
      </c>
      <c r="S172" s="10">
        <v>5.2509999999999901E-3</v>
      </c>
      <c r="T172" s="10">
        <v>3.041E-2</v>
      </c>
      <c r="U172" s="10">
        <v>2.5260000000000001E-2</v>
      </c>
      <c r="V172" s="10">
        <v>8.3040000000000006E-3</v>
      </c>
      <c r="W172" s="10">
        <v>2.5139999999999899E-2</v>
      </c>
      <c r="X172" s="10">
        <v>4.1980000000000003E-3</v>
      </c>
      <c r="Y172" s="10">
        <v>14.55</v>
      </c>
      <c r="Z172" s="10">
        <v>29.16</v>
      </c>
      <c r="AA172" s="10">
        <v>99.48</v>
      </c>
      <c r="AB172" s="10">
        <v>639.29999999999905</v>
      </c>
      <c r="AC172" s="10">
        <v>0.13489999999999899</v>
      </c>
      <c r="AD172" s="10">
        <v>0.44019999999999898</v>
      </c>
      <c r="AE172" s="10">
        <v>0.31619999999999898</v>
      </c>
      <c r="AF172" s="10">
        <v>0.11260000000000001</v>
      </c>
      <c r="AG172" s="10">
        <v>0.4128</v>
      </c>
      <c r="AH172">
        <v>0.1076</v>
      </c>
    </row>
    <row r="173" spans="3:34">
      <c r="C173" s="11" t="s">
        <v>349</v>
      </c>
      <c r="D173" s="10" t="s">
        <v>1</v>
      </c>
      <c r="E173" s="10">
        <v>13.71</v>
      </c>
      <c r="F173" s="10">
        <v>12.91</v>
      </c>
      <c r="G173" s="10">
        <v>98.17</v>
      </c>
      <c r="H173" s="10">
        <v>725.5</v>
      </c>
      <c r="I173" s="10">
        <v>8.1820000000000004E-2</v>
      </c>
      <c r="J173" s="10">
        <v>6.2300000000000001E-2</v>
      </c>
      <c r="K173" s="10">
        <v>5.892E-2</v>
      </c>
      <c r="L173" s="10">
        <v>3.1570000000000001E-2</v>
      </c>
      <c r="M173" s="10">
        <v>0.13589999999999899</v>
      </c>
      <c r="N173" s="10">
        <v>5.5259999999999899E-2</v>
      </c>
      <c r="O173" s="10">
        <v>0.21340000000000001</v>
      </c>
      <c r="P173" s="10">
        <v>0.36280000000000001</v>
      </c>
      <c r="Q173" s="10">
        <v>1.5249999999999899</v>
      </c>
      <c r="R173" s="10">
        <v>20</v>
      </c>
      <c r="S173" s="10">
        <v>4.2909999999999901E-3</v>
      </c>
      <c r="T173" s="10">
        <v>1.2359999999999901E-2</v>
      </c>
      <c r="U173" s="10">
        <v>1.8409999999999899E-2</v>
      </c>
      <c r="V173" s="10">
        <v>7.3730000000000002E-3</v>
      </c>
      <c r="W173" s="10">
        <v>9.5390000000000006E-3</v>
      </c>
      <c r="X173" s="10">
        <v>1.6559999999999899E-3</v>
      </c>
      <c r="Y173" s="10">
        <v>17.3799999999999</v>
      </c>
      <c r="Z173" s="10">
        <v>15.92</v>
      </c>
      <c r="AA173" s="10">
        <v>113.7</v>
      </c>
      <c r="AB173" s="10">
        <v>932.7</v>
      </c>
      <c r="AC173" s="10">
        <v>0.1222</v>
      </c>
      <c r="AD173" s="10">
        <v>0.21859999999999899</v>
      </c>
      <c r="AE173" s="10">
        <v>0.29620000000000002</v>
      </c>
      <c r="AF173" s="10">
        <v>0.103499999999999</v>
      </c>
      <c r="AG173" s="10">
        <v>0.23200000000000001</v>
      </c>
      <c r="AH173">
        <v>7.4740000000000001E-2</v>
      </c>
    </row>
    <row r="174" spans="3:34">
      <c r="C174" s="11" t="s">
        <v>350</v>
      </c>
      <c r="D174" s="10" t="s">
        <v>0</v>
      </c>
      <c r="E174" s="10">
        <v>13.71</v>
      </c>
      <c r="F174" s="10">
        <v>22.14</v>
      </c>
      <c r="G174" s="10">
        <v>134.69999999999899</v>
      </c>
      <c r="H174" s="10">
        <v>1290</v>
      </c>
      <c r="I174" s="10">
        <v>9.0899999999999898E-2</v>
      </c>
      <c r="J174" s="10">
        <v>0.1348</v>
      </c>
      <c r="K174" s="10">
        <v>0.16400000000000001</v>
      </c>
      <c r="L174" s="10">
        <v>9.5610000000000001E-2</v>
      </c>
      <c r="M174" s="10">
        <v>0.17649999999999899</v>
      </c>
      <c r="N174" s="10">
        <v>5.024E-2</v>
      </c>
      <c r="O174" s="10">
        <v>0.86009999999999898</v>
      </c>
      <c r="P174" s="10">
        <v>1.48</v>
      </c>
      <c r="Q174" s="10">
        <v>7.0289999999999901</v>
      </c>
      <c r="R174" s="10">
        <v>111.7</v>
      </c>
      <c r="S174" s="10">
        <v>8.1239999999999906E-3</v>
      </c>
      <c r="T174" s="10">
        <v>3.6110000000000003E-2</v>
      </c>
      <c r="U174" s="10">
        <v>5.4890000000000001E-2</v>
      </c>
      <c r="V174" s="10">
        <v>2.7650000000000001E-2</v>
      </c>
      <c r="W174" s="10">
        <v>3.1759999999999899E-2</v>
      </c>
      <c r="X174" s="10">
        <v>2.3649999999999899E-3</v>
      </c>
      <c r="Y174" s="10">
        <v>23.239999999999899</v>
      </c>
      <c r="Z174" s="10">
        <v>27.84</v>
      </c>
      <c r="AA174" s="10">
        <v>158.30000000000001</v>
      </c>
      <c r="AB174" s="10">
        <v>1656</v>
      </c>
      <c r="AC174" s="10">
        <v>0.1178</v>
      </c>
      <c r="AD174" s="10">
        <v>0.29199999999999898</v>
      </c>
      <c r="AE174" s="10">
        <v>0.3861</v>
      </c>
      <c r="AF174" s="10">
        <v>0.192</v>
      </c>
      <c r="AG174" s="10">
        <v>0.29089999999999899</v>
      </c>
      <c r="AH174">
        <v>5.8650000000000001E-2</v>
      </c>
    </row>
    <row r="175" spans="3:34">
      <c r="C175" s="11" t="s">
        <v>351</v>
      </c>
      <c r="D175" s="10" t="s">
        <v>1</v>
      </c>
      <c r="E175" s="10">
        <v>13.71</v>
      </c>
      <c r="F175" s="10">
        <v>18.940000000000001</v>
      </c>
      <c r="G175" s="10">
        <v>75.510000000000005</v>
      </c>
      <c r="H175" s="10">
        <v>428</v>
      </c>
      <c r="I175" s="10">
        <v>8.87099999999999E-2</v>
      </c>
      <c r="J175" s="10">
        <v>6.9000000000000006E-2</v>
      </c>
      <c r="K175" s="10">
        <v>2.6689999999999901E-2</v>
      </c>
      <c r="L175" s="10">
        <v>1.393E-2</v>
      </c>
      <c r="M175" s="10">
        <v>0.15329999999999899</v>
      </c>
      <c r="N175" s="10">
        <v>6.0569999999999902E-2</v>
      </c>
      <c r="O175" s="10">
        <v>0.22220000000000001</v>
      </c>
      <c r="P175" s="10">
        <v>0.86519999999999897</v>
      </c>
      <c r="Q175" s="10">
        <v>1.444</v>
      </c>
      <c r="R175" s="10">
        <v>17.12</v>
      </c>
      <c r="S175" s="10">
        <v>5.5170000000000002E-3</v>
      </c>
      <c r="T175" s="10">
        <v>1.7270000000000001E-2</v>
      </c>
      <c r="U175" s="10">
        <v>2.0449999999999899E-2</v>
      </c>
      <c r="V175" s="10">
        <v>6.7470000000000004E-3</v>
      </c>
      <c r="W175" s="10">
        <v>1.6160000000000001E-2</v>
      </c>
      <c r="X175" s="10">
        <v>2.9220000000000001E-3</v>
      </c>
      <c r="Y175" s="10">
        <v>13.3</v>
      </c>
      <c r="Z175" s="10">
        <v>24.989999999999899</v>
      </c>
      <c r="AA175" s="10">
        <v>85.219999999999899</v>
      </c>
      <c r="AB175" s="10">
        <v>546.29999999999905</v>
      </c>
      <c r="AC175" s="10">
        <v>0.128</v>
      </c>
      <c r="AD175" s="10">
        <v>0.188</v>
      </c>
      <c r="AE175" s="10">
        <v>0.14710000000000001</v>
      </c>
      <c r="AF175" s="10">
        <v>6.91299999999999E-2</v>
      </c>
      <c r="AG175" s="10">
        <v>0.2535</v>
      </c>
      <c r="AH175">
        <v>7.9930000000000001E-2</v>
      </c>
    </row>
    <row r="176" spans="3:34">
      <c r="C176" s="11" t="s">
        <v>353</v>
      </c>
      <c r="D176" s="10" t="s">
        <v>0</v>
      </c>
      <c r="E176" s="10">
        <v>13.71</v>
      </c>
      <c r="F176" s="10">
        <v>25.559999999999899</v>
      </c>
      <c r="G176" s="10">
        <v>114.5</v>
      </c>
      <c r="H176" s="10">
        <v>948</v>
      </c>
      <c r="I176" s="10">
        <v>0.100599999999999</v>
      </c>
      <c r="J176" s="10">
        <v>0.11459999999999899</v>
      </c>
      <c r="K176" s="10">
        <v>0.16819999999999899</v>
      </c>
      <c r="L176" s="10">
        <v>6.5970000000000001E-2</v>
      </c>
      <c r="M176" s="10">
        <v>0.1308</v>
      </c>
      <c r="N176" s="10">
        <v>5.86599999999999E-2</v>
      </c>
      <c r="O176" s="10">
        <v>0.52959999999999896</v>
      </c>
      <c r="P176" s="10">
        <v>1.667</v>
      </c>
      <c r="Q176" s="10">
        <v>3.7669999999999901</v>
      </c>
      <c r="R176" s="10">
        <v>58.53</v>
      </c>
      <c r="S176" s="10">
        <v>3.1130000000000001E-2</v>
      </c>
      <c r="T176" s="10">
        <v>8.5550000000000001E-2</v>
      </c>
      <c r="U176" s="10">
        <v>0.14380000000000001</v>
      </c>
      <c r="V176" s="10">
        <v>3.9269999999999902E-2</v>
      </c>
      <c r="W176" s="10">
        <v>2.1749999999999901E-2</v>
      </c>
      <c r="X176" s="10">
        <v>1.256E-2</v>
      </c>
      <c r="Y176" s="10">
        <v>18.07</v>
      </c>
      <c r="Z176" s="10">
        <v>28.07</v>
      </c>
      <c r="AA176" s="10">
        <v>120.4</v>
      </c>
      <c r="AB176" s="10">
        <v>1021</v>
      </c>
      <c r="AC176" s="10">
        <v>0.12429999999999899</v>
      </c>
      <c r="AD176" s="10">
        <v>0.17929999999999899</v>
      </c>
      <c r="AE176" s="10">
        <v>0.28029999999999899</v>
      </c>
      <c r="AF176" s="10">
        <v>0.1099</v>
      </c>
      <c r="AG176" s="10">
        <v>0.1603</v>
      </c>
      <c r="AH176">
        <v>6.8180000000000004E-2</v>
      </c>
    </row>
    <row r="177" spans="3:34">
      <c r="C177" s="11" t="s">
        <v>354</v>
      </c>
      <c r="D177" s="10" t="s">
        <v>0</v>
      </c>
      <c r="E177" s="10">
        <v>13.71</v>
      </c>
      <c r="F177" s="10">
        <v>23.809999999999899</v>
      </c>
      <c r="G177" s="10">
        <v>92.87</v>
      </c>
      <c r="H177" s="10">
        <v>610.70000000000005</v>
      </c>
      <c r="I177" s="10">
        <v>9.4630000000000006E-2</v>
      </c>
      <c r="J177" s="10">
        <v>0.13059999999999899</v>
      </c>
      <c r="K177" s="10">
        <v>0.1115</v>
      </c>
      <c r="L177" s="10">
        <v>6.46199999999999E-2</v>
      </c>
      <c r="M177" s="10">
        <v>0.2235</v>
      </c>
      <c r="N177" s="10">
        <v>6.4329999999999901E-2</v>
      </c>
      <c r="O177" s="10">
        <v>0.42070000000000002</v>
      </c>
      <c r="P177" s="10">
        <v>1.845</v>
      </c>
      <c r="Q177" s="10">
        <v>3.53399999999999</v>
      </c>
      <c r="R177" s="10">
        <v>31</v>
      </c>
      <c r="S177" s="10">
        <v>1.0880000000000001E-2</v>
      </c>
      <c r="T177" s="10">
        <v>3.7100000000000001E-2</v>
      </c>
      <c r="U177" s="10">
        <v>3.6880000000000003E-2</v>
      </c>
      <c r="V177" s="10">
        <v>1.627E-2</v>
      </c>
      <c r="W177" s="10">
        <v>4.4990000000000002E-2</v>
      </c>
      <c r="X177" s="10">
        <v>4.7679999999999901E-3</v>
      </c>
      <c r="Y177" s="10">
        <v>16.8599999999999</v>
      </c>
      <c r="Z177" s="10">
        <v>34.85</v>
      </c>
      <c r="AA177" s="10">
        <v>115</v>
      </c>
      <c r="AB177" s="10">
        <v>811.29999999999905</v>
      </c>
      <c r="AC177" s="10">
        <v>0.15590000000000001</v>
      </c>
      <c r="AD177" s="10">
        <v>0.40589999999999898</v>
      </c>
      <c r="AE177" s="10">
        <v>0.37440000000000001</v>
      </c>
      <c r="AF177" s="10">
        <v>0.1772</v>
      </c>
      <c r="AG177" s="10">
        <v>0.47239999999999899</v>
      </c>
      <c r="AH177">
        <v>0.1026</v>
      </c>
    </row>
    <row r="178" spans="3:34">
      <c r="C178" s="11" t="s">
        <v>356</v>
      </c>
      <c r="D178" s="10" t="s">
        <v>1</v>
      </c>
      <c r="E178" s="10">
        <v>13.71</v>
      </c>
      <c r="F178" s="10">
        <v>18.350000000000001</v>
      </c>
      <c r="G178" s="10">
        <v>77.319999999999894</v>
      </c>
      <c r="H178" s="10">
        <v>432.19999999999902</v>
      </c>
      <c r="I178" s="10">
        <v>9.3630000000000005E-2</v>
      </c>
      <c r="J178" s="10">
        <v>0.1154</v>
      </c>
      <c r="K178" s="10">
        <v>6.6360000000000002E-2</v>
      </c>
      <c r="L178" s="10">
        <v>3.1419999999999899E-2</v>
      </c>
      <c r="M178" s="10">
        <v>0.19670000000000001</v>
      </c>
      <c r="N178" s="10">
        <v>6.3140000000000002E-2</v>
      </c>
      <c r="O178" s="10">
        <v>0.29630000000000001</v>
      </c>
      <c r="P178" s="10">
        <v>1.56299999999999</v>
      </c>
      <c r="Q178" s="10">
        <v>2.0870000000000002</v>
      </c>
      <c r="R178" s="10">
        <v>21.46</v>
      </c>
      <c r="S178" s="10">
        <v>8.8719999999999893E-3</v>
      </c>
      <c r="T178" s="10">
        <v>4.1919999999999902E-2</v>
      </c>
      <c r="U178" s="10">
        <v>5.9459999999999902E-2</v>
      </c>
      <c r="V178" s="10">
        <v>1.7850000000000001E-2</v>
      </c>
      <c r="W178" s="10">
        <v>2.793E-2</v>
      </c>
      <c r="X178" s="10">
        <v>4.7749999999999902E-3</v>
      </c>
      <c r="Y178" s="10">
        <v>13.25</v>
      </c>
      <c r="Z178" s="10">
        <v>27.1</v>
      </c>
      <c r="AA178" s="10">
        <v>86.2</v>
      </c>
      <c r="AB178" s="10">
        <v>531.20000000000005</v>
      </c>
      <c r="AC178" s="10">
        <v>0.14050000000000001</v>
      </c>
      <c r="AD178" s="10">
        <v>0.30459999999999898</v>
      </c>
      <c r="AE178" s="10">
        <v>0.28060000000000002</v>
      </c>
      <c r="AF178" s="10">
        <v>0.1138</v>
      </c>
      <c r="AG178" s="10">
        <v>0.3397</v>
      </c>
      <c r="AH178">
        <v>8.3650000000000002E-2</v>
      </c>
    </row>
    <row r="179" spans="3:34">
      <c r="C179" s="11" t="s">
        <v>357</v>
      </c>
      <c r="D179" s="10" t="s">
        <v>1</v>
      </c>
      <c r="E179" s="10">
        <v>13.71</v>
      </c>
      <c r="F179" s="10">
        <v>17.48</v>
      </c>
      <c r="G179" s="10">
        <v>65.049999999999898</v>
      </c>
      <c r="H179" s="10">
        <v>321.19999999999902</v>
      </c>
      <c r="I179" s="10">
        <v>8.054E-2</v>
      </c>
      <c r="J179" s="10">
        <v>5.90699999999999E-2</v>
      </c>
      <c r="K179" s="10">
        <v>5.774E-2</v>
      </c>
      <c r="L179" s="10">
        <v>1.0710000000000001E-2</v>
      </c>
      <c r="M179" s="10">
        <v>0.19639999999999899</v>
      </c>
      <c r="N179" s="10">
        <v>6.3149999999999901E-2</v>
      </c>
      <c r="O179" s="10">
        <v>0.35670000000000002</v>
      </c>
      <c r="P179" s="10">
        <v>1.9219999999999899</v>
      </c>
      <c r="Q179" s="10">
        <v>2.7469999999999901</v>
      </c>
      <c r="R179" s="10">
        <v>22.7899999999999</v>
      </c>
      <c r="S179" s="10">
        <v>4.6800000000000001E-3</v>
      </c>
      <c r="T179" s="10">
        <v>3.1199999999999901E-2</v>
      </c>
      <c r="U179" s="10">
        <v>5.774E-2</v>
      </c>
      <c r="V179" s="10">
        <v>1.0710000000000001E-2</v>
      </c>
      <c r="W179" s="10">
        <v>2.5600000000000001E-2</v>
      </c>
      <c r="X179" s="10">
        <v>4.6129999999999904E-3</v>
      </c>
      <c r="Y179" s="10">
        <v>11.48</v>
      </c>
      <c r="Z179" s="10">
        <v>24.469999999999899</v>
      </c>
      <c r="AA179" s="10">
        <v>75.400000000000006</v>
      </c>
      <c r="AB179" s="10">
        <v>403.69999999999902</v>
      </c>
      <c r="AC179" s="10">
        <v>9.5269999999999896E-2</v>
      </c>
      <c r="AD179" s="10">
        <v>0.13969999999999899</v>
      </c>
      <c r="AE179" s="10">
        <v>0.1925</v>
      </c>
      <c r="AF179" s="10">
        <v>3.5709999999999902E-2</v>
      </c>
      <c r="AG179" s="10">
        <v>0.2868</v>
      </c>
      <c r="AH179">
        <v>7.8090000000000007E-2</v>
      </c>
    </row>
    <row r="180" spans="3:34">
      <c r="C180" s="11" t="s">
        <v>358</v>
      </c>
      <c r="D180" s="10" t="s">
        <v>0</v>
      </c>
      <c r="E180" s="10">
        <v>13.71</v>
      </c>
      <c r="F180" s="10">
        <v>21.559999999999899</v>
      </c>
      <c r="G180" s="10">
        <v>129.69999999999899</v>
      </c>
      <c r="H180" s="10">
        <v>1230</v>
      </c>
      <c r="I180" s="10">
        <v>9.38299999999999E-2</v>
      </c>
      <c r="J180" s="10">
        <v>0.13059999999999899</v>
      </c>
      <c r="K180" s="10">
        <v>0.12720000000000001</v>
      </c>
      <c r="L180" s="10">
        <v>8.6910000000000001E-2</v>
      </c>
      <c r="M180" s="10">
        <v>0.2094</v>
      </c>
      <c r="N180" s="10">
        <v>5.5809999999999901E-2</v>
      </c>
      <c r="O180" s="10">
        <v>0.95530000000000004</v>
      </c>
      <c r="P180" s="10">
        <v>1.18599999999999</v>
      </c>
      <c r="Q180" s="10">
        <v>6.4870000000000001</v>
      </c>
      <c r="R180" s="10">
        <v>124.4</v>
      </c>
      <c r="S180" s="10">
        <v>6.8040000000000002E-3</v>
      </c>
      <c r="T180" s="10">
        <v>3.1690000000000003E-2</v>
      </c>
      <c r="U180" s="10">
        <v>3.44599999999999E-2</v>
      </c>
      <c r="V180" s="10">
        <v>1.712E-2</v>
      </c>
      <c r="W180" s="10">
        <v>1.8970000000000001E-2</v>
      </c>
      <c r="X180" s="10">
        <v>4.045E-3</v>
      </c>
      <c r="Y180" s="10">
        <v>25.73</v>
      </c>
      <c r="Z180" s="10">
        <v>28.64</v>
      </c>
      <c r="AA180" s="10">
        <v>170.3</v>
      </c>
      <c r="AB180" s="10">
        <v>2009</v>
      </c>
      <c r="AC180" s="10">
        <v>0.1353</v>
      </c>
      <c r="AD180" s="10">
        <v>0.32350000000000001</v>
      </c>
      <c r="AE180" s="10">
        <v>0.36170000000000002</v>
      </c>
      <c r="AF180" s="10">
        <v>0.182</v>
      </c>
      <c r="AG180" s="10">
        <v>0.307</v>
      </c>
      <c r="AH180">
        <v>8.2549999999999901E-2</v>
      </c>
    </row>
    <row r="181" spans="3:34">
      <c r="C181" s="11" t="s">
        <v>359</v>
      </c>
      <c r="D181" s="10" t="s">
        <v>0</v>
      </c>
      <c r="E181" s="10">
        <v>13.71</v>
      </c>
      <c r="F181" s="10">
        <v>32.469999999999899</v>
      </c>
      <c r="G181" s="10">
        <v>128</v>
      </c>
      <c r="H181" s="10">
        <v>1223</v>
      </c>
      <c r="I181" s="10">
        <v>8.41999999999999E-2</v>
      </c>
      <c r="J181" s="10">
        <v>0.113</v>
      </c>
      <c r="K181" s="10">
        <v>0.1145</v>
      </c>
      <c r="L181" s="10">
        <v>6.6369999999999901E-2</v>
      </c>
      <c r="M181" s="10">
        <v>0.14280000000000001</v>
      </c>
      <c r="N181" s="10">
        <v>5.31299999999999E-2</v>
      </c>
      <c r="O181" s="10">
        <v>0.73919999999999897</v>
      </c>
      <c r="P181" s="10">
        <v>1.321</v>
      </c>
      <c r="Q181" s="10">
        <v>4.7220000000000004</v>
      </c>
      <c r="R181" s="10">
        <v>109.9</v>
      </c>
      <c r="S181" s="10">
        <v>5.5389999999999901E-3</v>
      </c>
      <c r="T181" s="10">
        <v>2.6440000000000002E-2</v>
      </c>
      <c r="U181" s="10">
        <v>2.664E-2</v>
      </c>
      <c r="V181" s="10">
        <v>1.078E-2</v>
      </c>
      <c r="W181" s="10">
        <v>1.332E-2</v>
      </c>
      <c r="X181" s="10">
        <v>2.2560000000000002E-3</v>
      </c>
      <c r="Y181" s="10">
        <v>27.899999999999899</v>
      </c>
      <c r="Z181" s="10">
        <v>45.409999999999897</v>
      </c>
      <c r="AA181" s="10">
        <v>180.19999999999899</v>
      </c>
      <c r="AB181" s="10">
        <v>2477</v>
      </c>
      <c r="AC181" s="10">
        <v>0.14080000000000001</v>
      </c>
      <c r="AD181" s="10">
        <v>0.40970000000000001</v>
      </c>
      <c r="AE181" s="10">
        <v>0.39950000000000002</v>
      </c>
      <c r="AF181" s="10">
        <v>0.16250000000000001</v>
      </c>
      <c r="AG181" s="10">
        <v>0.27129999999999899</v>
      </c>
      <c r="AH181">
        <v>7.56799999999999E-2</v>
      </c>
    </row>
    <row r="182" spans="3:34">
      <c r="C182" s="11" t="s">
        <v>360</v>
      </c>
      <c r="D182" s="10" t="s">
        <v>1</v>
      </c>
      <c r="E182" s="10">
        <v>13.71</v>
      </c>
      <c r="F182" s="10">
        <v>13.16</v>
      </c>
      <c r="G182" s="10">
        <v>87.879999999999896</v>
      </c>
      <c r="H182" s="10">
        <v>568.89999999999895</v>
      </c>
      <c r="I182" s="10">
        <v>9.6460000000000004E-2</v>
      </c>
      <c r="J182" s="10">
        <v>8.7110000000000007E-2</v>
      </c>
      <c r="K182" s="10">
        <v>3.8879999999999901E-2</v>
      </c>
      <c r="L182" s="10">
        <v>2.563E-2</v>
      </c>
      <c r="M182" s="10">
        <v>0.13600000000000001</v>
      </c>
      <c r="N182" s="10">
        <v>6.3439999999999899E-2</v>
      </c>
      <c r="O182" s="10">
        <v>0.2102</v>
      </c>
      <c r="P182" s="10">
        <v>0.43359999999999899</v>
      </c>
      <c r="Q182" s="10">
        <v>1.391</v>
      </c>
      <c r="R182" s="10">
        <v>17.399999999999899</v>
      </c>
      <c r="S182" s="10">
        <v>4.1330000000000004E-3</v>
      </c>
      <c r="T182" s="10">
        <v>1.695E-2</v>
      </c>
      <c r="U182" s="10">
        <v>1.652E-2</v>
      </c>
      <c r="V182" s="10">
        <v>6.659E-3</v>
      </c>
      <c r="W182" s="10">
        <v>1.371E-2</v>
      </c>
      <c r="X182" s="10">
        <v>2.735E-3</v>
      </c>
      <c r="Y182" s="10">
        <v>15.34</v>
      </c>
      <c r="Z182" s="10">
        <v>16.350000000000001</v>
      </c>
      <c r="AA182" s="10">
        <v>99.709999999999894</v>
      </c>
      <c r="AB182" s="10">
        <v>706.2</v>
      </c>
      <c r="AC182" s="10">
        <v>0.131099999999999</v>
      </c>
      <c r="AD182" s="10">
        <v>0.24740000000000001</v>
      </c>
      <c r="AE182" s="10">
        <v>0.1759</v>
      </c>
      <c r="AF182" s="10">
        <v>8.0560000000000007E-2</v>
      </c>
      <c r="AG182" s="10">
        <v>0.23799999999999899</v>
      </c>
      <c r="AH182">
        <v>8.7179999999999896E-2</v>
      </c>
    </row>
    <row r="183" spans="3:34">
      <c r="C183" s="11" t="s">
        <v>361</v>
      </c>
      <c r="D183" s="10" t="s">
        <v>1</v>
      </c>
      <c r="E183" s="10">
        <v>13.71</v>
      </c>
      <c r="F183" s="10">
        <v>13.9</v>
      </c>
      <c r="G183" s="10">
        <v>88.59</v>
      </c>
      <c r="H183" s="10">
        <v>561.29999999999905</v>
      </c>
      <c r="I183" s="10">
        <v>0.1051</v>
      </c>
      <c r="J183" s="10">
        <v>0.1192</v>
      </c>
      <c r="K183" s="10">
        <v>7.8600000000000003E-2</v>
      </c>
      <c r="L183" s="10">
        <v>4.4510000000000001E-2</v>
      </c>
      <c r="M183" s="10">
        <v>0.19620000000000001</v>
      </c>
      <c r="N183" s="10">
        <v>6.3030000000000003E-2</v>
      </c>
      <c r="O183" s="10">
        <v>0.25690000000000002</v>
      </c>
      <c r="P183" s="10">
        <v>0.49809999999999899</v>
      </c>
      <c r="Q183" s="10">
        <v>2.0110000000000001</v>
      </c>
      <c r="R183" s="10">
        <v>21.03</v>
      </c>
      <c r="S183" s="10">
        <v>5.8510000000000003E-3</v>
      </c>
      <c r="T183" s="10">
        <v>2.3140000000000001E-2</v>
      </c>
      <c r="U183" s="10">
        <v>2.5440000000000001E-2</v>
      </c>
      <c r="V183" s="10">
        <v>8.3599999999999907E-3</v>
      </c>
      <c r="W183" s="10">
        <v>1.8419999999999902E-2</v>
      </c>
      <c r="X183" s="10">
        <v>2.918E-3</v>
      </c>
      <c r="Y183" s="10">
        <v>14.98</v>
      </c>
      <c r="Z183" s="10">
        <v>17.1299999999999</v>
      </c>
      <c r="AA183" s="10">
        <v>101.099999999999</v>
      </c>
      <c r="AB183" s="10">
        <v>686.6</v>
      </c>
      <c r="AC183" s="10">
        <v>0.1376</v>
      </c>
      <c r="AD183" s="10">
        <v>0.26979999999999899</v>
      </c>
      <c r="AE183" s="10">
        <v>0.25769999999999899</v>
      </c>
      <c r="AF183" s="10">
        <v>9.0899999999999898E-2</v>
      </c>
      <c r="AG183" s="10">
        <v>0.306499999999999</v>
      </c>
      <c r="AH183">
        <v>8.1769999999999898E-2</v>
      </c>
    </row>
    <row r="184" spans="3:34">
      <c r="C184" s="11" t="s">
        <v>362</v>
      </c>
      <c r="D184" s="10" t="s">
        <v>1</v>
      </c>
      <c r="E184" s="10">
        <v>13.71</v>
      </c>
      <c r="F184" s="10">
        <v>17.53</v>
      </c>
      <c r="G184" s="10">
        <v>65.12</v>
      </c>
      <c r="H184" s="10">
        <v>313.10000000000002</v>
      </c>
      <c r="I184" s="10">
        <v>0.1061</v>
      </c>
      <c r="J184" s="10">
        <v>8.5019999999999901E-2</v>
      </c>
      <c r="K184" s="10">
        <v>1.7680000000000001E-2</v>
      </c>
      <c r="L184" s="10">
        <v>1.915E-2</v>
      </c>
      <c r="M184" s="10">
        <v>0.191</v>
      </c>
      <c r="N184" s="10">
        <v>6.9080000000000003E-2</v>
      </c>
      <c r="O184" s="10">
        <v>0.2467</v>
      </c>
      <c r="P184" s="10">
        <v>1.2170000000000001</v>
      </c>
      <c r="Q184" s="10">
        <v>1.641</v>
      </c>
      <c r="R184" s="10">
        <v>15.05</v>
      </c>
      <c r="S184" s="10">
        <v>7.8989999999999894E-3</v>
      </c>
      <c r="T184" s="10">
        <v>1.4E-2</v>
      </c>
      <c r="U184" s="10">
        <v>8.5339999999999895E-3</v>
      </c>
      <c r="V184" s="10">
        <v>7.6239999999999902E-3</v>
      </c>
      <c r="W184" s="10">
        <v>2.6370000000000001E-2</v>
      </c>
      <c r="X184" s="10">
        <v>3.761E-3</v>
      </c>
      <c r="Y184" s="10">
        <v>11.17</v>
      </c>
      <c r="Z184" s="10">
        <v>22.84</v>
      </c>
      <c r="AA184" s="10">
        <v>71.939999999999898</v>
      </c>
      <c r="AB184" s="10">
        <v>375.6</v>
      </c>
      <c r="AC184" s="10">
        <v>0.1406</v>
      </c>
      <c r="AD184" s="10">
        <v>0.14399999999999899</v>
      </c>
      <c r="AE184" s="10">
        <v>6.5720000000000001E-2</v>
      </c>
      <c r="AF184" s="10">
        <v>5.5750000000000001E-2</v>
      </c>
      <c r="AG184" s="10">
        <v>0.30549999999999899</v>
      </c>
      <c r="AH184">
        <v>8.7970000000000007E-2</v>
      </c>
    </row>
    <row r="185" spans="3:34">
      <c r="C185" s="11" t="s">
        <v>363</v>
      </c>
      <c r="D185" s="10" t="s">
        <v>0</v>
      </c>
      <c r="E185" s="10">
        <v>13.71</v>
      </c>
      <c r="F185" s="10">
        <v>20.25</v>
      </c>
      <c r="G185" s="10">
        <v>102.599999999999</v>
      </c>
      <c r="H185" s="10">
        <v>761.29999999999905</v>
      </c>
      <c r="I185" s="10">
        <v>0.10249999999999899</v>
      </c>
      <c r="J185" s="10">
        <v>0.12039999999999899</v>
      </c>
      <c r="K185" s="10">
        <v>0.1147</v>
      </c>
      <c r="L185" s="10">
        <v>6.46199999999999E-2</v>
      </c>
      <c r="M185" s="10">
        <v>0.19350000000000001</v>
      </c>
      <c r="N185" s="10">
        <v>6.3030000000000003E-2</v>
      </c>
      <c r="O185" s="10">
        <v>0.3473</v>
      </c>
      <c r="P185" s="10">
        <v>0.92090000000000005</v>
      </c>
      <c r="Q185" s="10">
        <v>2.2440000000000002</v>
      </c>
      <c r="R185" s="10">
        <v>32.189999999999898</v>
      </c>
      <c r="S185" s="10">
        <v>4.7660000000000003E-3</v>
      </c>
      <c r="T185" s="10">
        <v>2.3740000000000001E-2</v>
      </c>
      <c r="U185" s="10">
        <v>2.384E-2</v>
      </c>
      <c r="V185" s="10">
        <v>8.6370000000000006E-3</v>
      </c>
      <c r="W185" s="10">
        <v>1.772E-2</v>
      </c>
      <c r="X185" s="10">
        <v>3.1310000000000001E-3</v>
      </c>
      <c r="Y185" s="10">
        <v>19.559999999999899</v>
      </c>
      <c r="Z185" s="10">
        <v>30.2899999999999</v>
      </c>
      <c r="AA185" s="10">
        <v>125.9</v>
      </c>
      <c r="AB185" s="10">
        <v>1088</v>
      </c>
      <c r="AC185" s="10">
        <v>0.1552</v>
      </c>
      <c r="AD185" s="10">
        <v>0.44800000000000001</v>
      </c>
      <c r="AE185" s="10">
        <v>0.39760000000000001</v>
      </c>
      <c r="AF185" s="10">
        <v>0.1479</v>
      </c>
      <c r="AG185" s="10">
        <v>0.39929999999999899</v>
      </c>
      <c r="AH185">
        <v>0.106399999999999</v>
      </c>
    </row>
    <row r="186" spans="3:34">
      <c r="C186" s="11" t="s">
        <v>367</v>
      </c>
      <c r="D186" s="10" t="s">
        <v>1</v>
      </c>
      <c r="E186" s="10">
        <v>13.71</v>
      </c>
      <c r="F186" s="10">
        <v>15.51</v>
      </c>
      <c r="G186" s="10">
        <v>97.45</v>
      </c>
      <c r="H186" s="10">
        <v>684.5</v>
      </c>
      <c r="I186" s="10">
        <v>8.3710000000000007E-2</v>
      </c>
      <c r="J186" s="10">
        <v>0.1096</v>
      </c>
      <c r="K186" s="10">
        <v>6.50499999999999E-2</v>
      </c>
      <c r="L186" s="10">
        <v>3.78E-2</v>
      </c>
      <c r="M186" s="10">
        <v>0.18809999999999899</v>
      </c>
      <c r="N186" s="10">
        <v>5.90699999999999E-2</v>
      </c>
      <c r="O186" s="10">
        <v>0.23180000000000001</v>
      </c>
      <c r="P186" s="10">
        <v>0.49659999999999899</v>
      </c>
      <c r="Q186" s="10">
        <v>2.27599999999999</v>
      </c>
      <c r="R186" s="10">
        <v>19.8799999999999</v>
      </c>
      <c r="S186" s="10">
        <v>4.1190000000000003E-3</v>
      </c>
      <c r="T186" s="10">
        <v>3.2070000000000001E-2</v>
      </c>
      <c r="U186" s="10">
        <v>3.644E-2</v>
      </c>
      <c r="V186" s="10">
        <v>1.155E-2</v>
      </c>
      <c r="W186" s="10">
        <v>1.391E-2</v>
      </c>
      <c r="X186" s="10">
        <v>3.2039999999999898E-3</v>
      </c>
      <c r="Y186" s="10">
        <v>16.41</v>
      </c>
      <c r="Z186" s="10">
        <v>19.309999999999899</v>
      </c>
      <c r="AA186" s="10">
        <v>114.2</v>
      </c>
      <c r="AB186" s="10">
        <v>808.2</v>
      </c>
      <c r="AC186" s="10">
        <v>0.11360000000000001</v>
      </c>
      <c r="AD186" s="10">
        <v>0.36270000000000002</v>
      </c>
      <c r="AE186" s="10">
        <v>0.3402</v>
      </c>
      <c r="AF186" s="10">
        <v>0.137899999999999</v>
      </c>
      <c r="AG186" s="10">
        <v>0.2954</v>
      </c>
      <c r="AH186">
        <v>8.362E-2</v>
      </c>
    </row>
    <row r="187" spans="3:34">
      <c r="C187" s="11" t="s">
        <v>368</v>
      </c>
      <c r="D187" s="10" t="s">
        <v>1</v>
      </c>
      <c r="E187" s="10">
        <v>13.71</v>
      </c>
      <c r="F187" s="10">
        <v>23.969999999999899</v>
      </c>
      <c r="G187" s="10">
        <v>81.349999999999895</v>
      </c>
      <c r="H187" s="10">
        <v>496.39999999999901</v>
      </c>
      <c r="I187" s="10">
        <v>7.9030000000000003E-2</v>
      </c>
      <c r="J187" s="10">
        <v>7.5289999999999899E-2</v>
      </c>
      <c r="K187" s="10">
        <v>5.4379999999999901E-2</v>
      </c>
      <c r="L187" s="10">
        <v>2.036E-2</v>
      </c>
      <c r="M187" s="10">
        <v>0.15140000000000001</v>
      </c>
      <c r="N187" s="10">
        <v>6.019E-2</v>
      </c>
      <c r="O187" s="10">
        <v>0.24490000000000001</v>
      </c>
      <c r="P187" s="10">
        <v>1.0660000000000001</v>
      </c>
      <c r="Q187" s="10">
        <v>1.4450000000000001</v>
      </c>
      <c r="R187" s="10">
        <v>18.510000000000002</v>
      </c>
      <c r="S187" s="10">
        <v>5.169E-3</v>
      </c>
      <c r="T187" s="10">
        <v>2.2939999999999901E-2</v>
      </c>
      <c r="U187" s="10">
        <v>3.0159999999999899E-2</v>
      </c>
      <c r="V187" s="10">
        <v>8.6910000000000008E-3</v>
      </c>
      <c r="W187" s="10">
        <v>1.3650000000000001E-2</v>
      </c>
      <c r="X187" s="10">
        <v>3.4069999999999899E-3</v>
      </c>
      <c r="Y187" s="10">
        <v>14.1999999999999</v>
      </c>
      <c r="Z187" s="10">
        <v>31.309999999999899</v>
      </c>
      <c r="AA187" s="10">
        <v>90.67</v>
      </c>
      <c r="AB187" s="10">
        <v>624</v>
      </c>
      <c r="AC187" s="10">
        <v>0.1227</v>
      </c>
      <c r="AD187" s="10">
        <v>0.34539999999999899</v>
      </c>
      <c r="AE187" s="10">
        <v>0.3911</v>
      </c>
      <c r="AF187" s="10">
        <v>0.11799999999999899</v>
      </c>
      <c r="AG187" s="10">
        <v>0.28260000000000002</v>
      </c>
      <c r="AH187">
        <v>9.5850000000000005E-2</v>
      </c>
    </row>
    <row r="188" spans="3:34">
      <c r="C188" s="11" t="s">
        <v>369</v>
      </c>
      <c r="D188" s="10" t="s">
        <v>0</v>
      </c>
      <c r="E188" s="10">
        <v>13.71</v>
      </c>
      <c r="F188" s="10">
        <v>22.329999999999899</v>
      </c>
      <c r="G188" s="10">
        <v>85.26</v>
      </c>
      <c r="H188" s="10">
        <v>503.19999999999902</v>
      </c>
      <c r="I188" s="10">
        <v>0.10879999999999899</v>
      </c>
      <c r="J188" s="10">
        <v>0.1799</v>
      </c>
      <c r="K188" s="10">
        <v>0.16950000000000001</v>
      </c>
      <c r="L188" s="10">
        <v>6.8610000000000004E-2</v>
      </c>
      <c r="M188" s="10">
        <v>0.21229999999999899</v>
      </c>
      <c r="N188" s="10">
        <v>7.2539999999999896E-2</v>
      </c>
      <c r="O188" s="10">
        <v>0.30609999999999898</v>
      </c>
      <c r="P188" s="10">
        <v>1.069</v>
      </c>
      <c r="Q188" s="10">
        <v>2.2570000000000001</v>
      </c>
      <c r="R188" s="10">
        <v>25.1299999999999</v>
      </c>
      <c r="S188" s="10">
        <v>6.9829999999999901E-3</v>
      </c>
      <c r="T188" s="10">
        <v>3.8580000000000003E-2</v>
      </c>
      <c r="U188" s="10">
        <v>4.6829999999999899E-2</v>
      </c>
      <c r="V188" s="10">
        <v>1.499E-2</v>
      </c>
      <c r="W188" s="10">
        <v>1.6799999999999898E-2</v>
      </c>
      <c r="X188" s="10">
        <v>5.6169999999999901E-3</v>
      </c>
      <c r="Y188" s="10">
        <v>15.1999999999999</v>
      </c>
      <c r="Z188" s="10">
        <v>30.149999999999899</v>
      </c>
      <c r="AA188" s="10">
        <v>105.3</v>
      </c>
      <c r="AB188" s="10">
        <v>706</v>
      </c>
      <c r="AC188" s="10">
        <v>0.1777</v>
      </c>
      <c r="AD188" s="10">
        <v>0.5343</v>
      </c>
      <c r="AE188" s="10">
        <v>0.62819999999999898</v>
      </c>
      <c r="AF188" s="10">
        <v>0.19769999999999899</v>
      </c>
      <c r="AG188" s="10">
        <v>0.3407</v>
      </c>
      <c r="AH188">
        <v>0.12429999999999899</v>
      </c>
    </row>
    <row r="189" spans="3:34">
      <c r="C189" s="11" t="s">
        <v>371</v>
      </c>
      <c r="D189" s="10" t="s">
        <v>1</v>
      </c>
      <c r="E189" s="10">
        <v>13.71</v>
      </c>
      <c r="F189" s="10">
        <v>27.079999999999899</v>
      </c>
      <c r="G189" s="10">
        <v>71.760000000000005</v>
      </c>
      <c r="H189" s="10">
        <v>395.69999999999902</v>
      </c>
      <c r="I189" s="10">
        <v>6.8830000000000002E-2</v>
      </c>
      <c r="J189" s="10">
        <v>3.81299999999999E-2</v>
      </c>
      <c r="K189" s="10">
        <v>1.6330000000000001E-2</v>
      </c>
      <c r="L189" s="10">
        <v>3.1250000000000002E-3</v>
      </c>
      <c r="M189" s="10">
        <v>0.18690000000000001</v>
      </c>
      <c r="N189" s="10">
        <v>5.62799999999999E-2</v>
      </c>
      <c r="O189" s="10">
        <v>0.121</v>
      </c>
      <c r="P189" s="10">
        <v>0.89270000000000005</v>
      </c>
      <c r="Q189" s="10">
        <v>1.0589999999999899</v>
      </c>
      <c r="R189" s="10">
        <v>8.6050000000000004</v>
      </c>
      <c r="S189" s="10">
        <v>3.653E-3</v>
      </c>
      <c r="T189" s="10">
        <v>1.6469999999999901E-2</v>
      </c>
      <c r="U189" s="10">
        <v>1.6330000000000001E-2</v>
      </c>
      <c r="V189" s="10">
        <v>3.1250000000000002E-3</v>
      </c>
      <c r="W189" s="10">
        <v>1.537E-2</v>
      </c>
      <c r="X189" s="10">
        <v>2.052E-3</v>
      </c>
      <c r="Y189" s="10">
        <v>12.08</v>
      </c>
      <c r="Z189" s="10">
        <v>33.75</v>
      </c>
      <c r="AA189" s="10">
        <v>79.819999999999894</v>
      </c>
      <c r="AB189" s="10">
        <v>452.3</v>
      </c>
      <c r="AC189" s="10">
        <v>9.2030000000000001E-2</v>
      </c>
      <c r="AD189" s="10">
        <v>0.14319999999999899</v>
      </c>
      <c r="AE189" s="10">
        <v>0.1089</v>
      </c>
      <c r="AF189" s="10">
        <v>2.0830000000000001E-2</v>
      </c>
      <c r="AG189" s="10">
        <v>0.28489999999999899</v>
      </c>
      <c r="AH189">
        <v>7.0870000000000002E-2</v>
      </c>
    </row>
    <row r="190" spans="3:34">
      <c r="C190" s="11" t="s">
        <v>373</v>
      </c>
      <c r="D190" s="10" t="s">
        <v>0</v>
      </c>
      <c r="E190" s="10">
        <v>13.71</v>
      </c>
      <c r="F190" s="10">
        <v>27.809999999999899</v>
      </c>
      <c r="G190" s="10">
        <v>134.4</v>
      </c>
      <c r="H190" s="10">
        <v>1319</v>
      </c>
      <c r="I190" s="10">
        <v>9.1590000000000005E-2</v>
      </c>
      <c r="J190" s="10">
        <v>0.1074</v>
      </c>
      <c r="K190" s="10">
        <v>0.15540000000000001</v>
      </c>
      <c r="L190" s="10">
        <v>8.3400000000000002E-2</v>
      </c>
      <c r="M190" s="10">
        <v>0.14480000000000001</v>
      </c>
      <c r="N190" s="10">
        <v>5.59199999999999E-2</v>
      </c>
      <c r="O190" s="10">
        <v>0.52400000000000002</v>
      </c>
      <c r="P190" s="10">
        <v>1.1890000000000001</v>
      </c>
      <c r="Q190" s="10">
        <v>3.7669999999999901</v>
      </c>
      <c r="R190" s="10">
        <v>70.010000000000005</v>
      </c>
      <c r="S190" s="10">
        <v>5.0200000000000002E-3</v>
      </c>
      <c r="T190" s="10">
        <v>2.0619999999999899E-2</v>
      </c>
      <c r="U190" s="10">
        <v>3.4569999999999899E-2</v>
      </c>
      <c r="V190" s="10">
        <v>1.091E-2</v>
      </c>
      <c r="W190" s="10">
        <v>1.298E-2</v>
      </c>
      <c r="X190" s="10">
        <v>2.8869999999999898E-3</v>
      </c>
      <c r="Y190" s="10">
        <v>24.469999999999899</v>
      </c>
      <c r="Z190" s="10">
        <v>37.380000000000003</v>
      </c>
      <c r="AA190" s="10">
        <v>162.69999999999899</v>
      </c>
      <c r="AB190" s="10">
        <v>1872</v>
      </c>
      <c r="AC190" s="10">
        <v>0.12230000000000001</v>
      </c>
      <c r="AD190" s="10">
        <v>0.27610000000000001</v>
      </c>
      <c r="AE190" s="10">
        <v>0.41460000000000002</v>
      </c>
      <c r="AF190" s="10">
        <v>0.156299999999999</v>
      </c>
      <c r="AG190" s="10">
        <v>0.2437</v>
      </c>
      <c r="AH190">
        <v>8.3280000000000007E-2</v>
      </c>
    </row>
    <row r="191" spans="3:34">
      <c r="C191" s="11" t="s">
        <v>374</v>
      </c>
      <c r="D191" s="10" t="s">
        <v>1</v>
      </c>
      <c r="E191" s="10">
        <v>13.71</v>
      </c>
      <c r="F191" s="10">
        <v>15.91</v>
      </c>
      <c r="G191" s="10">
        <v>60.21</v>
      </c>
      <c r="H191" s="10">
        <v>279.60000000000002</v>
      </c>
      <c r="I191" s="10">
        <v>8.4640000000000007E-2</v>
      </c>
      <c r="J191" s="10">
        <v>4.0869999999999899E-2</v>
      </c>
      <c r="K191" s="10">
        <v>1.652E-2</v>
      </c>
      <c r="L191" s="10">
        <v>1.6670000000000001E-2</v>
      </c>
      <c r="M191" s="10">
        <v>0.15509999999999899</v>
      </c>
      <c r="N191" s="10">
        <v>6.4030000000000004E-2</v>
      </c>
      <c r="O191" s="10">
        <v>0.2152</v>
      </c>
      <c r="P191" s="10">
        <v>0.83009999999999895</v>
      </c>
      <c r="Q191" s="10">
        <v>1.2150000000000001</v>
      </c>
      <c r="R191" s="10">
        <v>12.64</v>
      </c>
      <c r="S191" s="10">
        <v>1.16399999999999E-2</v>
      </c>
      <c r="T191" s="10">
        <v>1.04E-2</v>
      </c>
      <c r="U191" s="10">
        <v>1.1860000000000001E-2</v>
      </c>
      <c r="V191" s="10">
        <v>9.6229999999999892E-3</v>
      </c>
      <c r="W191" s="10">
        <v>2.383E-2</v>
      </c>
      <c r="X191" s="10">
        <v>3.5400000000000002E-3</v>
      </c>
      <c r="Y191" s="10">
        <v>10.51</v>
      </c>
      <c r="Z191" s="10">
        <v>19.16</v>
      </c>
      <c r="AA191" s="10">
        <v>65.739999999999895</v>
      </c>
      <c r="AB191" s="10">
        <v>335.89999999999901</v>
      </c>
      <c r="AC191" s="10">
        <v>0.15040000000000001</v>
      </c>
      <c r="AD191" s="10">
        <v>9.5149999999999901E-2</v>
      </c>
      <c r="AE191" s="10">
        <v>7.1609999999999896E-2</v>
      </c>
      <c r="AF191" s="10">
        <v>7.2220000000000006E-2</v>
      </c>
      <c r="AG191" s="10">
        <v>0.2757</v>
      </c>
      <c r="AH191">
        <v>8.1780000000000005E-2</v>
      </c>
    </row>
    <row r="192" spans="3:34">
      <c r="C192" s="11" t="s">
        <v>375</v>
      </c>
      <c r="D192" s="10" t="s">
        <v>1</v>
      </c>
      <c r="E192" s="10">
        <v>13.71</v>
      </c>
      <c r="F192" s="10">
        <v>21.25</v>
      </c>
      <c r="G192" s="10">
        <v>89.79</v>
      </c>
      <c r="H192" s="10">
        <v>603.39999999999895</v>
      </c>
      <c r="I192" s="10">
        <v>9.0700000000000003E-2</v>
      </c>
      <c r="J192" s="10">
        <v>6.9449999999999901E-2</v>
      </c>
      <c r="K192" s="10">
        <v>1.46199999999999E-2</v>
      </c>
      <c r="L192" s="10">
        <v>1.8960000000000001E-2</v>
      </c>
      <c r="M192" s="10">
        <v>0.1517</v>
      </c>
      <c r="N192" s="10">
        <v>5.8349999999999902E-2</v>
      </c>
      <c r="O192" s="10">
        <v>0.25890000000000002</v>
      </c>
      <c r="P192" s="10">
        <v>1.5029999999999899</v>
      </c>
      <c r="Q192" s="10">
        <v>1.667</v>
      </c>
      <c r="R192" s="10">
        <v>22.07</v>
      </c>
      <c r="S192" s="10">
        <v>7.3889999999999902E-3</v>
      </c>
      <c r="T192" s="10">
        <v>1.383E-2</v>
      </c>
      <c r="U192" s="10">
        <v>7.3020000000000003E-3</v>
      </c>
      <c r="V192" s="10">
        <v>1.004E-2</v>
      </c>
      <c r="W192" s="10">
        <v>1.2630000000000001E-2</v>
      </c>
      <c r="X192" s="10">
        <v>2.9250000000000001E-3</v>
      </c>
      <c r="Y192" s="10">
        <v>15.33</v>
      </c>
      <c r="Z192" s="10">
        <v>30.28</v>
      </c>
      <c r="AA192" s="10">
        <v>98.269999999999897</v>
      </c>
      <c r="AB192" s="10">
        <v>715.5</v>
      </c>
      <c r="AC192" s="10">
        <v>0.12870000000000001</v>
      </c>
      <c r="AD192" s="10">
        <v>0.15129999999999899</v>
      </c>
      <c r="AE192" s="10">
        <v>6.23099999999999E-2</v>
      </c>
      <c r="AF192" s="10">
        <v>7.9630000000000006E-2</v>
      </c>
      <c r="AG192" s="10">
        <v>0.22259999999999899</v>
      </c>
      <c r="AH192">
        <v>7.6170000000000002E-2</v>
      </c>
    </row>
    <row r="193" spans="3:34">
      <c r="C193" s="11" t="s">
        <v>378</v>
      </c>
      <c r="D193" s="10" t="s">
        <v>1</v>
      </c>
      <c r="E193" s="10">
        <v>13.71</v>
      </c>
      <c r="F193" s="10">
        <v>27.85</v>
      </c>
      <c r="G193" s="10">
        <v>92.549999999999898</v>
      </c>
      <c r="H193" s="10">
        <v>623.89999999999895</v>
      </c>
      <c r="I193" s="10">
        <v>8.22299999999999E-2</v>
      </c>
      <c r="J193" s="10">
        <v>0.10390000000000001</v>
      </c>
      <c r="K193" s="10">
        <v>0.1103</v>
      </c>
      <c r="L193" s="10">
        <v>4.4080000000000001E-2</v>
      </c>
      <c r="M193" s="10">
        <v>0.13420000000000001</v>
      </c>
      <c r="N193" s="10">
        <v>6.12899999999999E-2</v>
      </c>
      <c r="O193" s="10">
        <v>0.33539999999999898</v>
      </c>
      <c r="P193" s="10">
        <v>2.3239999999999901</v>
      </c>
      <c r="Q193" s="10">
        <v>2.105</v>
      </c>
      <c r="R193" s="10">
        <v>29.96</v>
      </c>
      <c r="S193" s="10">
        <v>6.3070000000000001E-3</v>
      </c>
      <c r="T193" s="10">
        <v>2.845E-2</v>
      </c>
      <c r="U193" s="10">
        <v>3.85E-2</v>
      </c>
      <c r="V193" s="10">
        <v>1.01099999999999E-2</v>
      </c>
      <c r="W193" s="10">
        <v>1.1849999999999901E-2</v>
      </c>
      <c r="X193" s="10">
        <v>3.5890000000000002E-3</v>
      </c>
      <c r="Y193" s="10">
        <v>15.75</v>
      </c>
      <c r="Z193" s="10">
        <v>40.5399999999999</v>
      </c>
      <c r="AA193" s="10">
        <v>102.5</v>
      </c>
      <c r="AB193" s="10">
        <v>764</v>
      </c>
      <c r="AC193" s="10">
        <v>0.1081</v>
      </c>
      <c r="AD193" s="10">
        <v>0.24260000000000001</v>
      </c>
      <c r="AE193" s="10">
        <v>0.30640000000000001</v>
      </c>
      <c r="AF193" s="10">
        <v>8.2189999999999902E-2</v>
      </c>
      <c r="AG193" s="10">
        <v>0.189</v>
      </c>
      <c r="AH193">
        <v>7.7960000000000002E-2</v>
      </c>
    </row>
    <row r="194" spans="3:34">
      <c r="C194" s="11" t="s">
        <v>379</v>
      </c>
      <c r="D194" s="10" t="s">
        <v>0</v>
      </c>
      <c r="E194" s="10">
        <v>13.71</v>
      </c>
      <c r="F194" s="10">
        <v>39.28</v>
      </c>
      <c r="G194" s="10">
        <v>113.4</v>
      </c>
      <c r="H194" s="10">
        <v>920.6</v>
      </c>
      <c r="I194" s="10">
        <v>9.8119999999999902E-2</v>
      </c>
      <c r="J194" s="10">
        <v>0.1298</v>
      </c>
      <c r="K194" s="10">
        <v>0.14169999999999899</v>
      </c>
      <c r="L194" s="10">
        <v>8.8109999999999897E-2</v>
      </c>
      <c r="M194" s="10">
        <v>0.18090000000000001</v>
      </c>
      <c r="N194" s="10">
        <v>5.9659999999999901E-2</v>
      </c>
      <c r="O194" s="10">
        <v>0.53659999999999897</v>
      </c>
      <c r="P194" s="10">
        <v>0.85609999999999897</v>
      </c>
      <c r="Q194" s="10">
        <v>3.00199999999999</v>
      </c>
      <c r="R194" s="10">
        <v>49</v>
      </c>
      <c r="S194" s="10">
        <v>4.8599999999999902E-3</v>
      </c>
      <c r="T194" s="10">
        <v>2.785E-2</v>
      </c>
      <c r="U194" s="10">
        <v>2.6020000000000001E-2</v>
      </c>
      <c r="V194" s="10">
        <v>1.374E-2</v>
      </c>
      <c r="W194" s="10">
        <v>1.226E-2</v>
      </c>
      <c r="X194" s="10">
        <v>2.7590000000000002E-3</v>
      </c>
      <c r="Y194" s="10">
        <v>22.51</v>
      </c>
      <c r="Z194" s="10">
        <v>44.869999999999898</v>
      </c>
      <c r="AA194" s="10">
        <v>141.19999999999899</v>
      </c>
      <c r="AB194" s="10">
        <v>1408</v>
      </c>
      <c r="AC194" s="10">
        <v>0.13650000000000001</v>
      </c>
      <c r="AD194" s="10">
        <v>0.3735</v>
      </c>
      <c r="AE194" s="10">
        <v>0.3241</v>
      </c>
      <c r="AF194" s="10">
        <v>0.20660000000000001</v>
      </c>
      <c r="AG194" s="10">
        <v>0.2853</v>
      </c>
      <c r="AH194">
        <v>8.4959999999999897E-2</v>
      </c>
    </row>
    <row r="195" spans="3:34">
      <c r="C195" s="11" t="s">
        <v>380</v>
      </c>
      <c r="D195" s="10" t="s">
        <v>1</v>
      </c>
      <c r="E195" s="10">
        <v>13.71</v>
      </c>
      <c r="F195" s="10">
        <v>15.6</v>
      </c>
      <c r="G195" s="10">
        <v>87.379999999999896</v>
      </c>
      <c r="H195" s="10">
        <v>575.29999999999905</v>
      </c>
      <c r="I195" s="10">
        <v>9.4229999999999897E-2</v>
      </c>
      <c r="J195" s="10">
        <v>6.6299999999999901E-2</v>
      </c>
      <c r="K195" s="10">
        <v>4.7050000000000002E-2</v>
      </c>
      <c r="L195" s="10">
        <v>3.7310000000000003E-2</v>
      </c>
      <c r="M195" s="10">
        <v>0.17169999999999899</v>
      </c>
      <c r="N195" s="10">
        <v>5.65999999999999E-2</v>
      </c>
      <c r="O195" s="10">
        <v>0.32419999999999899</v>
      </c>
      <c r="P195" s="10">
        <v>0.66120000000000001</v>
      </c>
      <c r="Q195" s="10">
        <v>1.996</v>
      </c>
      <c r="R195" s="10">
        <v>27.19</v>
      </c>
      <c r="S195" s="10">
        <v>6.4700000000000001E-3</v>
      </c>
      <c r="T195" s="10">
        <v>1.248E-2</v>
      </c>
      <c r="U195" s="10">
        <v>1.8100000000000002E-2</v>
      </c>
      <c r="V195" s="10">
        <v>1.103E-2</v>
      </c>
      <c r="W195" s="10">
        <v>1.898E-2</v>
      </c>
      <c r="X195" s="10">
        <v>1.794E-3</v>
      </c>
      <c r="Y195" s="10">
        <v>14.85</v>
      </c>
      <c r="Z195" s="10">
        <v>19.05</v>
      </c>
      <c r="AA195" s="10">
        <v>94.1099999999999</v>
      </c>
      <c r="AB195" s="10">
        <v>683.39999999999895</v>
      </c>
      <c r="AC195" s="10">
        <v>0.1278</v>
      </c>
      <c r="AD195" s="10">
        <v>0.12909999999999899</v>
      </c>
      <c r="AE195" s="10">
        <v>0.15329999999999899</v>
      </c>
      <c r="AF195" s="10">
        <v>9.2219999999999899E-2</v>
      </c>
      <c r="AG195" s="10">
        <v>0.253</v>
      </c>
      <c r="AH195">
        <v>6.5100000000000005E-2</v>
      </c>
    </row>
    <row r="196" spans="3:34">
      <c r="C196" s="11" t="s">
        <v>381</v>
      </c>
      <c r="D196" s="10" t="s">
        <v>1</v>
      </c>
      <c r="E196" s="10">
        <v>13.71</v>
      </c>
      <c r="F196" s="10">
        <v>15.0399999999999</v>
      </c>
      <c r="G196" s="10">
        <v>78.6099999999999</v>
      </c>
      <c r="H196" s="10">
        <v>476.5</v>
      </c>
      <c r="I196" s="10">
        <v>7.92599999999999E-2</v>
      </c>
      <c r="J196" s="10">
        <v>3.3930000000000002E-2</v>
      </c>
      <c r="K196" s="10">
        <v>1.0529999999999901E-2</v>
      </c>
      <c r="L196" s="10">
        <v>1.108E-2</v>
      </c>
      <c r="M196" s="10">
        <v>0.15459999999999899</v>
      </c>
      <c r="N196" s="10">
        <v>5.7540000000000001E-2</v>
      </c>
      <c r="O196" s="10">
        <v>0.1153</v>
      </c>
      <c r="P196" s="10">
        <v>0.67449999999999899</v>
      </c>
      <c r="Q196" s="10">
        <v>0.75700000000000001</v>
      </c>
      <c r="R196" s="10">
        <v>9.0060000000000002</v>
      </c>
      <c r="S196" s="10">
        <v>3.2650000000000001E-3</v>
      </c>
      <c r="T196" s="10">
        <v>4.9300000000000004E-3</v>
      </c>
      <c r="U196" s="10">
        <v>6.4929999999999901E-3</v>
      </c>
      <c r="V196" s="10">
        <v>3.7620000000000002E-3</v>
      </c>
      <c r="W196" s="10">
        <v>1.72E-2</v>
      </c>
      <c r="X196" s="10">
        <v>1.3600000000000001E-3</v>
      </c>
      <c r="Y196" s="10">
        <v>13.1999999999999</v>
      </c>
      <c r="Z196" s="10">
        <v>20.37</v>
      </c>
      <c r="AA196" s="10">
        <v>83.849999999999895</v>
      </c>
      <c r="AB196" s="10">
        <v>543.39999999999895</v>
      </c>
      <c r="AC196" s="10">
        <v>0.1037</v>
      </c>
      <c r="AD196" s="10">
        <v>7.7759999999999899E-2</v>
      </c>
      <c r="AE196" s="10">
        <v>6.2429999999999902E-2</v>
      </c>
      <c r="AF196" s="10">
        <v>4.052E-2</v>
      </c>
      <c r="AG196" s="10">
        <v>0.29010000000000002</v>
      </c>
      <c r="AH196">
        <v>6.7830000000000001E-2</v>
      </c>
    </row>
    <row r="197" spans="3:34">
      <c r="C197" s="11" t="s">
        <v>382</v>
      </c>
      <c r="D197" s="10" t="s">
        <v>1</v>
      </c>
      <c r="E197" s="10">
        <v>13.71</v>
      </c>
      <c r="F197" s="10">
        <v>18.190000000000001</v>
      </c>
      <c r="G197" s="10">
        <v>73.930000000000007</v>
      </c>
      <c r="H197" s="10">
        <v>389.39999999999901</v>
      </c>
      <c r="I197" s="10">
        <v>9.5920000000000005E-2</v>
      </c>
      <c r="J197" s="10">
        <v>0.13250000000000001</v>
      </c>
      <c r="K197" s="10">
        <v>0.15479999999999899</v>
      </c>
      <c r="L197" s="10">
        <v>2.8539999999999899E-2</v>
      </c>
      <c r="M197" s="10">
        <v>0.2054</v>
      </c>
      <c r="N197" s="10">
        <v>7.6689999999999897E-2</v>
      </c>
      <c r="O197" s="10">
        <v>0.24279999999999899</v>
      </c>
      <c r="P197" s="10">
        <v>1.6419999999999899</v>
      </c>
      <c r="Q197" s="10">
        <v>2.3690000000000002</v>
      </c>
      <c r="R197" s="10">
        <v>16.39</v>
      </c>
      <c r="S197" s="10">
        <v>6.6629999999999901E-3</v>
      </c>
      <c r="T197" s="10">
        <v>5.9139999999999901E-2</v>
      </c>
      <c r="U197" s="10">
        <v>8.8800000000000004E-2</v>
      </c>
      <c r="V197" s="10">
        <v>1.3140000000000001E-2</v>
      </c>
      <c r="W197" s="10">
        <v>1.9949999999999898E-2</v>
      </c>
      <c r="X197" s="10">
        <v>8.6750000000000004E-3</v>
      </c>
      <c r="Y197" s="10">
        <v>12.58</v>
      </c>
      <c r="Z197" s="10">
        <v>27.96</v>
      </c>
      <c r="AA197" s="10">
        <v>87.159999999999897</v>
      </c>
      <c r="AB197" s="10">
        <v>472.89999999999901</v>
      </c>
      <c r="AC197" s="10">
        <v>0.13469999999999899</v>
      </c>
      <c r="AD197" s="10">
        <v>0.48480000000000001</v>
      </c>
      <c r="AE197" s="10">
        <v>0.74360000000000004</v>
      </c>
      <c r="AF197" s="10">
        <v>0.12180000000000001</v>
      </c>
      <c r="AG197" s="10">
        <v>0.33079999999999898</v>
      </c>
      <c r="AH197">
        <v>0.12970000000000001</v>
      </c>
    </row>
    <row r="198" spans="3:34">
      <c r="C198" s="11" t="s">
        <v>383</v>
      </c>
      <c r="D198" s="10" t="s">
        <v>1</v>
      </c>
      <c r="E198" s="10">
        <v>13.71</v>
      </c>
      <c r="F198" s="10">
        <v>23.77</v>
      </c>
      <c r="G198" s="10">
        <v>88.54</v>
      </c>
      <c r="H198" s="10">
        <v>590</v>
      </c>
      <c r="I198" s="10">
        <v>8.0430000000000001E-2</v>
      </c>
      <c r="J198" s="10">
        <v>6.8070000000000006E-2</v>
      </c>
      <c r="K198" s="10">
        <v>4.6969999999999901E-2</v>
      </c>
      <c r="L198" s="10">
        <v>2.3439999999999898E-2</v>
      </c>
      <c r="M198" s="10">
        <v>0.17730000000000001</v>
      </c>
      <c r="N198" s="10">
        <v>5.4289999999999901E-2</v>
      </c>
      <c r="O198" s="10">
        <v>0.43469999999999898</v>
      </c>
      <c r="P198" s="10">
        <v>1.0569999999999899</v>
      </c>
      <c r="Q198" s="10">
        <v>2.8290000000000002</v>
      </c>
      <c r="R198" s="10">
        <v>39.93</v>
      </c>
      <c r="S198" s="10">
        <v>4.3509999999999903E-3</v>
      </c>
      <c r="T198" s="10">
        <v>2.6669999999999899E-2</v>
      </c>
      <c r="U198" s="10">
        <v>3.37099999999999E-2</v>
      </c>
      <c r="V198" s="10">
        <v>1.0070000000000001E-2</v>
      </c>
      <c r="W198" s="10">
        <v>2.598E-2</v>
      </c>
      <c r="X198" s="10">
        <v>3.0869999999999899E-3</v>
      </c>
      <c r="Y198" s="10">
        <v>15.01</v>
      </c>
      <c r="Z198" s="10">
        <v>26.34</v>
      </c>
      <c r="AA198" s="10">
        <v>98</v>
      </c>
      <c r="AB198" s="10">
        <v>706</v>
      </c>
      <c r="AC198" s="10">
        <v>9.3679999999999902E-2</v>
      </c>
      <c r="AD198" s="10">
        <v>0.144199999999999</v>
      </c>
      <c r="AE198" s="10">
        <v>0.13589999999999899</v>
      </c>
      <c r="AF198" s="10">
        <v>6.1060000000000003E-2</v>
      </c>
      <c r="AG198" s="10">
        <v>0.26629999999999898</v>
      </c>
      <c r="AH198">
        <v>6.3210000000000002E-2</v>
      </c>
    </row>
    <row r="199" spans="3:34">
      <c r="C199" s="11" t="s">
        <v>384</v>
      </c>
      <c r="D199" s="10" t="s">
        <v>0</v>
      </c>
      <c r="E199" s="10">
        <v>13.71</v>
      </c>
      <c r="F199" s="10">
        <v>23.5</v>
      </c>
      <c r="G199" s="10">
        <v>129.099999999999</v>
      </c>
      <c r="H199" s="10">
        <v>1155</v>
      </c>
      <c r="I199" s="10">
        <v>0.1027</v>
      </c>
      <c r="J199" s="10">
        <v>0.15579999999999899</v>
      </c>
      <c r="K199" s="10">
        <v>0.2049</v>
      </c>
      <c r="L199" s="10">
        <v>8.8859999999999897E-2</v>
      </c>
      <c r="M199" s="10">
        <v>0.1978</v>
      </c>
      <c r="N199" s="10">
        <v>5.9999999999999901E-2</v>
      </c>
      <c r="O199" s="10">
        <v>0.52429999999999899</v>
      </c>
      <c r="P199" s="10">
        <v>1.802</v>
      </c>
      <c r="Q199" s="10">
        <v>4.0369999999999902</v>
      </c>
      <c r="R199" s="10">
        <v>60.409999999999897</v>
      </c>
      <c r="S199" s="10">
        <v>1.061E-2</v>
      </c>
      <c r="T199" s="10">
        <v>3.252E-2</v>
      </c>
      <c r="U199" s="10">
        <v>3.91499999999999E-2</v>
      </c>
      <c r="V199" s="10">
        <v>1.559E-2</v>
      </c>
      <c r="W199" s="10">
        <v>2.1860000000000001E-2</v>
      </c>
      <c r="X199" s="10">
        <v>3.9490000000000003E-3</v>
      </c>
      <c r="Y199" s="10">
        <v>21.649999999999899</v>
      </c>
      <c r="Z199" s="10">
        <v>30.53</v>
      </c>
      <c r="AA199" s="10">
        <v>144.9</v>
      </c>
      <c r="AB199" s="10">
        <v>1417</v>
      </c>
      <c r="AC199" s="10">
        <v>0.14630000000000001</v>
      </c>
      <c r="AD199" s="10">
        <v>0.29680000000000001</v>
      </c>
      <c r="AE199" s="10">
        <v>0.3458</v>
      </c>
      <c r="AF199" s="10">
        <v>0.15640000000000001</v>
      </c>
      <c r="AG199" s="10">
        <v>0.29199999999999898</v>
      </c>
      <c r="AH199">
        <v>7.6139999999999902E-2</v>
      </c>
    </row>
    <row r="200" spans="3:34">
      <c r="C200" s="11" t="s">
        <v>385</v>
      </c>
      <c r="D200" s="10" t="s">
        <v>1</v>
      </c>
      <c r="E200" s="10">
        <v>13.71</v>
      </c>
      <c r="F200" s="10">
        <v>19.8599999999999</v>
      </c>
      <c r="G200" s="10">
        <v>66.719999999999899</v>
      </c>
      <c r="H200" s="10">
        <v>337.69999999999902</v>
      </c>
      <c r="I200" s="10">
        <v>0.107</v>
      </c>
      <c r="J200" s="10">
        <v>5.9709999999999902E-2</v>
      </c>
      <c r="K200" s="10">
        <v>4.8309999999999902E-2</v>
      </c>
      <c r="L200" s="10">
        <v>3.0700000000000002E-2</v>
      </c>
      <c r="M200" s="10">
        <v>0.17369999999999899</v>
      </c>
      <c r="N200" s="10">
        <v>6.4399999999999902E-2</v>
      </c>
      <c r="O200" s="10">
        <v>0.37190000000000001</v>
      </c>
      <c r="P200" s="10">
        <v>2.6120000000000001</v>
      </c>
      <c r="Q200" s="10">
        <v>2.5169999999999901</v>
      </c>
      <c r="R200" s="10">
        <v>23.219999999999899</v>
      </c>
      <c r="S200" s="10">
        <v>1.6039999999999902E-2</v>
      </c>
      <c r="T200" s="10">
        <v>1.3860000000000001E-2</v>
      </c>
      <c r="U200" s="10">
        <v>1.865E-2</v>
      </c>
      <c r="V200" s="10">
        <v>1.133E-2</v>
      </c>
      <c r="W200" s="10">
        <v>3.4759999999999902E-2</v>
      </c>
      <c r="X200" s="10">
        <v>3.5599999999999898E-3</v>
      </c>
      <c r="Y200" s="10">
        <v>11.48</v>
      </c>
      <c r="Z200" s="10">
        <v>29.46</v>
      </c>
      <c r="AA200" s="10">
        <v>73.680000000000007</v>
      </c>
      <c r="AB200" s="10">
        <v>402.8</v>
      </c>
      <c r="AC200" s="10">
        <v>0.1515</v>
      </c>
      <c r="AD200" s="10">
        <v>0.1026</v>
      </c>
      <c r="AE200" s="10">
        <v>0.1181</v>
      </c>
      <c r="AF200" s="10">
        <v>6.7360000000000003E-2</v>
      </c>
      <c r="AG200" s="10">
        <v>0.2883</v>
      </c>
      <c r="AH200">
        <v>7.7479999999999896E-2</v>
      </c>
    </row>
    <row r="201" spans="3:34">
      <c r="C201" s="11" t="s">
        <v>387</v>
      </c>
      <c r="D201" s="10" t="s">
        <v>1</v>
      </c>
      <c r="E201" s="10">
        <v>13.71</v>
      </c>
      <c r="F201" s="10">
        <v>14.1099999999999</v>
      </c>
      <c r="G201" s="10">
        <v>84.95</v>
      </c>
      <c r="H201" s="10">
        <v>512.20000000000005</v>
      </c>
      <c r="I201" s="10">
        <v>8.75999999999999E-2</v>
      </c>
      <c r="J201" s="10">
        <v>0.1346</v>
      </c>
      <c r="K201" s="10">
        <v>0.137399999999999</v>
      </c>
      <c r="L201" s="10">
        <v>3.9800000000000002E-2</v>
      </c>
      <c r="M201" s="10">
        <v>0.15959999999999899</v>
      </c>
      <c r="N201" s="10">
        <v>6.4089999999999897E-2</v>
      </c>
      <c r="O201" s="10">
        <v>0.20250000000000001</v>
      </c>
      <c r="P201" s="10">
        <v>0.44019999999999898</v>
      </c>
      <c r="Q201" s="10">
        <v>2.39299999999999</v>
      </c>
      <c r="R201" s="10">
        <v>16.350000000000001</v>
      </c>
      <c r="S201" s="10">
        <v>5.5009999999999903E-3</v>
      </c>
      <c r="T201" s="10">
        <v>5.59199999999999E-2</v>
      </c>
      <c r="U201" s="10">
        <v>8.158E-2</v>
      </c>
      <c r="V201" s="10">
        <v>1.37E-2</v>
      </c>
      <c r="W201" s="10">
        <v>1.26599999999999E-2</v>
      </c>
      <c r="X201" s="10">
        <v>7.5550000000000001E-3</v>
      </c>
      <c r="Y201" s="10">
        <v>14.39</v>
      </c>
      <c r="Z201" s="10">
        <v>17.6999999999999</v>
      </c>
      <c r="AA201" s="10">
        <v>105</v>
      </c>
      <c r="AB201" s="10">
        <v>639.1</v>
      </c>
      <c r="AC201" s="10">
        <v>0.12540000000000001</v>
      </c>
      <c r="AD201" s="10">
        <v>0.58489999999999898</v>
      </c>
      <c r="AE201" s="10">
        <v>0.77270000000000005</v>
      </c>
      <c r="AF201" s="10">
        <v>0.15609999999999899</v>
      </c>
      <c r="AG201" s="10">
        <v>0.26390000000000002</v>
      </c>
      <c r="AH201">
        <v>0.1178</v>
      </c>
    </row>
    <row r="202" spans="3:34">
      <c r="C202" s="11" t="s">
        <v>388</v>
      </c>
      <c r="D202" s="10" t="s">
        <v>1</v>
      </c>
      <c r="E202" s="10">
        <v>13.71</v>
      </c>
      <c r="F202" s="10">
        <v>25.219999999999899</v>
      </c>
      <c r="G202" s="10">
        <v>68.010000000000005</v>
      </c>
      <c r="H202" s="10">
        <v>347</v>
      </c>
      <c r="I202" s="10">
        <v>9.6570000000000003E-2</v>
      </c>
      <c r="J202" s="10">
        <v>7.2340000000000002E-2</v>
      </c>
      <c r="K202" s="10">
        <v>2.3789999999999902E-2</v>
      </c>
      <c r="L202" s="10">
        <v>1.6150000000000001E-2</v>
      </c>
      <c r="M202" s="10">
        <v>0.18970000000000001</v>
      </c>
      <c r="N202" s="10">
        <v>6.3289999999999902E-2</v>
      </c>
      <c r="O202" s="10">
        <v>0.24970000000000001</v>
      </c>
      <c r="P202" s="10">
        <v>1.4930000000000001</v>
      </c>
      <c r="Q202" s="10">
        <v>1.4970000000000001</v>
      </c>
      <c r="R202" s="10">
        <v>16.64</v>
      </c>
      <c r="S202" s="10">
        <v>7.1890000000000001E-3</v>
      </c>
      <c r="T202" s="10">
        <v>1.035E-2</v>
      </c>
      <c r="U202" s="10">
        <v>1.081E-2</v>
      </c>
      <c r="V202" s="10">
        <v>6.2449999999999901E-3</v>
      </c>
      <c r="W202" s="10">
        <v>2.1579999999999901E-2</v>
      </c>
      <c r="X202" s="10">
        <v>2.6189999999999898E-3</v>
      </c>
      <c r="Y202" s="10">
        <v>12.25</v>
      </c>
      <c r="Z202" s="10">
        <v>35.189999999999898</v>
      </c>
      <c r="AA202" s="10">
        <v>77.98</v>
      </c>
      <c r="AB202" s="10">
        <v>455.69999999999902</v>
      </c>
      <c r="AC202" s="10">
        <v>0.14990000000000001</v>
      </c>
      <c r="AD202" s="10">
        <v>0.13980000000000001</v>
      </c>
      <c r="AE202" s="10">
        <v>0.1125</v>
      </c>
      <c r="AF202" s="10">
        <v>6.1359999999999901E-2</v>
      </c>
      <c r="AG202" s="10">
        <v>0.34089999999999898</v>
      </c>
      <c r="AH202">
        <v>8.1470000000000001E-2</v>
      </c>
    </row>
    <row r="203" spans="3:34">
      <c r="C203" s="11" t="s">
        <v>389</v>
      </c>
      <c r="D203" s="10" t="s">
        <v>1</v>
      </c>
      <c r="E203" s="10">
        <v>13.71</v>
      </c>
      <c r="F203" s="10">
        <v>14.93</v>
      </c>
      <c r="G203" s="10">
        <v>73.87</v>
      </c>
      <c r="H203" s="10">
        <v>406.3</v>
      </c>
      <c r="I203" s="10">
        <v>0.1013</v>
      </c>
      <c r="J203" s="10">
        <v>7.8079999999999899E-2</v>
      </c>
      <c r="K203" s="10">
        <v>4.3279999999999902E-2</v>
      </c>
      <c r="L203" s="10">
        <v>2.929E-2</v>
      </c>
      <c r="M203" s="10">
        <v>0.1883</v>
      </c>
      <c r="N203" s="10">
        <v>6.1679999999999902E-2</v>
      </c>
      <c r="O203" s="10">
        <v>0.25619999999999898</v>
      </c>
      <c r="P203" s="10">
        <v>1.038</v>
      </c>
      <c r="Q203" s="10">
        <v>1.68599999999999</v>
      </c>
      <c r="R203" s="10">
        <v>18.62</v>
      </c>
      <c r="S203" s="10">
        <v>6.6620000000000004E-3</v>
      </c>
      <c r="T203" s="10">
        <v>1.22799999999999E-2</v>
      </c>
      <c r="U203" s="10">
        <v>2.1049999999999899E-2</v>
      </c>
      <c r="V203" s="10">
        <v>1.0059999999999901E-2</v>
      </c>
      <c r="W203" s="10">
        <v>1.677E-2</v>
      </c>
      <c r="X203" s="10">
        <v>2.784E-3</v>
      </c>
      <c r="Y203" s="10">
        <v>12.65</v>
      </c>
      <c r="Z203" s="10">
        <v>21.19</v>
      </c>
      <c r="AA203" s="10">
        <v>80.879999999999896</v>
      </c>
      <c r="AB203" s="10">
        <v>491.8</v>
      </c>
      <c r="AC203" s="10">
        <v>0.1389</v>
      </c>
      <c r="AD203" s="10">
        <v>0.15820000000000001</v>
      </c>
      <c r="AE203" s="10">
        <v>0.1804</v>
      </c>
      <c r="AF203" s="10">
        <v>9.6079999999999902E-2</v>
      </c>
      <c r="AG203" s="10">
        <v>0.26640000000000003</v>
      </c>
      <c r="AH203">
        <v>7.8090000000000007E-2</v>
      </c>
    </row>
    <row r="204" spans="3:34">
      <c r="C204" s="11" t="s">
        <v>391</v>
      </c>
      <c r="D204" s="10" t="s">
        <v>1</v>
      </c>
      <c r="E204" s="10">
        <v>13.71</v>
      </c>
      <c r="F204" s="10">
        <v>18.4499999999999</v>
      </c>
      <c r="G204" s="10">
        <v>73.28</v>
      </c>
      <c r="H204" s="10">
        <v>407.39999999999901</v>
      </c>
      <c r="I204" s="10">
        <v>9.3450000000000005E-2</v>
      </c>
      <c r="J204" s="10">
        <v>5.9909999999999901E-2</v>
      </c>
      <c r="K204" s="10">
        <v>2.6380000000000001E-2</v>
      </c>
      <c r="L204" s="10">
        <v>2.069E-2</v>
      </c>
      <c r="M204" s="10">
        <v>0.18340000000000001</v>
      </c>
      <c r="N204" s="10">
        <v>5.93399999999999E-2</v>
      </c>
      <c r="O204" s="10">
        <v>0.39269999999999899</v>
      </c>
      <c r="P204" s="10">
        <v>0.84289999999999898</v>
      </c>
      <c r="Q204" s="10">
        <v>2.6840000000000002</v>
      </c>
      <c r="R204" s="10">
        <v>26.989999999999899</v>
      </c>
      <c r="S204" s="10">
        <v>6.3800000000000003E-3</v>
      </c>
      <c r="T204" s="10">
        <v>1.065E-2</v>
      </c>
      <c r="U204" s="10">
        <v>1.24499999999999E-2</v>
      </c>
      <c r="V204" s="10">
        <v>9.1750000000000009E-3</v>
      </c>
      <c r="W204" s="10">
        <v>2.2919999999999899E-2</v>
      </c>
      <c r="X204" s="10">
        <v>1.4610000000000001E-3</v>
      </c>
      <c r="Y204" s="10">
        <v>12.97</v>
      </c>
      <c r="Z204" s="10">
        <v>22.46</v>
      </c>
      <c r="AA204" s="10">
        <v>83.12</v>
      </c>
      <c r="AB204" s="10">
        <v>508.89999999999901</v>
      </c>
      <c r="AC204" s="10">
        <v>0.1183</v>
      </c>
      <c r="AD204" s="10">
        <v>0.10489999999999899</v>
      </c>
      <c r="AE204" s="10">
        <v>8.10499999999999E-2</v>
      </c>
      <c r="AF204" s="10">
        <v>6.5439999999999901E-2</v>
      </c>
      <c r="AG204" s="10">
        <v>0.27400000000000002</v>
      </c>
      <c r="AH204">
        <v>6.48699999999999E-2</v>
      </c>
    </row>
    <row r="205" spans="3:34">
      <c r="C205" s="11" t="s">
        <v>393</v>
      </c>
      <c r="D205" s="10" t="s">
        <v>0</v>
      </c>
      <c r="E205" s="10">
        <v>13.71</v>
      </c>
      <c r="F205" s="10">
        <v>17.079999999999899</v>
      </c>
      <c r="G205" s="10">
        <v>113</v>
      </c>
      <c r="H205" s="10">
        <v>928.2</v>
      </c>
      <c r="I205" s="10">
        <v>0.1008</v>
      </c>
      <c r="J205" s="10">
        <v>0.1041</v>
      </c>
      <c r="K205" s="10">
        <v>0.12659999999999899</v>
      </c>
      <c r="L205" s="10">
        <v>8.3529999999999896E-2</v>
      </c>
      <c r="M205" s="10">
        <v>0.18129999999999899</v>
      </c>
      <c r="N205" s="10">
        <v>5.6129999999999902E-2</v>
      </c>
      <c r="O205" s="10">
        <v>0.30930000000000002</v>
      </c>
      <c r="P205" s="10">
        <v>0.85680000000000001</v>
      </c>
      <c r="Q205" s="10">
        <v>2.1930000000000001</v>
      </c>
      <c r="R205" s="10">
        <v>33.630000000000003</v>
      </c>
      <c r="S205" s="10">
        <v>4.7569999999999904E-3</v>
      </c>
      <c r="T205" s="10">
        <v>1.503E-2</v>
      </c>
      <c r="U205" s="10">
        <v>2.332E-2</v>
      </c>
      <c r="V205" s="10">
        <v>1.26199999999999E-2</v>
      </c>
      <c r="W205" s="10">
        <v>1.39399999999999E-2</v>
      </c>
      <c r="X205" s="10">
        <v>2.362E-3</v>
      </c>
      <c r="Y205" s="10">
        <v>19.850000000000001</v>
      </c>
      <c r="Z205" s="10">
        <v>25.09</v>
      </c>
      <c r="AA205" s="10">
        <v>130.9</v>
      </c>
      <c r="AB205" s="10">
        <v>1222</v>
      </c>
      <c r="AC205" s="10">
        <v>0.1416</v>
      </c>
      <c r="AD205" s="10">
        <v>0.24049999999999899</v>
      </c>
      <c r="AE205" s="10">
        <v>0.33779999999999899</v>
      </c>
      <c r="AF205" s="10">
        <v>0.1857</v>
      </c>
      <c r="AG205" s="10">
        <v>0.31380000000000002</v>
      </c>
      <c r="AH205">
        <v>8.1129999999999897E-2</v>
      </c>
    </row>
    <row r="206" spans="3:34">
      <c r="C206" s="11" t="s">
        <v>395</v>
      </c>
      <c r="D206" s="10" t="s">
        <v>0</v>
      </c>
      <c r="E206" s="10">
        <v>13.71</v>
      </c>
      <c r="F206" s="10">
        <v>17.05</v>
      </c>
      <c r="G206" s="10">
        <v>91.43</v>
      </c>
      <c r="H206" s="10">
        <v>602.39999999999895</v>
      </c>
      <c r="I206" s="10">
        <v>0.1096</v>
      </c>
      <c r="J206" s="10">
        <v>0.12790000000000001</v>
      </c>
      <c r="K206" s="10">
        <v>9.7890000000000005E-2</v>
      </c>
      <c r="L206" s="10">
        <v>5.246E-2</v>
      </c>
      <c r="M206" s="10">
        <v>0.1908</v>
      </c>
      <c r="N206" s="10">
        <v>6.13E-2</v>
      </c>
      <c r="O206" s="10">
        <v>0.42499999999999899</v>
      </c>
      <c r="P206" s="10">
        <v>0.80979999999999897</v>
      </c>
      <c r="Q206" s="10">
        <v>2.5630000000000002</v>
      </c>
      <c r="R206" s="10">
        <v>35.74</v>
      </c>
      <c r="S206" s="10">
        <v>6.3509999999999903E-3</v>
      </c>
      <c r="T206" s="10">
        <v>2.6790000000000001E-2</v>
      </c>
      <c r="U206" s="10">
        <v>3.1189999999999898E-2</v>
      </c>
      <c r="V206" s="10">
        <v>1.342E-2</v>
      </c>
      <c r="W206" s="10">
        <v>2.0619999999999899E-2</v>
      </c>
      <c r="X206" s="10">
        <v>2.6949999999999899E-3</v>
      </c>
      <c r="Y206" s="10">
        <v>16.39</v>
      </c>
      <c r="Z206" s="10">
        <v>22.07</v>
      </c>
      <c r="AA206" s="10">
        <v>108.099999999999</v>
      </c>
      <c r="AB206" s="10">
        <v>826</v>
      </c>
      <c r="AC206" s="10">
        <v>0.1512</v>
      </c>
      <c r="AD206" s="10">
        <v>0.32619999999999899</v>
      </c>
      <c r="AE206" s="10">
        <v>0.32090000000000002</v>
      </c>
      <c r="AF206" s="10">
        <v>0.137399999999999</v>
      </c>
      <c r="AG206" s="10">
        <v>0.30680000000000002</v>
      </c>
      <c r="AH206">
        <v>7.9570000000000002E-2</v>
      </c>
    </row>
    <row r="207" spans="3:34">
      <c r="C207" s="11" t="s">
        <v>396</v>
      </c>
      <c r="D207" s="10" t="s">
        <v>0</v>
      </c>
      <c r="E207" s="10">
        <v>13.71</v>
      </c>
      <c r="F207" s="10">
        <v>28.77</v>
      </c>
      <c r="G207" s="10">
        <v>133.599999999999</v>
      </c>
      <c r="H207" s="10">
        <v>1207</v>
      </c>
      <c r="I207" s="10">
        <v>9.2600000000000002E-2</v>
      </c>
      <c r="J207" s="10">
        <v>0.20630000000000001</v>
      </c>
      <c r="K207" s="10">
        <v>0.1784</v>
      </c>
      <c r="L207" s="10">
        <v>0.1144</v>
      </c>
      <c r="M207" s="10">
        <v>0.1893</v>
      </c>
      <c r="N207" s="10">
        <v>6.232E-2</v>
      </c>
      <c r="O207" s="10">
        <v>0.84260000000000002</v>
      </c>
      <c r="P207" s="10">
        <v>1.1990000000000001</v>
      </c>
      <c r="Q207" s="10">
        <v>7.1580000000000004</v>
      </c>
      <c r="R207" s="10">
        <v>106.4</v>
      </c>
      <c r="S207" s="10">
        <v>6.3559999999999901E-3</v>
      </c>
      <c r="T207" s="10">
        <v>4.7649999999999901E-2</v>
      </c>
      <c r="U207" s="10">
        <v>3.8629999999999901E-2</v>
      </c>
      <c r="V207" s="10">
        <v>1.519E-2</v>
      </c>
      <c r="W207" s="10">
        <v>1.9359999999999902E-2</v>
      </c>
      <c r="X207" s="10">
        <v>5.2519999999999902E-3</v>
      </c>
      <c r="Y207" s="10">
        <v>25.05</v>
      </c>
      <c r="Z207" s="10">
        <v>36.270000000000003</v>
      </c>
      <c r="AA207" s="10">
        <v>178.599999999999</v>
      </c>
      <c r="AB207" s="10">
        <v>1926</v>
      </c>
      <c r="AC207" s="10">
        <v>0.12809999999999899</v>
      </c>
      <c r="AD207" s="10">
        <v>0.53290000000000004</v>
      </c>
      <c r="AE207" s="10">
        <v>0.42509999999999898</v>
      </c>
      <c r="AF207" s="10">
        <v>0.194099999999999</v>
      </c>
      <c r="AG207" s="10">
        <v>0.281799999999999</v>
      </c>
      <c r="AH207">
        <v>0.10050000000000001</v>
      </c>
    </row>
    <row r="208" spans="3:34">
      <c r="C208" s="11" t="s">
        <v>399</v>
      </c>
      <c r="D208" s="10" t="s">
        <v>0</v>
      </c>
      <c r="E208" s="10">
        <v>13.71</v>
      </c>
      <c r="F208" s="10">
        <v>33.56</v>
      </c>
      <c r="G208" s="10">
        <v>103.7</v>
      </c>
      <c r="H208" s="10">
        <v>744.89999999999895</v>
      </c>
      <c r="I208" s="10">
        <v>0.10630000000000001</v>
      </c>
      <c r="J208" s="10">
        <v>0.16389999999999899</v>
      </c>
      <c r="K208" s="10">
        <v>0.17510000000000001</v>
      </c>
      <c r="L208" s="10">
        <v>8.3989999999999898E-2</v>
      </c>
      <c r="M208" s="10">
        <v>0.20910000000000001</v>
      </c>
      <c r="N208" s="10">
        <v>6.6500000000000004E-2</v>
      </c>
      <c r="O208" s="10">
        <v>0.2419</v>
      </c>
      <c r="P208" s="10">
        <v>1.278</v>
      </c>
      <c r="Q208" s="10">
        <v>1.903</v>
      </c>
      <c r="R208" s="10">
        <v>23.02</v>
      </c>
      <c r="S208" s="10">
        <v>5.3449999999999904E-3</v>
      </c>
      <c r="T208" s="10">
        <v>2.5559999999999899E-2</v>
      </c>
      <c r="U208" s="10">
        <v>2.8889999999999898E-2</v>
      </c>
      <c r="V208" s="10">
        <v>1.022E-2</v>
      </c>
      <c r="W208" s="10">
        <v>9.9469999999999906E-3</v>
      </c>
      <c r="X208" s="10">
        <v>3.359E-3</v>
      </c>
      <c r="Y208" s="10">
        <v>18.489999999999899</v>
      </c>
      <c r="Z208" s="10">
        <v>49.5399999999999</v>
      </c>
      <c r="AA208" s="10">
        <v>126.3</v>
      </c>
      <c r="AB208" s="10">
        <v>1035</v>
      </c>
      <c r="AC208" s="10">
        <v>0.1883</v>
      </c>
      <c r="AD208" s="10">
        <v>0.55640000000000001</v>
      </c>
      <c r="AE208" s="10">
        <v>0.57030000000000003</v>
      </c>
      <c r="AF208" s="10">
        <v>0.2014</v>
      </c>
      <c r="AG208" s="10">
        <v>0.35120000000000001</v>
      </c>
      <c r="AH208">
        <v>0.12039999999999899</v>
      </c>
    </row>
    <row r="209" spans="3:34">
      <c r="C209" s="11" t="s">
        <v>400</v>
      </c>
      <c r="D209" s="10" t="s">
        <v>0</v>
      </c>
      <c r="E209" s="10">
        <v>13.71</v>
      </c>
      <c r="F209" s="10">
        <v>27.059999999999899</v>
      </c>
      <c r="G209" s="10">
        <v>132.9</v>
      </c>
      <c r="H209" s="10">
        <v>1288</v>
      </c>
      <c r="I209" s="10">
        <v>0.1</v>
      </c>
      <c r="J209" s="10">
        <v>0.10879999999999899</v>
      </c>
      <c r="K209" s="10">
        <v>0.15190000000000001</v>
      </c>
      <c r="L209" s="10">
        <v>9.3329999999999899E-2</v>
      </c>
      <c r="M209" s="10">
        <v>0.18140000000000001</v>
      </c>
      <c r="N209" s="10">
        <v>5.5719999999999902E-2</v>
      </c>
      <c r="O209" s="10">
        <v>0.3977</v>
      </c>
      <c r="P209" s="10">
        <v>1.0329999999999899</v>
      </c>
      <c r="Q209" s="10">
        <v>2.5870000000000002</v>
      </c>
      <c r="R209" s="10">
        <v>52.34</v>
      </c>
      <c r="S209" s="10">
        <v>5.0429999999999902E-3</v>
      </c>
      <c r="T209" s="10">
        <v>1.5779999999999898E-2</v>
      </c>
      <c r="U209" s="10">
        <v>2.1170000000000001E-2</v>
      </c>
      <c r="V209" s="10">
        <v>8.1849999999999892E-3</v>
      </c>
      <c r="W209" s="10">
        <v>1.282E-2</v>
      </c>
      <c r="X209" s="10">
        <v>1.892E-3</v>
      </c>
      <c r="Y209" s="10">
        <v>24.329999999999899</v>
      </c>
      <c r="Z209" s="10">
        <v>39.159999999999897</v>
      </c>
      <c r="AA209" s="10">
        <v>162.30000000000001</v>
      </c>
      <c r="AB209" s="10">
        <v>1844</v>
      </c>
      <c r="AC209" s="10">
        <v>0.1522</v>
      </c>
      <c r="AD209" s="10">
        <v>0.29449999999999898</v>
      </c>
      <c r="AE209" s="10">
        <v>0.37880000000000003</v>
      </c>
      <c r="AF209" s="10">
        <v>0.16969999999999899</v>
      </c>
      <c r="AG209" s="10">
        <v>0.31509999999999899</v>
      </c>
      <c r="AH209">
        <v>7.9990000000000006E-2</v>
      </c>
    </row>
    <row r="210" spans="3:34">
      <c r="C210" s="11" t="s">
        <v>401</v>
      </c>
      <c r="D210" s="10" t="s">
        <v>0</v>
      </c>
      <c r="E210" s="10">
        <v>13.71</v>
      </c>
      <c r="F210" s="10">
        <v>23.059999999999899</v>
      </c>
      <c r="G210" s="10">
        <v>111</v>
      </c>
      <c r="H210" s="10">
        <v>933.1</v>
      </c>
      <c r="I210" s="10">
        <v>8.6620000000000003E-2</v>
      </c>
      <c r="J210" s="10">
        <v>6.28999999999999E-2</v>
      </c>
      <c r="K210" s="10">
        <v>2.8910000000000002E-2</v>
      </c>
      <c r="L210" s="10">
        <v>2.8369999999999899E-2</v>
      </c>
      <c r="M210" s="10">
        <v>0.15640000000000001</v>
      </c>
      <c r="N210" s="10">
        <v>5.3069999999999902E-2</v>
      </c>
      <c r="O210" s="10">
        <v>0.4007</v>
      </c>
      <c r="P210" s="10">
        <v>1.31699999999999</v>
      </c>
      <c r="Q210" s="10">
        <v>2.577</v>
      </c>
      <c r="R210" s="10">
        <v>44.409999999999897</v>
      </c>
      <c r="S210" s="10">
        <v>5.7260000000000002E-3</v>
      </c>
      <c r="T210" s="10">
        <v>1.106E-2</v>
      </c>
      <c r="U210" s="10">
        <v>1.2460000000000001E-2</v>
      </c>
      <c r="V210" s="10">
        <v>7.6709999999999903E-3</v>
      </c>
      <c r="W210" s="10">
        <v>1.41099999999999E-2</v>
      </c>
      <c r="X210" s="10">
        <v>1.578E-3</v>
      </c>
      <c r="Y210" s="10">
        <v>19.850000000000001</v>
      </c>
      <c r="Z210" s="10">
        <v>31.469999999999899</v>
      </c>
      <c r="AA210" s="10">
        <v>128.19999999999899</v>
      </c>
      <c r="AB210" s="10">
        <v>1218</v>
      </c>
      <c r="AC210" s="10">
        <v>0.124</v>
      </c>
      <c r="AD210" s="10">
        <v>0.14860000000000001</v>
      </c>
      <c r="AE210" s="10">
        <v>0.1211</v>
      </c>
      <c r="AF210" s="10">
        <v>8.2350000000000007E-2</v>
      </c>
      <c r="AG210" s="10">
        <v>0.2452</v>
      </c>
      <c r="AH210">
        <v>6.515E-2</v>
      </c>
    </row>
    <row r="211" spans="3:34">
      <c r="C211" s="11" t="s">
        <v>402</v>
      </c>
      <c r="D211" s="10" t="s">
        <v>0</v>
      </c>
      <c r="E211" s="10">
        <v>13.71</v>
      </c>
      <c r="F211" s="10">
        <v>22.1299999999999</v>
      </c>
      <c r="G211" s="10">
        <v>114.4</v>
      </c>
      <c r="H211" s="10">
        <v>947.79999999999905</v>
      </c>
      <c r="I211" s="10">
        <v>8.9990000000000001E-2</v>
      </c>
      <c r="J211" s="10">
        <v>0.1273</v>
      </c>
      <c r="K211" s="10">
        <v>9.6970000000000001E-2</v>
      </c>
      <c r="L211" s="10">
        <v>7.5069999999999901E-2</v>
      </c>
      <c r="M211" s="10">
        <v>0.21079999999999899</v>
      </c>
      <c r="N211" s="10">
        <v>5.4640000000000001E-2</v>
      </c>
      <c r="O211" s="10">
        <v>0.83479999999999899</v>
      </c>
      <c r="P211" s="10">
        <v>1.633</v>
      </c>
      <c r="Q211" s="10">
        <v>6.1459999999999901</v>
      </c>
      <c r="R211" s="10">
        <v>90.939999999999898</v>
      </c>
      <c r="S211" s="10">
        <v>6.7169999999999903E-3</v>
      </c>
      <c r="T211" s="10">
        <v>5.9810000000000002E-2</v>
      </c>
      <c r="U211" s="10">
        <v>4.63799999999999E-2</v>
      </c>
      <c r="V211" s="10">
        <v>2.1489999999999902E-2</v>
      </c>
      <c r="W211" s="10">
        <v>2.7470000000000001E-2</v>
      </c>
      <c r="X211" s="10">
        <v>5.8380000000000003E-3</v>
      </c>
      <c r="Y211" s="10">
        <v>20.39</v>
      </c>
      <c r="Z211" s="10">
        <v>27.239999999999899</v>
      </c>
      <c r="AA211" s="10">
        <v>137.9</v>
      </c>
      <c r="AB211" s="10">
        <v>1295</v>
      </c>
      <c r="AC211" s="10">
        <v>0.1134</v>
      </c>
      <c r="AD211" s="10">
        <v>0.28670000000000001</v>
      </c>
      <c r="AE211" s="10">
        <v>0.2298</v>
      </c>
      <c r="AF211" s="10">
        <v>0.15279999999999899</v>
      </c>
      <c r="AG211" s="10">
        <v>0.30669999999999897</v>
      </c>
      <c r="AH211">
        <v>7.4840000000000004E-2</v>
      </c>
    </row>
    <row r="212" spans="3:34">
      <c r="C212" s="11" t="s">
        <v>403</v>
      </c>
      <c r="D212" s="10" t="s">
        <v>0</v>
      </c>
      <c r="E212" s="10">
        <v>13.71</v>
      </c>
      <c r="F212" s="10">
        <v>19.3799999999999</v>
      </c>
      <c r="G212" s="10">
        <v>100</v>
      </c>
      <c r="H212" s="10">
        <v>758.6</v>
      </c>
      <c r="I212" s="10">
        <v>7.83999999999999E-2</v>
      </c>
      <c r="J212" s="10">
        <v>5.6160000000000002E-2</v>
      </c>
      <c r="K212" s="10">
        <v>4.2090000000000002E-2</v>
      </c>
      <c r="L212" s="10">
        <v>2.8469999999999902E-2</v>
      </c>
      <c r="M212" s="10">
        <v>0.1547</v>
      </c>
      <c r="N212" s="10">
        <v>5.4429999999999902E-2</v>
      </c>
      <c r="O212" s="10">
        <v>0.2298</v>
      </c>
      <c r="P212" s="10">
        <v>0.99880000000000002</v>
      </c>
      <c r="Q212" s="10">
        <v>1.534</v>
      </c>
      <c r="R212" s="10">
        <v>22.18</v>
      </c>
      <c r="S212" s="10">
        <v>2.826E-3</v>
      </c>
      <c r="T212" s="10">
        <v>9.1050000000000002E-3</v>
      </c>
      <c r="U212" s="10">
        <v>1.311E-2</v>
      </c>
      <c r="V212" s="10">
        <v>5.1739999999999902E-3</v>
      </c>
      <c r="W212" s="10">
        <v>1.013E-2</v>
      </c>
      <c r="X212" s="10">
        <v>1.3450000000000001E-3</v>
      </c>
      <c r="Y212" s="10">
        <v>17.91</v>
      </c>
      <c r="Z212" s="10">
        <v>31.67</v>
      </c>
      <c r="AA212" s="10">
        <v>115.9</v>
      </c>
      <c r="AB212" s="10">
        <v>988.6</v>
      </c>
      <c r="AC212" s="10">
        <v>0.1084</v>
      </c>
      <c r="AD212" s="10">
        <v>0.1807</v>
      </c>
      <c r="AE212" s="10">
        <v>0.22600000000000001</v>
      </c>
      <c r="AF212" s="10">
        <v>8.5680000000000006E-2</v>
      </c>
      <c r="AG212" s="10">
        <v>0.26829999999999898</v>
      </c>
      <c r="AH212">
        <v>6.8290000000000003E-2</v>
      </c>
    </row>
    <row r="213" spans="3:34">
      <c r="C213" s="11" t="s">
        <v>405</v>
      </c>
      <c r="D213" s="10" t="s">
        <v>0</v>
      </c>
      <c r="E213" s="10">
        <v>13.71</v>
      </c>
      <c r="F213" s="10">
        <v>31.12</v>
      </c>
      <c r="G213" s="10">
        <v>135.69999999999899</v>
      </c>
      <c r="H213" s="10">
        <v>1419</v>
      </c>
      <c r="I213" s="10">
        <v>9.4689999999999899E-2</v>
      </c>
      <c r="J213" s="10">
        <v>0.1143</v>
      </c>
      <c r="K213" s="10">
        <v>0.13669999999999899</v>
      </c>
      <c r="L213" s="10">
        <v>8.6459999999999898E-2</v>
      </c>
      <c r="M213" s="10">
        <v>0.1769</v>
      </c>
      <c r="N213" s="10">
        <v>5.6739999999999902E-2</v>
      </c>
      <c r="O213" s="10">
        <v>1.1719999999999899</v>
      </c>
      <c r="P213" s="10">
        <v>1.617</v>
      </c>
      <c r="Q213" s="10">
        <v>7.7489999999999899</v>
      </c>
      <c r="R213" s="10">
        <v>199.69999999999899</v>
      </c>
      <c r="S213" s="10">
        <v>4.5510000000000004E-3</v>
      </c>
      <c r="T213" s="10">
        <v>1.478E-2</v>
      </c>
      <c r="U213" s="10">
        <v>2.1430000000000001E-2</v>
      </c>
      <c r="V213" s="10">
        <v>9.2800000000000001E-3</v>
      </c>
      <c r="W213" s="10">
        <v>1.367E-2</v>
      </c>
      <c r="X213" s="10">
        <v>2.2989999999999899E-3</v>
      </c>
      <c r="Y213" s="10">
        <v>32.49</v>
      </c>
      <c r="Z213" s="10">
        <v>47.159999999999897</v>
      </c>
      <c r="AA213" s="10">
        <v>214</v>
      </c>
      <c r="AB213" s="10">
        <v>3432</v>
      </c>
      <c r="AC213" s="10">
        <v>0.1401</v>
      </c>
      <c r="AD213" s="10">
        <v>0.26440000000000002</v>
      </c>
      <c r="AE213" s="10">
        <v>0.34420000000000001</v>
      </c>
      <c r="AF213" s="10">
        <v>0.16589999999999899</v>
      </c>
      <c r="AG213" s="10">
        <v>0.2868</v>
      </c>
      <c r="AH213">
        <v>8.2180000000000003E-2</v>
      </c>
    </row>
    <row r="214" spans="3:34">
      <c r="C214" s="11" t="s">
        <v>406</v>
      </c>
      <c r="D214" s="10" t="s">
        <v>1</v>
      </c>
      <c r="E214" s="10">
        <v>13.71</v>
      </c>
      <c r="F214" s="10">
        <v>18.9499999999999</v>
      </c>
      <c r="G214" s="10">
        <v>69.28</v>
      </c>
      <c r="H214" s="10">
        <v>346.39999999999901</v>
      </c>
      <c r="I214" s="10">
        <v>9.6879999999999897E-2</v>
      </c>
      <c r="J214" s="10">
        <v>0.1147</v>
      </c>
      <c r="K214" s="10">
        <v>6.3869999999999899E-2</v>
      </c>
      <c r="L214" s="10">
        <v>2.6419999999999898E-2</v>
      </c>
      <c r="M214" s="10">
        <v>0.19220000000000001</v>
      </c>
      <c r="N214" s="10">
        <v>6.4909999999999898E-2</v>
      </c>
      <c r="O214" s="10">
        <v>0.45050000000000001</v>
      </c>
      <c r="P214" s="10">
        <v>1.1970000000000001</v>
      </c>
      <c r="Q214" s="10">
        <v>3.43</v>
      </c>
      <c r="R214" s="10">
        <v>27.1</v>
      </c>
      <c r="S214" s="10">
        <v>7.4700000000000001E-3</v>
      </c>
      <c r="T214" s="10">
        <v>3.5810000000000002E-2</v>
      </c>
      <c r="U214" s="10">
        <v>3.354E-2</v>
      </c>
      <c r="V214" s="10">
        <v>1.3650000000000001E-2</v>
      </c>
      <c r="W214" s="10">
        <v>3.5040000000000002E-2</v>
      </c>
      <c r="X214" s="10">
        <v>3.3180000000000002E-3</v>
      </c>
      <c r="Y214" s="10">
        <v>11.88</v>
      </c>
      <c r="Z214" s="10">
        <v>22.94</v>
      </c>
      <c r="AA214" s="10">
        <v>78.28</v>
      </c>
      <c r="AB214" s="10">
        <v>424.8</v>
      </c>
      <c r="AC214" s="10">
        <v>0.12130000000000001</v>
      </c>
      <c r="AD214" s="10">
        <v>0.2515</v>
      </c>
      <c r="AE214" s="10">
        <v>0.19159999999999899</v>
      </c>
      <c r="AF214" s="10">
        <v>7.92599999999999E-2</v>
      </c>
      <c r="AG214" s="10">
        <v>0.29399999999999898</v>
      </c>
      <c r="AH214">
        <v>7.5870000000000007E-2</v>
      </c>
    </row>
    <row r="215" spans="3:34">
      <c r="C215" s="11" t="s">
        <v>408</v>
      </c>
      <c r="D215" s="10" t="s">
        <v>1</v>
      </c>
      <c r="E215" s="10">
        <v>13.71</v>
      </c>
      <c r="F215" s="10">
        <v>16.21</v>
      </c>
      <c r="G215" s="10">
        <v>82.379999999999896</v>
      </c>
      <c r="H215" s="10">
        <v>512.20000000000005</v>
      </c>
      <c r="I215" s="10">
        <v>9.425E-2</v>
      </c>
      <c r="J215" s="10">
        <v>6.2190000000000002E-2</v>
      </c>
      <c r="K215" s="10">
        <v>3.9E-2</v>
      </c>
      <c r="L215" s="10">
        <v>1.6150000000000001E-2</v>
      </c>
      <c r="M215" s="10">
        <v>0.20100000000000001</v>
      </c>
      <c r="N215" s="10">
        <v>5.7689999999999901E-2</v>
      </c>
      <c r="O215" s="10">
        <v>0.23449999999999899</v>
      </c>
      <c r="P215" s="10">
        <v>1.2190000000000001</v>
      </c>
      <c r="Q215" s="10">
        <v>1.546</v>
      </c>
      <c r="R215" s="10">
        <v>18.239999999999899</v>
      </c>
      <c r="S215" s="10">
        <v>5.5180000000000003E-3</v>
      </c>
      <c r="T215" s="10">
        <v>2.1780000000000001E-2</v>
      </c>
      <c r="U215" s="10">
        <v>2.589E-2</v>
      </c>
      <c r="V215" s="10">
        <v>6.3299999999999901E-3</v>
      </c>
      <c r="W215" s="10">
        <v>2.5930000000000002E-2</v>
      </c>
      <c r="X215" s="10">
        <v>2.1570000000000001E-3</v>
      </c>
      <c r="Y215" s="10">
        <v>13.9</v>
      </c>
      <c r="Z215" s="10">
        <v>23.64</v>
      </c>
      <c r="AA215" s="10">
        <v>89.269999999999897</v>
      </c>
      <c r="AB215" s="10">
        <v>597.5</v>
      </c>
      <c r="AC215" s="10">
        <v>0.12559999999999899</v>
      </c>
      <c r="AD215" s="10">
        <v>0.18079999999999899</v>
      </c>
      <c r="AE215" s="10">
        <v>0.19919999999999899</v>
      </c>
      <c r="AF215" s="10">
        <v>5.77999999999999E-2</v>
      </c>
      <c r="AG215" s="10">
        <v>0.3604</v>
      </c>
      <c r="AH215">
        <v>7.0620000000000002E-2</v>
      </c>
    </row>
    <row r="216" spans="3:34">
      <c r="C216" s="11" t="s">
        <v>409</v>
      </c>
      <c r="D216" s="10" t="s">
        <v>1</v>
      </c>
      <c r="E216" s="10">
        <v>13.71</v>
      </c>
      <c r="F216" s="10">
        <v>20.39</v>
      </c>
      <c r="G216" s="10">
        <v>69.5</v>
      </c>
      <c r="H216" s="10">
        <v>344.89999999999901</v>
      </c>
      <c r="I216" s="10">
        <v>0.1082</v>
      </c>
      <c r="J216" s="10">
        <v>0.12889999999999899</v>
      </c>
      <c r="K216" s="10">
        <v>8.448E-2</v>
      </c>
      <c r="L216" s="10">
        <v>2.8670000000000001E-2</v>
      </c>
      <c r="M216" s="10">
        <v>0.1668</v>
      </c>
      <c r="N216" s="10">
        <v>6.862E-2</v>
      </c>
      <c r="O216" s="10">
        <v>0.31979999999999897</v>
      </c>
      <c r="P216" s="10">
        <v>1.4890000000000001</v>
      </c>
      <c r="Q216" s="10">
        <v>2.23</v>
      </c>
      <c r="R216" s="10">
        <v>20.739999999999899</v>
      </c>
      <c r="S216" s="10">
        <v>8.9020000000000002E-3</v>
      </c>
      <c r="T216" s="10">
        <v>4.78499999999999E-2</v>
      </c>
      <c r="U216" s="10">
        <v>7.33899999999999E-2</v>
      </c>
      <c r="V216" s="10">
        <v>1.745E-2</v>
      </c>
      <c r="W216" s="10">
        <v>2.7279999999999902E-2</v>
      </c>
      <c r="X216" s="10">
        <v>7.60999999999999E-3</v>
      </c>
      <c r="Y216" s="10">
        <v>11.69</v>
      </c>
      <c r="Z216" s="10">
        <v>25.21</v>
      </c>
      <c r="AA216" s="10">
        <v>76.510000000000005</v>
      </c>
      <c r="AB216" s="10">
        <v>410.39999999999901</v>
      </c>
      <c r="AC216" s="10">
        <v>0.13350000000000001</v>
      </c>
      <c r="AD216" s="10">
        <v>0.255</v>
      </c>
      <c r="AE216" s="10">
        <v>0.25340000000000001</v>
      </c>
      <c r="AF216" s="10">
        <v>8.5999999999999896E-2</v>
      </c>
      <c r="AG216" s="10">
        <v>0.26050000000000001</v>
      </c>
      <c r="AH216">
        <v>8.7010000000000004E-2</v>
      </c>
    </row>
    <row r="217" spans="3:34">
      <c r="C217" s="11" t="s">
        <v>411</v>
      </c>
      <c r="D217" s="10" t="s">
        <v>1</v>
      </c>
      <c r="E217" s="10">
        <v>13.71</v>
      </c>
      <c r="F217" s="10">
        <v>13.0399999999999</v>
      </c>
      <c r="G217" s="10">
        <v>72.23</v>
      </c>
      <c r="H217" s="10">
        <v>388</v>
      </c>
      <c r="I217" s="10">
        <v>9.83399999999999E-2</v>
      </c>
      <c r="J217" s="10">
        <v>7.6079999999999898E-2</v>
      </c>
      <c r="K217" s="10">
        <v>3.2649999999999901E-2</v>
      </c>
      <c r="L217" s="10">
        <v>2.7550000000000002E-2</v>
      </c>
      <c r="M217" s="10">
        <v>0.1769</v>
      </c>
      <c r="N217" s="10">
        <v>6.2700000000000006E-2</v>
      </c>
      <c r="O217" s="10">
        <v>0.19040000000000001</v>
      </c>
      <c r="P217" s="10">
        <v>0.52929999999999899</v>
      </c>
      <c r="Q217" s="10">
        <v>1.1639999999999899</v>
      </c>
      <c r="R217" s="10">
        <v>13.17</v>
      </c>
      <c r="S217" s="10">
        <v>6.4720000000000003E-3</v>
      </c>
      <c r="T217" s="10">
        <v>1.1220000000000001E-2</v>
      </c>
      <c r="U217" s="10">
        <v>1.282E-2</v>
      </c>
      <c r="V217" s="10">
        <v>8.8489999999999906E-3</v>
      </c>
      <c r="W217" s="10">
        <v>1.6920000000000001E-2</v>
      </c>
      <c r="X217" s="10">
        <v>2.8170000000000001E-3</v>
      </c>
      <c r="Y217" s="10">
        <v>12.32</v>
      </c>
      <c r="Z217" s="10">
        <v>16.18</v>
      </c>
      <c r="AA217" s="10">
        <v>78.269999999999897</v>
      </c>
      <c r="AB217" s="10">
        <v>457.5</v>
      </c>
      <c r="AC217" s="10">
        <v>0.1358</v>
      </c>
      <c r="AD217" s="10">
        <v>0.1507</v>
      </c>
      <c r="AE217" s="10">
        <v>0.1275</v>
      </c>
      <c r="AF217" s="10">
        <v>8.7499999999999897E-2</v>
      </c>
      <c r="AG217" s="10">
        <v>0.27329999999999899</v>
      </c>
      <c r="AH217">
        <v>8.022E-2</v>
      </c>
    </row>
    <row r="218" spans="3:34">
      <c r="C218" s="11" t="s">
        <v>413</v>
      </c>
      <c r="D218" s="10" t="s">
        <v>1</v>
      </c>
      <c r="E218" s="10">
        <v>13.71</v>
      </c>
      <c r="F218" s="10">
        <v>15.67</v>
      </c>
      <c r="G218" s="10">
        <v>61.5</v>
      </c>
      <c r="H218" s="10">
        <v>289.89999999999901</v>
      </c>
      <c r="I218" s="10">
        <v>9.0370000000000006E-2</v>
      </c>
      <c r="J218" s="10">
        <v>4.6890000000000001E-2</v>
      </c>
      <c r="K218" s="10">
        <v>1.103E-2</v>
      </c>
      <c r="L218" s="10">
        <v>1.40699999999999E-2</v>
      </c>
      <c r="M218" s="10">
        <v>0.20810000000000001</v>
      </c>
      <c r="N218" s="10">
        <v>6.3119999999999898E-2</v>
      </c>
      <c r="O218" s="10">
        <v>0.26840000000000003</v>
      </c>
      <c r="P218" s="10">
        <v>1.409</v>
      </c>
      <c r="Q218" s="10">
        <v>1.75</v>
      </c>
      <c r="R218" s="10">
        <v>16.39</v>
      </c>
      <c r="S218" s="10">
        <v>1.38E-2</v>
      </c>
      <c r="T218" s="10">
        <v>1.0670000000000001E-2</v>
      </c>
      <c r="U218" s="10">
        <v>8.3470000000000003E-3</v>
      </c>
      <c r="V218" s="10">
        <v>9.4719999999999908E-3</v>
      </c>
      <c r="W218" s="10">
        <v>1.7979999999999899E-2</v>
      </c>
      <c r="X218" s="10">
        <v>4.261E-3</v>
      </c>
      <c r="Y218" s="10">
        <v>10.75</v>
      </c>
      <c r="Z218" s="10">
        <v>20.8799999999999</v>
      </c>
      <c r="AA218" s="10">
        <v>68.09</v>
      </c>
      <c r="AB218" s="10">
        <v>355.19999999999902</v>
      </c>
      <c r="AC218" s="10">
        <v>0.1467</v>
      </c>
      <c r="AD218" s="10">
        <v>9.3700000000000006E-2</v>
      </c>
      <c r="AE218" s="10">
        <v>4.0430000000000001E-2</v>
      </c>
      <c r="AF218" s="10">
        <v>5.15899999999999E-2</v>
      </c>
      <c r="AG218" s="10">
        <v>0.28410000000000002</v>
      </c>
      <c r="AH218">
        <v>8.1750000000000003E-2</v>
      </c>
    </row>
    <row r="219" spans="3:34">
      <c r="C219" s="11" t="s">
        <v>416</v>
      </c>
      <c r="D219" s="10" t="s">
        <v>1</v>
      </c>
      <c r="E219" s="10">
        <v>13.71</v>
      </c>
      <c r="F219" s="10">
        <v>14.16</v>
      </c>
      <c r="G219" s="10">
        <v>71.790000000000006</v>
      </c>
      <c r="H219" s="10">
        <v>396.6</v>
      </c>
      <c r="I219" s="10">
        <v>9.3789999999999901E-2</v>
      </c>
      <c r="J219" s="10">
        <v>3.87199999999999E-2</v>
      </c>
      <c r="K219" s="10">
        <v>1.487E-3</v>
      </c>
      <c r="L219" s="10">
        <v>3.333E-3</v>
      </c>
      <c r="M219" s="10">
        <v>0.19539999999999899</v>
      </c>
      <c r="N219" s="10">
        <v>5.8209999999999901E-2</v>
      </c>
      <c r="O219" s="10">
        <v>0.23749999999999899</v>
      </c>
      <c r="P219" s="10">
        <v>1.28</v>
      </c>
      <c r="Q219" s="10">
        <v>1.56499999999999</v>
      </c>
      <c r="R219" s="10">
        <v>17.09</v>
      </c>
      <c r="S219" s="10">
        <v>8.4259999999999908E-3</v>
      </c>
      <c r="T219" s="10">
        <v>8.9980000000000008E-3</v>
      </c>
      <c r="U219" s="10">
        <v>1.487E-3</v>
      </c>
      <c r="V219" s="10">
        <v>3.333E-3</v>
      </c>
      <c r="W219" s="10">
        <v>2.358E-2</v>
      </c>
      <c r="X219" s="10">
        <v>1.627E-3</v>
      </c>
      <c r="Y219" s="10">
        <v>12.1999999999999</v>
      </c>
      <c r="Z219" s="10">
        <v>18.989999999999899</v>
      </c>
      <c r="AA219" s="10">
        <v>77.37</v>
      </c>
      <c r="AB219" s="10">
        <v>458</v>
      </c>
      <c r="AC219" s="10">
        <v>0.12590000000000001</v>
      </c>
      <c r="AD219" s="10">
        <v>7.3480000000000004E-2</v>
      </c>
      <c r="AE219" s="10">
        <v>4.9550000000000002E-3</v>
      </c>
      <c r="AF219" s="10">
        <v>1.111E-2</v>
      </c>
      <c r="AG219" s="10">
        <v>0.27579999999999899</v>
      </c>
      <c r="AH219">
        <v>6.386E-2</v>
      </c>
    </row>
    <row r="220" spans="3:34">
      <c r="C220" s="11" t="s">
        <v>417</v>
      </c>
      <c r="D220" s="10" t="s">
        <v>0</v>
      </c>
      <c r="E220" s="10">
        <v>13.71</v>
      </c>
      <c r="F220" s="10">
        <v>19.98</v>
      </c>
      <c r="G220" s="10">
        <v>120.9</v>
      </c>
      <c r="H220" s="10">
        <v>1102</v>
      </c>
      <c r="I220" s="10">
        <v>8.9230000000000004E-2</v>
      </c>
      <c r="J220" s="10">
        <v>5.8840000000000003E-2</v>
      </c>
      <c r="K220" s="10">
        <v>8.0199999999999896E-2</v>
      </c>
      <c r="L220" s="10">
        <v>5.8430000000000003E-2</v>
      </c>
      <c r="M220" s="10">
        <v>0.155</v>
      </c>
      <c r="N220" s="10">
        <v>4.99599999999999E-2</v>
      </c>
      <c r="O220" s="10">
        <v>0.32829999999999898</v>
      </c>
      <c r="P220" s="10">
        <v>0.82799999999999896</v>
      </c>
      <c r="Q220" s="10">
        <v>2.363</v>
      </c>
      <c r="R220" s="10">
        <v>36.74</v>
      </c>
      <c r="S220" s="10">
        <v>7.5709999999999901E-3</v>
      </c>
      <c r="T220" s="10">
        <v>1.1140000000000001E-2</v>
      </c>
      <c r="U220" s="10">
        <v>2.623E-2</v>
      </c>
      <c r="V220" s="10">
        <v>1.4630000000000001E-2</v>
      </c>
      <c r="W220" s="10">
        <v>1.9300000000000001E-2</v>
      </c>
      <c r="X220" s="10">
        <v>1.676E-3</v>
      </c>
      <c r="Y220" s="10">
        <v>19.96</v>
      </c>
      <c r="Z220" s="10">
        <v>24.3</v>
      </c>
      <c r="AA220" s="10">
        <v>129</v>
      </c>
      <c r="AB220" s="10">
        <v>1236</v>
      </c>
      <c r="AC220" s="10">
        <v>0.12429999999999899</v>
      </c>
      <c r="AD220" s="10">
        <v>0.11600000000000001</v>
      </c>
      <c r="AE220" s="10">
        <v>0.221</v>
      </c>
      <c r="AF220" s="10">
        <v>0.12939999999999899</v>
      </c>
      <c r="AG220" s="10">
        <v>0.25669999999999898</v>
      </c>
      <c r="AH220">
        <v>5.73699999999999E-2</v>
      </c>
    </row>
    <row r="221" spans="3:34">
      <c r="C221" s="11" t="s">
        <v>419</v>
      </c>
      <c r="D221" s="10" t="s">
        <v>1</v>
      </c>
      <c r="E221" s="10">
        <v>13.71</v>
      </c>
      <c r="F221" s="10">
        <v>15.18</v>
      </c>
      <c r="G221" s="10">
        <v>88.989999999999895</v>
      </c>
      <c r="H221" s="10">
        <v>587.39999999999895</v>
      </c>
      <c r="I221" s="10">
        <v>9.5159999999999897E-2</v>
      </c>
      <c r="J221" s="10">
        <v>7.6880000000000004E-2</v>
      </c>
      <c r="K221" s="10">
        <v>4.4790000000000003E-2</v>
      </c>
      <c r="L221" s="10">
        <v>3.71099999999999E-2</v>
      </c>
      <c r="M221" s="10">
        <v>0.21099999999999899</v>
      </c>
      <c r="N221" s="10">
        <v>5.8529999999999902E-2</v>
      </c>
      <c r="O221" s="10">
        <v>0.24790000000000001</v>
      </c>
      <c r="P221" s="10">
        <v>0.91949999999999898</v>
      </c>
      <c r="Q221" s="10">
        <v>1.83</v>
      </c>
      <c r="R221" s="10">
        <v>19.41</v>
      </c>
      <c r="S221" s="10">
        <v>4.235E-3</v>
      </c>
      <c r="T221" s="10">
        <v>1.541E-2</v>
      </c>
      <c r="U221" s="10">
        <v>1.457E-2</v>
      </c>
      <c r="V221" s="10">
        <v>1.043E-2</v>
      </c>
      <c r="W221" s="10">
        <v>1.528E-2</v>
      </c>
      <c r="X221" s="10">
        <v>1.593E-3</v>
      </c>
      <c r="Y221" s="10">
        <v>14.98</v>
      </c>
      <c r="Z221" s="10">
        <v>21.739999999999899</v>
      </c>
      <c r="AA221" s="10">
        <v>98.37</v>
      </c>
      <c r="AB221" s="10">
        <v>670</v>
      </c>
      <c r="AC221" s="10">
        <v>0.118499999999999</v>
      </c>
      <c r="AD221" s="10">
        <v>0.1724</v>
      </c>
      <c r="AE221" s="10">
        <v>0.14560000000000001</v>
      </c>
      <c r="AF221" s="10">
        <v>9.9930000000000005E-2</v>
      </c>
      <c r="AG221" s="10">
        <v>0.29549999999999899</v>
      </c>
      <c r="AH221">
        <v>6.9120000000000001E-2</v>
      </c>
    </row>
    <row r="222" spans="3:34">
      <c r="C222" s="11" t="s">
        <v>421</v>
      </c>
      <c r="D222" s="10" t="s">
        <v>1</v>
      </c>
      <c r="E222" s="10">
        <v>13.71</v>
      </c>
      <c r="F222" s="10">
        <v>14.02</v>
      </c>
      <c r="G222" s="10">
        <v>74.239999999999895</v>
      </c>
      <c r="H222" s="10">
        <v>427.3</v>
      </c>
      <c r="I222" s="10">
        <v>7.8130000000000005E-2</v>
      </c>
      <c r="J222" s="10">
        <v>4.3400000000000001E-2</v>
      </c>
      <c r="K222" s="10">
        <v>2.2450000000000001E-2</v>
      </c>
      <c r="L222" s="10">
        <v>2.7629999999999901E-2</v>
      </c>
      <c r="M222" s="10">
        <v>0.21010000000000001</v>
      </c>
      <c r="N222" s="10">
        <v>6.11299999999999E-2</v>
      </c>
      <c r="O222" s="10">
        <v>0.56189999999999896</v>
      </c>
      <c r="P222" s="10">
        <v>1.268</v>
      </c>
      <c r="Q222" s="10">
        <v>3.7170000000000001</v>
      </c>
      <c r="R222" s="10">
        <v>37.829999999999899</v>
      </c>
      <c r="S222" s="10">
        <v>8.0339999999999908E-3</v>
      </c>
      <c r="T222" s="10">
        <v>1.4420000000000001E-2</v>
      </c>
      <c r="U222" s="10">
        <v>1.5140000000000001E-2</v>
      </c>
      <c r="V222" s="10">
        <v>1.8460000000000001E-2</v>
      </c>
      <c r="W222" s="10">
        <v>2.921E-2</v>
      </c>
      <c r="X222" s="10">
        <v>2.0049999999999899E-3</v>
      </c>
      <c r="Y222" s="10">
        <v>13.31</v>
      </c>
      <c r="Z222" s="10">
        <v>18.260000000000002</v>
      </c>
      <c r="AA222" s="10">
        <v>84.7</v>
      </c>
      <c r="AB222" s="10">
        <v>533.70000000000005</v>
      </c>
      <c r="AC222" s="10">
        <v>0.1036</v>
      </c>
      <c r="AD222" s="10">
        <v>8.5000000000000006E-2</v>
      </c>
      <c r="AE222" s="10">
        <v>6.7349999999999896E-2</v>
      </c>
      <c r="AF222" s="10">
        <v>8.2900000000000001E-2</v>
      </c>
      <c r="AG222" s="10">
        <v>0.31009999999999899</v>
      </c>
      <c r="AH222">
        <v>6.6879999999999898E-2</v>
      </c>
    </row>
    <row r="223" spans="3:34">
      <c r="C223" s="11" t="s">
        <v>424</v>
      </c>
      <c r="D223" s="10" t="s">
        <v>1</v>
      </c>
      <c r="E223" s="10">
        <v>13.71</v>
      </c>
      <c r="F223" s="10">
        <v>15.6999999999999</v>
      </c>
      <c r="G223" s="10">
        <v>84.079999999999899</v>
      </c>
      <c r="H223" s="10">
        <v>516.6</v>
      </c>
      <c r="I223" s="10">
        <v>7.8179999999999902E-2</v>
      </c>
      <c r="J223" s="10">
        <v>9.5799999999999899E-2</v>
      </c>
      <c r="K223" s="10">
        <v>0.1115</v>
      </c>
      <c r="L223" s="10">
        <v>3.39E-2</v>
      </c>
      <c r="M223" s="10">
        <v>0.14319999999999899</v>
      </c>
      <c r="N223" s="10">
        <v>5.935E-2</v>
      </c>
      <c r="O223" s="10">
        <v>0.2913</v>
      </c>
      <c r="P223" s="10">
        <v>1.389</v>
      </c>
      <c r="Q223" s="10">
        <v>2.347</v>
      </c>
      <c r="R223" s="10">
        <v>23.2899999999999</v>
      </c>
      <c r="S223" s="10">
        <v>6.4180000000000001E-3</v>
      </c>
      <c r="T223" s="10">
        <v>3.9609999999999902E-2</v>
      </c>
      <c r="U223" s="10">
        <v>7.9269999999999896E-2</v>
      </c>
      <c r="V223" s="10">
        <v>1.7739999999999902E-2</v>
      </c>
      <c r="W223" s="10">
        <v>1.8780000000000002E-2</v>
      </c>
      <c r="X223" s="10">
        <v>3.6960000000000001E-3</v>
      </c>
      <c r="Y223" s="10">
        <v>13.9</v>
      </c>
      <c r="Z223" s="10">
        <v>19.690000000000001</v>
      </c>
      <c r="AA223" s="10">
        <v>92.12</v>
      </c>
      <c r="AB223" s="10">
        <v>595.6</v>
      </c>
      <c r="AC223" s="10">
        <v>9.9260000000000001E-2</v>
      </c>
      <c r="AD223" s="10">
        <v>0.23169999999999899</v>
      </c>
      <c r="AE223" s="10">
        <v>0.33439999999999898</v>
      </c>
      <c r="AF223" s="10">
        <v>0.1017</v>
      </c>
      <c r="AG223" s="10">
        <v>0.199899999999999</v>
      </c>
      <c r="AH223">
        <v>7.127E-2</v>
      </c>
    </row>
    <row r="224" spans="3:34">
      <c r="C224" s="11" t="s">
        <v>425</v>
      </c>
      <c r="D224" s="10" t="s">
        <v>1</v>
      </c>
      <c r="E224" s="10">
        <v>13.71</v>
      </c>
      <c r="F224" s="10">
        <v>18.399999999999899</v>
      </c>
      <c r="G224" s="10">
        <v>79.829999999999899</v>
      </c>
      <c r="H224" s="10">
        <v>489</v>
      </c>
      <c r="I224" s="10">
        <v>8.3930000000000005E-2</v>
      </c>
      <c r="J224" s="10">
        <v>4.2160000000000003E-2</v>
      </c>
      <c r="K224" s="10">
        <v>1.8600000000000001E-3</v>
      </c>
      <c r="L224" s="10">
        <v>2.92399999999999E-3</v>
      </c>
      <c r="M224" s="10">
        <v>0.16969999999999899</v>
      </c>
      <c r="N224" s="10">
        <v>5.8549999999999901E-2</v>
      </c>
      <c r="O224" s="10">
        <v>0.27189999999999898</v>
      </c>
      <c r="P224" s="10">
        <v>1.35</v>
      </c>
      <c r="Q224" s="10">
        <v>1.7210000000000001</v>
      </c>
      <c r="R224" s="10">
        <v>22.4499999999999</v>
      </c>
      <c r="S224" s="10">
        <v>6.3829999999999902E-3</v>
      </c>
      <c r="T224" s="10">
        <v>8.0079999999999908E-3</v>
      </c>
      <c r="U224" s="10">
        <v>1.8600000000000001E-3</v>
      </c>
      <c r="V224" s="10">
        <v>2.92399999999999E-3</v>
      </c>
      <c r="W224" s="10">
        <v>2.571E-2</v>
      </c>
      <c r="X224" s="10">
        <v>2.0149999999999899E-3</v>
      </c>
      <c r="Y224" s="10">
        <v>13.5</v>
      </c>
      <c r="Z224" s="10">
        <v>23.079999999999899</v>
      </c>
      <c r="AA224" s="10">
        <v>85.56</v>
      </c>
      <c r="AB224" s="10">
        <v>564.1</v>
      </c>
      <c r="AC224" s="10">
        <v>0.1038</v>
      </c>
      <c r="AD224" s="10">
        <v>6.6239999999999896E-2</v>
      </c>
      <c r="AE224" s="10">
        <v>5.5789999999999902E-3</v>
      </c>
      <c r="AF224" s="10">
        <v>8.7720000000000003E-3</v>
      </c>
      <c r="AG224" s="10">
        <v>0.2505</v>
      </c>
      <c r="AH224">
        <v>6.4310000000000006E-2</v>
      </c>
    </row>
    <row r="225" spans="3:34">
      <c r="C225" s="11" t="s">
        <v>426</v>
      </c>
      <c r="D225" s="10" t="s">
        <v>1</v>
      </c>
      <c r="E225" s="10">
        <v>13.71</v>
      </c>
      <c r="F225" s="10">
        <v>20.76</v>
      </c>
      <c r="G225" s="10">
        <v>77.87</v>
      </c>
      <c r="H225" s="10">
        <v>441</v>
      </c>
      <c r="I225" s="10">
        <v>8.6050000000000001E-2</v>
      </c>
      <c r="J225" s="10">
        <v>0.1011</v>
      </c>
      <c r="K225" s="10">
        <v>6.5740000000000007E-2</v>
      </c>
      <c r="L225" s="10">
        <v>3.7909999999999902E-2</v>
      </c>
      <c r="M225" s="10">
        <v>0.1588</v>
      </c>
      <c r="N225" s="10">
        <v>6.7659999999999901E-2</v>
      </c>
      <c r="O225" s="10">
        <v>0.2742</v>
      </c>
      <c r="P225" s="10">
        <v>1.3899999999999899</v>
      </c>
      <c r="Q225" s="10">
        <v>3.198</v>
      </c>
      <c r="R225" s="10">
        <v>21.91</v>
      </c>
      <c r="S225" s="10">
        <v>6.7190000000000001E-3</v>
      </c>
      <c r="T225" s="10">
        <v>5.1560000000000002E-2</v>
      </c>
      <c r="U225" s="10">
        <v>4.3869999999999902E-2</v>
      </c>
      <c r="V225" s="10">
        <v>1.6330000000000001E-2</v>
      </c>
      <c r="W225" s="10">
        <v>1.8720000000000001E-2</v>
      </c>
      <c r="X225" s="10">
        <v>8.0149999999999891E-3</v>
      </c>
      <c r="Y225" s="10">
        <v>13.24</v>
      </c>
      <c r="Z225" s="10">
        <v>27.2899999999999</v>
      </c>
      <c r="AA225" s="10">
        <v>92.2</v>
      </c>
      <c r="AB225" s="10">
        <v>546.1</v>
      </c>
      <c r="AC225" s="10">
        <v>0.1116</v>
      </c>
      <c r="AD225" s="10">
        <v>0.281299999999999</v>
      </c>
      <c r="AE225" s="10">
        <v>0.23649999999999899</v>
      </c>
      <c r="AF225" s="10">
        <v>0.11550000000000001</v>
      </c>
      <c r="AG225" s="10">
        <v>0.2465</v>
      </c>
      <c r="AH225">
        <v>9.9809999999999899E-2</v>
      </c>
    </row>
    <row r="226" spans="3:34">
      <c r="C226" s="11" t="s">
        <v>428</v>
      </c>
      <c r="D226" s="10" t="s">
        <v>1</v>
      </c>
      <c r="E226" s="10">
        <v>13.71</v>
      </c>
      <c r="F226" s="10">
        <v>19.96</v>
      </c>
      <c r="G226" s="10">
        <v>73.719999999999899</v>
      </c>
      <c r="H226" s="10">
        <v>394.1</v>
      </c>
      <c r="I226" s="10">
        <v>8.0199999999999896E-2</v>
      </c>
      <c r="J226" s="10">
        <v>0.1181</v>
      </c>
      <c r="K226" s="10">
        <v>9.2740000000000003E-2</v>
      </c>
      <c r="L226" s="10">
        <v>5.5879999999999902E-2</v>
      </c>
      <c r="M226" s="10">
        <v>0.25950000000000001</v>
      </c>
      <c r="N226" s="10">
        <v>6.2330000000000003E-2</v>
      </c>
      <c r="O226" s="10">
        <v>0.48659999999999898</v>
      </c>
      <c r="P226" s="10">
        <v>1.905</v>
      </c>
      <c r="Q226" s="10">
        <v>2.87699999999999</v>
      </c>
      <c r="R226" s="10">
        <v>34.68</v>
      </c>
      <c r="S226" s="10">
        <v>1.5740000000000001E-2</v>
      </c>
      <c r="T226" s="10">
        <v>8.2619999999999902E-2</v>
      </c>
      <c r="U226" s="10">
        <v>8.0990000000000006E-2</v>
      </c>
      <c r="V226" s="10">
        <v>3.4869999999999901E-2</v>
      </c>
      <c r="W226" s="10">
        <v>3.4180000000000002E-2</v>
      </c>
      <c r="X226" s="10">
        <v>6.5170000000000002E-3</v>
      </c>
      <c r="Y226" s="10">
        <v>11.8599999999999</v>
      </c>
      <c r="Z226" s="10">
        <v>22.329999999999899</v>
      </c>
      <c r="AA226" s="10">
        <v>78.269999999999897</v>
      </c>
      <c r="AB226" s="10">
        <v>437.6</v>
      </c>
      <c r="AC226" s="10">
        <v>0.1028</v>
      </c>
      <c r="AD226" s="10">
        <v>0.18429999999999899</v>
      </c>
      <c r="AE226" s="10">
        <v>0.15459999999999899</v>
      </c>
      <c r="AF226" s="10">
        <v>9.3140000000000001E-2</v>
      </c>
      <c r="AG226" s="10">
        <v>0.29549999999999899</v>
      </c>
      <c r="AH226">
        <v>7.009E-2</v>
      </c>
    </row>
    <row r="227" spans="3:34">
      <c r="C227" s="11" t="s">
        <v>429</v>
      </c>
      <c r="D227" s="10" t="s">
        <v>1</v>
      </c>
      <c r="E227" s="10">
        <v>13.71</v>
      </c>
      <c r="F227" s="10">
        <v>18.89</v>
      </c>
      <c r="G227" s="10">
        <v>72.17</v>
      </c>
      <c r="H227" s="10">
        <v>396</v>
      </c>
      <c r="I227" s="10">
        <v>8.7129999999999902E-2</v>
      </c>
      <c r="J227" s="10">
        <v>5.008E-2</v>
      </c>
      <c r="K227" s="10">
        <v>2.3990000000000001E-2</v>
      </c>
      <c r="L227" s="10">
        <v>2.1729999999999899E-2</v>
      </c>
      <c r="M227" s="10">
        <v>0.20130000000000001</v>
      </c>
      <c r="N227" s="10">
        <v>5.9549999999999902E-2</v>
      </c>
      <c r="O227" s="10">
        <v>0.2656</v>
      </c>
      <c r="P227" s="10">
        <v>1.974</v>
      </c>
      <c r="Q227" s="10">
        <v>1.954</v>
      </c>
      <c r="R227" s="10">
        <v>17.489999999999899</v>
      </c>
      <c r="S227" s="10">
        <v>6.5380000000000004E-3</v>
      </c>
      <c r="T227" s="10">
        <v>1.3950000000000001E-2</v>
      </c>
      <c r="U227" s="10">
        <v>1.376E-2</v>
      </c>
      <c r="V227" s="10">
        <v>9.9240000000000005E-3</v>
      </c>
      <c r="W227" s="10">
        <v>3.4160000000000003E-2</v>
      </c>
      <c r="X227" s="10">
        <v>2.928E-3</v>
      </c>
      <c r="Y227" s="10">
        <v>12.3599999999999</v>
      </c>
      <c r="Z227" s="10">
        <v>26.14</v>
      </c>
      <c r="AA227" s="10">
        <v>79.290000000000006</v>
      </c>
      <c r="AB227" s="10">
        <v>459.3</v>
      </c>
      <c r="AC227" s="10">
        <v>0.1118</v>
      </c>
      <c r="AD227" s="10">
        <v>9.708E-2</v>
      </c>
      <c r="AE227" s="10">
        <v>7.5289999999999899E-2</v>
      </c>
      <c r="AF227" s="10">
        <v>6.2030000000000002E-2</v>
      </c>
      <c r="AG227" s="10">
        <v>0.32669999999999899</v>
      </c>
      <c r="AH227">
        <v>6.9940000000000002E-2</v>
      </c>
    </row>
    <row r="228" spans="3:34">
      <c r="C228" s="11" t="s">
        <v>431</v>
      </c>
      <c r="D228" s="10" t="s">
        <v>1</v>
      </c>
      <c r="E228" s="10">
        <v>13.71</v>
      </c>
      <c r="F228" s="10">
        <v>19.100000000000001</v>
      </c>
      <c r="G228" s="10">
        <v>97.03</v>
      </c>
      <c r="H228" s="10">
        <v>687.29999999999905</v>
      </c>
      <c r="I228" s="10">
        <v>8.992E-2</v>
      </c>
      <c r="J228" s="10">
        <v>9.8229999999999901E-2</v>
      </c>
      <c r="K228" s="10">
        <v>5.9400000000000001E-2</v>
      </c>
      <c r="L228" s="10">
        <v>4.81899999999999E-2</v>
      </c>
      <c r="M228" s="10">
        <v>0.18790000000000001</v>
      </c>
      <c r="N228" s="10">
        <v>5.8520000000000003E-2</v>
      </c>
      <c r="O228" s="10">
        <v>0.28770000000000001</v>
      </c>
      <c r="P228" s="10">
        <v>0.94799999999999895</v>
      </c>
      <c r="Q228" s="10">
        <v>2.17099999999999</v>
      </c>
      <c r="R228" s="10">
        <v>24.87</v>
      </c>
      <c r="S228" s="10">
        <v>5.3319999999999904E-3</v>
      </c>
      <c r="T228" s="10">
        <v>2.1149999999999902E-2</v>
      </c>
      <c r="U228" s="10">
        <v>1.536E-2</v>
      </c>
      <c r="V228" s="10">
        <v>1.187E-2</v>
      </c>
      <c r="W228" s="10">
        <v>1.52199999999999E-2</v>
      </c>
      <c r="X228" s="10">
        <v>2.8149999999999898E-3</v>
      </c>
      <c r="Y228" s="10">
        <v>16.25</v>
      </c>
      <c r="Z228" s="10">
        <v>26.19</v>
      </c>
      <c r="AA228" s="10">
        <v>109.099999999999</v>
      </c>
      <c r="AB228" s="10">
        <v>809.79999999999905</v>
      </c>
      <c r="AC228" s="10">
        <v>0.1313</v>
      </c>
      <c r="AD228" s="10">
        <v>0.30299999999999899</v>
      </c>
      <c r="AE228" s="10">
        <v>0.1804</v>
      </c>
      <c r="AF228" s="10">
        <v>0.1489</v>
      </c>
      <c r="AG228" s="10">
        <v>0.29620000000000002</v>
      </c>
      <c r="AH228">
        <v>8.4720000000000004E-2</v>
      </c>
    </row>
    <row r="229" spans="3:34">
      <c r="C229" s="11" t="s">
        <v>433</v>
      </c>
      <c r="D229" s="10" t="s">
        <v>1</v>
      </c>
      <c r="E229" s="10">
        <v>13.71</v>
      </c>
      <c r="F229" s="10">
        <v>17.46</v>
      </c>
      <c r="G229" s="10">
        <v>75.540000000000006</v>
      </c>
      <c r="H229" s="10">
        <v>432.69999999999902</v>
      </c>
      <c r="I229" s="10">
        <v>8.3720000000000003E-2</v>
      </c>
      <c r="J229" s="10">
        <v>5.6419999999999901E-2</v>
      </c>
      <c r="K229" s="10">
        <v>2.6880000000000001E-2</v>
      </c>
      <c r="L229" s="10">
        <v>2.2800000000000001E-2</v>
      </c>
      <c r="M229" s="10">
        <v>0.1875</v>
      </c>
      <c r="N229" s="10">
        <v>5.7149999999999902E-2</v>
      </c>
      <c r="O229" s="10">
        <v>0.20699999999999899</v>
      </c>
      <c r="P229" s="10">
        <v>1.238</v>
      </c>
      <c r="Q229" s="10">
        <v>1.234</v>
      </c>
      <c r="R229" s="10">
        <v>13.88</v>
      </c>
      <c r="S229" s="10">
        <v>7.5950000000000002E-3</v>
      </c>
      <c r="T229" s="10">
        <v>1.4999999999999901E-2</v>
      </c>
      <c r="U229" s="10">
        <v>1.4120000000000001E-2</v>
      </c>
      <c r="V229" s="10">
        <v>8.5780000000000006E-3</v>
      </c>
      <c r="W229" s="10">
        <v>1.7919999999999901E-2</v>
      </c>
      <c r="X229" s="10">
        <v>1.784E-3</v>
      </c>
      <c r="Y229" s="10">
        <v>13.06</v>
      </c>
      <c r="Z229" s="10">
        <v>25.75</v>
      </c>
      <c r="AA229" s="10">
        <v>84.349999999999895</v>
      </c>
      <c r="AB229" s="10">
        <v>517.79999999999905</v>
      </c>
      <c r="AC229" s="10">
        <v>0.13689999999999899</v>
      </c>
      <c r="AD229" s="10">
        <v>0.17580000000000001</v>
      </c>
      <c r="AE229" s="10">
        <v>0.131599999999999</v>
      </c>
      <c r="AF229" s="10">
        <v>9.1399999999999898E-2</v>
      </c>
      <c r="AG229" s="10">
        <v>0.31009999999999899</v>
      </c>
      <c r="AH229">
        <v>7.0069999999999896E-2</v>
      </c>
    </row>
    <row r="230" spans="3:34">
      <c r="C230" s="11" t="s">
        <v>434</v>
      </c>
      <c r="D230" s="10" t="s">
        <v>1</v>
      </c>
      <c r="E230" s="10">
        <v>13.71</v>
      </c>
      <c r="F230" s="10">
        <v>13.7799999999999</v>
      </c>
      <c r="G230" s="10">
        <v>81.78</v>
      </c>
      <c r="H230" s="10">
        <v>492.1</v>
      </c>
      <c r="I230" s="10">
        <v>9.6670000000000006E-2</v>
      </c>
      <c r="J230" s="10">
        <v>8.3930000000000005E-2</v>
      </c>
      <c r="K230" s="10">
        <v>1.2880000000000001E-2</v>
      </c>
      <c r="L230" s="10">
        <v>1.924E-2</v>
      </c>
      <c r="M230" s="10">
        <v>0.1638</v>
      </c>
      <c r="N230" s="10">
        <v>6.0999999999999902E-2</v>
      </c>
      <c r="O230" s="10">
        <v>0.1807</v>
      </c>
      <c r="P230" s="10">
        <v>0.69310000000000005</v>
      </c>
      <c r="Q230" s="10">
        <v>1.34</v>
      </c>
      <c r="R230" s="10">
        <v>13.38</v>
      </c>
      <c r="S230" s="10">
        <v>6.0639999999999904E-3</v>
      </c>
      <c r="T230" s="10">
        <v>1.18E-2</v>
      </c>
      <c r="U230" s="10">
        <v>6.5640000000000004E-3</v>
      </c>
      <c r="V230" s="10">
        <v>7.9780000000000007E-3</v>
      </c>
      <c r="W230" s="10">
        <v>1.374E-2</v>
      </c>
      <c r="X230" s="10">
        <v>1.392E-3</v>
      </c>
      <c r="Y230" s="10">
        <v>13.5</v>
      </c>
      <c r="Z230" s="10">
        <v>17.48</v>
      </c>
      <c r="AA230" s="10">
        <v>88.54</v>
      </c>
      <c r="AB230" s="10">
        <v>553.70000000000005</v>
      </c>
      <c r="AC230" s="10">
        <v>0.1298</v>
      </c>
      <c r="AD230" s="10">
        <v>0.1472</v>
      </c>
      <c r="AE230" s="10">
        <v>5.2330000000000002E-2</v>
      </c>
      <c r="AF230" s="10">
        <v>6.343E-2</v>
      </c>
      <c r="AG230" s="10">
        <v>0.2369</v>
      </c>
      <c r="AH230">
        <v>6.9220000000000004E-2</v>
      </c>
    </row>
    <row r="231" spans="3:34">
      <c r="C231" s="11" t="s">
        <v>436</v>
      </c>
      <c r="D231" s="10" t="s">
        <v>1</v>
      </c>
      <c r="E231" s="10">
        <v>13.71</v>
      </c>
      <c r="F231" s="10">
        <v>12.35</v>
      </c>
      <c r="G231" s="10">
        <v>69.14</v>
      </c>
      <c r="H231" s="10">
        <v>363.69999999999902</v>
      </c>
      <c r="I231" s="10">
        <v>8.5180000000000006E-2</v>
      </c>
      <c r="J231" s="10">
        <v>4.7210000000000002E-2</v>
      </c>
      <c r="K231" s="10">
        <v>1.2359999999999901E-2</v>
      </c>
      <c r="L231" s="10">
        <v>1.3690000000000001E-2</v>
      </c>
      <c r="M231" s="10">
        <v>0.1449</v>
      </c>
      <c r="N231" s="10">
        <v>6.0310000000000002E-2</v>
      </c>
      <c r="O231" s="10">
        <v>0.17530000000000001</v>
      </c>
      <c r="P231" s="10">
        <v>1.0269999999999899</v>
      </c>
      <c r="Q231" s="10">
        <v>1.2669999999999899</v>
      </c>
      <c r="R231" s="10">
        <v>11.09</v>
      </c>
      <c r="S231" s="10">
        <v>3.4780000000000002E-3</v>
      </c>
      <c r="T231" s="10">
        <v>1.221E-2</v>
      </c>
      <c r="U231" s="10">
        <v>1.072E-2</v>
      </c>
      <c r="V231" s="10">
        <v>9.3930000000000003E-3</v>
      </c>
      <c r="W231" s="10">
        <v>2.9409999999999901E-2</v>
      </c>
      <c r="X231" s="10">
        <v>3.4280000000000001E-3</v>
      </c>
      <c r="Y231" s="10">
        <v>11.3699999999999</v>
      </c>
      <c r="Z231" s="10">
        <v>14.82</v>
      </c>
      <c r="AA231" s="10">
        <v>72.42</v>
      </c>
      <c r="AB231" s="10">
        <v>392.19999999999902</v>
      </c>
      <c r="AC231" s="10">
        <v>9.3119999999999897E-2</v>
      </c>
      <c r="AD231" s="10">
        <v>7.5060000000000002E-2</v>
      </c>
      <c r="AE231" s="10">
        <v>2.8840000000000001E-2</v>
      </c>
      <c r="AF231" s="10">
        <v>3.1940000000000003E-2</v>
      </c>
      <c r="AG231" s="10">
        <v>0.21429999999999899</v>
      </c>
      <c r="AH231">
        <v>6.6430000000000003E-2</v>
      </c>
    </row>
    <row r="232" spans="3:34">
      <c r="C232" s="11" t="s">
        <v>437</v>
      </c>
      <c r="D232" s="10" t="s">
        <v>0</v>
      </c>
      <c r="E232" s="10">
        <v>13.71</v>
      </c>
      <c r="F232" s="10">
        <v>18.14</v>
      </c>
      <c r="G232" s="10">
        <v>75</v>
      </c>
      <c r="H232" s="10">
        <v>431.1</v>
      </c>
      <c r="I232" s="10">
        <v>9.9680000000000005E-2</v>
      </c>
      <c r="J232" s="10">
        <v>5.9139999999999901E-2</v>
      </c>
      <c r="K232" s="10">
        <v>2.6849999999999902E-2</v>
      </c>
      <c r="L232" s="10">
        <v>3.5150000000000001E-2</v>
      </c>
      <c r="M232" s="10">
        <v>0.16189999999999899</v>
      </c>
      <c r="N232" s="10">
        <v>6.2869999999999898E-2</v>
      </c>
      <c r="O232" s="10">
        <v>0.64500000000000002</v>
      </c>
      <c r="P232" s="10">
        <v>2.105</v>
      </c>
      <c r="Q232" s="10">
        <v>4.1379999999999901</v>
      </c>
      <c r="R232" s="10">
        <v>49.1099999999999</v>
      </c>
      <c r="S232" s="10">
        <v>5.5960000000000003E-3</v>
      </c>
      <c r="T232" s="10">
        <v>1.005E-2</v>
      </c>
      <c r="U232" s="10">
        <v>1.272E-2</v>
      </c>
      <c r="V232" s="10">
        <v>1.4319999999999901E-2</v>
      </c>
      <c r="W232" s="10">
        <v>1.575E-2</v>
      </c>
      <c r="X232" s="10">
        <v>2.758E-3</v>
      </c>
      <c r="Y232" s="10">
        <v>13.3599999999999</v>
      </c>
      <c r="Z232" s="10">
        <v>23.39</v>
      </c>
      <c r="AA232" s="10">
        <v>85.099999999999895</v>
      </c>
      <c r="AB232" s="10">
        <v>553.6</v>
      </c>
      <c r="AC232" s="10">
        <v>0.1137</v>
      </c>
      <c r="AD232" s="10">
        <v>7.9740000000000005E-2</v>
      </c>
      <c r="AE232" s="10">
        <v>6.11999999999999E-2</v>
      </c>
      <c r="AF232" s="10">
        <v>7.15999999999999E-2</v>
      </c>
      <c r="AG232" s="10">
        <v>0.1978</v>
      </c>
      <c r="AH232">
        <v>6.9150000000000003E-2</v>
      </c>
    </row>
    <row r="233" spans="3:34">
      <c r="C233" s="11" t="s">
        <v>439</v>
      </c>
      <c r="D233" s="10" t="s">
        <v>1</v>
      </c>
      <c r="E233" s="10">
        <v>13.71</v>
      </c>
      <c r="F233" s="10">
        <v>23.09</v>
      </c>
      <c r="G233" s="10">
        <v>66.849999999999895</v>
      </c>
      <c r="H233" s="10">
        <v>334.19999999999902</v>
      </c>
      <c r="I233" s="10">
        <v>0.10150000000000001</v>
      </c>
      <c r="J233" s="10">
        <v>6.7970000000000003E-2</v>
      </c>
      <c r="K233" s="10">
        <v>2.495E-2</v>
      </c>
      <c r="L233" s="10">
        <v>1.8749999999999899E-2</v>
      </c>
      <c r="M233" s="10">
        <v>0.16950000000000001</v>
      </c>
      <c r="N233" s="10">
        <v>6.5559999999999896E-2</v>
      </c>
      <c r="O233" s="10">
        <v>0.2868</v>
      </c>
      <c r="P233" s="10">
        <v>1.143</v>
      </c>
      <c r="Q233" s="10">
        <v>2.2890000000000001</v>
      </c>
      <c r="R233" s="10">
        <v>20.559999999999899</v>
      </c>
      <c r="S233" s="10">
        <v>1.017E-2</v>
      </c>
      <c r="T233" s="10">
        <v>1.443E-2</v>
      </c>
      <c r="U233" s="10">
        <v>1.8610000000000002E-2</v>
      </c>
      <c r="V233" s="10">
        <v>1.2500000000000001E-2</v>
      </c>
      <c r="W233" s="10">
        <v>3.46399999999999E-2</v>
      </c>
      <c r="X233" s="10">
        <v>1.9710000000000001E-3</v>
      </c>
      <c r="Y233" s="10">
        <v>10.93</v>
      </c>
      <c r="Z233" s="10">
        <v>24.219999999999899</v>
      </c>
      <c r="AA233" s="10">
        <v>70.099999999999895</v>
      </c>
      <c r="AB233" s="10">
        <v>362.69999999999902</v>
      </c>
      <c r="AC233" s="10">
        <v>0.1143</v>
      </c>
      <c r="AD233" s="10">
        <v>8.6139999999999897E-2</v>
      </c>
      <c r="AE233" s="10">
        <v>4.1579999999999902E-2</v>
      </c>
      <c r="AF233" s="10">
        <v>3.125E-2</v>
      </c>
      <c r="AG233" s="10">
        <v>0.22270000000000001</v>
      </c>
      <c r="AH233">
        <v>6.77699999999999E-2</v>
      </c>
    </row>
    <row r="234" spans="3:34">
      <c r="C234" s="11" t="s">
        <v>441</v>
      </c>
      <c r="D234" s="10" t="s">
        <v>1</v>
      </c>
      <c r="E234" s="10">
        <v>13.71</v>
      </c>
      <c r="F234" s="10">
        <v>19.89</v>
      </c>
      <c r="G234" s="10">
        <v>80.430000000000007</v>
      </c>
      <c r="H234" s="10">
        <v>471.3</v>
      </c>
      <c r="I234" s="10">
        <v>8.4510000000000002E-2</v>
      </c>
      <c r="J234" s="10">
        <v>0.1014</v>
      </c>
      <c r="K234" s="10">
        <v>6.83E-2</v>
      </c>
      <c r="L234" s="10">
        <v>3.099E-2</v>
      </c>
      <c r="M234" s="10">
        <v>0.17810000000000001</v>
      </c>
      <c r="N234" s="10">
        <v>6.24899999999999E-2</v>
      </c>
      <c r="O234" s="10">
        <v>0.36420000000000002</v>
      </c>
      <c r="P234" s="10">
        <v>1.04</v>
      </c>
      <c r="Q234" s="10">
        <v>2.5790000000000002</v>
      </c>
      <c r="R234" s="10">
        <v>28.32</v>
      </c>
      <c r="S234" s="10">
        <v>6.5300000000000002E-3</v>
      </c>
      <c r="T234" s="10">
        <v>3.3689999999999901E-2</v>
      </c>
      <c r="U234" s="10">
        <v>4.7120000000000002E-2</v>
      </c>
      <c r="V234" s="10">
        <v>1.4030000000000001E-2</v>
      </c>
      <c r="W234" s="10">
        <v>2.7400000000000001E-2</v>
      </c>
      <c r="X234" s="10">
        <v>4.6509999999999902E-3</v>
      </c>
      <c r="Y234" s="10">
        <v>13.46</v>
      </c>
      <c r="Z234" s="10">
        <v>23.07</v>
      </c>
      <c r="AA234" s="10">
        <v>88.129999999999896</v>
      </c>
      <c r="AB234" s="10">
        <v>551.29999999999905</v>
      </c>
      <c r="AC234" s="10">
        <v>0.105</v>
      </c>
      <c r="AD234" s="10">
        <v>0.21579999999999899</v>
      </c>
      <c r="AE234" s="10">
        <v>0.19040000000000001</v>
      </c>
      <c r="AF234" s="10">
        <v>7.6249999999999901E-2</v>
      </c>
      <c r="AG234" s="10">
        <v>0.26850000000000002</v>
      </c>
      <c r="AH234">
        <v>7.7640000000000001E-2</v>
      </c>
    </row>
    <row r="235" spans="3:34">
      <c r="C235" s="11" t="s">
        <v>442</v>
      </c>
      <c r="D235" s="10" t="s">
        <v>0</v>
      </c>
      <c r="E235" s="10">
        <v>13.71</v>
      </c>
      <c r="F235" s="10">
        <v>23.8599999999999</v>
      </c>
      <c r="G235" s="10">
        <v>134.69999999999899</v>
      </c>
      <c r="H235" s="10">
        <v>1247</v>
      </c>
      <c r="I235" s="10">
        <v>0.108</v>
      </c>
      <c r="J235" s="10">
        <v>0.18379999999999899</v>
      </c>
      <c r="K235" s="10">
        <v>0.2283</v>
      </c>
      <c r="L235" s="10">
        <v>0.128</v>
      </c>
      <c r="M235" s="10">
        <v>0.22489999999999899</v>
      </c>
      <c r="N235" s="10">
        <v>7.4690000000000006E-2</v>
      </c>
      <c r="O235" s="10">
        <v>1.0720000000000001</v>
      </c>
      <c r="P235" s="10">
        <v>1.7430000000000001</v>
      </c>
      <c r="Q235" s="10">
        <v>7.8040000000000003</v>
      </c>
      <c r="R235" s="10">
        <v>130.80000000000001</v>
      </c>
      <c r="S235" s="10">
        <v>7.9640000000000006E-3</v>
      </c>
      <c r="T235" s="10">
        <v>4.7320000000000001E-2</v>
      </c>
      <c r="U235" s="10">
        <v>7.6490000000000002E-2</v>
      </c>
      <c r="V235" s="10">
        <v>1.9359999999999902E-2</v>
      </c>
      <c r="W235" s="10">
        <v>2.7359999999999898E-2</v>
      </c>
      <c r="X235" s="10">
        <v>5.9280000000000001E-3</v>
      </c>
      <c r="Y235" s="10">
        <v>23.68</v>
      </c>
      <c r="Z235" s="10">
        <v>29.43</v>
      </c>
      <c r="AA235" s="10">
        <v>158.80000000000001</v>
      </c>
      <c r="AB235" s="10">
        <v>1696</v>
      </c>
      <c r="AC235" s="10">
        <v>0.13469999999999899</v>
      </c>
      <c r="AD235" s="10">
        <v>0.33910000000000001</v>
      </c>
      <c r="AE235" s="10">
        <v>0.49320000000000003</v>
      </c>
      <c r="AF235" s="10">
        <v>0.1923</v>
      </c>
      <c r="AG235" s="10">
        <v>0.32940000000000003</v>
      </c>
      <c r="AH235">
        <v>9.4689999999999899E-2</v>
      </c>
    </row>
    <row r="236" spans="3:34">
      <c r="C236" s="11" t="s">
        <v>443</v>
      </c>
      <c r="D236" s="10" t="s">
        <v>1</v>
      </c>
      <c r="E236" s="10">
        <v>13.71</v>
      </c>
      <c r="F236" s="10">
        <v>18.6099999999999</v>
      </c>
      <c r="G236" s="10">
        <v>66.8599999999999</v>
      </c>
      <c r="H236" s="10">
        <v>334.3</v>
      </c>
      <c r="I236" s="10">
        <v>0.10680000000000001</v>
      </c>
      <c r="J236" s="10">
        <v>6.6780000000000006E-2</v>
      </c>
      <c r="K236" s="10">
        <v>2.2970000000000001E-2</v>
      </c>
      <c r="L236" s="10">
        <v>1.78E-2</v>
      </c>
      <c r="M236" s="10">
        <v>0.1482</v>
      </c>
      <c r="N236" s="10">
        <v>6.6000000000000003E-2</v>
      </c>
      <c r="O236" s="10">
        <v>0.14849999999999899</v>
      </c>
      <c r="P236" s="10">
        <v>1.56299999999999</v>
      </c>
      <c r="Q236" s="10">
        <v>1.0349999999999899</v>
      </c>
      <c r="R236" s="10">
        <v>10.08</v>
      </c>
      <c r="S236" s="10">
        <v>8.8749999999999905E-3</v>
      </c>
      <c r="T236" s="10">
        <v>9.3620000000000005E-3</v>
      </c>
      <c r="U236" s="10">
        <v>1.8079999999999902E-2</v>
      </c>
      <c r="V236" s="10">
        <v>9.1990000000000006E-3</v>
      </c>
      <c r="W236" s="10">
        <v>1.7909999999999902E-2</v>
      </c>
      <c r="X236" s="10">
        <v>3.3170000000000001E-3</v>
      </c>
      <c r="Y236" s="10">
        <v>11.06</v>
      </c>
      <c r="Z236" s="10">
        <v>24.5399999999999</v>
      </c>
      <c r="AA236" s="10">
        <v>70.760000000000005</v>
      </c>
      <c r="AB236" s="10">
        <v>375.39999999999901</v>
      </c>
      <c r="AC236" s="10">
        <v>0.14130000000000001</v>
      </c>
      <c r="AD236" s="10">
        <v>0.10440000000000001</v>
      </c>
      <c r="AE236" s="10">
        <v>8.4229999999999902E-2</v>
      </c>
      <c r="AF236" s="10">
        <v>6.5280000000000005E-2</v>
      </c>
      <c r="AG236" s="10">
        <v>0.2213</v>
      </c>
      <c r="AH236">
        <v>7.8420000000000004E-2</v>
      </c>
    </row>
    <row r="237" spans="3:34">
      <c r="C237" s="11" t="s">
        <v>447</v>
      </c>
      <c r="D237" s="10" t="s">
        <v>1</v>
      </c>
      <c r="E237" s="10">
        <v>13.71</v>
      </c>
      <c r="F237" s="10">
        <v>14.4</v>
      </c>
      <c r="G237" s="10">
        <v>56.3599999999999</v>
      </c>
      <c r="H237" s="10">
        <v>246.3</v>
      </c>
      <c r="I237" s="10">
        <v>7.0050000000000001E-2</v>
      </c>
      <c r="J237" s="10">
        <v>3.116E-2</v>
      </c>
      <c r="K237" s="10">
        <v>3.6809999999999898E-3</v>
      </c>
      <c r="L237" s="10">
        <v>3.4719999999999899E-3</v>
      </c>
      <c r="M237" s="10">
        <v>0.17879999999999899</v>
      </c>
      <c r="N237" s="10">
        <v>6.8330000000000002E-2</v>
      </c>
      <c r="O237" s="10">
        <v>0.17460000000000001</v>
      </c>
      <c r="P237" s="10">
        <v>1.3049999999999899</v>
      </c>
      <c r="Q237" s="10">
        <v>1.1439999999999899</v>
      </c>
      <c r="R237" s="10">
        <v>9.7889999999999908</v>
      </c>
      <c r="S237" s="10">
        <v>7.3889999999999902E-3</v>
      </c>
      <c r="T237" s="10">
        <v>4.8830000000000002E-3</v>
      </c>
      <c r="U237" s="10">
        <v>3.6809999999999898E-3</v>
      </c>
      <c r="V237" s="10">
        <v>3.4719999999999899E-3</v>
      </c>
      <c r="W237" s="10">
        <v>2.7009999999999899E-2</v>
      </c>
      <c r="X237" s="10">
        <v>2.153E-3</v>
      </c>
      <c r="Y237" s="10">
        <v>9.6989999999999892</v>
      </c>
      <c r="Z237" s="10">
        <v>20.07</v>
      </c>
      <c r="AA237" s="10">
        <v>60.899999999999899</v>
      </c>
      <c r="AB237" s="10">
        <v>285.5</v>
      </c>
      <c r="AC237" s="10">
        <v>9.8610000000000003E-2</v>
      </c>
      <c r="AD237" s="10">
        <v>5.2319999999999901E-2</v>
      </c>
      <c r="AE237" s="10">
        <v>1.472E-2</v>
      </c>
      <c r="AF237" s="10">
        <v>1.389E-2</v>
      </c>
      <c r="AG237" s="10">
        <v>0.29909999999999898</v>
      </c>
      <c r="AH237">
        <v>7.8039999999999901E-2</v>
      </c>
    </row>
    <row r="238" spans="3:34">
      <c r="C238" s="11" t="s">
        <v>450</v>
      </c>
      <c r="D238" s="10" t="s">
        <v>1</v>
      </c>
      <c r="E238" s="10">
        <v>13.71</v>
      </c>
      <c r="F238" s="10">
        <v>19.1099999999999</v>
      </c>
      <c r="G238" s="10">
        <v>74.329999999999899</v>
      </c>
      <c r="H238" s="10">
        <v>418.69999999999902</v>
      </c>
      <c r="I238" s="10">
        <v>8.8139999999999899E-2</v>
      </c>
      <c r="J238" s="10">
        <v>5.253E-2</v>
      </c>
      <c r="K238" s="10">
        <v>1.583E-2</v>
      </c>
      <c r="L238" s="10">
        <v>1.1480000000000001E-2</v>
      </c>
      <c r="M238" s="10">
        <v>0.193599999999999</v>
      </c>
      <c r="N238" s="10">
        <v>6.1280000000000001E-2</v>
      </c>
      <c r="O238" s="10">
        <v>0.16009999999999899</v>
      </c>
      <c r="P238" s="10">
        <v>1.4299999999999899</v>
      </c>
      <c r="Q238" s="10">
        <v>1.109</v>
      </c>
      <c r="R238" s="10">
        <v>11.2799999999999</v>
      </c>
      <c r="S238" s="10">
        <v>6.0639999999999904E-3</v>
      </c>
      <c r="T238" s="10">
        <v>9.11E-3</v>
      </c>
      <c r="U238" s="10">
        <v>1.042E-2</v>
      </c>
      <c r="V238" s="10">
        <v>7.6379999999999903E-3</v>
      </c>
      <c r="W238" s="10">
        <v>2.349E-2</v>
      </c>
      <c r="X238" s="10">
        <v>1.66099999999999E-3</v>
      </c>
      <c r="Y238" s="10">
        <v>12.6099999999999</v>
      </c>
      <c r="Z238" s="10">
        <v>26.55</v>
      </c>
      <c r="AA238" s="10">
        <v>80.92</v>
      </c>
      <c r="AB238" s="10">
        <v>483.1</v>
      </c>
      <c r="AC238" s="10">
        <v>0.12230000000000001</v>
      </c>
      <c r="AD238" s="10">
        <v>0.1087</v>
      </c>
      <c r="AE238" s="10">
        <v>7.9149999999999901E-2</v>
      </c>
      <c r="AF238" s="10">
        <v>5.7410000000000003E-2</v>
      </c>
      <c r="AG238" s="10">
        <v>0.34870000000000001</v>
      </c>
      <c r="AH238">
        <v>6.9580000000000003E-2</v>
      </c>
    </row>
    <row r="239" spans="3:34">
      <c r="C239" s="11" t="s">
        <v>453</v>
      </c>
      <c r="D239" s="10" t="s">
        <v>1</v>
      </c>
      <c r="E239" s="10">
        <v>13.71</v>
      </c>
      <c r="F239" s="10">
        <v>10.72</v>
      </c>
      <c r="G239" s="10">
        <v>73.73</v>
      </c>
      <c r="H239" s="10">
        <v>409.1</v>
      </c>
      <c r="I239" s="10">
        <v>8.5970000000000005E-2</v>
      </c>
      <c r="J239" s="10">
        <v>5.969E-2</v>
      </c>
      <c r="K239" s="10">
        <v>1.367E-2</v>
      </c>
      <c r="L239" s="10">
        <v>8.907E-3</v>
      </c>
      <c r="M239" s="10">
        <v>0.18329999999999899</v>
      </c>
      <c r="N239" s="10">
        <v>6.0999999999999902E-2</v>
      </c>
      <c r="O239" s="10">
        <v>0.13120000000000001</v>
      </c>
      <c r="P239" s="10">
        <v>0.36020000000000002</v>
      </c>
      <c r="Q239" s="10">
        <v>1.107</v>
      </c>
      <c r="R239" s="10">
        <v>9.4380000000000006</v>
      </c>
      <c r="S239" s="10">
        <v>4.1240000000000001E-3</v>
      </c>
      <c r="T239" s="10">
        <v>1.34E-2</v>
      </c>
      <c r="U239" s="10">
        <v>1.0030000000000001E-2</v>
      </c>
      <c r="V239" s="10">
        <v>4.6670000000000001E-3</v>
      </c>
      <c r="W239" s="10">
        <v>2.0320000000000001E-2</v>
      </c>
      <c r="X239" s="10">
        <v>1.952E-3</v>
      </c>
      <c r="Y239" s="10">
        <v>12.34</v>
      </c>
      <c r="Z239" s="10">
        <v>12.8699999999999</v>
      </c>
      <c r="AA239" s="10">
        <v>81.23</v>
      </c>
      <c r="AB239" s="10">
        <v>467.8</v>
      </c>
      <c r="AC239" s="10">
        <v>0.10920000000000001</v>
      </c>
      <c r="AD239" s="10">
        <v>0.162599999999999</v>
      </c>
      <c r="AE239" s="10">
        <v>8.3239999999999897E-2</v>
      </c>
      <c r="AF239" s="10">
        <v>4.71499999999999E-2</v>
      </c>
      <c r="AG239" s="10">
        <v>0.33900000000000002</v>
      </c>
      <c r="AH239">
        <v>7.4340000000000003E-2</v>
      </c>
    </row>
    <row r="240" spans="3:34">
      <c r="C240" s="11" t="s">
        <v>454</v>
      </c>
      <c r="D240" s="10" t="s">
        <v>1</v>
      </c>
      <c r="E240" s="10">
        <v>13.71</v>
      </c>
      <c r="F240" s="10">
        <v>18.600000000000001</v>
      </c>
      <c r="G240" s="10">
        <v>54.09</v>
      </c>
      <c r="H240" s="10">
        <v>221.19999999999899</v>
      </c>
      <c r="I240" s="10">
        <v>0.1074</v>
      </c>
      <c r="J240" s="10">
        <v>5.8470000000000001E-2</v>
      </c>
      <c r="K240" s="10">
        <v>0</v>
      </c>
      <c r="L240" s="10">
        <v>0</v>
      </c>
      <c r="M240" s="10">
        <v>0.21629999999999899</v>
      </c>
      <c r="N240" s="10">
        <v>7.3590000000000003E-2</v>
      </c>
      <c r="O240" s="10">
        <v>0.33679999999999899</v>
      </c>
      <c r="P240" s="10">
        <v>2.7770000000000001</v>
      </c>
      <c r="Q240" s="10">
        <v>2.222</v>
      </c>
      <c r="R240" s="10">
        <v>17.809999999999899</v>
      </c>
      <c r="S240" s="10">
        <v>2.0750000000000001E-2</v>
      </c>
      <c r="T240" s="10">
        <v>1.4030000000000001E-2</v>
      </c>
      <c r="U240" s="10">
        <v>0</v>
      </c>
      <c r="V240" s="10">
        <v>0</v>
      </c>
      <c r="W240" s="10">
        <v>6.1460000000000001E-2</v>
      </c>
      <c r="X240" s="10">
        <v>6.8199999999999901E-3</v>
      </c>
      <c r="Y240" s="10">
        <v>8.952</v>
      </c>
      <c r="Z240" s="10">
        <v>22.44</v>
      </c>
      <c r="AA240" s="10">
        <v>56.649999999999899</v>
      </c>
      <c r="AB240" s="10">
        <v>240.099999999999</v>
      </c>
      <c r="AC240" s="10">
        <v>0.13469999999999899</v>
      </c>
      <c r="AD240" s="10">
        <v>7.7670000000000003E-2</v>
      </c>
      <c r="AE240" s="10">
        <v>0</v>
      </c>
      <c r="AF240" s="10">
        <v>0</v>
      </c>
      <c r="AG240" s="10">
        <v>0.31419999999999898</v>
      </c>
      <c r="AH240">
        <v>8.1159999999999899E-2</v>
      </c>
    </row>
    <row r="241" spans="3:34">
      <c r="C241" s="11" t="s">
        <v>455</v>
      </c>
      <c r="D241" s="10" t="s">
        <v>1</v>
      </c>
      <c r="E241" s="10">
        <v>13.71</v>
      </c>
      <c r="F241" s="10">
        <v>16.850000000000001</v>
      </c>
      <c r="G241" s="10">
        <v>79.189999999999898</v>
      </c>
      <c r="H241" s="10">
        <v>481.6</v>
      </c>
      <c r="I241" s="10">
        <v>8.5110000000000005E-2</v>
      </c>
      <c r="J241" s="10">
        <v>3.8339999999999902E-2</v>
      </c>
      <c r="K241" s="10">
        <v>4.4730000000000004E-3</v>
      </c>
      <c r="L241" s="10">
        <v>6.4229999999999903E-3</v>
      </c>
      <c r="M241" s="10">
        <v>0.1215</v>
      </c>
      <c r="N241" s="10">
        <v>5.6730000000000003E-2</v>
      </c>
      <c r="O241" s="10">
        <v>0.1716</v>
      </c>
      <c r="P241" s="10">
        <v>0.71509999999999896</v>
      </c>
      <c r="Q241" s="10">
        <v>1.0469999999999899</v>
      </c>
      <c r="R241" s="10">
        <v>12.69</v>
      </c>
      <c r="S241" s="10">
        <v>4.9280000000000001E-3</v>
      </c>
      <c r="T241" s="10">
        <v>3.0119999999999899E-3</v>
      </c>
      <c r="U241" s="10">
        <v>2.61999999999999E-3</v>
      </c>
      <c r="V241" s="10">
        <v>3.3899999999999898E-3</v>
      </c>
      <c r="W241" s="10">
        <v>1.393E-2</v>
      </c>
      <c r="X241" s="10">
        <v>1.34399999999999E-3</v>
      </c>
      <c r="Y241" s="10">
        <v>13.34</v>
      </c>
      <c r="Z241" s="10">
        <v>19.71</v>
      </c>
      <c r="AA241" s="10">
        <v>84.48</v>
      </c>
      <c r="AB241" s="10">
        <v>544.20000000000005</v>
      </c>
      <c r="AC241" s="10">
        <v>0.1104</v>
      </c>
      <c r="AD241" s="10">
        <v>4.95299999999999E-2</v>
      </c>
      <c r="AE241" s="10">
        <v>1.9380000000000001E-2</v>
      </c>
      <c r="AF241" s="10">
        <v>2.784E-2</v>
      </c>
      <c r="AG241" s="10">
        <v>0.19170000000000001</v>
      </c>
      <c r="AH241">
        <v>6.1740000000000003E-2</v>
      </c>
    </row>
    <row r="242" spans="3:34">
      <c r="C242" s="11" t="s">
        <v>456</v>
      </c>
      <c r="D242" s="10" t="s">
        <v>1</v>
      </c>
      <c r="E242" s="10">
        <v>13.71</v>
      </c>
      <c r="F242" s="10">
        <v>14.08</v>
      </c>
      <c r="G242" s="10">
        <v>77.25</v>
      </c>
      <c r="H242" s="10">
        <v>461.39999999999901</v>
      </c>
      <c r="I242" s="10">
        <v>7.7340000000000006E-2</v>
      </c>
      <c r="J242" s="10">
        <v>3.2120000000000003E-2</v>
      </c>
      <c r="K242" s="10">
        <v>1.123E-2</v>
      </c>
      <c r="L242" s="10">
        <v>5.0509999999999904E-3</v>
      </c>
      <c r="M242" s="10">
        <v>0.1673</v>
      </c>
      <c r="N242" s="10">
        <v>5.6489999999999901E-2</v>
      </c>
      <c r="O242" s="10">
        <v>0.21129999999999899</v>
      </c>
      <c r="P242" s="10">
        <v>0.59960000000000002</v>
      </c>
      <c r="Q242" s="10">
        <v>1.43799999999999</v>
      </c>
      <c r="R242" s="10">
        <v>15.82</v>
      </c>
      <c r="S242" s="10">
        <v>5.3429999999999901E-3</v>
      </c>
      <c r="T242" s="10">
        <v>5.7670000000000004E-3</v>
      </c>
      <c r="U242" s="10">
        <v>1.123E-2</v>
      </c>
      <c r="V242" s="10">
        <v>5.0509999999999904E-3</v>
      </c>
      <c r="W242" s="10">
        <v>1.9769999999999899E-2</v>
      </c>
      <c r="X242" s="10">
        <v>9.502E-4</v>
      </c>
      <c r="Y242" s="10">
        <v>12.85</v>
      </c>
      <c r="Z242" s="10">
        <v>16.469999999999899</v>
      </c>
      <c r="AA242" s="10">
        <v>81.599999999999895</v>
      </c>
      <c r="AB242" s="10">
        <v>513.1</v>
      </c>
      <c r="AC242" s="10">
        <v>0.100099999999999</v>
      </c>
      <c r="AD242" s="10">
        <v>5.3319999999999902E-2</v>
      </c>
      <c r="AE242" s="10">
        <v>4.1160000000000002E-2</v>
      </c>
      <c r="AF242" s="10">
        <v>1.8519999999999901E-2</v>
      </c>
      <c r="AG242" s="10">
        <v>0.2293</v>
      </c>
      <c r="AH242">
        <v>6.037E-2</v>
      </c>
    </row>
    <row r="243" spans="3:34">
      <c r="C243" s="11" t="s">
        <v>457</v>
      </c>
      <c r="D243" s="10" t="s">
        <v>0</v>
      </c>
      <c r="E243" s="10">
        <v>13.71</v>
      </c>
      <c r="F243" s="10">
        <v>18.87</v>
      </c>
      <c r="G243" s="10">
        <v>118.7</v>
      </c>
      <c r="H243" s="10">
        <v>1027</v>
      </c>
      <c r="I243" s="10">
        <v>9.7460000000000005E-2</v>
      </c>
      <c r="J243" s="10">
        <v>0.11169999999999899</v>
      </c>
      <c r="K243" s="10">
        <v>0.113</v>
      </c>
      <c r="L243" s="10">
        <v>7.9500000000000001E-2</v>
      </c>
      <c r="M243" s="10">
        <v>0.1807</v>
      </c>
      <c r="N243" s="10">
        <v>5.6640000000000003E-2</v>
      </c>
      <c r="O243" s="10">
        <v>0.40410000000000001</v>
      </c>
      <c r="P243" s="10">
        <v>0.55030000000000001</v>
      </c>
      <c r="Q243" s="10">
        <v>2.5470000000000002</v>
      </c>
      <c r="R243" s="10">
        <v>48.899999999999899</v>
      </c>
      <c r="S243" s="10">
        <v>4.8209999999999902E-3</v>
      </c>
      <c r="T243" s="10">
        <v>1.6590000000000001E-2</v>
      </c>
      <c r="U243" s="10">
        <v>2.4080000000000001E-2</v>
      </c>
      <c r="V243" s="10">
        <v>1.14299999999999E-2</v>
      </c>
      <c r="W243" s="10">
        <v>1.27499999999999E-2</v>
      </c>
      <c r="X243" s="10">
        <v>2.4510000000000001E-3</v>
      </c>
      <c r="Y243" s="10">
        <v>21.84</v>
      </c>
      <c r="Z243" s="10">
        <v>25</v>
      </c>
      <c r="AA243" s="10">
        <v>140.9</v>
      </c>
      <c r="AB243" s="10">
        <v>1485</v>
      </c>
      <c r="AC243" s="10">
        <v>0.1434</v>
      </c>
      <c r="AD243" s="10">
        <v>0.27629999999999899</v>
      </c>
      <c r="AE243" s="10">
        <v>0.38529999999999898</v>
      </c>
      <c r="AF243" s="10">
        <v>0.17760000000000001</v>
      </c>
      <c r="AG243" s="10">
        <v>0.28120000000000001</v>
      </c>
      <c r="AH243">
        <v>8.19799999999999E-2</v>
      </c>
    </row>
    <row r="244" spans="3:34">
      <c r="C244" s="11" t="s">
        <v>459</v>
      </c>
      <c r="D244" s="10" t="s">
        <v>1</v>
      </c>
      <c r="E244" s="10">
        <v>13.71</v>
      </c>
      <c r="F244" s="10">
        <v>17</v>
      </c>
      <c r="G244" s="10">
        <v>78.599999999999895</v>
      </c>
      <c r="H244" s="10">
        <v>477.3</v>
      </c>
      <c r="I244" s="10">
        <v>7.5569999999999901E-2</v>
      </c>
      <c r="J244" s="10">
        <v>3.4540000000000001E-2</v>
      </c>
      <c r="K244" s="10">
        <v>1.342E-2</v>
      </c>
      <c r="L244" s="10">
        <v>1.6990000000000002E-2</v>
      </c>
      <c r="M244" s="10">
        <v>0.1472</v>
      </c>
      <c r="N244" s="10">
        <v>5.561E-2</v>
      </c>
      <c r="O244" s="10">
        <v>0.37780000000000002</v>
      </c>
      <c r="P244" s="10">
        <v>2.2000000000000002</v>
      </c>
      <c r="Q244" s="10">
        <v>2.4870000000000001</v>
      </c>
      <c r="R244" s="10">
        <v>31.16</v>
      </c>
      <c r="S244" s="10">
        <v>7.3569999999999903E-3</v>
      </c>
      <c r="T244" s="10">
        <v>1.07899999999999E-2</v>
      </c>
      <c r="U244" s="10">
        <v>9.9590000000000008E-3</v>
      </c>
      <c r="V244" s="10">
        <v>1.12E-2</v>
      </c>
      <c r="W244" s="10">
        <v>3.4329999999999902E-2</v>
      </c>
      <c r="X244" s="10">
        <v>2.9610000000000001E-3</v>
      </c>
      <c r="Y244" s="10">
        <v>12.9</v>
      </c>
      <c r="Z244" s="10">
        <v>20.21</v>
      </c>
      <c r="AA244" s="10">
        <v>81.760000000000005</v>
      </c>
      <c r="AB244" s="10">
        <v>515.89999999999895</v>
      </c>
      <c r="AC244" s="10">
        <v>8.4089999999999901E-2</v>
      </c>
      <c r="AD244" s="10">
        <v>4.7120000000000002E-2</v>
      </c>
      <c r="AE244" s="10">
        <v>2.2370000000000001E-2</v>
      </c>
      <c r="AF244" s="10">
        <v>2.8320000000000001E-2</v>
      </c>
      <c r="AG244" s="10">
        <v>0.19009999999999899</v>
      </c>
      <c r="AH244">
        <v>5.9319999999999901E-2</v>
      </c>
    </row>
    <row r="245" spans="3:34">
      <c r="C245" s="11" t="s">
        <v>460</v>
      </c>
      <c r="D245" s="10" t="s">
        <v>1</v>
      </c>
      <c r="E245" s="10">
        <v>13.71</v>
      </c>
      <c r="F245" s="10">
        <v>16.18</v>
      </c>
      <c r="G245" s="10">
        <v>66.519999999999897</v>
      </c>
      <c r="H245" s="10">
        <v>324.19999999999902</v>
      </c>
      <c r="I245" s="10">
        <v>0.1061</v>
      </c>
      <c r="J245" s="10">
        <v>0.1111</v>
      </c>
      <c r="K245" s="10">
        <v>6.726E-2</v>
      </c>
      <c r="L245" s="10">
        <v>3.9649999999999901E-2</v>
      </c>
      <c r="M245" s="10">
        <v>0.17430000000000001</v>
      </c>
      <c r="N245" s="10">
        <v>7.2789999999999896E-2</v>
      </c>
      <c r="O245" s="10">
        <v>0.36770000000000003</v>
      </c>
      <c r="P245" s="10">
        <v>1.4710000000000001</v>
      </c>
      <c r="Q245" s="10">
        <v>1.597</v>
      </c>
      <c r="R245" s="10">
        <v>22.68</v>
      </c>
      <c r="S245" s="10">
        <v>1.04899999999999E-2</v>
      </c>
      <c r="T245" s="10">
        <v>4.265E-2</v>
      </c>
      <c r="U245" s="10">
        <v>4.0039999999999902E-2</v>
      </c>
      <c r="V245" s="10">
        <v>1.5440000000000001E-2</v>
      </c>
      <c r="W245" s="10">
        <v>2.7189999999999898E-2</v>
      </c>
      <c r="X245" s="10">
        <v>7.5960000000000003E-3</v>
      </c>
      <c r="Y245" s="10">
        <v>11.2799999999999</v>
      </c>
      <c r="Z245" s="10">
        <v>20.6099999999999</v>
      </c>
      <c r="AA245" s="10">
        <v>71.53</v>
      </c>
      <c r="AB245" s="10">
        <v>390.39999999999901</v>
      </c>
      <c r="AC245" s="10">
        <v>0.14019999999999899</v>
      </c>
      <c r="AD245" s="10">
        <v>0.23599999999999899</v>
      </c>
      <c r="AE245" s="10">
        <v>0.1898</v>
      </c>
      <c r="AF245" s="10">
        <v>9.7439999999999902E-2</v>
      </c>
      <c r="AG245" s="10">
        <v>0.26079999999999898</v>
      </c>
      <c r="AH245">
        <v>9.7019999999999898E-2</v>
      </c>
    </row>
    <row r="246" spans="3:34">
      <c r="C246" s="11" t="s">
        <v>461</v>
      </c>
      <c r="D246" s="10" t="s">
        <v>0</v>
      </c>
      <c r="E246" s="10">
        <v>13.71</v>
      </c>
      <c r="F246" s="10">
        <v>19.66</v>
      </c>
      <c r="G246" s="10">
        <v>131.099999999999</v>
      </c>
      <c r="H246" s="10">
        <v>1274</v>
      </c>
      <c r="I246" s="10">
        <v>8.0199999999999896E-2</v>
      </c>
      <c r="J246" s="10">
        <v>8.5639999999999897E-2</v>
      </c>
      <c r="K246" s="10">
        <v>0.11550000000000001</v>
      </c>
      <c r="L246" s="10">
        <v>7.7259999999999898E-2</v>
      </c>
      <c r="M246" s="10">
        <v>0.1928</v>
      </c>
      <c r="N246" s="10">
        <v>5.0959999999999901E-2</v>
      </c>
      <c r="O246" s="10">
        <v>0.59250000000000003</v>
      </c>
      <c r="P246" s="10">
        <v>0.68630000000000002</v>
      </c>
      <c r="Q246" s="10">
        <v>3.8679999999999901</v>
      </c>
      <c r="R246" s="10">
        <v>74.849999999999895</v>
      </c>
      <c r="S246" s="10">
        <v>4.5360000000000001E-3</v>
      </c>
      <c r="T246" s="10">
        <v>1.376E-2</v>
      </c>
      <c r="U246" s="10">
        <v>2.6450000000000001E-2</v>
      </c>
      <c r="V246" s="10">
        <v>1.247E-2</v>
      </c>
      <c r="W246" s="10">
        <v>2.1930000000000002E-2</v>
      </c>
      <c r="X246" s="10">
        <v>1.5889999999999899E-3</v>
      </c>
      <c r="Y246" s="10">
        <v>23.059999999999899</v>
      </c>
      <c r="Z246" s="10">
        <v>23.03</v>
      </c>
      <c r="AA246" s="10">
        <v>150.19999999999899</v>
      </c>
      <c r="AB246" s="10">
        <v>1657</v>
      </c>
      <c r="AC246" s="10">
        <v>0.10539999999999899</v>
      </c>
      <c r="AD246" s="10">
        <v>0.1537</v>
      </c>
      <c r="AE246" s="10">
        <v>0.2606</v>
      </c>
      <c r="AF246" s="10">
        <v>0.14249999999999899</v>
      </c>
      <c r="AG246" s="10">
        <v>0.30549999999999899</v>
      </c>
      <c r="AH246">
        <v>5.9330000000000001E-2</v>
      </c>
    </row>
    <row r="247" spans="3:34">
      <c r="C247" s="11" t="s">
        <v>462</v>
      </c>
      <c r="D247" s="10" t="s">
        <v>1</v>
      </c>
      <c r="E247" s="10">
        <v>13.71</v>
      </c>
      <c r="F247" s="10">
        <v>13.32</v>
      </c>
      <c r="G247" s="10">
        <v>82.819999999999894</v>
      </c>
      <c r="H247" s="10">
        <v>504.8</v>
      </c>
      <c r="I247" s="10">
        <v>0.1134</v>
      </c>
      <c r="J247" s="10">
        <v>8.8340000000000002E-2</v>
      </c>
      <c r="K247" s="10">
        <v>3.7999999999999902E-2</v>
      </c>
      <c r="L247" s="10">
        <v>3.4000000000000002E-2</v>
      </c>
      <c r="M247" s="10">
        <v>0.15429999999999899</v>
      </c>
      <c r="N247" s="10">
        <v>6.4759999999999901E-2</v>
      </c>
      <c r="O247" s="10">
        <v>0.22120000000000001</v>
      </c>
      <c r="P247" s="10">
        <v>1.042</v>
      </c>
      <c r="Q247" s="10">
        <v>1.6140000000000001</v>
      </c>
      <c r="R247" s="10">
        <v>16.57</v>
      </c>
      <c r="S247" s="10">
        <v>5.9100000000000003E-3</v>
      </c>
      <c r="T247" s="10">
        <v>2.0160000000000001E-2</v>
      </c>
      <c r="U247" s="10">
        <v>1.9019999999999902E-2</v>
      </c>
      <c r="V247" s="10">
        <v>1.01099999999999E-2</v>
      </c>
      <c r="W247" s="10">
        <v>1.2019999999999901E-2</v>
      </c>
      <c r="X247" s="10">
        <v>3.107E-3</v>
      </c>
      <c r="Y247" s="10">
        <v>14.0399999999999</v>
      </c>
      <c r="Z247" s="10">
        <v>21.079999999999899</v>
      </c>
      <c r="AA247" s="10">
        <v>92.799999999999898</v>
      </c>
      <c r="AB247" s="10">
        <v>599.5</v>
      </c>
      <c r="AC247" s="10">
        <v>0.1547</v>
      </c>
      <c r="AD247" s="10">
        <v>0.22309999999999899</v>
      </c>
      <c r="AE247" s="10">
        <v>0.17910000000000001</v>
      </c>
      <c r="AF247" s="10">
        <v>0.11550000000000001</v>
      </c>
      <c r="AG247" s="10">
        <v>0.2382</v>
      </c>
      <c r="AH247">
        <v>8.5529999999999898E-2</v>
      </c>
    </row>
    <row r="248" spans="3:34">
      <c r="C248" s="11" t="s">
        <v>463</v>
      </c>
      <c r="D248" s="10" t="s">
        <v>0</v>
      </c>
      <c r="E248" s="10">
        <v>13.71</v>
      </c>
      <c r="F248" s="10">
        <v>21.51</v>
      </c>
      <c r="G248" s="10">
        <v>135.9</v>
      </c>
      <c r="H248" s="10">
        <v>1264</v>
      </c>
      <c r="I248" s="10">
        <v>0.11700000000000001</v>
      </c>
      <c r="J248" s="10">
        <v>0.1875</v>
      </c>
      <c r="K248" s="10">
        <v>0.25650000000000001</v>
      </c>
      <c r="L248" s="10">
        <v>0.15040000000000001</v>
      </c>
      <c r="M248" s="10">
        <v>0.25690000000000002</v>
      </c>
      <c r="N248" s="10">
        <v>6.6699999999999898E-2</v>
      </c>
      <c r="O248" s="10">
        <v>0.57020000000000004</v>
      </c>
      <c r="P248" s="10">
        <v>1.0229999999999899</v>
      </c>
      <c r="Q248" s="10">
        <v>4.0119999999999898</v>
      </c>
      <c r="R248" s="10">
        <v>69.06</v>
      </c>
      <c r="S248" s="10">
        <v>5.4850000000000003E-3</v>
      </c>
      <c r="T248" s="10">
        <v>2.4309999999999901E-2</v>
      </c>
      <c r="U248" s="10">
        <v>3.1899999999999901E-2</v>
      </c>
      <c r="V248" s="10">
        <v>1.3690000000000001E-2</v>
      </c>
      <c r="W248" s="10">
        <v>2.768E-2</v>
      </c>
      <c r="X248" s="10">
        <v>3.3449999999999899E-3</v>
      </c>
      <c r="Y248" s="10">
        <v>25.3</v>
      </c>
      <c r="Z248" s="10">
        <v>31.8599999999999</v>
      </c>
      <c r="AA248" s="10">
        <v>171.099999999999</v>
      </c>
      <c r="AB248" s="10">
        <v>1938</v>
      </c>
      <c r="AC248" s="10">
        <v>0.15920000000000001</v>
      </c>
      <c r="AD248" s="10">
        <v>0.44919999999999899</v>
      </c>
      <c r="AE248" s="10">
        <v>0.53439999999999899</v>
      </c>
      <c r="AF248" s="10">
        <v>0.26850000000000002</v>
      </c>
      <c r="AG248" s="10">
        <v>0.55579999999999896</v>
      </c>
      <c r="AH248">
        <v>0.1024</v>
      </c>
    </row>
    <row r="249" spans="3:34">
      <c r="C249" s="11" t="s">
        <v>464</v>
      </c>
      <c r="D249" s="10" t="s">
        <v>1</v>
      </c>
      <c r="E249" s="10">
        <v>13.71</v>
      </c>
      <c r="F249" s="10">
        <v>15.21</v>
      </c>
      <c r="G249" s="10">
        <v>78.010000000000005</v>
      </c>
      <c r="H249" s="10">
        <v>457.89999999999901</v>
      </c>
      <c r="I249" s="10">
        <v>8.6730000000000002E-2</v>
      </c>
      <c r="J249" s="10">
        <v>6.5449999999999897E-2</v>
      </c>
      <c r="K249" s="10">
        <v>1.9939999999999899E-2</v>
      </c>
      <c r="L249" s="10">
        <v>1.6920000000000001E-2</v>
      </c>
      <c r="M249" s="10">
        <v>0.1638</v>
      </c>
      <c r="N249" s="10">
        <v>6.12899999999999E-2</v>
      </c>
      <c r="O249" s="10">
        <v>0.25750000000000001</v>
      </c>
      <c r="P249" s="10">
        <v>0.80730000000000002</v>
      </c>
      <c r="Q249" s="10">
        <v>1.9590000000000001</v>
      </c>
      <c r="R249" s="10">
        <v>19.010000000000002</v>
      </c>
      <c r="S249" s="10">
        <v>5.4029999999999903E-3</v>
      </c>
      <c r="T249" s="10">
        <v>1.418E-2</v>
      </c>
      <c r="U249" s="10">
        <v>1.051E-2</v>
      </c>
      <c r="V249" s="10">
        <v>5.1419999999999903E-3</v>
      </c>
      <c r="W249" s="10">
        <v>1.333E-2</v>
      </c>
      <c r="X249" s="10">
        <v>2.065E-3</v>
      </c>
      <c r="Y249" s="10">
        <v>13.75</v>
      </c>
      <c r="Z249" s="10">
        <v>21.3799999999999</v>
      </c>
      <c r="AA249" s="10">
        <v>91.1099999999999</v>
      </c>
      <c r="AB249" s="10">
        <v>583.1</v>
      </c>
      <c r="AC249" s="10">
        <v>0.12559999999999899</v>
      </c>
      <c r="AD249" s="10">
        <v>0.1928</v>
      </c>
      <c r="AE249" s="10">
        <v>0.1167</v>
      </c>
      <c r="AF249" s="10">
        <v>5.5559999999999901E-2</v>
      </c>
      <c r="AG249" s="10">
        <v>0.2661</v>
      </c>
      <c r="AH249">
        <v>7.961E-2</v>
      </c>
    </row>
    <row r="250" spans="3:34">
      <c r="C250" s="11" t="s">
        <v>466</v>
      </c>
      <c r="D250" s="10" t="s">
        <v>1</v>
      </c>
      <c r="E250" s="10">
        <v>13.71</v>
      </c>
      <c r="F250" s="10">
        <v>12.88</v>
      </c>
      <c r="G250" s="10">
        <v>90.03</v>
      </c>
      <c r="H250" s="10">
        <v>616.5</v>
      </c>
      <c r="I250" s="10">
        <v>9.3090000000000006E-2</v>
      </c>
      <c r="J250" s="10">
        <v>5.3060000000000003E-2</v>
      </c>
      <c r="K250" s="10">
        <v>1.7649999999999898E-2</v>
      </c>
      <c r="L250" s="10">
        <v>2.733E-2</v>
      </c>
      <c r="M250" s="10">
        <v>0.13730000000000001</v>
      </c>
      <c r="N250" s="10">
        <v>5.7000000000000002E-2</v>
      </c>
      <c r="O250" s="10">
        <v>0.2571</v>
      </c>
      <c r="P250" s="10">
        <v>1.081</v>
      </c>
      <c r="Q250" s="10">
        <v>1.5580000000000001</v>
      </c>
      <c r="R250" s="10">
        <v>23.92</v>
      </c>
      <c r="S250" s="10">
        <v>6.692E-3</v>
      </c>
      <c r="T250" s="10">
        <v>1.132E-2</v>
      </c>
      <c r="U250" s="10">
        <v>5.7169999999999903E-3</v>
      </c>
      <c r="V250" s="10">
        <v>6.6270000000000001E-3</v>
      </c>
      <c r="W250" s="10">
        <v>1.4160000000000001E-2</v>
      </c>
      <c r="X250" s="10">
        <v>2.4759999999999899E-3</v>
      </c>
      <c r="Y250" s="10">
        <v>15.5299999999999</v>
      </c>
      <c r="Z250" s="10">
        <v>18</v>
      </c>
      <c r="AA250" s="10">
        <v>98.4</v>
      </c>
      <c r="AB250" s="10">
        <v>749.89999999999895</v>
      </c>
      <c r="AC250" s="10">
        <v>0.12809999999999899</v>
      </c>
      <c r="AD250" s="10">
        <v>0.1109</v>
      </c>
      <c r="AE250" s="10">
        <v>5.3069999999999902E-2</v>
      </c>
      <c r="AF250" s="10">
        <v>5.8900000000000001E-2</v>
      </c>
      <c r="AG250" s="10">
        <v>0.20999999999999899</v>
      </c>
      <c r="AH250">
        <v>7.0830000000000004E-2</v>
      </c>
    </row>
    <row r="251" spans="3:34">
      <c r="C251" s="11" t="s">
        <v>467</v>
      </c>
      <c r="D251" s="10" t="s">
        <v>1</v>
      </c>
      <c r="E251" s="10">
        <v>13.71</v>
      </c>
      <c r="F251" s="10">
        <v>17.93</v>
      </c>
      <c r="G251" s="10">
        <v>76.09</v>
      </c>
      <c r="H251" s="10">
        <v>446</v>
      </c>
      <c r="I251" s="10">
        <v>7.6829999999999898E-2</v>
      </c>
      <c r="J251" s="10">
        <v>3.8920000000000003E-2</v>
      </c>
      <c r="K251" s="10">
        <v>1.5460000000000001E-3</v>
      </c>
      <c r="L251" s="10">
        <v>5.5919999999999902E-3</v>
      </c>
      <c r="M251" s="10">
        <v>0.13819999999999899</v>
      </c>
      <c r="N251" s="10">
        <v>6.06999999999999E-2</v>
      </c>
      <c r="O251" s="10">
        <v>0.23350000000000001</v>
      </c>
      <c r="P251" s="10">
        <v>0.90969999999999895</v>
      </c>
      <c r="Q251" s="10">
        <v>1.466</v>
      </c>
      <c r="R251" s="10">
        <v>16.969999999999899</v>
      </c>
      <c r="S251" s="10">
        <v>4.7289999999999902E-3</v>
      </c>
      <c r="T251" s="10">
        <v>6.8869999999999904E-3</v>
      </c>
      <c r="U251" s="10">
        <v>1.18399999999999E-3</v>
      </c>
      <c r="V251" s="10">
        <v>3.9509999999999901E-3</v>
      </c>
      <c r="W251" s="10">
        <v>1.4659999999999901E-2</v>
      </c>
      <c r="X251" s="10">
        <v>1.755E-3</v>
      </c>
      <c r="Y251" s="10">
        <v>13.07</v>
      </c>
      <c r="Z251" s="10">
        <v>22.25</v>
      </c>
      <c r="AA251" s="10">
        <v>82.739999999999895</v>
      </c>
      <c r="AB251" s="10">
        <v>523.39999999999895</v>
      </c>
      <c r="AC251" s="10">
        <v>0.1013</v>
      </c>
      <c r="AD251" s="10">
        <v>7.3899999999999896E-2</v>
      </c>
      <c r="AE251" s="10">
        <v>7.7320000000000002E-3</v>
      </c>
      <c r="AF251" s="10">
        <v>2.7959999999999902E-2</v>
      </c>
      <c r="AG251" s="10">
        <v>0.21709999999999899</v>
      </c>
      <c r="AH251">
        <v>7.0370000000000002E-2</v>
      </c>
    </row>
    <row r="252" spans="3:34">
      <c r="C252" s="11" t="s">
        <v>468</v>
      </c>
      <c r="D252" s="10" t="s">
        <v>0</v>
      </c>
      <c r="E252" s="10">
        <v>13.71</v>
      </c>
      <c r="F252" s="10">
        <v>20.71</v>
      </c>
      <c r="G252" s="10">
        <v>106.9</v>
      </c>
      <c r="H252" s="10">
        <v>813.7</v>
      </c>
      <c r="I252" s="10">
        <v>0.1169</v>
      </c>
      <c r="J252" s="10">
        <v>0.13189999999999899</v>
      </c>
      <c r="K252" s="10">
        <v>0.14779999999999899</v>
      </c>
      <c r="L252" s="10">
        <v>8.48799999999999E-2</v>
      </c>
      <c r="M252" s="10">
        <v>0.1948</v>
      </c>
      <c r="N252" s="10">
        <v>6.2770000000000006E-2</v>
      </c>
      <c r="O252" s="10">
        <v>0.4375</v>
      </c>
      <c r="P252" s="10">
        <v>1.232</v>
      </c>
      <c r="Q252" s="10">
        <v>3.27</v>
      </c>
      <c r="R252" s="10">
        <v>44.409999999999897</v>
      </c>
      <c r="S252" s="10">
        <v>6.6969999999999903E-3</v>
      </c>
      <c r="T252" s="10">
        <v>2.0830000000000001E-2</v>
      </c>
      <c r="U252" s="10">
        <v>3.2480000000000002E-2</v>
      </c>
      <c r="V252" s="10">
        <v>1.392E-2</v>
      </c>
      <c r="W252" s="10">
        <v>1.536E-2</v>
      </c>
      <c r="X252" s="10">
        <v>2.7889999999999898E-3</v>
      </c>
      <c r="Y252" s="10">
        <v>19.28</v>
      </c>
      <c r="Z252" s="10">
        <v>30.3799999999999</v>
      </c>
      <c r="AA252" s="10">
        <v>129.80000000000001</v>
      </c>
      <c r="AB252" s="10">
        <v>1121</v>
      </c>
      <c r="AC252" s="10">
        <v>0.159</v>
      </c>
      <c r="AD252" s="10">
        <v>0.29470000000000002</v>
      </c>
      <c r="AE252" s="10">
        <v>0.35970000000000002</v>
      </c>
      <c r="AF252" s="10">
        <v>0.1583</v>
      </c>
      <c r="AG252" s="10">
        <v>0.31030000000000002</v>
      </c>
      <c r="AH252">
        <v>8.2000000000000003E-2</v>
      </c>
    </row>
    <row r="253" spans="3:34">
      <c r="C253" s="11" t="s">
        <v>469</v>
      </c>
      <c r="D253" s="10" t="s">
        <v>0</v>
      </c>
      <c r="E253" s="10">
        <v>13.71</v>
      </c>
      <c r="F253" s="10">
        <v>21.8799999999999</v>
      </c>
      <c r="G253" s="10">
        <v>107.5</v>
      </c>
      <c r="H253" s="10">
        <v>826.79999999999905</v>
      </c>
      <c r="I253" s="10">
        <v>0.11650000000000001</v>
      </c>
      <c r="J253" s="10">
        <v>0.1283</v>
      </c>
      <c r="K253" s="10">
        <v>0.1799</v>
      </c>
      <c r="L253" s="10">
        <v>7.9810000000000006E-2</v>
      </c>
      <c r="M253" s="10">
        <v>0.18690000000000001</v>
      </c>
      <c r="N253" s="10">
        <v>6.5320000000000003E-2</v>
      </c>
      <c r="O253" s="10">
        <v>0.5706</v>
      </c>
      <c r="P253" s="10">
        <v>1.4570000000000001</v>
      </c>
      <c r="Q253" s="10">
        <v>2.9609999999999901</v>
      </c>
      <c r="R253" s="10">
        <v>57.719999999999899</v>
      </c>
      <c r="S253" s="10">
        <v>1.056E-2</v>
      </c>
      <c r="T253" s="10">
        <v>3.7560000000000003E-2</v>
      </c>
      <c r="U253" s="10">
        <v>5.83899999999999E-2</v>
      </c>
      <c r="V253" s="10">
        <v>1.1860000000000001E-2</v>
      </c>
      <c r="W253" s="10">
        <v>4.0219999999999902E-2</v>
      </c>
      <c r="X253" s="10">
        <v>6.1869999999999903E-3</v>
      </c>
      <c r="Y253" s="10">
        <v>17.73</v>
      </c>
      <c r="Z253" s="10">
        <v>25.21</v>
      </c>
      <c r="AA253" s="10">
        <v>113.7</v>
      </c>
      <c r="AB253" s="10">
        <v>975.2</v>
      </c>
      <c r="AC253" s="10">
        <v>0.1426</v>
      </c>
      <c r="AD253" s="10">
        <v>0.21160000000000001</v>
      </c>
      <c r="AE253" s="10">
        <v>0.33439999999999898</v>
      </c>
      <c r="AF253" s="10">
        <v>0.1047</v>
      </c>
      <c r="AG253" s="10">
        <v>0.27360000000000001</v>
      </c>
      <c r="AH253">
        <v>7.9530000000000003E-2</v>
      </c>
    </row>
    <row r="254" spans="3:34">
      <c r="C254" s="11" t="s">
        <v>471</v>
      </c>
      <c r="D254" s="10" t="s">
        <v>1</v>
      </c>
      <c r="E254" s="10">
        <v>13.71</v>
      </c>
      <c r="F254" s="10">
        <v>19.350000000000001</v>
      </c>
      <c r="G254" s="10">
        <v>84.519999999999897</v>
      </c>
      <c r="H254" s="10">
        <v>514</v>
      </c>
      <c r="I254" s="10">
        <v>9.579E-2</v>
      </c>
      <c r="J254" s="10">
        <v>0.1125</v>
      </c>
      <c r="K254" s="10">
        <v>7.1069999999999897E-2</v>
      </c>
      <c r="L254" s="10">
        <v>2.9499999999999901E-2</v>
      </c>
      <c r="M254" s="10">
        <v>0.17610000000000001</v>
      </c>
      <c r="N254" s="10">
        <v>6.54E-2</v>
      </c>
      <c r="O254" s="10">
        <v>0.26840000000000003</v>
      </c>
      <c r="P254" s="10">
        <v>0.56640000000000001</v>
      </c>
      <c r="Q254" s="10">
        <v>2.4649999999999901</v>
      </c>
      <c r="R254" s="10">
        <v>20.649999999999899</v>
      </c>
      <c r="S254" s="10">
        <v>5.7270000000000003E-3</v>
      </c>
      <c r="T254" s="10">
        <v>3.2550000000000003E-2</v>
      </c>
      <c r="U254" s="10">
        <v>4.39299999999999E-2</v>
      </c>
      <c r="V254" s="10">
        <v>9.8110000000000003E-3</v>
      </c>
      <c r="W254" s="10">
        <v>2.751E-2</v>
      </c>
      <c r="X254" s="10">
        <v>4.5719999999999901E-3</v>
      </c>
      <c r="Y254" s="10">
        <v>14.42</v>
      </c>
      <c r="Z254" s="10">
        <v>21.9499999999999</v>
      </c>
      <c r="AA254" s="10">
        <v>99.209999999999894</v>
      </c>
      <c r="AB254" s="10">
        <v>634.29999999999905</v>
      </c>
      <c r="AC254" s="10">
        <v>0.1288</v>
      </c>
      <c r="AD254" s="10">
        <v>0.32529999999999898</v>
      </c>
      <c r="AE254" s="10">
        <v>0.34389999999999898</v>
      </c>
      <c r="AF254" s="10">
        <v>9.8580000000000001E-2</v>
      </c>
      <c r="AG254" s="10">
        <v>0.35959999999999898</v>
      </c>
      <c r="AH254">
        <v>9.1660000000000005E-2</v>
      </c>
    </row>
    <row r="255" spans="3:34">
      <c r="C255" s="11" t="s">
        <v>473</v>
      </c>
      <c r="D255" s="10" t="s">
        <v>1</v>
      </c>
      <c r="E255" s="10">
        <v>13.71</v>
      </c>
      <c r="F255" s="10">
        <v>14.7799999999999</v>
      </c>
      <c r="G255" s="10">
        <v>71.379999999999896</v>
      </c>
      <c r="H255" s="10">
        <v>390</v>
      </c>
      <c r="I255" s="10">
        <v>8.3059999999999898E-2</v>
      </c>
      <c r="J255" s="10">
        <v>4.4580000000000002E-2</v>
      </c>
      <c r="K255" s="10">
        <v>9.73699999999999E-4</v>
      </c>
      <c r="L255" s="10">
        <v>2.941E-3</v>
      </c>
      <c r="M255" s="10">
        <v>0.17730000000000001</v>
      </c>
      <c r="N255" s="10">
        <v>6.0810000000000003E-2</v>
      </c>
      <c r="O255" s="10">
        <v>0.21440000000000001</v>
      </c>
      <c r="P255" s="10">
        <v>0.99609999999999899</v>
      </c>
      <c r="Q255" s="10">
        <v>1.5289999999999899</v>
      </c>
      <c r="R255" s="10">
        <v>15.07</v>
      </c>
      <c r="S255" s="10">
        <v>5.6169999999999901E-3</v>
      </c>
      <c r="T255" s="10">
        <v>7.1240000000000001E-3</v>
      </c>
      <c r="U255" s="10">
        <v>9.73699999999999E-4</v>
      </c>
      <c r="V255" s="10">
        <v>2.941E-3</v>
      </c>
      <c r="W255" s="10">
        <v>1.7000000000000001E-2</v>
      </c>
      <c r="X255" s="10">
        <v>2.0300000000000001E-3</v>
      </c>
      <c r="Y255" s="10">
        <v>12.76</v>
      </c>
      <c r="Z255" s="10">
        <v>22.059999999999899</v>
      </c>
      <c r="AA255" s="10">
        <v>82.079999999999899</v>
      </c>
      <c r="AB255" s="10">
        <v>492.69999999999902</v>
      </c>
      <c r="AC255" s="10">
        <v>0.1166</v>
      </c>
      <c r="AD255" s="10">
        <v>9.7939999999999902E-2</v>
      </c>
      <c r="AE255" s="10">
        <v>5.5180000000000003E-3</v>
      </c>
      <c r="AF255" s="10">
        <v>1.6670000000000001E-2</v>
      </c>
      <c r="AG255" s="10">
        <v>0.28149999999999897</v>
      </c>
      <c r="AH255">
        <v>7.4179999999999899E-2</v>
      </c>
    </row>
    <row r="256" spans="3:34">
      <c r="C256" s="11" t="s">
        <v>474</v>
      </c>
      <c r="D256" s="10" t="s">
        <v>1</v>
      </c>
      <c r="E256" s="10">
        <v>13.71</v>
      </c>
      <c r="F256" s="10">
        <v>19.02</v>
      </c>
      <c r="G256" s="10">
        <v>77.879999999999896</v>
      </c>
      <c r="H256" s="10">
        <v>464.39999999999901</v>
      </c>
      <c r="I256" s="10">
        <v>8.3129999999999898E-2</v>
      </c>
      <c r="J256" s="10">
        <v>4.2020000000000002E-2</v>
      </c>
      <c r="K256" s="10">
        <v>7.7559999999999903E-3</v>
      </c>
      <c r="L256" s="10">
        <v>8.5349999999999905E-3</v>
      </c>
      <c r="M256" s="10">
        <v>0.15390000000000001</v>
      </c>
      <c r="N256" s="10">
        <v>5.9450000000000003E-2</v>
      </c>
      <c r="O256" s="10">
        <v>0.184</v>
      </c>
      <c r="P256" s="10">
        <v>1.532</v>
      </c>
      <c r="Q256" s="10">
        <v>1.1990000000000001</v>
      </c>
      <c r="R256" s="10">
        <v>13.24</v>
      </c>
      <c r="S256" s="10">
        <v>7.8810000000000009E-3</v>
      </c>
      <c r="T256" s="10">
        <v>8.4320000000000003E-3</v>
      </c>
      <c r="U256" s="10">
        <v>7.0039999999999903E-3</v>
      </c>
      <c r="V256" s="10">
        <v>6.522E-3</v>
      </c>
      <c r="W256" s="10">
        <v>1.9390000000000001E-2</v>
      </c>
      <c r="X256" s="10">
        <v>2.222E-3</v>
      </c>
      <c r="Y256" s="10">
        <v>13.35</v>
      </c>
      <c r="Z256" s="10">
        <v>28.46</v>
      </c>
      <c r="AA256" s="10">
        <v>84.53</v>
      </c>
      <c r="AB256" s="10">
        <v>544.29999999999905</v>
      </c>
      <c r="AC256" s="10">
        <v>0.1222</v>
      </c>
      <c r="AD256" s="10">
        <v>9.0520000000000003E-2</v>
      </c>
      <c r="AE256" s="10">
        <v>3.619E-2</v>
      </c>
      <c r="AF256" s="10">
        <v>3.98299999999999E-2</v>
      </c>
      <c r="AG256" s="10">
        <v>0.25540000000000002</v>
      </c>
      <c r="AH256">
        <v>7.2069999999999898E-2</v>
      </c>
    </row>
    <row r="257" spans="3:34">
      <c r="C257" s="11" t="s">
        <v>475</v>
      </c>
      <c r="D257" s="10" t="s">
        <v>0</v>
      </c>
      <c r="E257" s="10">
        <v>13.71</v>
      </c>
      <c r="F257" s="10">
        <v>21</v>
      </c>
      <c r="G257" s="10">
        <v>111.8</v>
      </c>
      <c r="H257" s="10">
        <v>918.6</v>
      </c>
      <c r="I257" s="10">
        <v>0.1119</v>
      </c>
      <c r="J257" s="10">
        <v>0.1056</v>
      </c>
      <c r="K257" s="10">
        <v>0.15079999999999899</v>
      </c>
      <c r="L257" s="10">
        <v>9.9339999999999901E-2</v>
      </c>
      <c r="M257" s="10">
        <v>0.17269999999999899</v>
      </c>
      <c r="N257" s="10">
        <v>6.071E-2</v>
      </c>
      <c r="O257" s="10">
        <v>0.81610000000000005</v>
      </c>
      <c r="P257" s="10">
        <v>2.129</v>
      </c>
      <c r="Q257" s="10">
        <v>6.0759999999999899</v>
      </c>
      <c r="R257" s="10">
        <v>87.17</v>
      </c>
      <c r="S257" s="10">
        <v>6.4549999999999903E-3</v>
      </c>
      <c r="T257" s="10">
        <v>1.797E-2</v>
      </c>
      <c r="U257" s="10">
        <v>4.50199999999999E-2</v>
      </c>
      <c r="V257" s="10">
        <v>1.7440000000000001E-2</v>
      </c>
      <c r="W257" s="10">
        <v>1.8290000000000001E-2</v>
      </c>
      <c r="X257" s="10">
        <v>3.7330000000000002E-3</v>
      </c>
      <c r="Y257" s="10">
        <v>20.989999999999899</v>
      </c>
      <c r="Z257" s="10">
        <v>33.149999999999899</v>
      </c>
      <c r="AA257" s="10">
        <v>143.19999999999899</v>
      </c>
      <c r="AB257" s="10">
        <v>1362</v>
      </c>
      <c r="AC257" s="10">
        <v>0.1449</v>
      </c>
      <c r="AD257" s="10">
        <v>0.20530000000000001</v>
      </c>
      <c r="AE257" s="10">
        <v>0.39200000000000002</v>
      </c>
      <c r="AF257" s="10">
        <v>0.1827</v>
      </c>
      <c r="AG257" s="10">
        <v>0.26229999999999898</v>
      </c>
      <c r="AH257">
        <v>7.5990000000000002E-2</v>
      </c>
    </row>
    <row r="258" spans="3:34">
      <c r="C258" s="11" t="s">
        <v>476</v>
      </c>
      <c r="D258" s="10" t="s">
        <v>1</v>
      </c>
      <c r="E258" s="10">
        <v>13.71</v>
      </c>
      <c r="F258" s="10">
        <v>14.23</v>
      </c>
      <c r="G258" s="10">
        <v>84.079999999999899</v>
      </c>
      <c r="H258" s="10">
        <v>514.29999999999905</v>
      </c>
      <c r="I258" s="10">
        <v>9.4619999999999899E-2</v>
      </c>
      <c r="J258" s="10">
        <v>9.9650000000000002E-2</v>
      </c>
      <c r="K258" s="10">
        <v>3.7379999999999899E-2</v>
      </c>
      <c r="L258" s="10">
        <v>2.0979999999999902E-2</v>
      </c>
      <c r="M258" s="10">
        <v>0.16520000000000001</v>
      </c>
      <c r="N258" s="10">
        <v>7.238E-2</v>
      </c>
      <c r="O258" s="10">
        <v>0.18140000000000001</v>
      </c>
      <c r="P258" s="10">
        <v>0.64119999999999899</v>
      </c>
      <c r="Q258" s="10">
        <v>0.92190000000000005</v>
      </c>
      <c r="R258" s="10">
        <v>14.41</v>
      </c>
      <c r="S258" s="10">
        <v>5.2310000000000004E-3</v>
      </c>
      <c r="T258" s="10">
        <v>2.3050000000000001E-2</v>
      </c>
      <c r="U258" s="10">
        <v>3.1130000000000001E-2</v>
      </c>
      <c r="V258" s="10">
        <v>7.3150000000000003E-3</v>
      </c>
      <c r="W258" s="10">
        <v>1.6389999999999901E-2</v>
      </c>
      <c r="X258" s="10">
        <v>5.7010000000000003E-3</v>
      </c>
      <c r="Y258" s="10">
        <v>13.72</v>
      </c>
      <c r="Z258" s="10">
        <v>16.91</v>
      </c>
      <c r="AA258" s="10">
        <v>87.379999999999896</v>
      </c>
      <c r="AB258" s="10">
        <v>576</v>
      </c>
      <c r="AC258" s="10">
        <v>0.1142</v>
      </c>
      <c r="AD258" s="10">
        <v>0.19750000000000001</v>
      </c>
      <c r="AE258" s="10">
        <v>0.14499999999999899</v>
      </c>
      <c r="AF258" s="10">
        <v>5.8500000000000003E-2</v>
      </c>
      <c r="AG258" s="10">
        <v>0.2432</v>
      </c>
      <c r="AH258">
        <v>0.1009</v>
      </c>
    </row>
    <row r="259" spans="3:34">
      <c r="C259" s="11" t="s">
        <v>477</v>
      </c>
      <c r="D259" s="10" t="s">
        <v>0</v>
      </c>
      <c r="E259" s="10">
        <v>13.71</v>
      </c>
      <c r="F259" s="10">
        <v>21.43</v>
      </c>
      <c r="G259" s="10">
        <v>122.9</v>
      </c>
      <c r="H259" s="10">
        <v>1092</v>
      </c>
      <c r="I259" s="10">
        <v>9.1160000000000005E-2</v>
      </c>
      <c r="J259" s="10">
        <v>0.14019999999999899</v>
      </c>
      <c r="K259" s="10">
        <v>0.106</v>
      </c>
      <c r="L259" s="10">
        <v>6.0900000000000003E-2</v>
      </c>
      <c r="M259" s="10">
        <v>0.1953</v>
      </c>
      <c r="N259" s="10">
        <v>6.0830000000000002E-2</v>
      </c>
      <c r="O259" s="10">
        <v>0.64219999999999899</v>
      </c>
      <c r="P259" s="10">
        <v>1.53</v>
      </c>
      <c r="Q259" s="10">
        <v>4.36899999999999</v>
      </c>
      <c r="R259" s="10">
        <v>88.25</v>
      </c>
      <c r="S259" s="10">
        <v>7.548E-3</v>
      </c>
      <c r="T259" s="10">
        <v>3.8969999999999901E-2</v>
      </c>
      <c r="U259" s="10">
        <v>3.9140000000000001E-2</v>
      </c>
      <c r="V259" s="10">
        <v>1.8159999999999898E-2</v>
      </c>
      <c r="W259" s="10">
        <v>2.1680000000000001E-2</v>
      </c>
      <c r="X259" s="10">
        <v>4.4450000000000002E-3</v>
      </c>
      <c r="Y259" s="10">
        <v>24.5399999999999</v>
      </c>
      <c r="Z259" s="10">
        <v>34.369999999999898</v>
      </c>
      <c r="AA259" s="10">
        <v>161.099999999999</v>
      </c>
      <c r="AB259" s="10">
        <v>1873</v>
      </c>
      <c r="AC259" s="10">
        <v>0.14979999999999899</v>
      </c>
      <c r="AD259" s="10">
        <v>0.48270000000000002</v>
      </c>
      <c r="AE259" s="10">
        <v>0.46339999999999898</v>
      </c>
      <c r="AF259" s="10">
        <v>0.20480000000000001</v>
      </c>
      <c r="AG259" s="10">
        <v>0.3679</v>
      </c>
      <c r="AH259">
        <v>9.8699999999999899E-2</v>
      </c>
    </row>
    <row r="260" spans="3:34">
      <c r="C260" s="11" t="s">
        <v>479</v>
      </c>
      <c r="D260" s="10" t="s">
        <v>0</v>
      </c>
      <c r="E260" s="10">
        <v>13.71</v>
      </c>
      <c r="F260" s="10">
        <v>24.27</v>
      </c>
      <c r="G260" s="10">
        <v>155.099999999999</v>
      </c>
      <c r="H260" s="10">
        <v>1747</v>
      </c>
      <c r="I260" s="10">
        <v>0.1069</v>
      </c>
      <c r="J260" s="10">
        <v>0.1283</v>
      </c>
      <c r="K260" s="10">
        <v>0.23080000000000001</v>
      </c>
      <c r="L260" s="10">
        <v>0.14099999999999899</v>
      </c>
      <c r="M260" s="10">
        <v>0.1797</v>
      </c>
      <c r="N260" s="10">
        <v>5.5059999999999901E-2</v>
      </c>
      <c r="O260" s="10">
        <v>1.0089999999999899</v>
      </c>
      <c r="P260" s="10">
        <v>0.92449999999999899</v>
      </c>
      <c r="Q260" s="10">
        <v>6.46199999999999</v>
      </c>
      <c r="R260" s="10">
        <v>164.099999999999</v>
      </c>
      <c r="S260" s="10">
        <v>6.2919999999999903E-3</v>
      </c>
      <c r="T260" s="10">
        <v>1.9709999999999901E-2</v>
      </c>
      <c r="U260" s="10">
        <v>3.5819999999999901E-2</v>
      </c>
      <c r="V260" s="10">
        <v>1.3010000000000001E-2</v>
      </c>
      <c r="W260" s="10">
        <v>1.47899999999999E-2</v>
      </c>
      <c r="X260" s="10">
        <v>3.1180000000000001E-3</v>
      </c>
      <c r="Y260" s="10">
        <v>30.67</v>
      </c>
      <c r="Z260" s="10">
        <v>30.73</v>
      </c>
      <c r="AA260" s="10">
        <v>202.4</v>
      </c>
      <c r="AB260" s="10">
        <v>2906</v>
      </c>
      <c r="AC260" s="10">
        <v>0.1515</v>
      </c>
      <c r="AD260" s="10">
        <v>0.26779999999999898</v>
      </c>
      <c r="AE260" s="10">
        <v>0.4819</v>
      </c>
      <c r="AF260" s="10">
        <v>0.2089</v>
      </c>
      <c r="AG260" s="10">
        <v>0.25929999999999898</v>
      </c>
      <c r="AH260">
        <v>7.7380000000000004E-2</v>
      </c>
    </row>
    <row r="261" spans="3:34">
      <c r="C261" s="11" t="s">
        <v>481</v>
      </c>
      <c r="D261" s="10" t="s">
        <v>1</v>
      </c>
      <c r="E261" s="10">
        <v>13.71</v>
      </c>
      <c r="F261" s="10">
        <v>16.84</v>
      </c>
      <c r="G261" s="10">
        <v>61.64</v>
      </c>
      <c r="H261" s="10">
        <v>280.5</v>
      </c>
      <c r="I261" s="10">
        <v>8.4809999999999899E-2</v>
      </c>
      <c r="J261" s="10">
        <v>9.2280000000000001E-2</v>
      </c>
      <c r="K261" s="10">
        <v>8.4220000000000003E-2</v>
      </c>
      <c r="L261" s="10">
        <v>2.2919999999999899E-2</v>
      </c>
      <c r="M261" s="10">
        <v>0.2036</v>
      </c>
      <c r="N261" s="10">
        <v>7.1249999999999897E-2</v>
      </c>
      <c r="O261" s="10">
        <v>0.18440000000000001</v>
      </c>
      <c r="P261" s="10">
        <v>0.94289999999999896</v>
      </c>
      <c r="Q261" s="10">
        <v>1.429</v>
      </c>
      <c r="R261" s="10">
        <v>12.07</v>
      </c>
      <c r="S261" s="10">
        <v>5.9540000000000001E-3</v>
      </c>
      <c r="T261" s="10">
        <v>3.4709999999999901E-2</v>
      </c>
      <c r="U261" s="10">
        <v>5.0279999999999901E-2</v>
      </c>
      <c r="V261" s="10">
        <v>8.5100000000000002E-3</v>
      </c>
      <c r="W261" s="10">
        <v>1.7500000000000002E-2</v>
      </c>
      <c r="X261" s="10">
        <v>4.0309999999999903E-3</v>
      </c>
      <c r="Y261" s="10">
        <v>10.75</v>
      </c>
      <c r="Z261" s="10">
        <v>23.07</v>
      </c>
      <c r="AA261" s="10">
        <v>71.25</v>
      </c>
      <c r="AB261" s="10">
        <v>353.6</v>
      </c>
      <c r="AC261" s="10">
        <v>0.12330000000000001</v>
      </c>
      <c r="AD261" s="10">
        <v>0.34160000000000001</v>
      </c>
      <c r="AE261" s="10">
        <v>0.43409999999999899</v>
      </c>
      <c r="AF261" s="10">
        <v>8.1199999999999897E-2</v>
      </c>
      <c r="AG261" s="10">
        <v>0.29820000000000002</v>
      </c>
      <c r="AH261">
        <v>9.8250000000000004E-2</v>
      </c>
    </row>
    <row r="262" spans="3:34">
      <c r="C262" s="11" t="s">
        <v>482</v>
      </c>
      <c r="D262" s="10" t="s">
        <v>1</v>
      </c>
      <c r="E262" s="10">
        <v>13.71</v>
      </c>
      <c r="F262" s="10">
        <v>14.96</v>
      </c>
      <c r="G262" s="10">
        <v>71.489999999999895</v>
      </c>
      <c r="H262" s="10">
        <v>373.89999999999901</v>
      </c>
      <c r="I262" s="10">
        <v>0.1033</v>
      </c>
      <c r="J262" s="10">
        <v>9.0969999999999898E-2</v>
      </c>
      <c r="K262" s="10">
        <v>5.39699999999999E-2</v>
      </c>
      <c r="L262" s="10">
        <v>3.3410000000000002E-2</v>
      </c>
      <c r="M262" s="10">
        <v>0.17760000000000001</v>
      </c>
      <c r="N262" s="10">
        <v>6.9070000000000006E-2</v>
      </c>
      <c r="O262" s="10">
        <v>0.16009999999999899</v>
      </c>
      <c r="P262" s="10">
        <v>0.82250000000000001</v>
      </c>
      <c r="Q262" s="10">
        <v>1.355</v>
      </c>
      <c r="R262" s="10">
        <v>10.8</v>
      </c>
      <c r="S262" s="10">
        <v>7.4159999999999903E-3</v>
      </c>
      <c r="T262" s="10">
        <v>1.8769999999999901E-2</v>
      </c>
      <c r="U262" s="10">
        <v>2.758E-2</v>
      </c>
      <c r="V262" s="10">
        <v>1.01E-2</v>
      </c>
      <c r="W262" s="10">
        <v>2.3480000000000001E-2</v>
      </c>
      <c r="X262" s="10">
        <v>2.9169999999999899E-3</v>
      </c>
      <c r="Y262" s="10">
        <v>11.92</v>
      </c>
      <c r="Z262" s="10">
        <v>19.899999999999899</v>
      </c>
      <c r="AA262" s="10">
        <v>79.760000000000005</v>
      </c>
      <c r="AB262" s="10">
        <v>440</v>
      </c>
      <c r="AC262" s="10">
        <v>0.14180000000000001</v>
      </c>
      <c r="AD262" s="10">
        <v>0.221</v>
      </c>
      <c r="AE262" s="10">
        <v>0.22989999999999899</v>
      </c>
      <c r="AF262" s="10">
        <v>0.1075</v>
      </c>
      <c r="AG262" s="10">
        <v>0.3301</v>
      </c>
      <c r="AH262">
        <v>9.0800000000000006E-2</v>
      </c>
    </row>
    <row r="263" spans="3:34">
      <c r="C263" s="11" t="s">
        <v>485</v>
      </c>
      <c r="D263" s="10" t="s">
        <v>1</v>
      </c>
      <c r="E263" s="10">
        <v>13.71</v>
      </c>
      <c r="F263" s="10">
        <v>14.71</v>
      </c>
      <c r="G263" s="10">
        <v>66.2</v>
      </c>
      <c r="H263" s="10">
        <v>321.60000000000002</v>
      </c>
      <c r="I263" s="10">
        <v>9.8820000000000005E-2</v>
      </c>
      <c r="J263" s="10">
        <v>9.1590000000000005E-2</v>
      </c>
      <c r="K263" s="10">
        <v>3.5810000000000002E-2</v>
      </c>
      <c r="L263" s="10">
        <v>2.0369999999999899E-2</v>
      </c>
      <c r="M263" s="10">
        <v>0.1633</v>
      </c>
      <c r="N263" s="10">
        <v>7.0050000000000001E-2</v>
      </c>
      <c r="O263" s="10">
        <v>0.33800000000000002</v>
      </c>
      <c r="P263" s="10">
        <v>2.5089999999999901</v>
      </c>
      <c r="Q263" s="10">
        <v>2.3940000000000001</v>
      </c>
      <c r="R263" s="10">
        <v>19.329999999999899</v>
      </c>
      <c r="S263" s="10">
        <v>1.736E-2</v>
      </c>
      <c r="T263" s="10">
        <v>4.6710000000000002E-2</v>
      </c>
      <c r="U263" s="10">
        <v>2.6110000000000001E-2</v>
      </c>
      <c r="V263" s="10">
        <v>1.29599999999999E-2</v>
      </c>
      <c r="W263" s="10">
        <v>3.6749999999999901E-2</v>
      </c>
      <c r="X263" s="10">
        <v>6.7580000000000001E-3</v>
      </c>
      <c r="Y263" s="10">
        <v>10.88</v>
      </c>
      <c r="Z263" s="10">
        <v>19.48</v>
      </c>
      <c r="AA263" s="10">
        <v>70.89</v>
      </c>
      <c r="AB263" s="10">
        <v>357.1</v>
      </c>
      <c r="AC263" s="10">
        <v>0.13600000000000001</v>
      </c>
      <c r="AD263" s="10">
        <v>0.1636</v>
      </c>
      <c r="AE263" s="10">
        <v>7.1620000000000003E-2</v>
      </c>
      <c r="AF263" s="10">
        <v>4.0739999999999901E-2</v>
      </c>
      <c r="AG263" s="10">
        <v>0.24340000000000001</v>
      </c>
      <c r="AH263">
        <v>8.48799999999999E-2</v>
      </c>
    </row>
    <row r="264" spans="3:34">
      <c r="C264" s="11" t="s">
        <v>486</v>
      </c>
      <c r="D264" s="10" t="s">
        <v>1</v>
      </c>
      <c r="E264" s="10">
        <v>13.71</v>
      </c>
      <c r="F264" s="10">
        <v>18.899999999999899</v>
      </c>
      <c r="G264" s="10">
        <v>76.659999999999897</v>
      </c>
      <c r="H264" s="10">
        <v>445.3</v>
      </c>
      <c r="I264" s="10">
        <v>8.3860000000000004E-2</v>
      </c>
      <c r="J264" s="10">
        <v>5.7939999999999901E-2</v>
      </c>
      <c r="K264" s="10">
        <v>7.5100000000000002E-3</v>
      </c>
      <c r="L264" s="10">
        <v>8.4880000000000008E-3</v>
      </c>
      <c r="M264" s="10">
        <v>0.1555</v>
      </c>
      <c r="N264" s="10">
        <v>6.0479999999999902E-2</v>
      </c>
      <c r="O264" s="10">
        <v>0.24299999999999899</v>
      </c>
      <c r="P264" s="10">
        <v>1.1519999999999899</v>
      </c>
      <c r="Q264" s="10">
        <v>1.5589999999999899</v>
      </c>
      <c r="R264" s="10">
        <v>18.02</v>
      </c>
      <c r="S264" s="10">
        <v>7.1799999999999902E-3</v>
      </c>
      <c r="T264" s="10">
        <v>1.09599999999999E-2</v>
      </c>
      <c r="U264" s="10">
        <v>5.8320000000000004E-3</v>
      </c>
      <c r="V264" s="10">
        <v>5.4949999999999903E-3</v>
      </c>
      <c r="W264" s="10">
        <v>1.9820000000000001E-2</v>
      </c>
      <c r="X264" s="10">
        <v>2.75399999999999E-3</v>
      </c>
      <c r="Y264" s="10">
        <v>13.64</v>
      </c>
      <c r="Z264" s="10">
        <v>27.059999999999899</v>
      </c>
      <c r="AA264" s="10">
        <v>86.54</v>
      </c>
      <c r="AB264" s="10">
        <v>562.6</v>
      </c>
      <c r="AC264" s="10">
        <v>0.12889999999999899</v>
      </c>
      <c r="AD264" s="10">
        <v>0.13519999999999899</v>
      </c>
      <c r="AE264" s="10">
        <v>4.5060000000000003E-2</v>
      </c>
      <c r="AF264" s="10">
        <v>5.0930000000000003E-2</v>
      </c>
      <c r="AG264" s="10">
        <v>0.28799999999999898</v>
      </c>
      <c r="AH264">
        <v>8.0829999999999902E-2</v>
      </c>
    </row>
    <row r="265" spans="3:34">
      <c r="C265" s="11" t="s">
        <v>487</v>
      </c>
      <c r="D265" s="10" t="s">
        <v>1</v>
      </c>
      <c r="E265" s="10">
        <v>13.71</v>
      </c>
      <c r="F265" s="10">
        <v>14.74</v>
      </c>
      <c r="G265" s="10">
        <v>94.87</v>
      </c>
      <c r="H265" s="10">
        <v>668.7</v>
      </c>
      <c r="I265" s="10">
        <v>8.8749999999999898E-2</v>
      </c>
      <c r="J265" s="10">
        <v>7.7799999999999897E-2</v>
      </c>
      <c r="K265" s="10">
        <v>4.6080000000000003E-2</v>
      </c>
      <c r="L265" s="10">
        <v>3.5279999999999902E-2</v>
      </c>
      <c r="M265" s="10">
        <v>0.15210000000000001</v>
      </c>
      <c r="N265" s="10">
        <v>5.9119999999999902E-2</v>
      </c>
      <c r="O265" s="10">
        <v>0.34279999999999899</v>
      </c>
      <c r="P265" s="10">
        <v>0.39810000000000001</v>
      </c>
      <c r="Q265" s="10">
        <v>2.5369999999999902</v>
      </c>
      <c r="R265" s="10">
        <v>29.059999999999899</v>
      </c>
      <c r="S265" s="10">
        <v>4.7320000000000001E-3</v>
      </c>
      <c r="T265" s="10">
        <v>1.506E-2</v>
      </c>
      <c r="U265" s="10">
        <v>1.8550000000000001E-2</v>
      </c>
      <c r="V265" s="10">
        <v>1.0670000000000001E-2</v>
      </c>
      <c r="W265" s="10">
        <v>2.163E-2</v>
      </c>
      <c r="X265" s="10">
        <v>2.7829999999999899E-3</v>
      </c>
      <c r="Y265" s="10">
        <v>17.27</v>
      </c>
      <c r="Z265" s="10">
        <v>17.93</v>
      </c>
      <c r="AA265" s="10">
        <v>114.2</v>
      </c>
      <c r="AB265" s="10">
        <v>880.79999999999905</v>
      </c>
      <c r="AC265" s="10">
        <v>0.122</v>
      </c>
      <c r="AD265" s="10">
        <v>0.2009</v>
      </c>
      <c r="AE265" s="10">
        <v>0.21510000000000001</v>
      </c>
      <c r="AF265" s="10">
        <v>0.12509999999999899</v>
      </c>
      <c r="AG265" s="10">
        <v>0.31090000000000001</v>
      </c>
      <c r="AH265">
        <v>8.1869999999999901E-2</v>
      </c>
    </row>
    <row r="266" spans="3:34">
      <c r="C266" s="11" t="s">
        <v>488</v>
      </c>
      <c r="D266" s="10" t="s">
        <v>1</v>
      </c>
      <c r="E266" s="10">
        <v>13.71</v>
      </c>
      <c r="F266" s="10">
        <v>16.03</v>
      </c>
      <c r="G266" s="10">
        <v>73.019999999999897</v>
      </c>
      <c r="H266" s="10">
        <v>402.69999999999902</v>
      </c>
      <c r="I266" s="10">
        <v>9.0759999999999896E-2</v>
      </c>
      <c r="J266" s="10">
        <v>5.8860000000000003E-2</v>
      </c>
      <c r="K266" s="10">
        <v>2.5870000000000001E-2</v>
      </c>
      <c r="L266" s="10">
        <v>2.3220000000000001E-2</v>
      </c>
      <c r="M266" s="10">
        <v>0.16339999999999899</v>
      </c>
      <c r="N266" s="10">
        <v>6.3719999999999902E-2</v>
      </c>
      <c r="O266" s="10">
        <v>0.17069999999999899</v>
      </c>
      <c r="P266" s="10">
        <v>0.76149999999999896</v>
      </c>
      <c r="Q266" s="10">
        <v>1.0900000000000001</v>
      </c>
      <c r="R266" s="10">
        <v>12.25</v>
      </c>
      <c r="S266" s="10">
        <v>9.1909999999999908E-3</v>
      </c>
      <c r="T266" s="10">
        <v>8.548E-3</v>
      </c>
      <c r="U266" s="10">
        <v>9.4000000000000004E-3</v>
      </c>
      <c r="V266" s="10">
        <v>6.3150000000000003E-3</v>
      </c>
      <c r="W266" s="10">
        <v>1.755E-2</v>
      </c>
      <c r="X266" s="10">
        <v>3.009E-3</v>
      </c>
      <c r="Y266" s="10">
        <v>12.51</v>
      </c>
      <c r="Z266" s="10">
        <v>20.7899999999999</v>
      </c>
      <c r="AA266" s="10">
        <v>79.67</v>
      </c>
      <c r="AB266" s="10">
        <v>475.8</v>
      </c>
      <c r="AC266" s="10">
        <v>0.15310000000000001</v>
      </c>
      <c r="AD266" s="10">
        <v>0.112</v>
      </c>
      <c r="AE266" s="10">
        <v>9.8229999999999901E-2</v>
      </c>
      <c r="AF266" s="10">
        <v>6.5479999999999899E-2</v>
      </c>
      <c r="AG266" s="10">
        <v>0.28510000000000002</v>
      </c>
      <c r="AH266">
        <v>8.763E-2</v>
      </c>
    </row>
    <row r="267" spans="3:34">
      <c r="C267" s="11" t="s">
        <v>489</v>
      </c>
      <c r="D267" s="10" t="s">
        <v>1</v>
      </c>
      <c r="E267" s="10">
        <v>13.71</v>
      </c>
      <c r="F267" s="10">
        <v>14.96</v>
      </c>
      <c r="G267" s="10">
        <v>77.23</v>
      </c>
      <c r="H267" s="10">
        <v>426.69999999999902</v>
      </c>
      <c r="I267" s="10">
        <v>0.1158</v>
      </c>
      <c r="J267" s="10">
        <v>0.1206</v>
      </c>
      <c r="K267" s="10">
        <v>1.171E-2</v>
      </c>
      <c r="L267" s="10">
        <v>1.787E-2</v>
      </c>
      <c r="M267" s="10">
        <v>0.24590000000000001</v>
      </c>
      <c r="N267" s="10">
        <v>6.5809999999999896E-2</v>
      </c>
      <c r="O267" s="10">
        <v>0.36099999999999899</v>
      </c>
      <c r="P267" s="10">
        <v>1.05</v>
      </c>
      <c r="Q267" s="10">
        <v>2.4550000000000001</v>
      </c>
      <c r="R267" s="10">
        <v>26.649999999999899</v>
      </c>
      <c r="S267" s="10">
        <v>5.7999999999999901E-3</v>
      </c>
      <c r="T267" s="10">
        <v>2.4170000000000001E-2</v>
      </c>
      <c r="U267" s="10">
        <v>7.816E-3</v>
      </c>
      <c r="V267" s="10">
        <v>1.052E-2</v>
      </c>
      <c r="W267" s="10">
        <v>2.734E-2</v>
      </c>
      <c r="X267" s="10">
        <v>3.114E-3</v>
      </c>
      <c r="Y267" s="10">
        <v>12.81</v>
      </c>
      <c r="Z267" s="10">
        <v>17.719999999999899</v>
      </c>
      <c r="AA267" s="10">
        <v>83.09</v>
      </c>
      <c r="AB267" s="10">
        <v>496.19999999999902</v>
      </c>
      <c r="AC267" s="10">
        <v>0.1293</v>
      </c>
      <c r="AD267" s="10">
        <v>0.1885</v>
      </c>
      <c r="AE267" s="10">
        <v>3.1220000000000001E-2</v>
      </c>
      <c r="AF267" s="10">
        <v>4.7660000000000001E-2</v>
      </c>
      <c r="AG267" s="10">
        <v>0.31240000000000001</v>
      </c>
      <c r="AH267">
        <v>7.5899999999999898E-2</v>
      </c>
    </row>
    <row r="268" spans="3:34">
      <c r="C268" s="11" t="s">
        <v>490</v>
      </c>
      <c r="D268" s="10" t="s">
        <v>1</v>
      </c>
      <c r="E268" s="10">
        <v>13.71</v>
      </c>
      <c r="F268" s="10">
        <v>17.07</v>
      </c>
      <c r="G268" s="10">
        <v>73.7</v>
      </c>
      <c r="H268" s="10">
        <v>421</v>
      </c>
      <c r="I268" s="10">
        <v>7.56099999999999E-2</v>
      </c>
      <c r="J268" s="10">
        <v>3.6299999999999902E-2</v>
      </c>
      <c r="K268" s="10">
        <v>8.3059999999999905E-3</v>
      </c>
      <c r="L268" s="10">
        <v>1.162E-2</v>
      </c>
      <c r="M268" s="10">
        <v>0.1671</v>
      </c>
      <c r="N268" s="10">
        <v>5.731E-2</v>
      </c>
      <c r="O268" s="10">
        <v>0.35339999999999899</v>
      </c>
      <c r="P268" s="10">
        <v>0.6724</v>
      </c>
      <c r="Q268" s="10">
        <v>2.2250000000000001</v>
      </c>
      <c r="R268" s="10">
        <v>26.03</v>
      </c>
      <c r="S268" s="10">
        <v>6.5830000000000003E-3</v>
      </c>
      <c r="T268" s="10">
        <v>6.9909999999999903E-3</v>
      </c>
      <c r="U268" s="10">
        <v>5.9490000000000003E-3</v>
      </c>
      <c r="V268" s="10">
        <v>6.2960000000000004E-3</v>
      </c>
      <c r="W268" s="10">
        <v>2.2159999999999899E-2</v>
      </c>
      <c r="X268" s="10">
        <v>2.6679999999999898E-3</v>
      </c>
      <c r="Y268" s="10">
        <v>13.2799999999999</v>
      </c>
      <c r="Z268" s="10">
        <v>19.739999999999899</v>
      </c>
      <c r="AA268" s="10">
        <v>83.6099999999999</v>
      </c>
      <c r="AB268" s="10">
        <v>542.5</v>
      </c>
      <c r="AC268" s="10">
        <v>9.9580000000000002E-2</v>
      </c>
      <c r="AD268" s="10">
        <v>6.4759999999999901E-2</v>
      </c>
      <c r="AE268" s="10">
        <v>3.0460000000000001E-2</v>
      </c>
      <c r="AF268" s="10">
        <v>4.2619999999999901E-2</v>
      </c>
      <c r="AG268" s="10">
        <v>0.27310000000000001</v>
      </c>
      <c r="AH268">
        <v>6.8250000000000005E-2</v>
      </c>
    </row>
    <row r="269" spans="3:34">
      <c r="C269" s="11" t="s">
        <v>494</v>
      </c>
      <c r="D269" s="10" t="s">
        <v>1</v>
      </c>
      <c r="E269" s="10">
        <v>13.71</v>
      </c>
      <c r="F269" s="10">
        <v>14.07</v>
      </c>
      <c r="G269" s="10">
        <v>71.239999999999895</v>
      </c>
      <c r="H269" s="10">
        <v>384.6</v>
      </c>
      <c r="I269" s="10">
        <v>7.2739999999999902E-2</v>
      </c>
      <c r="J269" s="10">
        <v>6.0639999999999902E-2</v>
      </c>
      <c r="K269" s="10">
        <v>4.505E-2</v>
      </c>
      <c r="L269" s="10">
        <v>1.4710000000000001E-2</v>
      </c>
      <c r="M269" s="10">
        <v>0.16900000000000001</v>
      </c>
      <c r="N269" s="10">
        <v>6.0830000000000002E-2</v>
      </c>
      <c r="O269" s="10">
        <v>0.42220000000000002</v>
      </c>
      <c r="P269" s="10">
        <v>0.80920000000000003</v>
      </c>
      <c r="Q269" s="10">
        <v>3.33</v>
      </c>
      <c r="R269" s="10">
        <v>28.84</v>
      </c>
      <c r="S269" s="10">
        <v>5.5409999999999904E-3</v>
      </c>
      <c r="T269" s="10">
        <v>3.38699999999999E-2</v>
      </c>
      <c r="U269" s="10">
        <v>4.505E-2</v>
      </c>
      <c r="V269" s="10">
        <v>1.4710000000000001E-2</v>
      </c>
      <c r="W269" s="10">
        <v>3.1019999999999898E-2</v>
      </c>
      <c r="X269" s="10">
        <v>4.8310000000000002E-3</v>
      </c>
      <c r="Y269" s="10">
        <v>12.1199999999999</v>
      </c>
      <c r="Z269" s="10">
        <v>15.82</v>
      </c>
      <c r="AA269" s="10">
        <v>79.62</v>
      </c>
      <c r="AB269" s="10">
        <v>453.5</v>
      </c>
      <c r="AC269" s="10">
        <v>8.8639999999999899E-2</v>
      </c>
      <c r="AD269" s="10">
        <v>0.12559999999999899</v>
      </c>
      <c r="AE269" s="10">
        <v>0.1201</v>
      </c>
      <c r="AF269" s="10">
        <v>3.9219999999999901E-2</v>
      </c>
      <c r="AG269" s="10">
        <v>0.2576</v>
      </c>
      <c r="AH269">
        <v>7.0180000000000006E-2</v>
      </c>
    </row>
    <row r="270" spans="3:34">
      <c r="C270" s="11" t="s">
        <v>495</v>
      </c>
      <c r="D270" s="10" t="s">
        <v>1</v>
      </c>
      <c r="E270" s="10">
        <v>13.71</v>
      </c>
      <c r="F270" s="10">
        <v>19.07</v>
      </c>
      <c r="G270" s="10">
        <v>81.92</v>
      </c>
      <c r="H270" s="10">
        <v>485.8</v>
      </c>
      <c r="I270" s="10">
        <v>8.75999999999999E-2</v>
      </c>
      <c r="J270" s="10">
        <v>0.1038</v>
      </c>
      <c r="K270" s="10">
        <v>0.102999999999999</v>
      </c>
      <c r="L270" s="10">
        <v>4.39099999999999E-2</v>
      </c>
      <c r="M270" s="10">
        <v>0.15329999999999899</v>
      </c>
      <c r="N270" s="10">
        <v>6.1839999999999902E-2</v>
      </c>
      <c r="O270" s="10">
        <v>0.36020000000000002</v>
      </c>
      <c r="P270" s="10">
        <v>1.478</v>
      </c>
      <c r="Q270" s="10">
        <v>3.2120000000000002</v>
      </c>
      <c r="R270" s="10">
        <v>27.489999999999899</v>
      </c>
      <c r="S270" s="10">
        <v>9.8530000000000006E-3</v>
      </c>
      <c r="T270" s="10">
        <v>4.2349999999999902E-2</v>
      </c>
      <c r="U270" s="10">
        <v>6.2710000000000002E-2</v>
      </c>
      <c r="V270" s="10">
        <v>1.966E-2</v>
      </c>
      <c r="W270" s="10">
        <v>2.639E-2</v>
      </c>
      <c r="X270" s="10">
        <v>4.2050000000000004E-3</v>
      </c>
      <c r="Y270" s="10">
        <v>13.3699999999999</v>
      </c>
      <c r="Z270" s="10">
        <v>22.43</v>
      </c>
      <c r="AA270" s="10">
        <v>89.019999999999897</v>
      </c>
      <c r="AB270" s="10">
        <v>547.39999999999895</v>
      </c>
      <c r="AC270" s="10">
        <v>0.1096</v>
      </c>
      <c r="AD270" s="10">
        <v>0.20019999999999899</v>
      </c>
      <c r="AE270" s="10">
        <v>0.23880000000000001</v>
      </c>
      <c r="AF270" s="10">
        <v>9.2649999999999899E-2</v>
      </c>
      <c r="AG270" s="10">
        <v>0.21210000000000001</v>
      </c>
      <c r="AH270">
        <v>7.1879999999999902E-2</v>
      </c>
    </row>
    <row r="271" spans="3:34">
      <c r="C271" s="11" t="s">
        <v>496</v>
      </c>
      <c r="D271" s="10" t="s">
        <v>1</v>
      </c>
      <c r="E271" s="10">
        <v>13.71</v>
      </c>
      <c r="F271" s="10">
        <v>18.59</v>
      </c>
      <c r="G271" s="10">
        <v>85.09</v>
      </c>
      <c r="H271" s="10">
        <v>512</v>
      </c>
      <c r="I271" s="10">
        <v>0.1082</v>
      </c>
      <c r="J271" s="10">
        <v>0.13039999999999899</v>
      </c>
      <c r="K271" s="10">
        <v>9.6030000000000004E-2</v>
      </c>
      <c r="L271" s="10">
        <v>5.6030000000000003E-2</v>
      </c>
      <c r="M271" s="10">
        <v>0.20349999999999899</v>
      </c>
      <c r="N271" s="10">
        <v>6.5009999999999901E-2</v>
      </c>
      <c r="O271" s="10">
        <v>0.31059999999999899</v>
      </c>
      <c r="P271" s="10">
        <v>1.51</v>
      </c>
      <c r="Q271" s="10">
        <v>2.5899999999999901</v>
      </c>
      <c r="R271" s="10">
        <v>21.57</v>
      </c>
      <c r="S271" s="10">
        <v>7.8069999999999902E-3</v>
      </c>
      <c r="T271" s="10">
        <v>3.9320000000000001E-2</v>
      </c>
      <c r="U271" s="10">
        <v>5.1119999999999902E-2</v>
      </c>
      <c r="V271" s="10">
        <v>1.8759999999999898E-2</v>
      </c>
      <c r="W271" s="10">
        <v>2.86E-2</v>
      </c>
      <c r="X271" s="10">
        <v>5.7149999999999901E-3</v>
      </c>
      <c r="Y271" s="10">
        <v>14.19</v>
      </c>
      <c r="Z271" s="10">
        <v>24.85</v>
      </c>
      <c r="AA271" s="10">
        <v>94.219999999999899</v>
      </c>
      <c r="AB271" s="10">
        <v>591.20000000000005</v>
      </c>
      <c r="AC271" s="10">
        <v>0.1343</v>
      </c>
      <c r="AD271" s="10">
        <v>0.26579999999999898</v>
      </c>
      <c r="AE271" s="10">
        <v>0.25729999999999897</v>
      </c>
      <c r="AF271" s="10">
        <v>0.1258</v>
      </c>
      <c r="AG271" s="10">
        <v>0.31130000000000002</v>
      </c>
      <c r="AH271">
        <v>8.3169999999999897E-2</v>
      </c>
    </row>
    <row r="272" spans="3:34">
      <c r="C272" s="11" t="s">
        <v>499</v>
      </c>
      <c r="D272" s="10" t="s">
        <v>1</v>
      </c>
      <c r="E272" s="10">
        <v>13.71</v>
      </c>
      <c r="F272" s="10">
        <v>18.32</v>
      </c>
      <c r="G272" s="10">
        <v>59.82</v>
      </c>
      <c r="H272" s="10">
        <v>278.60000000000002</v>
      </c>
      <c r="I272" s="10">
        <v>0.1009</v>
      </c>
      <c r="J272" s="10">
        <v>5.9560000000000002E-2</v>
      </c>
      <c r="K272" s="10">
        <v>2.7099999999999898E-2</v>
      </c>
      <c r="L272" s="10">
        <v>1.406E-2</v>
      </c>
      <c r="M272" s="10">
        <v>0.15060000000000001</v>
      </c>
      <c r="N272" s="10">
        <v>6.9589999999999902E-2</v>
      </c>
      <c r="O272" s="10">
        <v>0.50790000000000002</v>
      </c>
      <c r="P272" s="10">
        <v>1.2470000000000001</v>
      </c>
      <c r="Q272" s="10">
        <v>3.2669999999999901</v>
      </c>
      <c r="R272" s="10">
        <v>30.48</v>
      </c>
      <c r="S272" s="10">
        <v>6.8360000000000001E-3</v>
      </c>
      <c r="T272" s="10">
        <v>8.9820000000000004E-3</v>
      </c>
      <c r="U272" s="10">
        <v>2.3480000000000001E-2</v>
      </c>
      <c r="V272" s="10">
        <v>6.5649999999999901E-3</v>
      </c>
      <c r="W272" s="10">
        <v>1.942E-2</v>
      </c>
      <c r="X272" s="10">
        <v>2.7130000000000001E-3</v>
      </c>
      <c r="Y272" s="10">
        <v>12.02</v>
      </c>
      <c r="Z272" s="10">
        <v>25.02</v>
      </c>
      <c r="AA272" s="10">
        <v>75.790000000000006</v>
      </c>
      <c r="AB272" s="10">
        <v>439.6</v>
      </c>
      <c r="AC272" s="10">
        <v>0.1333</v>
      </c>
      <c r="AD272" s="10">
        <v>0.10489999999999899</v>
      </c>
      <c r="AE272" s="10">
        <v>0.1144</v>
      </c>
      <c r="AF272" s="10">
        <v>5.0520000000000002E-2</v>
      </c>
      <c r="AG272" s="10">
        <v>0.24540000000000001</v>
      </c>
      <c r="AH272">
        <v>8.1360000000000002E-2</v>
      </c>
    </row>
    <row r="273" spans="3:34">
      <c r="C273" s="11" t="s">
        <v>502</v>
      </c>
      <c r="D273" s="10" t="s">
        <v>1</v>
      </c>
      <c r="E273" s="10">
        <v>13.71</v>
      </c>
      <c r="F273" s="10">
        <v>18.84</v>
      </c>
      <c r="G273" s="10">
        <v>81.87</v>
      </c>
      <c r="H273" s="10">
        <v>496.6</v>
      </c>
      <c r="I273" s="10">
        <v>9.6759999999999902E-2</v>
      </c>
      <c r="J273" s="10">
        <v>7.9519999999999896E-2</v>
      </c>
      <c r="K273" s="10">
        <v>2.6880000000000001E-2</v>
      </c>
      <c r="L273" s="10">
        <v>1.7809999999999899E-2</v>
      </c>
      <c r="M273" s="10">
        <v>0.1759</v>
      </c>
      <c r="N273" s="10">
        <v>6.1830000000000003E-2</v>
      </c>
      <c r="O273" s="10">
        <v>0.2213</v>
      </c>
      <c r="P273" s="10">
        <v>1.2849999999999899</v>
      </c>
      <c r="Q273" s="10">
        <v>1.5349999999999899</v>
      </c>
      <c r="R273" s="10">
        <v>17.260000000000002</v>
      </c>
      <c r="S273" s="10">
        <v>5.6080000000000001E-3</v>
      </c>
      <c r="T273" s="10">
        <v>1.6459999999999898E-2</v>
      </c>
      <c r="U273" s="10">
        <v>1.529E-2</v>
      </c>
      <c r="V273" s="10">
        <v>9.9970000000000007E-3</v>
      </c>
      <c r="W273" s="10">
        <v>1.9089999999999899E-2</v>
      </c>
      <c r="X273" s="10">
        <v>2.1329999999999899E-3</v>
      </c>
      <c r="Y273" s="10">
        <v>13.75</v>
      </c>
      <c r="Z273" s="10">
        <v>25.989999999999899</v>
      </c>
      <c r="AA273" s="10">
        <v>87.819999999999894</v>
      </c>
      <c r="AB273" s="10">
        <v>579.70000000000005</v>
      </c>
      <c r="AC273" s="10">
        <v>0.1298</v>
      </c>
      <c r="AD273" s="10">
        <v>0.18390000000000001</v>
      </c>
      <c r="AE273" s="10">
        <v>0.1255</v>
      </c>
      <c r="AF273" s="10">
        <v>8.3119999999999902E-2</v>
      </c>
      <c r="AG273" s="10">
        <v>0.27439999999999898</v>
      </c>
      <c r="AH273">
        <v>7.238E-2</v>
      </c>
    </row>
    <row r="274" spans="3:34">
      <c r="C274" s="11" t="s">
        <v>505</v>
      </c>
      <c r="D274" s="10" t="s">
        <v>0</v>
      </c>
      <c r="E274" s="10">
        <v>13.71</v>
      </c>
      <c r="F274" s="10">
        <v>21.78</v>
      </c>
      <c r="G274" s="10">
        <v>133.80000000000001</v>
      </c>
      <c r="H274" s="10">
        <v>1293</v>
      </c>
      <c r="I274" s="10">
        <v>9.1499999999999901E-2</v>
      </c>
      <c r="J274" s="10">
        <v>0.11310000000000001</v>
      </c>
      <c r="K274" s="10">
        <v>9.7989999999999897E-2</v>
      </c>
      <c r="L274" s="10">
        <v>7.7850000000000003E-2</v>
      </c>
      <c r="M274" s="10">
        <v>0.1618</v>
      </c>
      <c r="N274" s="10">
        <v>5.5570000000000001E-2</v>
      </c>
      <c r="O274" s="10">
        <v>0.57809999999999895</v>
      </c>
      <c r="P274" s="10">
        <v>0.91679999999999895</v>
      </c>
      <c r="Q274" s="10">
        <v>4.218</v>
      </c>
      <c r="R274" s="10">
        <v>72.439999999999898</v>
      </c>
      <c r="S274" s="10">
        <v>6.208E-3</v>
      </c>
      <c r="T274" s="10">
        <v>1.9060000000000001E-2</v>
      </c>
      <c r="U274" s="10">
        <v>2.375E-2</v>
      </c>
      <c r="V274" s="10">
        <v>1.461E-2</v>
      </c>
      <c r="W274" s="10">
        <v>1.44499999999999E-2</v>
      </c>
      <c r="X274" s="10">
        <v>1.90599999999999E-3</v>
      </c>
      <c r="Y274" s="10">
        <v>24.309999999999899</v>
      </c>
      <c r="Z274" s="10">
        <v>26.37</v>
      </c>
      <c r="AA274" s="10">
        <v>161.19999999999899</v>
      </c>
      <c r="AB274" s="10">
        <v>1780</v>
      </c>
      <c r="AC274" s="10">
        <v>0.13270000000000001</v>
      </c>
      <c r="AD274" s="10">
        <v>0.23760000000000001</v>
      </c>
      <c r="AE274" s="10">
        <v>0.2702</v>
      </c>
      <c r="AF274" s="10">
        <v>0.17649999999999899</v>
      </c>
      <c r="AG274" s="10">
        <v>0.26090000000000002</v>
      </c>
      <c r="AH274">
        <v>6.7349999999999896E-2</v>
      </c>
    </row>
    <row r="275" spans="3:34">
      <c r="C275" s="11" t="s">
        <v>508</v>
      </c>
      <c r="D275" s="10" t="s">
        <v>0</v>
      </c>
      <c r="E275" s="10">
        <v>13.71</v>
      </c>
      <c r="F275" s="10">
        <v>17.25</v>
      </c>
      <c r="G275" s="10">
        <v>140.9</v>
      </c>
      <c r="H275" s="10">
        <v>1546</v>
      </c>
      <c r="I275" s="10">
        <v>9.3840000000000007E-2</v>
      </c>
      <c r="J275" s="10">
        <v>8.5620000000000002E-2</v>
      </c>
      <c r="K275" s="10">
        <v>0.1168</v>
      </c>
      <c r="L275" s="10">
        <v>8.4650000000000003E-2</v>
      </c>
      <c r="M275" s="10">
        <v>0.17169999999999899</v>
      </c>
      <c r="N275" s="10">
        <v>5.0540000000000002E-2</v>
      </c>
      <c r="O275" s="10">
        <v>1.2070000000000001</v>
      </c>
      <c r="P275" s="10">
        <v>1.0509999999999899</v>
      </c>
      <c r="Q275" s="10">
        <v>7.7329999999999899</v>
      </c>
      <c r="R275" s="10">
        <v>224.099999999999</v>
      </c>
      <c r="S275" s="10">
        <v>5.568E-3</v>
      </c>
      <c r="T275" s="10">
        <v>1.112E-2</v>
      </c>
      <c r="U275" s="10">
        <v>2.0959999999999899E-2</v>
      </c>
      <c r="V275" s="10">
        <v>1.197E-2</v>
      </c>
      <c r="W275" s="10">
        <v>1.2630000000000001E-2</v>
      </c>
      <c r="X275" s="10">
        <v>1.8029999999999899E-3</v>
      </c>
      <c r="Y275" s="10">
        <v>30.75</v>
      </c>
      <c r="Z275" s="10">
        <v>26.44</v>
      </c>
      <c r="AA275" s="10">
        <v>199.5</v>
      </c>
      <c r="AB275" s="10">
        <v>3143</v>
      </c>
      <c r="AC275" s="10">
        <v>0.1363</v>
      </c>
      <c r="AD275" s="10">
        <v>0.1628</v>
      </c>
      <c r="AE275" s="10">
        <v>0.28610000000000002</v>
      </c>
      <c r="AF275" s="10">
        <v>0.182</v>
      </c>
      <c r="AG275" s="10">
        <v>0.251</v>
      </c>
      <c r="AH275">
        <v>6.4939999999999901E-2</v>
      </c>
    </row>
    <row r="276" spans="3:34">
      <c r="C276" s="11" t="s">
        <v>509</v>
      </c>
      <c r="D276" s="10" t="s">
        <v>0</v>
      </c>
      <c r="E276" s="10">
        <v>13.71</v>
      </c>
      <c r="F276" s="10">
        <v>21.899999999999899</v>
      </c>
      <c r="G276" s="10">
        <v>147.19999999999899</v>
      </c>
      <c r="H276" s="10">
        <v>1482</v>
      </c>
      <c r="I276" s="10">
        <v>0.10630000000000001</v>
      </c>
      <c r="J276" s="10">
        <v>0.19539999999999899</v>
      </c>
      <c r="K276" s="10">
        <v>0.24479999999999899</v>
      </c>
      <c r="L276" s="10">
        <v>0.15010000000000001</v>
      </c>
      <c r="M276" s="10">
        <v>0.18240000000000001</v>
      </c>
      <c r="N276" s="10">
        <v>6.1400000000000003E-2</v>
      </c>
      <c r="O276" s="10">
        <v>1.008</v>
      </c>
      <c r="P276" s="10">
        <v>0.69989999999999897</v>
      </c>
      <c r="Q276" s="10">
        <v>7.5609999999999902</v>
      </c>
      <c r="R276" s="10">
        <v>130.19999999999899</v>
      </c>
      <c r="S276" s="10">
        <v>3.9779999999999902E-3</v>
      </c>
      <c r="T276" s="10">
        <v>2.8209999999999898E-2</v>
      </c>
      <c r="U276" s="10">
        <v>3.576E-2</v>
      </c>
      <c r="V276" s="10">
        <v>1.4710000000000001E-2</v>
      </c>
      <c r="W276" s="10">
        <v>1.5180000000000001E-2</v>
      </c>
      <c r="X276" s="10">
        <v>3.7959999999999899E-3</v>
      </c>
      <c r="Y276" s="10">
        <v>27.66</v>
      </c>
      <c r="Z276" s="10">
        <v>25.8</v>
      </c>
      <c r="AA276" s="10">
        <v>195</v>
      </c>
      <c r="AB276" s="10">
        <v>2227</v>
      </c>
      <c r="AC276" s="10">
        <v>0.12939999999999899</v>
      </c>
      <c r="AD276" s="10">
        <v>0.38850000000000001</v>
      </c>
      <c r="AE276" s="10">
        <v>0.47560000000000002</v>
      </c>
      <c r="AF276" s="10">
        <v>0.2432</v>
      </c>
      <c r="AG276" s="10">
        <v>0.27410000000000001</v>
      </c>
      <c r="AH276">
        <v>8.57399999999999E-2</v>
      </c>
    </row>
    <row r="277" spans="3:34">
      <c r="C277" s="11" t="s">
        <v>510</v>
      </c>
      <c r="D277" s="10" t="s">
        <v>0</v>
      </c>
      <c r="E277" s="10">
        <v>13.71</v>
      </c>
      <c r="F277" s="10">
        <v>23.2899999999999</v>
      </c>
      <c r="G277" s="10">
        <v>109</v>
      </c>
      <c r="H277" s="10">
        <v>840.39999999999895</v>
      </c>
      <c r="I277" s="10">
        <v>9.7420000000000007E-2</v>
      </c>
      <c r="J277" s="10">
        <v>0.1497</v>
      </c>
      <c r="K277" s="10">
        <v>0.18110000000000001</v>
      </c>
      <c r="L277" s="10">
        <v>8.7730000000000002E-2</v>
      </c>
      <c r="M277" s="10">
        <v>0.2175</v>
      </c>
      <c r="N277" s="10">
        <v>6.2179999999999902E-2</v>
      </c>
      <c r="O277" s="10">
        <v>0.43120000000000003</v>
      </c>
      <c r="P277" s="10">
        <v>1.022</v>
      </c>
      <c r="Q277" s="10">
        <v>2.972</v>
      </c>
      <c r="R277" s="10">
        <v>45.5</v>
      </c>
      <c r="S277" s="10">
        <v>5.6350000000000003E-3</v>
      </c>
      <c r="T277" s="10">
        <v>3.9170000000000003E-2</v>
      </c>
      <c r="U277" s="10">
        <v>6.0720000000000003E-2</v>
      </c>
      <c r="V277" s="10">
        <v>1.6559999999999901E-2</v>
      </c>
      <c r="W277" s="10">
        <v>3.1969999999999901E-2</v>
      </c>
      <c r="X277" s="10">
        <v>4.0850000000000001E-3</v>
      </c>
      <c r="Y277" s="10">
        <v>19.3799999999999</v>
      </c>
      <c r="Z277" s="10">
        <v>31.03</v>
      </c>
      <c r="AA277" s="10">
        <v>129.30000000000001</v>
      </c>
      <c r="AB277" s="10">
        <v>1165</v>
      </c>
      <c r="AC277" s="10">
        <v>0.14149999999999899</v>
      </c>
      <c r="AD277" s="10">
        <v>0.46650000000000003</v>
      </c>
      <c r="AE277" s="10">
        <v>0.7087</v>
      </c>
      <c r="AF277" s="10">
        <v>0.2248</v>
      </c>
      <c r="AG277" s="10">
        <v>0.4824</v>
      </c>
      <c r="AH277">
        <v>9.6140000000000003E-2</v>
      </c>
    </row>
    <row r="278" spans="3:34">
      <c r="C278" s="11" t="s">
        <v>511</v>
      </c>
      <c r="D278" s="10" t="s">
        <v>1</v>
      </c>
      <c r="E278" s="10">
        <v>13.71</v>
      </c>
      <c r="F278" s="10">
        <v>13.21</v>
      </c>
      <c r="G278" s="10">
        <v>97.65</v>
      </c>
      <c r="H278" s="10">
        <v>711.79999999999905</v>
      </c>
      <c r="I278" s="10">
        <v>7.9630000000000006E-2</v>
      </c>
      <c r="J278" s="10">
        <v>6.9339999999999902E-2</v>
      </c>
      <c r="K278" s="10">
        <v>3.3930000000000002E-2</v>
      </c>
      <c r="L278" s="10">
        <v>2.657E-2</v>
      </c>
      <c r="M278" s="10">
        <v>0.1721</v>
      </c>
      <c r="N278" s="10">
        <v>5.5440000000000003E-2</v>
      </c>
      <c r="O278" s="10">
        <v>0.17829999999999899</v>
      </c>
      <c r="P278" s="10">
        <v>0.41249999999999898</v>
      </c>
      <c r="Q278" s="10">
        <v>1.3380000000000001</v>
      </c>
      <c r="R278" s="10">
        <v>17.719999999999899</v>
      </c>
      <c r="S278" s="10">
        <v>5.012E-3</v>
      </c>
      <c r="T278" s="10">
        <v>1.485E-2</v>
      </c>
      <c r="U278" s="10">
        <v>1.5509999999999901E-2</v>
      </c>
      <c r="V278" s="10">
        <v>9.1549999999999895E-3</v>
      </c>
      <c r="W278" s="10">
        <v>1.6469999999999901E-2</v>
      </c>
      <c r="X278" s="10">
        <v>1.7669999999999899E-3</v>
      </c>
      <c r="Y278" s="10">
        <v>16.1999999999999</v>
      </c>
      <c r="Z278" s="10">
        <v>15.73</v>
      </c>
      <c r="AA278" s="10">
        <v>104.5</v>
      </c>
      <c r="AB278" s="10">
        <v>819.1</v>
      </c>
      <c r="AC278" s="10">
        <v>0.11260000000000001</v>
      </c>
      <c r="AD278" s="10">
        <v>0.17369999999999899</v>
      </c>
      <c r="AE278" s="10">
        <v>0.13619999999999899</v>
      </c>
      <c r="AF278" s="10">
        <v>8.1780000000000005E-2</v>
      </c>
      <c r="AG278" s="10">
        <v>0.2487</v>
      </c>
      <c r="AH278">
        <v>6.7659999999999901E-2</v>
      </c>
    </row>
    <row r="279" spans="3:34">
      <c r="C279" s="11" t="s">
        <v>512</v>
      </c>
      <c r="D279" s="10" t="s">
        <v>0</v>
      </c>
      <c r="E279" s="10">
        <v>13.71</v>
      </c>
      <c r="F279" s="10">
        <v>15.1</v>
      </c>
      <c r="G279" s="10">
        <v>141.30000000000001</v>
      </c>
      <c r="H279" s="10">
        <v>1386</v>
      </c>
      <c r="I279" s="10">
        <v>0.100099999999999</v>
      </c>
      <c r="J279" s="10">
        <v>0.1515</v>
      </c>
      <c r="K279" s="10">
        <v>0.19320000000000001</v>
      </c>
      <c r="L279" s="10">
        <v>0.1255</v>
      </c>
      <c r="M279" s="10">
        <v>0.1973</v>
      </c>
      <c r="N279" s="10">
        <v>6.1830000000000003E-2</v>
      </c>
      <c r="O279" s="10">
        <v>0.34139999999999898</v>
      </c>
      <c r="P279" s="10">
        <v>1.3089999999999899</v>
      </c>
      <c r="Q279" s="10">
        <v>2.407</v>
      </c>
      <c r="R279" s="10">
        <v>39.06</v>
      </c>
      <c r="S279" s="10">
        <v>4.4260000000000002E-3</v>
      </c>
      <c r="T279" s="10">
        <v>2.6749999999999899E-2</v>
      </c>
      <c r="U279" s="10">
        <v>3.4369999999999901E-2</v>
      </c>
      <c r="V279" s="10">
        <v>1.34299999999999E-2</v>
      </c>
      <c r="W279" s="10">
        <v>1.6750000000000001E-2</v>
      </c>
      <c r="X279" s="10">
        <v>4.3670000000000002E-3</v>
      </c>
      <c r="Y279" s="10">
        <v>22.69</v>
      </c>
      <c r="Z279" s="10">
        <v>21.84</v>
      </c>
      <c r="AA279" s="10">
        <v>152.099999999999</v>
      </c>
      <c r="AB279" s="10">
        <v>1535</v>
      </c>
      <c r="AC279" s="10">
        <v>0.1192</v>
      </c>
      <c r="AD279" s="10">
        <v>0.28399999999999898</v>
      </c>
      <c r="AE279" s="10">
        <v>0.40239999999999898</v>
      </c>
      <c r="AF279" s="10">
        <v>0.1966</v>
      </c>
      <c r="AG279" s="10">
        <v>0.27300000000000002</v>
      </c>
      <c r="AH279">
        <v>8.6660000000000001E-2</v>
      </c>
    </row>
    <row r="280" spans="3:34">
      <c r="C280" s="11" t="s">
        <v>514</v>
      </c>
      <c r="D280" s="10" t="s">
        <v>1</v>
      </c>
      <c r="E280" s="10">
        <v>13.71</v>
      </c>
      <c r="F280" s="10">
        <v>16.07</v>
      </c>
      <c r="G280" s="10">
        <v>87.84</v>
      </c>
      <c r="H280" s="10">
        <v>579.1</v>
      </c>
      <c r="I280" s="10">
        <v>8.3019999999999899E-2</v>
      </c>
      <c r="J280" s="10">
        <v>6.3740000000000005E-2</v>
      </c>
      <c r="K280" s="10">
        <v>2.5559999999999899E-2</v>
      </c>
      <c r="L280" s="10">
        <v>2.0310000000000002E-2</v>
      </c>
      <c r="M280" s="10">
        <v>0.18720000000000001</v>
      </c>
      <c r="N280" s="10">
        <v>5.66899999999999E-2</v>
      </c>
      <c r="O280" s="10">
        <v>0.17050000000000001</v>
      </c>
      <c r="P280" s="10">
        <v>0.50660000000000005</v>
      </c>
      <c r="Q280" s="10">
        <v>1.3720000000000001</v>
      </c>
      <c r="R280" s="10">
        <v>14</v>
      </c>
      <c r="S280" s="10">
        <v>4.2300000000000003E-3</v>
      </c>
      <c r="T280" s="10">
        <v>1.5869999999999902E-2</v>
      </c>
      <c r="U280" s="10">
        <v>1.1690000000000001E-2</v>
      </c>
      <c r="V280" s="10">
        <v>6.3350000000000004E-3</v>
      </c>
      <c r="W280" s="10">
        <v>1.9429999999999899E-2</v>
      </c>
      <c r="X280" s="10">
        <v>2.1770000000000001E-3</v>
      </c>
      <c r="Y280" s="10">
        <v>14.84</v>
      </c>
      <c r="Z280" s="10">
        <v>20.21</v>
      </c>
      <c r="AA280" s="10">
        <v>99.159999999999897</v>
      </c>
      <c r="AB280" s="10">
        <v>670.6</v>
      </c>
      <c r="AC280" s="10">
        <v>0.1105</v>
      </c>
      <c r="AD280" s="10">
        <v>0.20960000000000001</v>
      </c>
      <c r="AE280" s="10">
        <v>0.1346</v>
      </c>
      <c r="AF280" s="10">
        <v>6.9870000000000002E-2</v>
      </c>
      <c r="AG280" s="10">
        <v>0.33229999999999899</v>
      </c>
      <c r="AH280">
        <v>7.7009999999999898E-2</v>
      </c>
    </row>
    <row r="281" spans="3:34">
      <c r="C281" s="11" t="s">
        <v>515</v>
      </c>
      <c r="D281" s="10" t="s">
        <v>1</v>
      </c>
      <c r="E281" s="10">
        <v>13.71</v>
      </c>
      <c r="F281" s="10">
        <v>16.07</v>
      </c>
      <c r="G281" s="10">
        <v>106.3</v>
      </c>
      <c r="H281" s="10">
        <v>788.5</v>
      </c>
      <c r="I281" s="10">
        <v>9.8799999999999902E-2</v>
      </c>
      <c r="J281" s="10">
        <v>0.14380000000000001</v>
      </c>
      <c r="K281" s="10">
        <v>6.651E-2</v>
      </c>
      <c r="L281" s="10">
        <v>5.39699999999999E-2</v>
      </c>
      <c r="M281" s="10">
        <v>0.19900000000000001</v>
      </c>
      <c r="N281" s="10">
        <v>6.5720000000000001E-2</v>
      </c>
      <c r="O281" s="10">
        <v>0.17449999999999899</v>
      </c>
      <c r="P281" s="10">
        <v>0.48899999999999899</v>
      </c>
      <c r="Q281" s="10">
        <v>1.349</v>
      </c>
      <c r="R281" s="10">
        <v>14.91</v>
      </c>
      <c r="S281" s="10">
        <v>4.5100000000000001E-3</v>
      </c>
      <c r="T281" s="10">
        <v>1.8120000000000001E-2</v>
      </c>
      <c r="U281" s="10">
        <v>1.951E-2</v>
      </c>
      <c r="V281" s="10">
        <v>1.196E-2</v>
      </c>
      <c r="W281" s="10">
        <v>1.934E-2</v>
      </c>
      <c r="X281" s="10">
        <v>3.6960000000000001E-3</v>
      </c>
      <c r="Y281" s="10">
        <v>16.969999999999899</v>
      </c>
      <c r="Z281" s="10">
        <v>19.14</v>
      </c>
      <c r="AA281" s="10">
        <v>113.099999999999</v>
      </c>
      <c r="AB281" s="10">
        <v>861.5</v>
      </c>
      <c r="AC281" s="10">
        <v>0.1235</v>
      </c>
      <c r="AD281" s="10">
        <v>0.255</v>
      </c>
      <c r="AE281" s="10">
        <v>0.2114</v>
      </c>
      <c r="AF281" s="10">
        <v>0.12509999999999899</v>
      </c>
      <c r="AG281" s="10">
        <v>0.31530000000000002</v>
      </c>
      <c r="AH281">
        <v>8.9599999999999902E-2</v>
      </c>
    </row>
    <row r="282" spans="3:34">
      <c r="C282" s="11" t="s">
        <v>516</v>
      </c>
      <c r="D282" s="10" t="s">
        <v>1</v>
      </c>
      <c r="E282" s="10">
        <v>13.71</v>
      </c>
      <c r="F282" s="10">
        <v>20.219999999999899</v>
      </c>
      <c r="G282" s="10">
        <v>70.150000000000006</v>
      </c>
      <c r="H282" s="10">
        <v>338.3</v>
      </c>
      <c r="I282" s="10">
        <v>9.0730000000000005E-2</v>
      </c>
      <c r="J282" s="10">
        <v>0.16600000000000001</v>
      </c>
      <c r="K282" s="10">
        <v>0.22800000000000001</v>
      </c>
      <c r="L282" s="10">
        <v>5.94099999999999E-2</v>
      </c>
      <c r="M282" s="10">
        <v>0.218799999999999</v>
      </c>
      <c r="N282" s="10">
        <v>8.4500000000000006E-2</v>
      </c>
      <c r="O282" s="10">
        <v>0.1115</v>
      </c>
      <c r="P282" s="10">
        <v>1.2310000000000001</v>
      </c>
      <c r="Q282" s="10">
        <v>2.363</v>
      </c>
      <c r="R282" s="10">
        <v>7.22799999999999</v>
      </c>
      <c r="S282" s="10">
        <v>8.4989999999999892E-3</v>
      </c>
      <c r="T282" s="10">
        <v>7.6429999999999901E-2</v>
      </c>
      <c r="U282" s="10">
        <v>0.1535</v>
      </c>
      <c r="V282" s="10">
        <v>2.9190000000000001E-2</v>
      </c>
      <c r="W282" s="10">
        <v>1.617E-2</v>
      </c>
      <c r="X282" s="10">
        <v>1.2200000000000001E-2</v>
      </c>
      <c r="Y282" s="10">
        <v>10.85</v>
      </c>
      <c r="Z282" s="10">
        <v>22.82</v>
      </c>
      <c r="AA282" s="10">
        <v>76.510000000000005</v>
      </c>
      <c r="AB282" s="10">
        <v>351.89999999999901</v>
      </c>
      <c r="AC282" s="10">
        <v>0.1143</v>
      </c>
      <c r="AD282" s="10">
        <v>0.3619</v>
      </c>
      <c r="AE282" s="10">
        <v>0.60299999999999898</v>
      </c>
      <c r="AF282" s="10">
        <v>0.14649999999999899</v>
      </c>
      <c r="AG282" s="10">
        <v>0.25969999999999899</v>
      </c>
      <c r="AH282">
        <v>0.12</v>
      </c>
    </row>
    <row r="283" spans="3:34">
      <c r="C283" s="11" t="s">
        <v>519</v>
      </c>
      <c r="D283" s="10" t="s">
        <v>0</v>
      </c>
      <c r="E283" s="10">
        <v>13.71</v>
      </c>
      <c r="F283" s="10">
        <v>18.829999999999899</v>
      </c>
      <c r="G283" s="10">
        <v>73.299999999999898</v>
      </c>
      <c r="H283" s="10">
        <v>361.6</v>
      </c>
      <c r="I283" s="10">
        <v>0.1216</v>
      </c>
      <c r="J283" s="10">
        <v>0.21540000000000001</v>
      </c>
      <c r="K283" s="10">
        <v>0.168899999999999</v>
      </c>
      <c r="L283" s="10">
        <v>6.3670000000000004E-2</v>
      </c>
      <c r="M283" s="10">
        <v>0.21959999999999899</v>
      </c>
      <c r="N283" s="10">
        <v>7.9500000000000001E-2</v>
      </c>
      <c r="O283" s="10">
        <v>0.2114</v>
      </c>
      <c r="P283" s="10">
        <v>1.0269999999999899</v>
      </c>
      <c r="Q283" s="10">
        <v>1.7190000000000001</v>
      </c>
      <c r="R283" s="10">
        <v>13.99</v>
      </c>
      <c r="S283" s="10">
        <v>7.4050000000000001E-3</v>
      </c>
      <c r="T283" s="10">
        <v>4.5490000000000003E-2</v>
      </c>
      <c r="U283" s="10">
        <v>4.58799999999999E-2</v>
      </c>
      <c r="V283" s="10">
        <v>1.3390000000000001E-2</v>
      </c>
      <c r="W283" s="10">
        <v>1.738E-2</v>
      </c>
      <c r="X283" s="10">
        <v>4.4349999999999902E-3</v>
      </c>
      <c r="Y283" s="10">
        <v>13.24</v>
      </c>
      <c r="Z283" s="10">
        <v>32.82</v>
      </c>
      <c r="AA283" s="10">
        <v>91.76</v>
      </c>
      <c r="AB283" s="10">
        <v>508.1</v>
      </c>
      <c r="AC283" s="10">
        <v>0.21840000000000001</v>
      </c>
      <c r="AD283" s="10">
        <v>0.93789999999999896</v>
      </c>
      <c r="AE283" s="10">
        <v>0.84019999999999895</v>
      </c>
      <c r="AF283" s="10">
        <v>0.25240000000000001</v>
      </c>
      <c r="AG283" s="10">
        <v>0.41539999999999899</v>
      </c>
      <c r="AH283">
        <v>0.14030000000000001</v>
      </c>
    </row>
    <row r="284" spans="3:34">
      <c r="C284" s="11" t="s">
        <v>520</v>
      </c>
      <c r="D284" s="10" t="s">
        <v>1</v>
      </c>
      <c r="E284" s="10">
        <v>13.71</v>
      </c>
      <c r="F284" s="10">
        <v>12.96</v>
      </c>
      <c r="G284" s="10">
        <v>73.159999999999897</v>
      </c>
      <c r="H284" s="10">
        <v>386.3</v>
      </c>
      <c r="I284" s="10">
        <v>0.1237</v>
      </c>
      <c r="J284" s="10">
        <v>0.1111</v>
      </c>
      <c r="K284" s="10">
        <v>7.9000000000000001E-2</v>
      </c>
      <c r="L284" s="10">
        <v>5.5500000000000001E-2</v>
      </c>
      <c r="M284" s="10">
        <v>0.20180000000000001</v>
      </c>
      <c r="N284" s="10">
        <v>6.9139999999999896E-2</v>
      </c>
      <c r="O284" s="10">
        <v>0.25619999999999898</v>
      </c>
      <c r="P284" s="10">
        <v>0.98580000000000001</v>
      </c>
      <c r="Q284" s="10">
        <v>1.8089999999999899</v>
      </c>
      <c r="R284" s="10">
        <v>16.0399999999999</v>
      </c>
      <c r="S284" s="10">
        <v>6.6350000000000003E-3</v>
      </c>
      <c r="T284" s="10">
        <v>1.7770000000000001E-2</v>
      </c>
      <c r="U284" s="10">
        <v>2.1010000000000001E-2</v>
      </c>
      <c r="V284" s="10">
        <v>1.16399999999999E-2</v>
      </c>
      <c r="W284" s="10">
        <v>2.1080000000000002E-2</v>
      </c>
      <c r="X284" s="10">
        <v>3.7209999999999899E-3</v>
      </c>
      <c r="Y284" s="10">
        <v>12.84</v>
      </c>
      <c r="Z284" s="10">
        <v>20.53</v>
      </c>
      <c r="AA284" s="10">
        <v>84.93</v>
      </c>
      <c r="AB284" s="10">
        <v>476.1</v>
      </c>
      <c r="AC284" s="10">
        <v>0.161</v>
      </c>
      <c r="AD284" s="10">
        <v>0.2429</v>
      </c>
      <c r="AE284" s="10">
        <v>0.22470000000000001</v>
      </c>
      <c r="AF284" s="10">
        <v>0.1318</v>
      </c>
      <c r="AG284" s="10">
        <v>0.33429999999999899</v>
      </c>
      <c r="AH284">
        <v>9.2149999999999899E-2</v>
      </c>
    </row>
    <row r="285" spans="3:34">
      <c r="C285" s="11" t="s">
        <v>523</v>
      </c>
      <c r="D285" s="10" t="s">
        <v>1</v>
      </c>
      <c r="E285" s="10">
        <v>13.71</v>
      </c>
      <c r="F285" s="10">
        <v>17.48</v>
      </c>
      <c r="G285" s="10">
        <v>80.64</v>
      </c>
      <c r="H285" s="10">
        <v>462.89999999999901</v>
      </c>
      <c r="I285" s="10">
        <v>0.1042</v>
      </c>
      <c r="J285" s="10">
        <v>0.12970000000000001</v>
      </c>
      <c r="K285" s="10">
        <v>5.892E-2</v>
      </c>
      <c r="L285" s="10">
        <v>2.8799999999999899E-2</v>
      </c>
      <c r="M285" s="10">
        <v>0.1779</v>
      </c>
      <c r="N285" s="10">
        <v>6.5879999999999897E-2</v>
      </c>
      <c r="O285" s="10">
        <v>0.26079999999999898</v>
      </c>
      <c r="P285" s="10">
        <v>0.873</v>
      </c>
      <c r="Q285" s="10">
        <v>2.117</v>
      </c>
      <c r="R285" s="10">
        <v>19.1999999999999</v>
      </c>
      <c r="S285" s="10">
        <v>6.7149999999999901E-3</v>
      </c>
      <c r="T285" s="10">
        <v>3.705E-2</v>
      </c>
      <c r="U285" s="10">
        <v>4.7570000000000001E-2</v>
      </c>
      <c r="V285" s="10">
        <v>1.051E-2</v>
      </c>
      <c r="W285" s="10">
        <v>1.8380000000000001E-2</v>
      </c>
      <c r="X285" s="10">
        <v>6.8840000000000004E-3</v>
      </c>
      <c r="Y285" s="10">
        <v>14.18</v>
      </c>
      <c r="Z285" s="10">
        <v>23.1299999999999</v>
      </c>
      <c r="AA285" s="10">
        <v>95.23</v>
      </c>
      <c r="AB285" s="10">
        <v>600.5</v>
      </c>
      <c r="AC285" s="10">
        <v>0.14269999999999899</v>
      </c>
      <c r="AD285" s="10">
        <v>0.35930000000000001</v>
      </c>
      <c r="AE285" s="10">
        <v>0.3206</v>
      </c>
      <c r="AF285" s="10">
        <v>9.8040000000000002E-2</v>
      </c>
      <c r="AG285" s="10">
        <v>0.28189999999999898</v>
      </c>
      <c r="AH285">
        <v>0.1118</v>
      </c>
    </row>
    <row r="286" spans="3:34">
      <c r="C286" s="11" t="s">
        <v>524</v>
      </c>
      <c r="D286" s="10" t="s">
        <v>1</v>
      </c>
      <c r="E286" s="10">
        <v>13.71</v>
      </c>
      <c r="F286" s="10">
        <v>13.72</v>
      </c>
      <c r="G286" s="10">
        <v>85.79</v>
      </c>
      <c r="H286" s="10">
        <v>541.79999999999905</v>
      </c>
      <c r="I286" s="10">
        <v>8.3629999999999899E-2</v>
      </c>
      <c r="J286" s="10">
        <v>8.5750000000000007E-2</v>
      </c>
      <c r="K286" s="10">
        <v>5.0770000000000003E-2</v>
      </c>
      <c r="L286" s="10">
        <v>2.8639999999999902E-2</v>
      </c>
      <c r="M286" s="10">
        <v>0.16170000000000001</v>
      </c>
      <c r="N286" s="10">
        <v>5.59399999999999E-2</v>
      </c>
      <c r="O286" s="10">
        <v>0.18329999999999899</v>
      </c>
      <c r="P286" s="10">
        <v>0.53080000000000005</v>
      </c>
      <c r="Q286" s="10">
        <v>1.5920000000000001</v>
      </c>
      <c r="R286" s="10">
        <v>15.26</v>
      </c>
      <c r="S286" s="10">
        <v>4.2709999999999901E-3</v>
      </c>
      <c r="T286" s="10">
        <v>2.0729999999999901E-2</v>
      </c>
      <c r="U286" s="10">
        <v>2.828E-2</v>
      </c>
      <c r="V286" s="10">
        <v>8.4679999999999894E-3</v>
      </c>
      <c r="W286" s="10">
        <v>1.461E-2</v>
      </c>
      <c r="X286" s="10">
        <v>2.6129999999999899E-3</v>
      </c>
      <c r="Y286" s="10">
        <v>14.24</v>
      </c>
      <c r="Z286" s="10">
        <v>17.37</v>
      </c>
      <c r="AA286" s="10">
        <v>96.59</v>
      </c>
      <c r="AB286" s="10">
        <v>623.70000000000005</v>
      </c>
      <c r="AC286" s="10">
        <v>0.1166</v>
      </c>
      <c r="AD286" s="10">
        <v>0.26850000000000002</v>
      </c>
      <c r="AE286" s="10">
        <v>0.28660000000000002</v>
      </c>
      <c r="AF286" s="10">
        <v>9.1730000000000006E-2</v>
      </c>
      <c r="AG286" s="10">
        <v>0.27360000000000001</v>
      </c>
      <c r="AH286">
        <v>7.3200000000000001E-2</v>
      </c>
    </row>
    <row r="287" spans="3:34">
      <c r="C287" s="11" t="s">
        <v>525</v>
      </c>
      <c r="D287" s="10" t="s">
        <v>0</v>
      </c>
      <c r="E287" s="10">
        <v>13.71</v>
      </c>
      <c r="F287" s="10">
        <v>23.2899999999999</v>
      </c>
      <c r="G287" s="10">
        <v>93.969999999999899</v>
      </c>
      <c r="H287" s="10">
        <v>664.7</v>
      </c>
      <c r="I287" s="10">
        <v>8.6819999999999897E-2</v>
      </c>
      <c r="J287" s="10">
        <v>6.6360000000000002E-2</v>
      </c>
      <c r="K287" s="10">
        <v>8.3900000000000002E-2</v>
      </c>
      <c r="L287" s="10">
        <v>5.271E-2</v>
      </c>
      <c r="M287" s="10">
        <v>0.16270000000000001</v>
      </c>
      <c r="N287" s="10">
        <v>5.416E-2</v>
      </c>
      <c r="O287" s="10">
        <v>0.41570000000000001</v>
      </c>
      <c r="P287" s="10">
        <v>1.627</v>
      </c>
      <c r="Q287" s="10">
        <v>2.9140000000000001</v>
      </c>
      <c r="R287" s="10">
        <v>33.009999999999899</v>
      </c>
      <c r="S287" s="10">
        <v>8.3119999999999895E-3</v>
      </c>
      <c r="T287" s="10">
        <v>1.7420000000000001E-2</v>
      </c>
      <c r="U287" s="10">
        <v>3.3890000000000003E-2</v>
      </c>
      <c r="V287" s="10">
        <v>1.576E-2</v>
      </c>
      <c r="W287" s="10">
        <v>1.7399999999999902E-2</v>
      </c>
      <c r="X287" s="10">
        <v>2.8709999999999899E-3</v>
      </c>
      <c r="Y287" s="10">
        <v>15.7899999999999</v>
      </c>
      <c r="Z287" s="10">
        <v>31.71</v>
      </c>
      <c r="AA287" s="10">
        <v>102.2</v>
      </c>
      <c r="AB287" s="10">
        <v>758.2</v>
      </c>
      <c r="AC287" s="10">
        <v>0.13120000000000001</v>
      </c>
      <c r="AD287" s="10">
        <v>0.15809999999999899</v>
      </c>
      <c r="AE287" s="10">
        <v>0.26750000000000002</v>
      </c>
      <c r="AF287" s="10">
        <v>0.13589999999999899</v>
      </c>
      <c r="AG287" s="10">
        <v>0.2477</v>
      </c>
      <c r="AH287">
        <v>6.8360000000000004E-2</v>
      </c>
    </row>
    <row r="288" spans="3:34">
      <c r="C288" s="11" t="s">
        <v>526</v>
      </c>
      <c r="D288" s="10" t="s">
        <v>1</v>
      </c>
      <c r="E288" s="10">
        <v>13.71</v>
      </c>
      <c r="F288" s="10">
        <v>14.09</v>
      </c>
      <c r="G288" s="10">
        <v>78.78</v>
      </c>
      <c r="H288" s="10">
        <v>462</v>
      </c>
      <c r="I288" s="10">
        <v>8.1079999999999902E-2</v>
      </c>
      <c r="J288" s="10">
        <v>7.8229999999999897E-2</v>
      </c>
      <c r="K288" s="10">
        <v>6.8390000000000006E-2</v>
      </c>
      <c r="L288" s="10">
        <v>2.5340000000000001E-2</v>
      </c>
      <c r="M288" s="10">
        <v>0.1646</v>
      </c>
      <c r="N288" s="10">
        <v>6.15399999999999E-2</v>
      </c>
      <c r="O288" s="10">
        <v>0.2666</v>
      </c>
      <c r="P288" s="10">
        <v>0.83089999999999897</v>
      </c>
      <c r="Q288" s="10">
        <v>2.097</v>
      </c>
      <c r="R288" s="10">
        <v>19.96</v>
      </c>
      <c r="S288" s="10">
        <v>4.4050000000000001E-3</v>
      </c>
      <c r="T288" s="10">
        <v>3.0259999999999902E-2</v>
      </c>
      <c r="U288" s="10">
        <v>4.3439999999999902E-2</v>
      </c>
      <c r="V288" s="10">
        <v>1.0869999999999901E-2</v>
      </c>
      <c r="W288" s="10">
        <v>1.9210000000000001E-2</v>
      </c>
      <c r="X288" s="10">
        <v>4.6220000000000002E-3</v>
      </c>
      <c r="Y288" s="10">
        <v>13.13</v>
      </c>
      <c r="Z288" s="10">
        <v>19.2899999999999</v>
      </c>
      <c r="AA288" s="10">
        <v>87.65</v>
      </c>
      <c r="AB288" s="10">
        <v>529.89999999999895</v>
      </c>
      <c r="AC288" s="10">
        <v>0.1026</v>
      </c>
      <c r="AD288" s="10">
        <v>0.24310000000000001</v>
      </c>
      <c r="AE288" s="10">
        <v>0.30759999999999899</v>
      </c>
      <c r="AF288" s="10">
        <v>9.1399999999999898E-2</v>
      </c>
      <c r="AG288" s="10">
        <v>0.26769999999999899</v>
      </c>
      <c r="AH288">
        <v>8.8239999999999902E-2</v>
      </c>
    </row>
    <row r="289" spans="3:34">
      <c r="C289" s="11" t="s">
        <v>527</v>
      </c>
      <c r="D289" s="10" t="s">
        <v>1</v>
      </c>
      <c r="E289" s="10">
        <v>13.71</v>
      </c>
      <c r="F289" s="10">
        <v>16.16</v>
      </c>
      <c r="G289" s="10">
        <v>88.37</v>
      </c>
      <c r="H289" s="10">
        <v>596.6</v>
      </c>
      <c r="I289" s="10">
        <v>7.0260000000000003E-2</v>
      </c>
      <c r="J289" s="10">
        <v>4.8309999999999902E-2</v>
      </c>
      <c r="K289" s="10">
        <v>2.0449999999999899E-2</v>
      </c>
      <c r="L289" s="10">
        <v>8.5070000000000007E-3</v>
      </c>
      <c r="M289" s="10">
        <v>0.16070000000000001</v>
      </c>
      <c r="N289" s="10">
        <v>5.47399999999999E-2</v>
      </c>
      <c r="O289" s="10">
        <v>0.25409999999999899</v>
      </c>
      <c r="P289" s="10">
        <v>0.62180000000000002</v>
      </c>
      <c r="Q289" s="10">
        <v>1.7090000000000001</v>
      </c>
      <c r="R289" s="10">
        <v>23.12</v>
      </c>
      <c r="S289" s="10">
        <v>3.728E-3</v>
      </c>
      <c r="T289" s="10">
        <v>1.4149999999999901E-2</v>
      </c>
      <c r="U289" s="10">
        <v>1.9879999999999901E-2</v>
      </c>
      <c r="V289" s="10">
        <v>7.0159999999999901E-3</v>
      </c>
      <c r="W289" s="10">
        <v>1.6469999999999901E-2</v>
      </c>
      <c r="X289" s="10">
        <v>1.97E-3</v>
      </c>
      <c r="Y289" s="10">
        <v>15.51</v>
      </c>
      <c r="Z289" s="10">
        <v>19.969999999999899</v>
      </c>
      <c r="AA289" s="10">
        <v>99.659999999999897</v>
      </c>
      <c r="AB289" s="10">
        <v>745.29999999999905</v>
      </c>
      <c r="AC289" s="10">
        <v>8.4839999999999902E-2</v>
      </c>
      <c r="AD289" s="10">
        <v>0.12330000000000001</v>
      </c>
      <c r="AE289" s="10">
        <v>0.1091</v>
      </c>
      <c r="AF289" s="10">
        <v>4.5370000000000001E-2</v>
      </c>
      <c r="AG289" s="10">
        <v>0.25419999999999898</v>
      </c>
      <c r="AH289">
        <v>6.62299999999999E-2</v>
      </c>
    </row>
    <row r="290" spans="3:34">
      <c r="C290" s="11" t="s">
        <v>529</v>
      </c>
      <c r="D290" s="10" t="s">
        <v>0</v>
      </c>
      <c r="E290" s="10">
        <v>13.71</v>
      </c>
      <c r="F290" s="10">
        <v>23.21</v>
      </c>
      <c r="G290" s="10">
        <v>128.9</v>
      </c>
      <c r="H290" s="10">
        <v>1174</v>
      </c>
      <c r="I290" s="10">
        <v>0.10100000000000001</v>
      </c>
      <c r="J290" s="10">
        <v>0.1318</v>
      </c>
      <c r="K290" s="10">
        <v>0.18559999999999899</v>
      </c>
      <c r="L290" s="10">
        <v>0.1021</v>
      </c>
      <c r="M290" s="10">
        <v>0.19889999999999899</v>
      </c>
      <c r="N290" s="10">
        <v>5.8840000000000003E-2</v>
      </c>
      <c r="O290" s="10">
        <v>0.61070000000000002</v>
      </c>
      <c r="P290" s="10">
        <v>2.8359999999999901</v>
      </c>
      <c r="Q290" s="10">
        <v>5.383</v>
      </c>
      <c r="R290" s="10">
        <v>70.099999999999895</v>
      </c>
      <c r="S290" s="10">
        <v>1.124E-2</v>
      </c>
      <c r="T290" s="10">
        <v>4.0969999999999902E-2</v>
      </c>
      <c r="U290" s="10">
        <v>7.4690000000000006E-2</v>
      </c>
      <c r="V290" s="10">
        <v>3.4410000000000003E-2</v>
      </c>
      <c r="W290" s="10">
        <v>2.768E-2</v>
      </c>
      <c r="X290" s="10">
        <v>6.2399999999999903E-3</v>
      </c>
      <c r="Y290" s="10">
        <v>20.82</v>
      </c>
      <c r="Z290" s="10">
        <v>30.44</v>
      </c>
      <c r="AA290" s="10">
        <v>142</v>
      </c>
      <c r="AB290" s="10">
        <v>1313</v>
      </c>
      <c r="AC290" s="10">
        <v>0.12509999999999899</v>
      </c>
      <c r="AD290" s="10">
        <v>0.2414</v>
      </c>
      <c r="AE290" s="10">
        <v>0.38290000000000002</v>
      </c>
      <c r="AF290" s="10">
        <v>0.1825</v>
      </c>
      <c r="AG290" s="10">
        <v>0.2576</v>
      </c>
      <c r="AH290">
        <v>7.6020000000000004E-2</v>
      </c>
    </row>
    <row r="291" spans="3:34">
      <c r="C291" s="11" t="s">
        <v>530</v>
      </c>
      <c r="D291" s="10" t="s">
        <v>1</v>
      </c>
      <c r="E291" s="10">
        <v>13.71</v>
      </c>
      <c r="F291" s="10">
        <v>12.22</v>
      </c>
      <c r="G291" s="10">
        <v>65.75</v>
      </c>
      <c r="H291" s="10">
        <v>321.60000000000002</v>
      </c>
      <c r="I291" s="10">
        <v>9.9959999999999896E-2</v>
      </c>
      <c r="J291" s="10">
        <v>7.5420000000000001E-2</v>
      </c>
      <c r="K291" s="10">
        <v>1.9230000000000001E-2</v>
      </c>
      <c r="L291" s="10">
        <v>1.968E-2</v>
      </c>
      <c r="M291" s="10">
        <v>0.17999999999999899</v>
      </c>
      <c r="N291" s="10">
        <v>6.5689999999999901E-2</v>
      </c>
      <c r="O291" s="10">
        <v>0.19109999999999899</v>
      </c>
      <c r="P291" s="10">
        <v>0.54769999999999897</v>
      </c>
      <c r="Q291" s="10">
        <v>1.3480000000000001</v>
      </c>
      <c r="R291" s="10">
        <v>11.88</v>
      </c>
      <c r="S291" s="10">
        <v>5.6820000000000004E-3</v>
      </c>
      <c r="T291" s="10">
        <v>1.3650000000000001E-2</v>
      </c>
      <c r="U291" s="10">
        <v>8.4960000000000001E-3</v>
      </c>
      <c r="V291" s="10">
        <v>6.9290000000000003E-3</v>
      </c>
      <c r="W291" s="10">
        <v>1.9380000000000001E-2</v>
      </c>
      <c r="X291" s="10">
        <v>2.3709999999999899E-3</v>
      </c>
      <c r="Y291" s="10">
        <v>11.38</v>
      </c>
      <c r="Z291" s="10">
        <v>15.65</v>
      </c>
      <c r="AA291" s="10">
        <v>73.23</v>
      </c>
      <c r="AB291" s="10">
        <v>394.5</v>
      </c>
      <c r="AC291" s="10">
        <v>0.1343</v>
      </c>
      <c r="AD291" s="10">
        <v>0.16500000000000001</v>
      </c>
      <c r="AE291" s="10">
        <v>8.6150000000000004E-2</v>
      </c>
      <c r="AF291" s="10">
        <v>6.6960000000000006E-2</v>
      </c>
      <c r="AG291" s="10">
        <v>0.29370000000000002</v>
      </c>
      <c r="AH291">
        <v>7.72199999999999E-2</v>
      </c>
    </row>
    <row r="292" spans="3:34">
      <c r="C292" s="11" t="s">
        <v>531</v>
      </c>
      <c r="D292" s="10" t="s">
        <v>1</v>
      </c>
      <c r="E292" s="10">
        <v>13.71</v>
      </c>
      <c r="F292" s="10">
        <v>16.84</v>
      </c>
      <c r="G292" s="10">
        <v>55.27</v>
      </c>
      <c r="H292" s="10">
        <v>234.3</v>
      </c>
      <c r="I292" s="10">
        <v>0.10390000000000001</v>
      </c>
      <c r="J292" s="10">
        <v>7.4279999999999902E-2</v>
      </c>
      <c r="K292" s="10">
        <v>0</v>
      </c>
      <c r="L292" s="10">
        <v>0</v>
      </c>
      <c r="M292" s="10">
        <v>0.19850000000000001</v>
      </c>
      <c r="N292" s="10">
        <v>7.0980000000000001E-2</v>
      </c>
      <c r="O292" s="10">
        <v>0.51690000000000003</v>
      </c>
      <c r="P292" s="10">
        <v>2.0790000000000002</v>
      </c>
      <c r="Q292" s="10">
        <v>3.16699999999999</v>
      </c>
      <c r="R292" s="10">
        <v>28.85</v>
      </c>
      <c r="S292" s="10">
        <v>1.5820000000000001E-2</v>
      </c>
      <c r="T292" s="10">
        <v>1.966E-2</v>
      </c>
      <c r="U292" s="10">
        <v>0</v>
      </c>
      <c r="V292" s="10">
        <v>0</v>
      </c>
      <c r="W292" s="10">
        <v>1.865E-2</v>
      </c>
      <c r="X292" s="10">
        <v>6.7359999999999903E-3</v>
      </c>
      <c r="Y292" s="10">
        <v>10.17</v>
      </c>
      <c r="Z292" s="10">
        <v>22.8</v>
      </c>
      <c r="AA292" s="10">
        <v>64.010000000000005</v>
      </c>
      <c r="AB292" s="10">
        <v>317</v>
      </c>
      <c r="AC292" s="10">
        <v>0.14599999999999899</v>
      </c>
      <c r="AD292" s="10">
        <v>0.13100000000000001</v>
      </c>
      <c r="AE292" s="10">
        <v>0</v>
      </c>
      <c r="AF292" s="10">
        <v>0</v>
      </c>
      <c r="AG292" s="10">
        <v>0.2445</v>
      </c>
      <c r="AH292">
        <v>8.8650000000000007E-2</v>
      </c>
    </row>
    <row r="293" spans="3:34">
      <c r="C293" s="11" t="s">
        <v>532</v>
      </c>
      <c r="D293" s="10" t="s">
        <v>0</v>
      </c>
      <c r="E293" s="10">
        <v>13.71</v>
      </c>
      <c r="F293" s="10">
        <v>19.969999999999899</v>
      </c>
      <c r="G293" s="10">
        <v>102.4</v>
      </c>
      <c r="H293" s="10">
        <v>744.7</v>
      </c>
      <c r="I293" s="10">
        <v>0.11600000000000001</v>
      </c>
      <c r="J293" s="10">
        <v>0.15620000000000001</v>
      </c>
      <c r="K293" s="10">
        <v>0.18909999999999899</v>
      </c>
      <c r="L293" s="10">
        <v>9.1130000000000003E-2</v>
      </c>
      <c r="M293" s="10">
        <v>0.19289999999999899</v>
      </c>
      <c r="N293" s="10">
        <v>6.744E-2</v>
      </c>
      <c r="O293" s="10">
        <v>0.64700000000000002</v>
      </c>
      <c r="P293" s="10">
        <v>1.331</v>
      </c>
      <c r="Q293" s="10">
        <v>4.6749999999999901</v>
      </c>
      <c r="R293" s="10">
        <v>66.909999999999897</v>
      </c>
      <c r="S293" s="10">
        <v>7.2690000000000003E-3</v>
      </c>
      <c r="T293" s="10">
        <v>2.928E-2</v>
      </c>
      <c r="U293" s="10">
        <v>4.972E-2</v>
      </c>
      <c r="V293" s="10">
        <v>1.6389999999999901E-2</v>
      </c>
      <c r="W293" s="10">
        <v>1.8519999999999901E-2</v>
      </c>
      <c r="X293" s="10">
        <v>4.2319999999999901E-3</v>
      </c>
      <c r="Y293" s="10">
        <v>21.1999999999999</v>
      </c>
      <c r="Z293" s="10">
        <v>29.41</v>
      </c>
      <c r="AA293" s="10">
        <v>142.099999999999</v>
      </c>
      <c r="AB293" s="10">
        <v>1359</v>
      </c>
      <c r="AC293" s="10">
        <v>0.1681</v>
      </c>
      <c r="AD293" s="10">
        <v>0.39129999999999898</v>
      </c>
      <c r="AE293" s="10">
        <v>0.55530000000000002</v>
      </c>
      <c r="AF293" s="10">
        <v>0.21210000000000001</v>
      </c>
      <c r="AG293" s="10">
        <v>0.31869999999999898</v>
      </c>
      <c r="AH293">
        <v>0.1019</v>
      </c>
    </row>
    <row r="294" spans="3:34">
      <c r="C294" s="11" t="s">
        <v>535</v>
      </c>
      <c r="D294" s="10" t="s">
        <v>1</v>
      </c>
      <c r="E294" s="10">
        <v>13.71</v>
      </c>
      <c r="F294" s="10">
        <v>17.18</v>
      </c>
      <c r="G294" s="10">
        <v>89.75</v>
      </c>
      <c r="H294" s="10">
        <v>609.1</v>
      </c>
      <c r="I294" s="10">
        <v>8.0449999999999897E-2</v>
      </c>
      <c r="J294" s="10">
        <v>5.3609999999999901E-2</v>
      </c>
      <c r="K294" s="10">
        <v>2.681E-2</v>
      </c>
      <c r="L294" s="10">
        <v>3.25099999999999E-2</v>
      </c>
      <c r="M294" s="10">
        <v>0.1641</v>
      </c>
      <c r="N294" s="10">
        <v>5.76399999999999E-2</v>
      </c>
      <c r="O294" s="10">
        <v>0.15040000000000001</v>
      </c>
      <c r="P294" s="10">
        <v>1.6850000000000001</v>
      </c>
      <c r="Q294" s="10">
        <v>1.2370000000000001</v>
      </c>
      <c r="R294" s="10">
        <v>12.67</v>
      </c>
      <c r="S294" s="10">
        <v>5.3709999999999904E-3</v>
      </c>
      <c r="T294" s="10">
        <v>1.273E-2</v>
      </c>
      <c r="U294" s="10">
        <v>1.132E-2</v>
      </c>
      <c r="V294" s="10">
        <v>9.1549999999999895E-3</v>
      </c>
      <c r="W294" s="10">
        <v>1.719E-2</v>
      </c>
      <c r="X294" s="10">
        <v>1.444E-3</v>
      </c>
      <c r="Y294" s="10">
        <v>14.92</v>
      </c>
      <c r="Z294" s="10">
        <v>25.34</v>
      </c>
      <c r="AA294" s="10">
        <v>96.42</v>
      </c>
      <c r="AB294" s="10">
        <v>684.5</v>
      </c>
      <c r="AC294" s="10">
        <v>0.1066</v>
      </c>
      <c r="AD294" s="10">
        <v>0.1231</v>
      </c>
      <c r="AE294" s="10">
        <v>8.4599999999999898E-2</v>
      </c>
      <c r="AF294" s="10">
        <v>7.911E-2</v>
      </c>
      <c r="AG294" s="10">
        <v>0.25230000000000002</v>
      </c>
      <c r="AH294">
        <v>6.6089999999999899E-2</v>
      </c>
    </row>
    <row r="295" spans="3:34">
      <c r="C295" s="11" t="s">
        <v>536</v>
      </c>
      <c r="D295" s="10" t="s">
        <v>1</v>
      </c>
      <c r="E295" s="10">
        <v>13.71</v>
      </c>
      <c r="F295" s="10">
        <v>18.89</v>
      </c>
      <c r="G295" s="10">
        <v>88.099999999999895</v>
      </c>
      <c r="H295" s="10">
        <v>558.1</v>
      </c>
      <c r="I295" s="10">
        <v>0.10589999999999899</v>
      </c>
      <c r="J295" s="10">
        <v>0.1147</v>
      </c>
      <c r="K295" s="10">
        <v>8.5800000000000001E-2</v>
      </c>
      <c r="L295" s="10">
        <v>5.38099999999999E-2</v>
      </c>
      <c r="M295" s="10">
        <v>0.18060000000000001</v>
      </c>
      <c r="N295" s="10">
        <v>6.07899999999999E-2</v>
      </c>
      <c r="O295" s="10">
        <v>0.21360000000000001</v>
      </c>
      <c r="P295" s="10">
        <v>1.3320000000000001</v>
      </c>
      <c r="Q295" s="10">
        <v>1.5129999999999899</v>
      </c>
      <c r="R295" s="10">
        <v>19.2899999999999</v>
      </c>
      <c r="S295" s="10">
        <v>5.4419999999999902E-3</v>
      </c>
      <c r="T295" s="10">
        <v>1.9570000000000001E-2</v>
      </c>
      <c r="U295" s="10">
        <v>3.304E-2</v>
      </c>
      <c r="V295" s="10">
        <v>1.367E-2</v>
      </c>
      <c r="W295" s="10">
        <v>1.315E-2</v>
      </c>
      <c r="X295" s="10">
        <v>2.464E-3</v>
      </c>
      <c r="Y295" s="10">
        <v>14.8</v>
      </c>
      <c r="Z295" s="10">
        <v>27.1999999999999</v>
      </c>
      <c r="AA295" s="10">
        <v>97.329999999999899</v>
      </c>
      <c r="AB295" s="10">
        <v>675.2</v>
      </c>
      <c r="AC295" s="10">
        <v>0.14280000000000001</v>
      </c>
      <c r="AD295" s="10">
        <v>0.25700000000000001</v>
      </c>
      <c r="AE295" s="10">
        <v>0.343799999999999</v>
      </c>
      <c r="AF295" s="10">
        <v>0.14530000000000001</v>
      </c>
      <c r="AG295" s="10">
        <v>0.2666</v>
      </c>
      <c r="AH295">
        <v>7.6859999999999901E-2</v>
      </c>
    </row>
    <row r="296" spans="3:34">
      <c r="C296" s="11" t="s">
        <v>537</v>
      </c>
      <c r="D296" s="10" t="s">
        <v>1</v>
      </c>
      <c r="E296" s="10">
        <v>13.71</v>
      </c>
      <c r="F296" s="10">
        <v>17.46</v>
      </c>
      <c r="G296" s="10">
        <v>83.049999999999898</v>
      </c>
      <c r="H296" s="10">
        <v>508.3</v>
      </c>
      <c r="I296" s="10">
        <v>8.04399999999999E-2</v>
      </c>
      <c r="J296" s="10">
        <v>8.8950000000000001E-2</v>
      </c>
      <c r="K296" s="10">
        <v>7.3899999999999896E-2</v>
      </c>
      <c r="L296" s="10">
        <v>4.0829999999999901E-2</v>
      </c>
      <c r="M296" s="10">
        <v>0.15740000000000001</v>
      </c>
      <c r="N296" s="10">
        <v>5.7500000000000002E-2</v>
      </c>
      <c r="O296" s="10">
        <v>0.3639</v>
      </c>
      <c r="P296" s="10">
        <v>1.2649999999999899</v>
      </c>
      <c r="Q296" s="10">
        <v>2.6680000000000001</v>
      </c>
      <c r="R296" s="10">
        <v>30.57</v>
      </c>
      <c r="S296" s="10">
        <v>5.4209999999999901E-3</v>
      </c>
      <c r="T296" s="10">
        <v>3.4770000000000002E-2</v>
      </c>
      <c r="U296" s="10">
        <v>4.54499999999999E-2</v>
      </c>
      <c r="V296" s="10">
        <v>1.384E-2</v>
      </c>
      <c r="W296" s="10">
        <v>1.8689999999999901E-2</v>
      </c>
      <c r="X296" s="10">
        <v>4.0670000000000003E-3</v>
      </c>
      <c r="Y296" s="10">
        <v>13.74</v>
      </c>
      <c r="Z296" s="10">
        <v>21.059999999999899</v>
      </c>
      <c r="AA296" s="10">
        <v>90.719999999999899</v>
      </c>
      <c r="AB296" s="10">
        <v>591</v>
      </c>
      <c r="AC296" s="10">
        <v>9.5339999999999897E-2</v>
      </c>
      <c r="AD296" s="10">
        <v>0.1812</v>
      </c>
      <c r="AE296" s="10">
        <v>0.19009999999999899</v>
      </c>
      <c r="AF296" s="10">
        <v>8.2960000000000006E-2</v>
      </c>
      <c r="AG296" s="10">
        <v>0.1988</v>
      </c>
      <c r="AH296">
        <v>7.0529999999999898E-2</v>
      </c>
    </row>
    <row r="297" spans="3:34">
      <c r="C297" s="11" t="s">
        <v>538</v>
      </c>
      <c r="D297" s="10" t="s">
        <v>1</v>
      </c>
      <c r="E297" s="10">
        <v>13.71</v>
      </c>
      <c r="F297" s="10">
        <v>14.83</v>
      </c>
      <c r="G297" s="10">
        <v>70.31</v>
      </c>
      <c r="H297" s="10">
        <v>378.19999999999902</v>
      </c>
      <c r="I297" s="10">
        <v>7.7410000000000007E-2</v>
      </c>
      <c r="J297" s="10">
        <v>4.768E-2</v>
      </c>
      <c r="K297" s="10">
        <v>2.7119999999999901E-2</v>
      </c>
      <c r="L297" s="10">
        <v>7.2459999999999903E-3</v>
      </c>
      <c r="M297" s="10">
        <v>0.1535</v>
      </c>
      <c r="N297" s="10">
        <v>6.2140000000000001E-2</v>
      </c>
      <c r="O297" s="10">
        <v>0.1855</v>
      </c>
      <c r="P297" s="10">
        <v>0.68810000000000004</v>
      </c>
      <c r="Q297" s="10">
        <v>1.2629999999999899</v>
      </c>
      <c r="R297" s="10">
        <v>12.98</v>
      </c>
      <c r="S297" s="10">
        <v>4.2589999999999902E-3</v>
      </c>
      <c r="T297" s="10">
        <v>1.469E-2</v>
      </c>
      <c r="U297" s="10">
        <v>1.9400000000000001E-2</v>
      </c>
      <c r="V297" s="10">
        <v>4.1679999999999903E-3</v>
      </c>
      <c r="W297" s="10">
        <v>1.191E-2</v>
      </c>
      <c r="X297" s="10">
        <v>3.5370000000000002E-3</v>
      </c>
      <c r="Y297" s="10">
        <v>12.68</v>
      </c>
      <c r="Z297" s="10">
        <v>20.350000000000001</v>
      </c>
      <c r="AA297" s="10">
        <v>80.790000000000006</v>
      </c>
      <c r="AB297" s="10">
        <v>496.69999999999902</v>
      </c>
      <c r="AC297" s="10">
        <v>0.112</v>
      </c>
      <c r="AD297" s="10">
        <v>0.18790000000000001</v>
      </c>
      <c r="AE297" s="10">
        <v>0.2079</v>
      </c>
      <c r="AF297" s="10">
        <v>5.5559999999999901E-2</v>
      </c>
      <c r="AG297" s="10">
        <v>0.25900000000000001</v>
      </c>
      <c r="AH297">
        <v>9.1579999999999898E-2</v>
      </c>
    </row>
    <row r="298" spans="3:34">
      <c r="C298" s="11" t="s">
        <v>539</v>
      </c>
      <c r="D298" s="10" t="s">
        <v>1</v>
      </c>
      <c r="E298" s="10">
        <v>13.71</v>
      </c>
      <c r="F298" s="10">
        <v>17.260000000000002</v>
      </c>
      <c r="G298" s="10">
        <v>75.260000000000005</v>
      </c>
      <c r="H298" s="10">
        <v>431.89999999999901</v>
      </c>
      <c r="I298" s="10">
        <v>9.0870000000000006E-2</v>
      </c>
      <c r="J298" s="10">
        <v>6.232E-2</v>
      </c>
      <c r="K298" s="10">
        <v>2.853E-2</v>
      </c>
      <c r="L298" s="10">
        <v>1.6379999999999902E-2</v>
      </c>
      <c r="M298" s="10">
        <v>0.1847</v>
      </c>
      <c r="N298" s="10">
        <v>6.019E-2</v>
      </c>
      <c r="O298" s="10">
        <v>0.343799999999999</v>
      </c>
      <c r="P298" s="10">
        <v>1.1399999999999899</v>
      </c>
      <c r="Q298" s="10">
        <v>2.2250000000000001</v>
      </c>
      <c r="R298" s="10">
        <v>25.059999999999899</v>
      </c>
      <c r="S298" s="10">
        <v>5.463E-3</v>
      </c>
      <c r="T298" s="10">
        <v>1.9640000000000001E-2</v>
      </c>
      <c r="U298" s="10">
        <v>2.0789999999999899E-2</v>
      </c>
      <c r="V298" s="10">
        <v>5.398E-3</v>
      </c>
      <c r="W298" s="10">
        <v>1.477E-2</v>
      </c>
      <c r="X298" s="10">
        <v>3.07099999999999E-3</v>
      </c>
      <c r="Y298" s="10">
        <v>13.4499999999999</v>
      </c>
      <c r="Z298" s="10">
        <v>24.489999999999899</v>
      </c>
      <c r="AA298" s="10">
        <v>86</v>
      </c>
      <c r="AB298" s="10">
        <v>562</v>
      </c>
      <c r="AC298" s="10">
        <v>0.1244</v>
      </c>
      <c r="AD298" s="10">
        <v>0.1726</v>
      </c>
      <c r="AE298" s="10">
        <v>0.1449</v>
      </c>
      <c r="AF298" s="10">
        <v>5.3560000000000003E-2</v>
      </c>
      <c r="AG298" s="10">
        <v>0.27789999999999898</v>
      </c>
      <c r="AH298">
        <v>8.1210000000000004E-2</v>
      </c>
    </row>
    <row r="299" spans="3:34">
      <c r="C299" s="11" t="s">
        <v>541</v>
      </c>
      <c r="D299" s="10" t="s">
        <v>1</v>
      </c>
      <c r="E299" s="10">
        <v>13.71</v>
      </c>
      <c r="F299" s="10">
        <v>10.91</v>
      </c>
      <c r="G299" s="10">
        <v>76.14</v>
      </c>
      <c r="H299" s="10">
        <v>442.69999999999902</v>
      </c>
      <c r="I299" s="10">
        <v>8.8719999999999896E-2</v>
      </c>
      <c r="J299" s="10">
        <v>5.2420000000000001E-2</v>
      </c>
      <c r="K299" s="10">
        <v>2.606E-2</v>
      </c>
      <c r="L299" s="10">
        <v>1.796E-2</v>
      </c>
      <c r="M299" s="10">
        <v>0.16009999999999899</v>
      </c>
      <c r="N299" s="10">
        <v>5.5410000000000001E-2</v>
      </c>
      <c r="O299" s="10">
        <v>0.25219999999999898</v>
      </c>
      <c r="P299" s="10">
        <v>1.0449999999999899</v>
      </c>
      <c r="Q299" s="10">
        <v>1.649</v>
      </c>
      <c r="R299" s="10">
        <v>18.9499999999999</v>
      </c>
      <c r="S299" s="10">
        <v>6.1749999999999904E-3</v>
      </c>
      <c r="T299" s="10">
        <v>1.204E-2</v>
      </c>
      <c r="U299" s="10">
        <v>1.376E-2</v>
      </c>
      <c r="V299" s="10">
        <v>5.8320000000000004E-3</v>
      </c>
      <c r="W299" s="10">
        <v>1.09599999999999E-2</v>
      </c>
      <c r="X299" s="10">
        <v>1.85699999999999E-3</v>
      </c>
      <c r="Y299" s="10">
        <v>13.8</v>
      </c>
      <c r="Z299" s="10">
        <v>20.14</v>
      </c>
      <c r="AA299" s="10">
        <v>87.64</v>
      </c>
      <c r="AB299" s="10">
        <v>589.5</v>
      </c>
      <c r="AC299" s="10">
        <v>0.137399999999999</v>
      </c>
      <c r="AD299" s="10">
        <v>0.1575</v>
      </c>
      <c r="AE299" s="10">
        <v>0.15140000000000001</v>
      </c>
      <c r="AF299" s="10">
        <v>6.8760000000000002E-2</v>
      </c>
      <c r="AG299" s="10">
        <v>0.246</v>
      </c>
      <c r="AH299">
        <v>7.2620000000000004E-2</v>
      </c>
    </row>
    <row r="300" spans="3:34">
      <c r="C300" s="11" t="s">
        <v>542</v>
      </c>
      <c r="D300" s="10" t="s">
        <v>1</v>
      </c>
      <c r="E300" s="10">
        <v>13.71</v>
      </c>
      <c r="F300" s="10">
        <v>18.2899999999999</v>
      </c>
      <c r="G300" s="10">
        <v>84.18</v>
      </c>
      <c r="H300" s="10">
        <v>525.20000000000005</v>
      </c>
      <c r="I300" s="10">
        <v>7.3510000000000006E-2</v>
      </c>
      <c r="J300" s="10">
        <v>7.8990000000000005E-2</v>
      </c>
      <c r="K300" s="10">
        <v>4.0570000000000002E-2</v>
      </c>
      <c r="L300" s="10">
        <v>1.883E-2</v>
      </c>
      <c r="M300" s="10">
        <v>0.18740000000000001</v>
      </c>
      <c r="N300" s="10">
        <v>5.8990000000000001E-2</v>
      </c>
      <c r="O300" s="10">
        <v>0.23569999999999899</v>
      </c>
      <c r="P300" s="10">
        <v>1.2989999999999899</v>
      </c>
      <c r="Q300" s="10">
        <v>2.39699999999999</v>
      </c>
      <c r="R300" s="10">
        <v>20.21</v>
      </c>
      <c r="S300" s="10">
        <v>3.6289999999999899E-3</v>
      </c>
      <c r="T300" s="10">
        <v>3.7130000000000003E-2</v>
      </c>
      <c r="U300" s="10">
        <v>3.4520000000000002E-2</v>
      </c>
      <c r="V300" s="10">
        <v>1.065E-2</v>
      </c>
      <c r="W300" s="10">
        <v>2.632E-2</v>
      </c>
      <c r="X300" s="10">
        <v>3.705E-3</v>
      </c>
      <c r="Y300" s="10">
        <v>14.13</v>
      </c>
      <c r="Z300" s="10">
        <v>24.6099999999999</v>
      </c>
      <c r="AA300" s="10">
        <v>96.31</v>
      </c>
      <c r="AB300" s="10">
        <v>621.89999999999895</v>
      </c>
      <c r="AC300" s="10">
        <v>9.3289999999999901E-2</v>
      </c>
      <c r="AD300" s="10">
        <v>0.23180000000000001</v>
      </c>
      <c r="AE300" s="10">
        <v>0.16039999999999899</v>
      </c>
      <c r="AF300" s="10">
        <v>6.608E-2</v>
      </c>
      <c r="AG300" s="10">
        <v>0.32069999999999899</v>
      </c>
      <c r="AH300">
        <v>7.2470000000000007E-2</v>
      </c>
    </row>
    <row r="301" spans="3:34">
      <c r="C301" s="11" t="s">
        <v>543</v>
      </c>
      <c r="D301" s="10" t="s">
        <v>1</v>
      </c>
      <c r="E301" s="10">
        <v>13.71</v>
      </c>
      <c r="F301" s="10">
        <v>16.170000000000002</v>
      </c>
      <c r="G301" s="10">
        <v>83.18</v>
      </c>
      <c r="H301" s="10">
        <v>507.6</v>
      </c>
      <c r="I301" s="10">
        <v>9.8790000000000003E-2</v>
      </c>
      <c r="J301" s="10">
        <v>8.8359999999999897E-2</v>
      </c>
      <c r="K301" s="10">
        <v>3.2960000000000003E-2</v>
      </c>
      <c r="L301" s="10">
        <v>2.3900000000000001E-2</v>
      </c>
      <c r="M301" s="10">
        <v>0.17349999999999899</v>
      </c>
      <c r="N301" s="10">
        <v>6.2E-2</v>
      </c>
      <c r="O301" s="10">
        <v>0.14580000000000001</v>
      </c>
      <c r="P301" s="10">
        <v>0.90500000000000003</v>
      </c>
      <c r="Q301" s="10">
        <v>0.99750000000000005</v>
      </c>
      <c r="R301" s="10">
        <v>11.3599999999999</v>
      </c>
      <c r="S301" s="10">
        <v>2.8869999999999898E-3</v>
      </c>
      <c r="T301" s="10">
        <v>1.285E-2</v>
      </c>
      <c r="U301" s="10">
        <v>1.6129999999999901E-2</v>
      </c>
      <c r="V301" s="10">
        <v>7.3080000000000003E-3</v>
      </c>
      <c r="W301" s="10">
        <v>1.8700000000000001E-2</v>
      </c>
      <c r="X301" s="10">
        <v>1.9719999999999898E-3</v>
      </c>
      <c r="Y301" s="10">
        <v>13.8599999999999</v>
      </c>
      <c r="Z301" s="10">
        <v>23.02</v>
      </c>
      <c r="AA301" s="10">
        <v>89.689999999999898</v>
      </c>
      <c r="AB301" s="10">
        <v>580.89999999999895</v>
      </c>
      <c r="AC301" s="10">
        <v>0.1172</v>
      </c>
      <c r="AD301" s="10">
        <v>0.1958</v>
      </c>
      <c r="AE301" s="10">
        <v>0.180999999999999</v>
      </c>
      <c r="AF301" s="10">
        <v>8.3879999999999899E-2</v>
      </c>
      <c r="AG301" s="10">
        <v>0.32969999999999899</v>
      </c>
      <c r="AH301">
        <v>7.8340000000000007E-2</v>
      </c>
    </row>
    <row r="302" spans="3:34">
      <c r="C302" s="11" t="s">
        <v>547</v>
      </c>
      <c r="D302" s="10" t="s">
        <v>1</v>
      </c>
      <c r="E302" s="10">
        <v>13.71</v>
      </c>
      <c r="F302" s="10">
        <v>21.37</v>
      </c>
      <c r="G302" s="10">
        <v>82.629999999999896</v>
      </c>
      <c r="H302" s="10">
        <v>514.5</v>
      </c>
      <c r="I302" s="10">
        <v>7.5509999999999897E-2</v>
      </c>
      <c r="J302" s="10">
        <v>8.3159999999999901E-2</v>
      </c>
      <c r="K302" s="10">
        <v>6.1260000000000002E-2</v>
      </c>
      <c r="L302" s="10">
        <v>1.8669999999999898E-2</v>
      </c>
      <c r="M302" s="10">
        <v>0.158</v>
      </c>
      <c r="N302" s="10">
        <v>6.114E-2</v>
      </c>
      <c r="O302" s="10">
        <v>0.49930000000000002</v>
      </c>
      <c r="P302" s="10">
        <v>1.798</v>
      </c>
      <c r="Q302" s="10">
        <v>2.552</v>
      </c>
      <c r="R302" s="10">
        <v>41.24</v>
      </c>
      <c r="S302" s="10">
        <v>6.0109999999999903E-3</v>
      </c>
      <c r="T302" s="10">
        <v>4.48E-2</v>
      </c>
      <c r="U302" s="10">
        <v>5.17499999999999E-2</v>
      </c>
      <c r="V302" s="10">
        <v>1.341E-2</v>
      </c>
      <c r="W302" s="10">
        <v>2.6689999999999901E-2</v>
      </c>
      <c r="X302" s="10">
        <v>7.731E-3</v>
      </c>
      <c r="Y302" s="10">
        <v>14.4</v>
      </c>
      <c r="Z302" s="10">
        <v>27.01</v>
      </c>
      <c r="AA302" s="10">
        <v>91.629999999999896</v>
      </c>
      <c r="AB302" s="10">
        <v>645.79999999999905</v>
      </c>
      <c r="AC302" s="10">
        <v>9.4020000000000006E-2</v>
      </c>
      <c r="AD302" s="10">
        <v>0.193599999999999</v>
      </c>
      <c r="AE302" s="10">
        <v>0.18379999999999899</v>
      </c>
      <c r="AF302" s="10">
        <v>5.60099999999999E-2</v>
      </c>
      <c r="AG302" s="10">
        <v>0.24879999999999899</v>
      </c>
      <c r="AH302">
        <v>8.1509999999999902E-2</v>
      </c>
    </row>
    <row r="303" spans="3:34">
      <c r="C303" s="11" t="s">
        <v>548</v>
      </c>
      <c r="D303" s="10" t="s">
        <v>0</v>
      </c>
      <c r="E303" s="10">
        <v>13.71</v>
      </c>
      <c r="F303" s="10">
        <v>20.66</v>
      </c>
      <c r="G303" s="10">
        <v>117.8</v>
      </c>
      <c r="H303" s="10">
        <v>991.7</v>
      </c>
      <c r="I303" s="10">
        <v>0.1036</v>
      </c>
      <c r="J303" s="10">
        <v>0.13039999999999899</v>
      </c>
      <c r="K303" s="10">
        <v>0.1201</v>
      </c>
      <c r="L303" s="10">
        <v>8.8239999999999902E-2</v>
      </c>
      <c r="M303" s="10">
        <v>0.19919999999999899</v>
      </c>
      <c r="N303" s="10">
        <v>6.0690000000000001E-2</v>
      </c>
      <c r="O303" s="10">
        <v>0.45369999999999899</v>
      </c>
      <c r="P303" s="10">
        <v>0.87329999999999897</v>
      </c>
      <c r="Q303" s="10">
        <v>3.0609999999999902</v>
      </c>
      <c r="R303" s="10">
        <v>49.81</v>
      </c>
      <c r="S303" s="10">
        <v>7.23099999999999E-3</v>
      </c>
      <c r="T303" s="10">
        <v>2.7720000000000002E-2</v>
      </c>
      <c r="U303" s="10">
        <v>2.5090000000000001E-2</v>
      </c>
      <c r="V303" s="10">
        <v>1.4800000000000001E-2</v>
      </c>
      <c r="W303" s="10">
        <v>1.414E-2</v>
      </c>
      <c r="X303" s="10">
        <v>3.336E-3</v>
      </c>
      <c r="Y303" s="10">
        <v>21.079999999999899</v>
      </c>
      <c r="Z303" s="10">
        <v>25.41</v>
      </c>
      <c r="AA303" s="10">
        <v>138.099999999999</v>
      </c>
      <c r="AB303" s="10">
        <v>1349</v>
      </c>
      <c r="AC303" s="10">
        <v>0.1482</v>
      </c>
      <c r="AD303" s="10">
        <v>0.3735</v>
      </c>
      <c r="AE303" s="10">
        <v>0.3301</v>
      </c>
      <c r="AF303" s="10">
        <v>0.19739999999999899</v>
      </c>
      <c r="AG303" s="10">
        <v>0.305999999999999</v>
      </c>
      <c r="AH303">
        <v>8.5029999999999897E-2</v>
      </c>
    </row>
    <row r="304" spans="3:34">
      <c r="C304" s="11" t="s">
        <v>550</v>
      </c>
      <c r="D304" s="10" t="s">
        <v>1</v>
      </c>
      <c r="E304" s="10">
        <v>13.71</v>
      </c>
      <c r="F304" s="10">
        <v>17.57</v>
      </c>
      <c r="G304" s="10">
        <v>72.489999999999895</v>
      </c>
      <c r="H304" s="10">
        <v>399.8</v>
      </c>
      <c r="I304" s="10">
        <v>8.8580000000000006E-2</v>
      </c>
      <c r="J304" s="10">
        <v>5.31299999999999E-2</v>
      </c>
      <c r="K304" s="10">
        <v>2.7830000000000001E-2</v>
      </c>
      <c r="L304" s="10">
        <v>2.1000000000000001E-2</v>
      </c>
      <c r="M304" s="10">
        <v>0.16009999999999899</v>
      </c>
      <c r="N304" s="10">
        <v>5.9130000000000002E-2</v>
      </c>
      <c r="O304" s="10">
        <v>0.19159999999999899</v>
      </c>
      <c r="P304" s="10">
        <v>1.5549999999999899</v>
      </c>
      <c r="Q304" s="10">
        <v>1.359</v>
      </c>
      <c r="R304" s="10">
        <v>13.66</v>
      </c>
      <c r="S304" s="10">
        <v>5.391E-3</v>
      </c>
      <c r="T304" s="10">
        <v>9.9469999999999906E-3</v>
      </c>
      <c r="U304" s="10">
        <v>1.163E-2</v>
      </c>
      <c r="V304" s="10">
        <v>5.8719999999999901E-3</v>
      </c>
      <c r="W304" s="10">
        <v>1.341E-2</v>
      </c>
      <c r="X304" s="10">
        <v>1.6590000000000001E-3</v>
      </c>
      <c r="Y304" s="10">
        <v>13.05</v>
      </c>
      <c r="Z304" s="10">
        <v>36.32</v>
      </c>
      <c r="AA304" s="10">
        <v>85.069999999999894</v>
      </c>
      <c r="AB304" s="10">
        <v>521.29999999999905</v>
      </c>
      <c r="AC304" s="10">
        <v>0.14530000000000001</v>
      </c>
      <c r="AD304" s="10">
        <v>0.16220000000000001</v>
      </c>
      <c r="AE304" s="10">
        <v>0.18110000000000001</v>
      </c>
      <c r="AF304" s="10">
        <v>8.6980000000000002E-2</v>
      </c>
      <c r="AG304" s="10">
        <v>0.29730000000000001</v>
      </c>
      <c r="AH304">
        <v>7.7450000000000005E-2</v>
      </c>
    </row>
    <row r="305" spans="3:34">
      <c r="C305" s="11" t="s">
        <v>551</v>
      </c>
      <c r="D305" s="10" t="s">
        <v>1</v>
      </c>
      <c r="E305" s="10">
        <v>13.71</v>
      </c>
      <c r="F305" s="10">
        <v>16.829999999999899</v>
      </c>
      <c r="G305" s="10">
        <v>70.92</v>
      </c>
      <c r="H305" s="10">
        <v>373.19999999999902</v>
      </c>
      <c r="I305" s="10">
        <v>0.1077</v>
      </c>
      <c r="J305" s="10">
        <v>7.8039999999999901E-2</v>
      </c>
      <c r="K305" s="10">
        <v>3.0460000000000001E-2</v>
      </c>
      <c r="L305" s="10">
        <v>2.4799999999999899E-2</v>
      </c>
      <c r="M305" s="10">
        <v>0.1714</v>
      </c>
      <c r="N305" s="10">
        <v>6.3399999999999901E-2</v>
      </c>
      <c r="O305" s="10">
        <v>0.19670000000000001</v>
      </c>
      <c r="P305" s="10">
        <v>1.387</v>
      </c>
      <c r="Q305" s="10">
        <v>1.3420000000000001</v>
      </c>
      <c r="R305" s="10">
        <v>13.5399999999999</v>
      </c>
      <c r="S305" s="10">
        <v>5.1580000000000003E-3</v>
      </c>
      <c r="T305" s="10">
        <v>9.3550000000000005E-3</v>
      </c>
      <c r="U305" s="10">
        <v>1.056E-2</v>
      </c>
      <c r="V305" s="10">
        <v>7.4830000000000001E-3</v>
      </c>
      <c r="W305" s="10">
        <v>1.7180000000000001E-2</v>
      </c>
      <c r="X305" s="10">
        <v>2.1979999999999899E-3</v>
      </c>
      <c r="Y305" s="10">
        <v>12.41</v>
      </c>
      <c r="Z305" s="10">
        <v>26.44</v>
      </c>
      <c r="AA305" s="10">
        <v>79.930000000000007</v>
      </c>
      <c r="AB305" s="10">
        <v>471.39999999999901</v>
      </c>
      <c r="AC305" s="10">
        <v>0.13689999999999899</v>
      </c>
      <c r="AD305" s="10">
        <v>0.1482</v>
      </c>
      <c r="AE305" s="10">
        <v>0.1067</v>
      </c>
      <c r="AF305" s="10">
        <v>7.4310000000000001E-2</v>
      </c>
      <c r="AG305" s="10">
        <v>0.29980000000000001</v>
      </c>
      <c r="AH305">
        <v>7.8810000000000005E-2</v>
      </c>
    </row>
    <row r="306" spans="3:34">
      <c r="C306" s="11" t="s">
        <v>552</v>
      </c>
      <c r="D306" s="10" t="s">
        <v>1</v>
      </c>
      <c r="E306" s="10">
        <v>13.71</v>
      </c>
      <c r="F306" s="10">
        <v>21.68</v>
      </c>
      <c r="G306" s="10">
        <v>59.75</v>
      </c>
      <c r="H306" s="10">
        <v>268.8</v>
      </c>
      <c r="I306" s="10">
        <v>7.96899999999999E-2</v>
      </c>
      <c r="J306" s="10">
        <v>6.053E-2</v>
      </c>
      <c r="K306" s="10">
        <v>3.7350000000000001E-2</v>
      </c>
      <c r="L306" s="10">
        <v>5.1279999999999902E-3</v>
      </c>
      <c r="M306" s="10">
        <v>0.12740000000000001</v>
      </c>
      <c r="N306" s="10">
        <v>6.7239999999999897E-2</v>
      </c>
      <c r="O306" s="10">
        <v>0.1186</v>
      </c>
      <c r="P306" s="10">
        <v>1.1819999999999899</v>
      </c>
      <c r="Q306" s="10">
        <v>1.1739999999999899</v>
      </c>
      <c r="R306" s="10">
        <v>6.8019999999999898</v>
      </c>
      <c r="S306" s="10">
        <v>5.5149999999999904E-3</v>
      </c>
      <c r="T306" s="10">
        <v>2.674E-2</v>
      </c>
      <c r="U306" s="10">
        <v>3.7350000000000001E-2</v>
      </c>
      <c r="V306" s="10">
        <v>5.1279999999999902E-3</v>
      </c>
      <c r="W306" s="10">
        <v>1.951E-2</v>
      </c>
      <c r="X306" s="10">
        <v>4.5830000000000003E-3</v>
      </c>
      <c r="Y306" s="10">
        <v>9.9649999999999892</v>
      </c>
      <c r="Z306" s="10">
        <v>27.989999999999899</v>
      </c>
      <c r="AA306" s="10">
        <v>66.6099999999999</v>
      </c>
      <c r="AB306" s="10">
        <v>301</v>
      </c>
      <c r="AC306" s="10">
        <v>0.1086</v>
      </c>
      <c r="AD306" s="10">
        <v>0.18870000000000001</v>
      </c>
      <c r="AE306" s="10">
        <v>0.18679999999999899</v>
      </c>
      <c r="AF306" s="10">
        <v>2.564E-2</v>
      </c>
      <c r="AG306" s="10">
        <v>0.23760000000000001</v>
      </c>
      <c r="AH306">
        <v>9.2060000000000003E-2</v>
      </c>
    </row>
    <row r="307" spans="3:34">
      <c r="C307" s="11" t="s">
        <v>553</v>
      </c>
      <c r="D307" s="10" t="s">
        <v>1</v>
      </c>
      <c r="E307" s="10">
        <v>13.71</v>
      </c>
      <c r="F307" s="10">
        <v>22.1099999999999</v>
      </c>
      <c r="G307" s="10">
        <v>97.53</v>
      </c>
      <c r="H307" s="10">
        <v>693.7</v>
      </c>
      <c r="I307" s="10">
        <v>8.5150000000000003E-2</v>
      </c>
      <c r="J307" s="10">
        <v>0.10249999999999899</v>
      </c>
      <c r="K307" s="10">
        <v>6.8589999999999901E-2</v>
      </c>
      <c r="L307" s="10">
        <v>3.8760000000000003E-2</v>
      </c>
      <c r="M307" s="10">
        <v>0.19439999999999899</v>
      </c>
      <c r="N307" s="10">
        <v>5.9130000000000002E-2</v>
      </c>
      <c r="O307" s="10">
        <v>0.318599999999999</v>
      </c>
      <c r="P307" s="10">
        <v>1.3360000000000001</v>
      </c>
      <c r="Q307" s="10">
        <v>2.31</v>
      </c>
      <c r="R307" s="10">
        <v>28.51</v>
      </c>
      <c r="S307" s="10">
        <v>4.4489999999999903E-3</v>
      </c>
      <c r="T307" s="10">
        <v>2.8080000000000001E-2</v>
      </c>
      <c r="U307" s="10">
        <v>3.31199999999999E-2</v>
      </c>
      <c r="V307" s="10">
        <v>1.196E-2</v>
      </c>
      <c r="W307" s="10">
        <v>1.9060000000000001E-2</v>
      </c>
      <c r="X307" s="10">
        <v>4.0150000000000003E-3</v>
      </c>
      <c r="Y307" s="10">
        <v>16.760000000000002</v>
      </c>
      <c r="Z307" s="10">
        <v>31.55</v>
      </c>
      <c r="AA307" s="10">
        <v>110.2</v>
      </c>
      <c r="AB307" s="10">
        <v>867.1</v>
      </c>
      <c r="AC307" s="10">
        <v>0.1077</v>
      </c>
      <c r="AD307" s="10">
        <v>0.33450000000000002</v>
      </c>
      <c r="AE307" s="10">
        <v>0.31140000000000001</v>
      </c>
      <c r="AF307" s="10">
        <v>0.1308</v>
      </c>
      <c r="AG307" s="10">
        <v>0.31630000000000003</v>
      </c>
      <c r="AH307">
        <v>9.2509999999999898E-2</v>
      </c>
    </row>
    <row r="308" spans="3:34">
      <c r="C308" s="11" t="s">
        <v>554</v>
      </c>
      <c r="D308" s="10" t="s">
        <v>0</v>
      </c>
      <c r="E308" s="10">
        <v>13.71</v>
      </c>
      <c r="F308" s="10">
        <v>29.809999999999899</v>
      </c>
      <c r="G308" s="10">
        <v>96.709999999999894</v>
      </c>
      <c r="H308" s="10">
        <v>719.5</v>
      </c>
      <c r="I308" s="10">
        <v>8.3199999999999899E-2</v>
      </c>
      <c r="J308" s="10">
        <v>4.6050000000000001E-2</v>
      </c>
      <c r="K308" s="10">
        <v>4.6859999999999902E-2</v>
      </c>
      <c r="L308" s="10">
        <v>2.7390000000000001E-2</v>
      </c>
      <c r="M308" s="10">
        <v>0.1852</v>
      </c>
      <c r="N308" s="10">
        <v>5.2940000000000001E-2</v>
      </c>
      <c r="O308" s="10">
        <v>0.46810000000000002</v>
      </c>
      <c r="P308" s="10">
        <v>1.627</v>
      </c>
      <c r="Q308" s="10">
        <v>3.0430000000000001</v>
      </c>
      <c r="R308" s="10">
        <v>45.38</v>
      </c>
      <c r="S308" s="10">
        <v>6.8310000000000003E-3</v>
      </c>
      <c r="T308" s="10">
        <v>1.427E-2</v>
      </c>
      <c r="U308" s="10">
        <v>2.4889999999999898E-2</v>
      </c>
      <c r="V308" s="10">
        <v>9.0869999999999892E-3</v>
      </c>
      <c r="W308" s="10">
        <v>3.1510000000000003E-2</v>
      </c>
      <c r="X308" s="10">
        <v>1.75E-3</v>
      </c>
      <c r="Y308" s="10">
        <v>17.260000000000002</v>
      </c>
      <c r="Z308" s="10">
        <v>36.909999999999897</v>
      </c>
      <c r="AA308" s="10">
        <v>110.099999999999</v>
      </c>
      <c r="AB308" s="10">
        <v>931.39999999999895</v>
      </c>
      <c r="AC308" s="10">
        <v>0.1148</v>
      </c>
      <c r="AD308" s="10">
        <v>9.8659999999999901E-2</v>
      </c>
      <c r="AE308" s="10">
        <v>0.1547</v>
      </c>
      <c r="AF308" s="10">
        <v>6.5750000000000003E-2</v>
      </c>
      <c r="AG308" s="10">
        <v>0.32329999999999898</v>
      </c>
      <c r="AH308">
        <v>6.1650000000000003E-2</v>
      </c>
    </row>
    <row r="309" spans="3:34">
      <c r="C309" s="11" t="s">
        <v>555</v>
      </c>
      <c r="D309" s="10" t="s">
        <v>1</v>
      </c>
      <c r="E309" s="10">
        <v>13.71</v>
      </c>
      <c r="F309" s="10">
        <v>21.17</v>
      </c>
      <c r="G309" s="10">
        <v>76.39</v>
      </c>
      <c r="H309" s="10">
        <v>433.8</v>
      </c>
      <c r="I309" s="10">
        <v>9.77299999999999E-2</v>
      </c>
      <c r="J309" s="10">
        <v>8.1199999999999897E-2</v>
      </c>
      <c r="K309" s="10">
        <v>2.555E-2</v>
      </c>
      <c r="L309" s="10">
        <v>2.179E-2</v>
      </c>
      <c r="M309" s="10">
        <v>0.2019</v>
      </c>
      <c r="N309" s="10">
        <v>6.28999999999999E-2</v>
      </c>
      <c r="O309" s="10">
        <v>0.2747</v>
      </c>
      <c r="P309" s="10">
        <v>1.2030000000000001</v>
      </c>
      <c r="Q309" s="10">
        <v>1.9299999999999899</v>
      </c>
      <c r="R309" s="10">
        <v>19.53</v>
      </c>
      <c r="S309" s="10">
        <v>9.8949999999999906E-3</v>
      </c>
      <c r="T309" s="10">
        <v>3.0530000000000002E-2</v>
      </c>
      <c r="U309" s="10">
        <v>1.6299999999999901E-2</v>
      </c>
      <c r="V309" s="10">
        <v>9.2759999999999908E-3</v>
      </c>
      <c r="W309" s="10">
        <v>2.2579999999999899E-2</v>
      </c>
      <c r="X309" s="10">
        <v>2.2720000000000001E-3</v>
      </c>
      <c r="Y309" s="10">
        <v>13.05</v>
      </c>
      <c r="Z309" s="10">
        <v>27.21</v>
      </c>
      <c r="AA309" s="10">
        <v>85.09</v>
      </c>
      <c r="AB309" s="10">
        <v>522.89999999999895</v>
      </c>
      <c r="AC309" s="10">
        <v>0.1426</v>
      </c>
      <c r="AD309" s="10">
        <v>0.21870000000000001</v>
      </c>
      <c r="AE309" s="10">
        <v>0.1164</v>
      </c>
      <c r="AF309" s="10">
        <v>8.2629999999999898E-2</v>
      </c>
      <c r="AG309" s="10">
        <v>0.3075</v>
      </c>
      <c r="AH309">
        <v>7.3510000000000006E-2</v>
      </c>
    </row>
    <row r="310" spans="3:34">
      <c r="C310" s="11" t="s">
        <v>557</v>
      </c>
      <c r="D310" s="10" t="s">
        <v>0</v>
      </c>
      <c r="E310" s="10">
        <v>13.71</v>
      </c>
      <c r="F310" s="10">
        <v>21.079999999999899</v>
      </c>
      <c r="G310" s="10">
        <v>102.9</v>
      </c>
      <c r="H310" s="10">
        <v>803.1</v>
      </c>
      <c r="I310" s="10">
        <v>0.112</v>
      </c>
      <c r="J310" s="10">
        <v>0.15709999999999899</v>
      </c>
      <c r="K310" s="10">
        <v>0.1522</v>
      </c>
      <c r="L310" s="10">
        <v>8.4809999999999899E-2</v>
      </c>
      <c r="M310" s="10">
        <v>0.20849999999999899</v>
      </c>
      <c r="N310" s="10">
        <v>6.8640000000000007E-2</v>
      </c>
      <c r="O310" s="10">
        <v>1.37</v>
      </c>
      <c r="P310" s="10">
        <v>1.2130000000000001</v>
      </c>
      <c r="Q310" s="10">
        <v>9.4239999999999906</v>
      </c>
      <c r="R310" s="10">
        <v>176.5</v>
      </c>
      <c r="S310" s="10">
        <v>8.1980000000000004E-3</v>
      </c>
      <c r="T310" s="10">
        <v>3.8890000000000001E-2</v>
      </c>
      <c r="U310" s="10">
        <v>4.4929999999999901E-2</v>
      </c>
      <c r="V310" s="10">
        <v>2.1389999999999899E-2</v>
      </c>
      <c r="W310" s="10">
        <v>2.018E-2</v>
      </c>
      <c r="X310" s="10">
        <v>5.8149999999999903E-3</v>
      </c>
      <c r="Y310" s="10">
        <v>23.17</v>
      </c>
      <c r="Z310" s="10">
        <v>27.649999999999899</v>
      </c>
      <c r="AA310" s="10">
        <v>157.099999999999</v>
      </c>
      <c r="AB310" s="10">
        <v>1748</v>
      </c>
      <c r="AC310" s="10">
        <v>0.1517</v>
      </c>
      <c r="AD310" s="10">
        <v>0.4002</v>
      </c>
      <c r="AE310" s="10">
        <v>0.42109999999999898</v>
      </c>
      <c r="AF310" s="10">
        <v>0.21340000000000001</v>
      </c>
      <c r="AG310" s="10">
        <v>0.30030000000000001</v>
      </c>
      <c r="AH310">
        <v>0.1048</v>
      </c>
    </row>
    <row r="311" spans="3:34">
      <c r="C311" s="11" t="s">
        <v>559</v>
      </c>
      <c r="D311" s="10" t="s">
        <v>1</v>
      </c>
      <c r="E311" s="10">
        <v>13.71</v>
      </c>
      <c r="F311" s="10">
        <v>21.41</v>
      </c>
      <c r="G311" s="10">
        <v>70.95</v>
      </c>
      <c r="H311" s="10">
        <v>380.3</v>
      </c>
      <c r="I311" s="10">
        <v>0.1018</v>
      </c>
      <c r="J311" s="10">
        <v>5.978E-2</v>
      </c>
      <c r="K311" s="10">
        <v>8.9549999999999907E-3</v>
      </c>
      <c r="L311" s="10">
        <v>1.076E-2</v>
      </c>
      <c r="M311" s="10">
        <v>0.1615</v>
      </c>
      <c r="N311" s="10">
        <v>6.1440000000000002E-2</v>
      </c>
      <c r="O311" s="10">
        <v>0.28649999999999898</v>
      </c>
      <c r="P311" s="10">
        <v>1.6779999999999899</v>
      </c>
      <c r="Q311" s="10">
        <v>1.968</v>
      </c>
      <c r="R311" s="10">
        <v>18.989999999999899</v>
      </c>
      <c r="S311" s="10">
        <v>6.9080000000000001E-3</v>
      </c>
      <c r="T311" s="10">
        <v>9.4420000000000007E-3</v>
      </c>
      <c r="U311" s="10">
        <v>6.9719999999999904E-3</v>
      </c>
      <c r="V311" s="10">
        <v>6.1590000000000004E-3</v>
      </c>
      <c r="W311" s="10">
        <v>2.6939999999999902E-2</v>
      </c>
      <c r="X311" s="10">
        <v>2.0600000000000002E-3</v>
      </c>
      <c r="Y311" s="10">
        <v>12.3599999999999</v>
      </c>
      <c r="Z311" s="10">
        <v>28.92</v>
      </c>
      <c r="AA311" s="10">
        <v>79.260000000000005</v>
      </c>
      <c r="AB311" s="10">
        <v>458</v>
      </c>
      <c r="AC311" s="10">
        <v>0.12820000000000001</v>
      </c>
      <c r="AD311" s="10">
        <v>0.1108</v>
      </c>
      <c r="AE311" s="10">
        <v>3.5819999999999901E-2</v>
      </c>
      <c r="AF311" s="10">
        <v>4.3060000000000001E-2</v>
      </c>
      <c r="AG311" s="10">
        <v>0.29759999999999898</v>
      </c>
      <c r="AH311">
        <v>7.1230000000000002E-2</v>
      </c>
    </row>
    <row r="312" spans="3:34">
      <c r="C312" s="11" t="s">
        <v>560</v>
      </c>
      <c r="D312" s="10" t="s">
        <v>1</v>
      </c>
      <c r="E312" s="10">
        <v>13.71</v>
      </c>
      <c r="F312" s="10">
        <v>19.0399999999999</v>
      </c>
      <c r="G312" s="10">
        <v>74.2</v>
      </c>
      <c r="H312" s="10">
        <v>409.69999999999902</v>
      </c>
      <c r="I312" s="10">
        <v>8.5459999999999897E-2</v>
      </c>
      <c r="J312" s="10">
        <v>7.72199999999999E-2</v>
      </c>
      <c r="K312" s="10">
        <v>5.4850000000000003E-2</v>
      </c>
      <c r="L312" s="10">
        <v>1.42799999999999E-2</v>
      </c>
      <c r="M312" s="10">
        <v>0.2031</v>
      </c>
      <c r="N312" s="10">
        <v>6.2670000000000003E-2</v>
      </c>
      <c r="O312" s="10">
        <v>0.28639999999999899</v>
      </c>
      <c r="P312" s="10">
        <v>1.43999999999999</v>
      </c>
      <c r="Q312" s="10">
        <v>2.206</v>
      </c>
      <c r="R312" s="10">
        <v>20.3</v>
      </c>
      <c r="S312" s="10">
        <v>7.2779999999999902E-3</v>
      </c>
      <c r="T312" s="10">
        <v>2.0469999999999901E-2</v>
      </c>
      <c r="U312" s="10">
        <v>4.4470000000000003E-2</v>
      </c>
      <c r="V312" s="10">
        <v>8.7989999999999909E-3</v>
      </c>
      <c r="W312" s="10">
        <v>1.8679999999999902E-2</v>
      </c>
      <c r="X312" s="10">
        <v>3.339E-3</v>
      </c>
      <c r="Y312" s="10">
        <v>13.07</v>
      </c>
      <c r="Z312" s="10">
        <v>26.98</v>
      </c>
      <c r="AA312" s="10">
        <v>86.43</v>
      </c>
      <c r="AB312" s="10">
        <v>520.5</v>
      </c>
      <c r="AC312" s="10">
        <v>0.1249</v>
      </c>
      <c r="AD312" s="10">
        <v>0.19370000000000001</v>
      </c>
      <c r="AE312" s="10">
        <v>0.25600000000000001</v>
      </c>
      <c r="AF312" s="10">
        <v>6.6640000000000005E-2</v>
      </c>
      <c r="AG312" s="10">
        <v>0.30349999999999899</v>
      </c>
      <c r="AH312">
        <v>8.28399999999999E-2</v>
      </c>
    </row>
    <row r="313" spans="3:34">
      <c r="C313" s="11" t="s">
        <v>561</v>
      </c>
      <c r="D313" s="10" t="s">
        <v>1</v>
      </c>
      <c r="E313" s="10">
        <v>13.71</v>
      </c>
      <c r="F313" s="10">
        <v>13.98</v>
      </c>
      <c r="G313" s="10">
        <v>98.219999999999899</v>
      </c>
      <c r="H313" s="10">
        <v>656.1</v>
      </c>
      <c r="I313" s="10">
        <v>0.1031</v>
      </c>
      <c r="J313" s="10">
        <v>0.18360000000000001</v>
      </c>
      <c r="K313" s="10">
        <v>0.14499999999999899</v>
      </c>
      <c r="L313" s="10">
        <v>6.3E-2</v>
      </c>
      <c r="M313" s="10">
        <v>0.20860000000000001</v>
      </c>
      <c r="N313" s="10">
        <v>7.4060000000000001E-2</v>
      </c>
      <c r="O313" s="10">
        <v>0.54620000000000002</v>
      </c>
      <c r="P313" s="10">
        <v>1.5109999999999899</v>
      </c>
      <c r="Q313" s="10">
        <v>4.7949999999999902</v>
      </c>
      <c r="R313" s="10">
        <v>49.45</v>
      </c>
      <c r="S313" s="10">
        <v>9.9760000000000005E-3</v>
      </c>
      <c r="T313" s="10">
        <v>5.2440000000000001E-2</v>
      </c>
      <c r="U313" s="10">
        <v>5.2780000000000001E-2</v>
      </c>
      <c r="V313" s="10">
        <v>1.5800000000000002E-2</v>
      </c>
      <c r="W313" s="10">
        <v>2.6530000000000001E-2</v>
      </c>
      <c r="X313" s="10">
        <v>5.4440000000000001E-3</v>
      </c>
      <c r="Y313" s="10">
        <v>16.46</v>
      </c>
      <c r="Z313" s="10">
        <v>18.34</v>
      </c>
      <c r="AA313" s="10">
        <v>114.099999999999</v>
      </c>
      <c r="AB313" s="10">
        <v>809.2</v>
      </c>
      <c r="AC313" s="10">
        <v>0.13120000000000001</v>
      </c>
      <c r="AD313" s="10">
        <v>0.36349999999999899</v>
      </c>
      <c r="AE313" s="10">
        <v>0.32190000000000002</v>
      </c>
      <c r="AF313" s="10">
        <v>0.1108</v>
      </c>
      <c r="AG313" s="10">
        <v>0.28270000000000001</v>
      </c>
      <c r="AH313">
        <v>9.2079999999999898E-2</v>
      </c>
    </row>
    <row r="314" spans="3:34">
      <c r="C314" s="11" t="s">
        <v>564</v>
      </c>
      <c r="D314" s="10" t="s">
        <v>1</v>
      </c>
      <c r="E314" s="10">
        <v>13.71</v>
      </c>
      <c r="F314" s="10">
        <v>19.12</v>
      </c>
      <c r="G314" s="10">
        <v>61.93</v>
      </c>
      <c r="H314" s="10">
        <v>289.69999999999902</v>
      </c>
      <c r="I314" s="10">
        <v>0.1075</v>
      </c>
      <c r="J314" s="10">
        <v>8.3330000000000001E-2</v>
      </c>
      <c r="K314" s="10">
        <v>8.9339999999999906E-3</v>
      </c>
      <c r="L314" s="10">
        <v>1.967E-2</v>
      </c>
      <c r="M314" s="10">
        <v>0.25380000000000003</v>
      </c>
      <c r="N314" s="10">
        <v>7.0290000000000005E-2</v>
      </c>
      <c r="O314" s="10">
        <v>0.69650000000000001</v>
      </c>
      <c r="P314" s="10">
        <v>1.7470000000000001</v>
      </c>
      <c r="Q314" s="10">
        <v>4.6070000000000002</v>
      </c>
      <c r="R314" s="10">
        <v>43.52</v>
      </c>
      <c r="S314" s="10">
        <v>1.307E-2</v>
      </c>
      <c r="T314" s="10">
        <v>1.8849999999999902E-2</v>
      </c>
      <c r="U314" s="10">
        <v>6.0210000000000003E-3</v>
      </c>
      <c r="V314" s="10">
        <v>1.052E-2</v>
      </c>
      <c r="W314" s="10">
        <v>3.1E-2</v>
      </c>
      <c r="X314" s="10">
        <v>4.22499999999999E-3</v>
      </c>
      <c r="Y314" s="10">
        <v>11.21</v>
      </c>
      <c r="Z314" s="10">
        <v>23.17</v>
      </c>
      <c r="AA314" s="10">
        <v>71.790000000000006</v>
      </c>
      <c r="AB314" s="10">
        <v>380.89999999999901</v>
      </c>
      <c r="AC314" s="10">
        <v>0.13980000000000001</v>
      </c>
      <c r="AD314" s="10">
        <v>0.13519999999999899</v>
      </c>
      <c r="AE314" s="10">
        <v>2.085E-2</v>
      </c>
      <c r="AF314" s="10">
        <v>4.589E-2</v>
      </c>
      <c r="AG314" s="10">
        <v>0.3196</v>
      </c>
      <c r="AH314">
        <v>8.0089999999999897E-2</v>
      </c>
    </row>
    <row r="315" spans="3:34">
      <c r="C315" s="11" t="s">
        <v>565</v>
      </c>
      <c r="D315" s="10" t="s">
        <v>1</v>
      </c>
      <c r="E315" s="10">
        <v>13.71</v>
      </c>
      <c r="F315" s="10">
        <v>21.28</v>
      </c>
      <c r="G315" s="10">
        <v>63.189999999999898</v>
      </c>
      <c r="H315" s="10">
        <v>307.3</v>
      </c>
      <c r="I315" s="10">
        <v>8.1170000000000006E-2</v>
      </c>
      <c r="J315" s="10">
        <v>3.9120000000000002E-2</v>
      </c>
      <c r="K315" s="10">
        <v>2.47E-3</v>
      </c>
      <c r="L315" s="10">
        <v>5.1590000000000004E-3</v>
      </c>
      <c r="M315" s="10">
        <v>0.16300000000000001</v>
      </c>
      <c r="N315" s="10">
        <v>6.4390000000000003E-2</v>
      </c>
      <c r="O315" s="10">
        <v>0.18509999999999899</v>
      </c>
      <c r="P315" s="10">
        <v>1.341</v>
      </c>
      <c r="Q315" s="10">
        <v>1.1839999999999899</v>
      </c>
      <c r="R315" s="10">
        <v>11.6</v>
      </c>
      <c r="S315" s="10">
        <v>5.7239999999999904E-3</v>
      </c>
      <c r="T315" s="10">
        <v>5.6969999999999903E-3</v>
      </c>
      <c r="U315" s="10">
        <v>2.0739999999999899E-3</v>
      </c>
      <c r="V315" s="10">
        <v>3.5270000000000002E-3</v>
      </c>
      <c r="W315" s="10">
        <v>1.44499999999999E-2</v>
      </c>
      <c r="X315" s="10">
        <v>2.41099999999999E-3</v>
      </c>
      <c r="Y315" s="10">
        <v>11.1099999999999</v>
      </c>
      <c r="Z315" s="10">
        <v>28.94</v>
      </c>
      <c r="AA315" s="10">
        <v>69.92</v>
      </c>
      <c r="AB315" s="10">
        <v>376.3</v>
      </c>
      <c r="AC315" s="10">
        <v>0.11260000000000001</v>
      </c>
      <c r="AD315" s="10">
        <v>7.0940000000000003E-2</v>
      </c>
      <c r="AE315" s="10">
        <v>1.235E-2</v>
      </c>
      <c r="AF315" s="10">
        <v>2.579E-2</v>
      </c>
      <c r="AG315" s="10">
        <v>0.2349</v>
      </c>
      <c r="AH315">
        <v>8.0610000000000001E-2</v>
      </c>
    </row>
    <row r="316" spans="3:34">
      <c r="C316" s="11" t="s">
        <v>566</v>
      </c>
      <c r="D316" s="10" t="s">
        <v>1</v>
      </c>
      <c r="E316" s="10">
        <v>13.71</v>
      </c>
      <c r="F316" s="10">
        <v>14.98</v>
      </c>
      <c r="G316" s="10">
        <v>67.489999999999895</v>
      </c>
      <c r="H316" s="10">
        <v>333.6</v>
      </c>
      <c r="I316" s="10">
        <v>9.81599999999999E-2</v>
      </c>
      <c r="J316" s="10">
        <v>0.1013</v>
      </c>
      <c r="K316" s="10">
        <v>6.3350000000000004E-2</v>
      </c>
      <c r="L316" s="10">
        <v>2.2179999999999901E-2</v>
      </c>
      <c r="M316" s="10">
        <v>0.1925</v>
      </c>
      <c r="N316" s="10">
        <v>6.9150000000000003E-2</v>
      </c>
      <c r="O316" s="10">
        <v>0.3276</v>
      </c>
      <c r="P316" s="10">
        <v>1.127</v>
      </c>
      <c r="Q316" s="10">
        <v>2.5640000000000001</v>
      </c>
      <c r="R316" s="10">
        <v>20.77</v>
      </c>
      <c r="S316" s="10">
        <v>7.3639999999999903E-3</v>
      </c>
      <c r="T316" s="10">
        <v>3.8670000000000003E-2</v>
      </c>
      <c r="U316" s="10">
        <v>5.2630000000000003E-2</v>
      </c>
      <c r="V316" s="10">
        <v>1.264E-2</v>
      </c>
      <c r="W316" s="10">
        <v>2.1610000000000001E-2</v>
      </c>
      <c r="X316" s="10">
        <v>4.8300000000000001E-3</v>
      </c>
      <c r="Y316" s="10">
        <v>12.13</v>
      </c>
      <c r="Z316" s="10">
        <v>21.57</v>
      </c>
      <c r="AA316" s="10">
        <v>81.409999999999897</v>
      </c>
      <c r="AB316" s="10">
        <v>440.39999999999901</v>
      </c>
      <c r="AC316" s="10">
        <v>0.13270000000000001</v>
      </c>
      <c r="AD316" s="10">
        <v>0.29959999999999898</v>
      </c>
      <c r="AE316" s="10">
        <v>0.293899999999999</v>
      </c>
      <c r="AF316" s="10">
        <v>9.3100000000000002E-2</v>
      </c>
      <c r="AG316" s="10">
        <v>0.30199999999999899</v>
      </c>
      <c r="AH316">
        <v>9.6460000000000004E-2</v>
      </c>
    </row>
    <row r="317" spans="3:34">
      <c r="C317" s="11" t="s">
        <v>568</v>
      </c>
      <c r="D317" s="10" t="s">
        <v>1</v>
      </c>
      <c r="E317" s="10">
        <v>13.71</v>
      </c>
      <c r="F317" s="10">
        <v>16.62</v>
      </c>
      <c r="G317" s="10">
        <v>70.469999999999899</v>
      </c>
      <c r="H317" s="10">
        <v>381.1</v>
      </c>
      <c r="I317" s="10">
        <v>8.1509999999999902E-2</v>
      </c>
      <c r="J317" s="10">
        <v>3.8339999999999902E-2</v>
      </c>
      <c r="K317" s="10">
        <v>1.3690000000000001E-2</v>
      </c>
      <c r="L317" s="10">
        <v>1.37E-2</v>
      </c>
      <c r="M317" s="10">
        <v>0.15110000000000001</v>
      </c>
      <c r="N317" s="10">
        <v>6.148E-2</v>
      </c>
      <c r="O317" s="10">
        <v>0.14149999999999899</v>
      </c>
      <c r="P317" s="10">
        <v>0.96709999999999896</v>
      </c>
      <c r="Q317" s="10">
        <v>0.96799999999999897</v>
      </c>
      <c r="R317" s="10">
        <v>9.7040000000000006</v>
      </c>
      <c r="S317" s="10">
        <v>5.8830000000000002E-3</v>
      </c>
      <c r="T317" s="10">
        <v>6.2630000000000003E-3</v>
      </c>
      <c r="U317" s="10">
        <v>9.3980000000000001E-3</v>
      </c>
      <c r="V317" s="10">
        <v>6.1890000000000001E-3</v>
      </c>
      <c r="W317" s="10">
        <v>2.009E-2</v>
      </c>
      <c r="X317" s="10">
        <v>2.3770000000000002E-3</v>
      </c>
      <c r="Y317" s="10">
        <v>11.68</v>
      </c>
      <c r="Z317" s="10">
        <v>20.2899999999999</v>
      </c>
      <c r="AA317" s="10">
        <v>74.349999999999895</v>
      </c>
      <c r="AB317" s="10">
        <v>421.1</v>
      </c>
      <c r="AC317" s="10">
        <v>0.102999999999999</v>
      </c>
      <c r="AD317" s="10">
        <v>6.2190000000000002E-2</v>
      </c>
      <c r="AE317" s="10">
        <v>4.58E-2</v>
      </c>
      <c r="AF317" s="10">
        <v>4.04399999999999E-2</v>
      </c>
      <c r="AG317" s="10">
        <v>0.23830000000000001</v>
      </c>
      <c r="AH317">
        <v>7.0830000000000004E-2</v>
      </c>
    </row>
    <row r="318" spans="3:34">
      <c r="C318" s="11" t="s">
        <v>570</v>
      </c>
      <c r="D318" s="10" t="s">
        <v>0</v>
      </c>
      <c r="E318" s="10">
        <v>13.71</v>
      </c>
      <c r="F318" s="10">
        <v>22.53</v>
      </c>
      <c r="G318" s="10">
        <v>102.099999999999</v>
      </c>
      <c r="H318" s="10">
        <v>685</v>
      </c>
      <c r="I318" s="10">
        <v>9.9470000000000003E-2</v>
      </c>
      <c r="J318" s="10">
        <v>0.2225</v>
      </c>
      <c r="K318" s="10">
        <v>0.27329999999999899</v>
      </c>
      <c r="L318" s="10">
        <v>9.7110000000000002E-2</v>
      </c>
      <c r="M318" s="10">
        <v>0.2041</v>
      </c>
      <c r="N318" s="10">
        <v>6.898E-2</v>
      </c>
      <c r="O318" s="10">
        <v>0.253</v>
      </c>
      <c r="P318" s="10">
        <v>0.87490000000000001</v>
      </c>
      <c r="Q318" s="10">
        <v>3.4660000000000002</v>
      </c>
      <c r="R318" s="10">
        <v>24.19</v>
      </c>
      <c r="S318" s="10">
        <v>6.9649999999999903E-3</v>
      </c>
      <c r="T318" s="10">
        <v>6.2129999999999901E-2</v>
      </c>
      <c r="U318" s="10">
        <v>7.92599999999999E-2</v>
      </c>
      <c r="V318" s="10">
        <v>2.2339999999999902E-2</v>
      </c>
      <c r="W318" s="10">
        <v>1.499E-2</v>
      </c>
      <c r="X318" s="10">
        <v>5.7840000000000001E-3</v>
      </c>
      <c r="Y318" s="10">
        <v>16.350000000000001</v>
      </c>
      <c r="Z318" s="10">
        <v>27.57</v>
      </c>
      <c r="AA318" s="10">
        <v>125.4</v>
      </c>
      <c r="AB318" s="10">
        <v>832.7</v>
      </c>
      <c r="AC318" s="10">
        <v>0.1419</v>
      </c>
      <c r="AD318" s="10">
        <v>0.70899999999999896</v>
      </c>
      <c r="AE318" s="10">
        <v>0.90190000000000003</v>
      </c>
      <c r="AF318" s="10">
        <v>0.2475</v>
      </c>
      <c r="AG318" s="10">
        <v>0.28660000000000002</v>
      </c>
      <c r="AH318">
        <v>0.11550000000000001</v>
      </c>
    </row>
    <row r="319" spans="3:34">
      <c r="C319" s="11" t="s">
        <v>571</v>
      </c>
      <c r="D319" s="10" t="s">
        <v>1</v>
      </c>
      <c r="E319" s="10">
        <v>13.71</v>
      </c>
      <c r="F319" s="10">
        <v>17.68</v>
      </c>
      <c r="G319" s="10">
        <v>81.469999999999899</v>
      </c>
      <c r="H319" s="10">
        <v>467.8</v>
      </c>
      <c r="I319" s="10">
        <v>0.10539999999999899</v>
      </c>
      <c r="J319" s="10">
        <v>0.131599999999999</v>
      </c>
      <c r="K319" s="10">
        <v>7.7410000000000007E-2</v>
      </c>
      <c r="L319" s="10">
        <v>2.7990000000000001E-2</v>
      </c>
      <c r="M319" s="10">
        <v>0.18110000000000001</v>
      </c>
      <c r="N319" s="10">
        <v>7.102E-2</v>
      </c>
      <c r="O319" s="10">
        <v>0.1767</v>
      </c>
      <c r="P319" s="10">
        <v>1.46</v>
      </c>
      <c r="Q319" s="10">
        <v>2.2040000000000002</v>
      </c>
      <c r="R319" s="10">
        <v>15.43</v>
      </c>
      <c r="S319" s="10">
        <v>0.01</v>
      </c>
      <c r="T319" s="10">
        <v>3.295E-2</v>
      </c>
      <c r="U319" s="10">
        <v>4.861E-2</v>
      </c>
      <c r="V319" s="10">
        <v>1.167E-2</v>
      </c>
      <c r="W319" s="10">
        <v>2.1870000000000001E-2</v>
      </c>
      <c r="X319" s="10">
        <v>6.0049999999999904E-3</v>
      </c>
      <c r="Y319" s="10">
        <v>12.88</v>
      </c>
      <c r="Z319" s="10">
        <v>22.91</v>
      </c>
      <c r="AA319" s="10">
        <v>89.6099999999999</v>
      </c>
      <c r="AB319" s="10">
        <v>515.79999999999905</v>
      </c>
      <c r="AC319" s="10">
        <v>0.14499999999999899</v>
      </c>
      <c r="AD319" s="10">
        <v>0.26290000000000002</v>
      </c>
      <c r="AE319" s="10">
        <v>0.24030000000000001</v>
      </c>
      <c r="AF319" s="10">
        <v>7.3700000000000002E-2</v>
      </c>
      <c r="AG319" s="10">
        <v>0.25559999999999899</v>
      </c>
      <c r="AH319">
        <v>9.3590000000000007E-2</v>
      </c>
    </row>
    <row r="320" spans="3:34">
      <c r="C320" s="11" t="s">
        <v>572</v>
      </c>
      <c r="D320" s="10" t="s">
        <v>0</v>
      </c>
      <c r="E320" s="10">
        <v>13.71</v>
      </c>
      <c r="F320" s="10">
        <v>19.5399999999999</v>
      </c>
      <c r="G320" s="10">
        <v>133.80000000000001</v>
      </c>
      <c r="H320" s="10">
        <v>1250</v>
      </c>
      <c r="I320" s="10">
        <v>0.1133</v>
      </c>
      <c r="J320" s="10">
        <v>0.1489</v>
      </c>
      <c r="K320" s="10">
        <v>0.21329999999999899</v>
      </c>
      <c r="L320" s="10">
        <v>0.12590000000000001</v>
      </c>
      <c r="M320" s="10">
        <v>0.1724</v>
      </c>
      <c r="N320" s="10">
        <v>6.053E-2</v>
      </c>
      <c r="O320" s="10">
        <v>0.43309999999999899</v>
      </c>
      <c r="P320" s="10">
        <v>1.0009999999999899</v>
      </c>
      <c r="Q320" s="10">
        <v>3.008</v>
      </c>
      <c r="R320" s="10">
        <v>52.49</v>
      </c>
      <c r="S320" s="10">
        <v>9.0869999999999892E-3</v>
      </c>
      <c r="T320" s="10">
        <v>2.7150000000000001E-2</v>
      </c>
      <c r="U320" s="10">
        <v>5.5460000000000002E-2</v>
      </c>
      <c r="V320" s="10">
        <v>1.9099999999999898E-2</v>
      </c>
      <c r="W320" s="10">
        <v>2.4510000000000001E-2</v>
      </c>
      <c r="X320" s="10">
        <v>4.0049999999999903E-3</v>
      </c>
      <c r="Y320" s="10">
        <v>22.03</v>
      </c>
      <c r="Z320" s="10">
        <v>25.07</v>
      </c>
      <c r="AA320" s="10">
        <v>146</v>
      </c>
      <c r="AB320" s="10">
        <v>1479</v>
      </c>
      <c r="AC320" s="10">
        <v>0.16650000000000001</v>
      </c>
      <c r="AD320" s="10">
        <v>0.29420000000000002</v>
      </c>
      <c r="AE320" s="10">
        <v>0.53080000000000005</v>
      </c>
      <c r="AF320" s="10">
        <v>0.21729999999999899</v>
      </c>
      <c r="AG320" s="10">
        <v>0.30320000000000003</v>
      </c>
      <c r="AH320">
        <v>8.0750000000000002E-2</v>
      </c>
    </row>
    <row r="321" spans="3:34">
      <c r="C321" s="11" t="s">
        <v>573</v>
      </c>
      <c r="D321" s="10" t="s">
        <v>0</v>
      </c>
      <c r="E321" s="10">
        <v>13.71</v>
      </c>
      <c r="F321" s="10">
        <v>21.969999999999899</v>
      </c>
      <c r="G321" s="10">
        <v>123.7</v>
      </c>
      <c r="H321" s="10">
        <v>1110</v>
      </c>
      <c r="I321" s="10">
        <v>0.1018</v>
      </c>
      <c r="J321" s="10">
        <v>0.1389</v>
      </c>
      <c r="K321" s="10">
        <v>0.15939999999999899</v>
      </c>
      <c r="L321" s="10">
        <v>8.7440000000000004E-2</v>
      </c>
      <c r="M321" s="10">
        <v>0.1943</v>
      </c>
      <c r="N321" s="10">
        <v>6.132E-2</v>
      </c>
      <c r="O321" s="10">
        <v>0.81910000000000005</v>
      </c>
      <c r="P321" s="10">
        <v>1.931</v>
      </c>
      <c r="Q321" s="10">
        <v>4.4930000000000003</v>
      </c>
      <c r="R321" s="10">
        <v>103.9</v>
      </c>
      <c r="S321" s="10">
        <v>8.0739999999999892E-3</v>
      </c>
      <c r="T321" s="10">
        <v>4.088E-2</v>
      </c>
      <c r="U321" s="10">
        <v>5.321E-2</v>
      </c>
      <c r="V321" s="10">
        <v>1.8339999999999902E-2</v>
      </c>
      <c r="W321" s="10">
        <v>2.383E-2</v>
      </c>
      <c r="X321" s="10">
        <v>4.5149999999999904E-3</v>
      </c>
      <c r="Y321" s="10">
        <v>22.66</v>
      </c>
      <c r="Z321" s="10">
        <v>30.93</v>
      </c>
      <c r="AA321" s="10">
        <v>145.30000000000001</v>
      </c>
      <c r="AB321" s="10">
        <v>1603</v>
      </c>
      <c r="AC321" s="10">
        <v>0.13900000000000001</v>
      </c>
      <c r="AD321" s="10">
        <v>0.3463</v>
      </c>
      <c r="AE321" s="10">
        <v>0.39119999999999899</v>
      </c>
      <c r="AF321" s="10">
        <v>0.17080000000000001</v>
      </c>
      <c r="AG321" s="10">
        <v>0.30070000000000002</v>
      </c>
      <c r="AH321">
        <v>8.3140000000000006E-2</v>
      </c>
    </row>
    <row r="322" spans="3:34">
      <c r="C322" s="11" t="s">
        <v>574</v>
      </c>
      <c r="D322" s="10" t="s">
        <v>1</v>
      </c>
      <c r="E322" s="10">
        <v>13.71</v>
      </c>
      <c r="F322" s="10">
        <v>16.940000000000001</v>
      </c>
      <c r="G322" s="10">
        <v>94.89</v>
      </c>
      <c r="H322" s="10">
        <v>673.7</v>
      </c>
      <c r="I322" s="10">
        <v>8.924E-2</v>
      </c>
      <c r="J322" s="10">
        <v>7.07399999999999E-2</v>
      </c>
      <c r="K322" s="10">
        <v>3.34599999999999E-2</v>
      </c>
      <c r="L322" s="10">
        <v>2.877E-2</v>
      </c>
      <c r="M322" s="10">
        <v>0.1573</v>
      </c>
      <c r="N322" s="10">
        <v>5.70299999999999E-2</v>
      </c>
      <c r="O322" s="10">
        <v>0.30280000000000001</v>
      </c>
      <c r="P322" s="10">
        <v>0.66830000000000001</v>
      </c>
      <c r="Q322" s="10">
        <v>1.6120000000000001</v>
      </c>
      <c r="R322" s="10">
        <v>23.92</v>
      </c>
      <c r="S322" s="10">
        <v>5.7559999999999903E-3</v>
      </c>
      <c r="T322" s="10">
        <v>1.6650000000000002E-2</v>
      </c>
      <c r="U322" s="10">
        <v>1.461E-2</v>
      </c>
      <c r="V322" s="10">
        <v>8.2810000000000002E-3</v>
      </c>
      <c r="W322" s="10">
        <v>1.5509999999999901E-2</v>
      </c>
      <c r="X322" s="10">
        <v>2.1679999999999898E-3</v>
      </c>
      <c r="Y322" s="10">
        <v>16.309999999999899</v>
      </c>
      <c r="Z322" s="10">
        <v>20.5399999999999</v>
      </c>
      <c r="AA322" s="10">
        <v>102.3</v>
      </c>
      <c r="AB322" s="10">
        <v>777.5</v>
      </c>
      <c r="AC322" s="10">
        <v>0.12180000000000001</v>
      </c>
      <c r="AD322" s="10">
        <v>0.155</v>
      </c>
      <c r="AE322" s="10">
        <v>0.122</v>
      </c>
      <c r="AF322" s="10">
        <v>7.9710000000000003E-2</v>
      </c>
      <c r="AG322" s="10">
        <v>0.2525</v>
      </c>
      <c r="AH322">
        <v>6.82699999999999E-2</v>
      </c>
    </row>
    <row r="323" spans="3:34">
      <c r="C323" s="11" t="s">
        <v>575</v>
      </c>
      <c r="D323" s="10" t="s">
        <v>0</v>
      </c>
      <c r="E323" s="10">
        <v>13.71</v>
      </c>
      <c r="F323" s="10">
        <v>19.62</v>
      </c>
      <c r="G323" s="10">
        <v>91.12</v>
      </c>
      <c r="H323" s="10">
        <v>599.5</v>
      </c>
      <c r="I323" s="10">
        <v>0.106</v>
      </c>
      <c r="J323" s="10">
        <v>0.1133</v>
      </c>
      <c r="K323" s="10">
        <v>0.11260000000000001</v>
      </c>
      <c r="L323" s="10">
        <v>6.4630000000000007E-2</v>
      </c>
      <c r="M323" s="10">
        <v>0.16689999999999899</v>
      </c>
      <c r="N323" s="10">
        <v>6.5439999999999901E-2</v>
      </c>
      <c r="O323" s="10">
        <v>0.2208</v>
      </c>
      <c r="P323" s="10">
        <v>0.95330000000000004</v>
      </c>
      <c r="Q323" s="10">
        <v>1.6020000000000001</v>
      </c>
      <c r="R323" s="10">
        <v>18.850000000000001</v>
      </c>
      <c r="S323" s="10">
        <v>5.3140000000000001E-3</v>
      </c>
      <c r="T323" s="10">
        <v>1.7909999999999902E-2</v>
      </c>
      <c r="U323" s="10">
        <v>2.1850000000000001E-2</v>
      </c>
      <c r="V323" s="10">
        <v>9.5670000000000009E-3</v>
      </c>
      <c r="W323" s="10">
        <v>1.223E-2</v>
      </c>
      <c r="X323" s="10">
        <v>2.846E-3</v>
      </c>
      <c r="Y323" s="10">
        <v>17.0399999999999</v>
      </c>
      <c r="Z323" s="10">
        <v>30.8</v>
      </c>
      <c r="AA323" s="10">
        <v>113.9</v>
      </c>
      <c r="AB323" s="10">
        <v>869.29999999999905</v>
      </c>
      <c r="AC323" s="10">
        <v>0.1613</v>
      </c>
      <c r="AD323" s="10">
        <v>0.35680000000000001</v>
      </c>
      <c r="AE323" s="10">
        <v>0.40689999999999898</v>
      </c>
      <c r="AF323" s="10">
        <v>0.1827</v>
      </c>
      <c r="AG323" s="10">
        <v>0.31790000000000002</v>
      </c>
      <c r="AH323">
        <v>0.1055</v>
      </c>
    </row>
    <row r="324" spans="3:34">
      <c r="C324" s="11" t="s">
        <v>576</v>
      </c>
      <c r="D324" s="10" t="s">
        <v>1</v>
      </c>
      <c r="E324" s="10">
        <v>13.71</v>
      </c>
      <c r="F324" s="10">
        <v>19.5399999999999</v>
      </c>
      <c r="G324" s="10">
        <v>82.67</v>
      </c>
      <c r="H324" s="10">
        <v>509.19999999999902</v>
      </c>
      <c r="I324" s="10">
        <v>9.13599999999999E-2</v>
      </c>
      <c r="J324" s="10">
        <v>7.88299999999999E-2</v>
      </c>
      <c r="K324" s="10">
        <v>1.797E-2</v>
      </c>
      <c r="L324" s="10">
        <v>2.0899999999999901E-2</v>
      </c>
      <c r="M324" s="10">
        <v>0.18609999999999899</v>
      </c>
      <c r="N324" s="10">
        <v>6.3469999999999901E-2</v>
      </c>
      <c r="O324" s="10">
        <v>0.36649999999999899</v>
      </c>
      <c r="P324" s="10">
        <v>0.76929999999999898</v>
      </c>
      <c r="Q324" s="10">
        <v>2.597</v>
      </c>
      <c r="R324" s="10">
        <v>26.5</v>
      </c>
      <c r="S324" s="10">
        <v>5.9100000000000003E-3</v>
      </c>
      <c r="T324" s="10">
        <v>1.362E-2</v>
      </c>
      <c r="U324" s="10">
        <v>7.0660000000000002E-3</v>
      </c>
      <c r="V324" s="10">
        <v>6.502E-3</v>
      </c>
      <c r="W324" s="10">
        <v>2.223E-2</v>
      </c>
      <c r="X324" s="10">
        <v>2.3779999999999899E-3</v>
      </c>
      <c r="Y324" s="10">
        <v>14.4499999999999</v>
      </c>
      <c r="Z324" s="10">
        <v>24.3799999999999</v>
      </c>
      <c r="AA324" s="10">
        <v>95.14</v>
      </c>
      <c r="AB324" s="10">
        <v>626.89999999999895</v>
      </c>
      <c r="AC324" s="10">
        <v>0.12139999999999899</v>
      </c>
      <c r="AD324" s="10">
        <v>0.16520000000000001</v>
      </c>
      <c r="AE324" s="10">
        <v>7.127E-2</v>
      </c>
      <c r="AF324" s="10">
        <v>6.3839999999999897E-2</v>
      </c>
      <c r="AG324" s="10">
        <v>0.33129999999999898</v>
      </c>
      <c r="AH324">
        <v>7.7350000000000002E-2</v>
      </c>
    </row>
    <row r="325" spans="3:34">
      <c r="C325" s="11" t="s">
        <v>577</v>
      </c>
      <c r="D325" s="10" t="s">
        <v>1</v>
      </c>
      <c r="E325" s="10">
        <v>13.71</v>
      </c>
      <c r="F325" s="10">
        <v>15.98</v>
      </c>
      <c r="G325" s="10">
        <v>89.78</v>
      </c>
      <c r="H325" s="10">
        <v>611.20000000000005</v>
      </c>
      <c r="I325" s="10">
        <v>8.4580000000000002E-2</v>
      </c>
      <c r="J325" s="10">
        <v>5.8950000000000002E-2</v>
      </c>
      <c r="K325" s="10">
        <v>3.5340000000000003E-2</v>
      </c>
      <c r="L325" s="10">
        <v>2.9440000000000001E-2</v>
      </c>
      <c r="M325" s="10">
        <v>0.1714</v>
      </c>
      <c r="N325" s="10">
        <v>5.8979999999999901E-2</v>
      </c>
      <c r="O325" s="10">
        <v>0.38919999999999899</v>
      </c>
      <c r="P325" s="10">
        <v>1.046</v>
      </c>
      <c r="Q325" s="10">
        <v>2.6440000000000001</v>
      </c>
      <c r="R325" s="10">
        <v>32.74</v>
      </c>
      <c r="S325" s="10">
        <v>7.9760000000000005E-3</v>
      </c>
      <c r="T325" s="10">
        <v>1.295E-2</v>
      </c>
      <c r="U325" s="10">
        <v>1.6080000000000001E-2</v>
      </c>
      <c r="V325" s="10">
        <v>9.0460000000000002E-3</v>
      </c>
      <c r="W325" s="10">
        <v>2.0049999999999901E-2</v>
      </c>
      <c r="X325" s="10">
        <v>2.8300000000000001E-3</v>
      </c>
      <c r="Y325" s="10">
        <v>15.66</v>
      </c>
      <c r="Z325" s="10">
        <v>21.579999999999899</v>
      </c>
      <c r="AA325" s="10">
        <v>101.2</v>
      </c>
      <c r="AB325" s="10">
        <v>750</v>
      </c>
      <c r="AC325" s="10">
        <v>0.1195</v>
      </c>
      <c r="AD325" s="10">
        <v>0.12520000000000001</v>
      </c>
      <c r="AE325" s="10">
        <v>0.11169999999999899</v>
      </c>
      <c r="AF325" s="10">
        <v>7.4529999999999902E-2</v>
      </c>
      <c r="AG325" s="10">
        <v>0.27250000000000002</v>
      </c>
      <c r="AH325">
        <v>7.2340000000000002E-2</v>
      </c>
    </row>
    <row r="326" spans="3:34">
      <c r="C326" s="11" t="s">
        <v>579</v>
      </c>
      <c r="D326" s="10" t="s">
        <v>1</v>
      </c>
      <c r="E326" s="10">
        <v>13.71</v>
      </c>
      <c r="F326" s="10">
        <v>15.66</v>
      </c>
      <c r="G326" s="10">
        <v>89.59</v>
      </c>
      <c r="H326" s="10">
        <v>606.5</v>
      </c>
      <c r="I326" s="10">
        <v>7.9659999999999898E-2</v>
      </c>
      <c r="J326" s="10">
        <v>5.5809999999999901E-2</v>
      </c>
      <c r="K326" s="10">
        <v>2.087E-2</v>
      </c>
      <c r="L326" s="10">
        <v>2.6519999999999901E-2</v>
      </c>
      <c r="M326" s="10">
        <v>0.15890000000000001</v>
      </c>
      <c r="N326" s="10">
        <v>5.586E-2</v>
      </c>
      <c r="O326" s="10">
        <v>0.2142</v>
      </c>
      <c r="P326" s="10">
        <v>0.65490000000000004</v>
      </c>
      <c r="Q326" s="10">
        <v>1.6060000000000001</v>
      </c>
      <c r="R326" s="10">
        <v>19.25</v>
      </c>
      <c r="S326" s="10">
        <v>4.8370000000000002E-3</v>
      </c>
      <c r="T326" s="10">
        <v>9.2379999999999893E-3</v>
      </c>
      <c r="U326" s="10">
        <v>9.2130000000000007E-3</v>
      </c>
      <c r="V326" s="10">
        <v>1.076E-2</v>
      </c>
      <c r="W326" s="10">
        <v>1.171E-2</v>
      </c>
      <c r="X326" s="10">
        <v>2.104E-3</v>
      </c>
      <c r="Y326" s="10">
        <v>14.91</v>
      </c>
      <c r="Z326" s="10">
        <v>19.309999999999899</v>
      </c>
      <c r="AA326" s="10">
        <v>96.53</v>
      </c>
      <c r="AB326" s="10">
        <v>688.89999999999895</v>
      </c>
      <c r="AC326" s="10">
        <v>0.10340000000000001</v>
      </c>
      <c r="AD326" s="10">
        <v>0.1017</v>
      </c>
      <c r="AE326" s="10">
        <v>6.2600000000000003E-2</v>
      </c>
      <c r="AF326" s="10">
        <v>8.21599999999999E-2</v>
      </c>
      <c r="AG326" s="10">
        <v>0.21360000000000001</v>
      </c>
      <c r="AH326">
        <v>6.7100000000000007E-2</v>
      </c>
    </row>
    <row r="327" spans="3:34">
      <c r="C327" s="11" t="s">
        <v>580</v>
      </c>
      <c r="D327" s="10" t="s">
        <v>1</v>
      </c>
      <c r="E327" s="10">
        <v>13.71</v>
      </c>
      <c r="F327" s="10">
        <v>17.1999999999999</v>
      </c>
      <c r="G327" s="10">
        <v>71.73</v>
      </c>
      <c r="H327" s="10">
        <v>371.5</v>
      </c>
      <c r="I327" s="10">
        <v>8.9149999999999896E-2</v>
      </c>
      <c r="J327" s="10">
        <v>0.1113</v>
      </c>
      <c r="K327" s="10">
        <v>9.4570000000000001E-2</v>
      </c>
      <c r="L327" s="10">
        <v>3.6130000000000002E-2</v>
      </c>
      <c r="M327" s="10">
        <v>0.1489</v>
      </c>
      <c r="N327" s="10">
        <v>6.6400000000000001E-2</v>
      </c>
      <c r="O327" s="10">
        <v>0.25740000000000002</v>
      </c>
      <c r="P327" s="10">
        <v>1.3759999999999899</v>
      </c>
      <c r="Q327" s="10">
        <v>2.806</v>
      </c>
      <c r="R327" s="10">
        <v>18.149999999999899</v>
      </c>
      <c r="S327" s="10">
        <v>8.5649999999999893E-3</v>
      </c>
      <c r="T327" s="10">
        <v>4.63799999999999E-2</v>
      </c>
      <c r="U327" s="10">
        <v>6.4299999999999899E-2</v>
      </c>
      <c r="V327" s="10">
        <v>1.7680000000000001E-2</v>
      </c>
      <c r="W327" s="10">
        <v>1.516E-2</v>
      </c>
      <c r="X327" s="10">
        <v>4.9760000000000004E-3</v>
      </c>
      <c r="Y327" s="10">
        <v>12.3599999999999</v>
      </c>
      <c r="Z327" s="10">
        <v>26.87</v>
      </c>
      <c r="AA327" s="10">
        <v>90.14</v>
      </c>
      <c r="AB327" s="10">
        <v>476.39999999999901</v>
      </c>
      <c r="AC327" s="10">
        <v>0.1391</v>
      </c>
      <c r="AD327" s="10">
        <v>0.40820000000000001</v>
      </c>
      <c r="AE327" s="10">
        <v>0.47789999999999899</v>
      </c>
      <c r="AF327" s="10">
        <v>0.1555</v>
      </c>
      <c r="AG327" s="10">
        <v>0.254</v>
      </c>
      <c r="AH327">
        <v>9.5320000000000002E-2</v>
      </c>
    </row>
    <row r="328" spans="3:34">
      <c r="C328" s="11" t="s">
        <v>581</v>
      </c>
      <c r="D328" s="10" t="s">
        <v>0</v>
      </c>
      <c r="E328" s="10">
        <v>13.71</v>
      </c>
      <c r="F328" s="10">
        <v>25.42</v>
      </c>
      <c r="G328" s="10">
        <v>112.4</v>
      </c>
      <c r="H328" s="10">
        <v>928.79999999999905</v>
      </c>
      <c r="I328" s="10">
        <v>8.3309999999999898E-2</v>
      </c>
      <c r="J328" s="10">
        <v>0.1109</v>
      </c>
      <c r="K328" s="10">
        <v>0.12039999999999899</v>
      </c>
      <c r="L328" s="10">
        <v>5.7360000000000001E-2</v>
      </c>
      <c r="M328" s="10">
        <v>0.1467</v>
      </c>
      <c r="N328" s="10">
        <v>5.407E-2</v>
      </c>
      <c r="O328" s="10">
        <v>0.51</v>
      </c>
      <c r="P328" s="10">
        <v>1.679</v>
      </c>
      <c r="Q328" s="10">
        <v>3.2829999999999901</v>
      </c>
      <c r="R328" s="10">
        <v>58.38</v>
      </c>
      <c r="S328" s="10">
        <v>8.1089999999999895E-3</v>
      </c>
      <c r="T328" s="10">
        <v>4.308E-2</v>
      </c>
      <c r="U328" s="10">
        <v>4.9419999999999902E-2</v>
      </c>
      <c r="V328" s="10">
        <v>1.7420000000000001E-2</v>
      </c>
      <c r="W328" s="10">
        <v>1.5939999999999899E-2</v>
      </c>
      <c r="X328" s="10">
        <v>3.7390000000000001E-3</v>
      </c>
      <c r="Y328" s="10">
        <v>20.3799999999999</v>
      </c>
      <c r="Z328" s="10">
        <v>35.46</v>
      </c>
      <c r="AA328" s="10">
        <v>132.80000000000001</v>
      </c>
      <c r="AB328" s="10">
        <v>1284</v>
      </c>
      <c r="AC328" s="10">
        <v>0.14360000000000001</v>
      </c>
      <c r="AD328" s="10">
        <v>0.41220000000000001</v>
      </c>
      <c r="AE328" s="10">
        <v>0.50360000000000005</v>
      </c>
      <c r="AF328" s="10">
        <v>0.1739</v>
      </c>
      <c r="AG328" s="10">
        <v>0.25</v>
      </c>
      <c r="AH328">
        <v>7.94399999999999E-2</v>
      </c>
    </row>
    <row r="329" spans="3:34">
      <c r="C329" s="11" t="s">
        <v>582</v>
      </c>
      <c r="D329" s="10" t="s">
        <v>1</v>
      </c>
      <c r="E329" s="10">
        <v>13.71</v>
      </c>
      <c r="F329" s="10">
        <v>15.7899999999999</v>
      </c>
      <c r="G329" s="10">
        <v>88.37</v>
      </c>
      <c r="H329" s="10">
        <v>585.89999999999895</v>
      </c>
      <c r="I329" s="10">
        <v>8.8169999999999901E-2</v>
      </c>
      <c r="J329" s="10">
        <v>6.7180000000000004E-2</v>
      </c>
      <c r="K329" s="10">
        <v>1.055E-2</v>
      </c>
      <c r="L329" s="10">
        <v>9.9369999999999892E-3</v>
      </c>
      <c r="M329" s="10">
        <v>0.14050000000000001</v>
      </c>
      <c r="N329" s="10">
        <v>5.84799999999999E-2</v>
      </c>
      <c r="O329" s="10">
        <v>0.35630000000000001</v>
      </c>
      <c r="P329" s="10">
        <v>0.48330000000000001</v>
      </c>
      <c r="Q329" s="10">
        <v>2.2349999999999901</v>
      </c>
      <c r="R329" s="10">
        <v>29.34</v>
      </c>
      <c r="S329" s="10">
        <v>6.4320000000000002E-3</v>
      </c>
      <c r="T329" s="10">
        <v>1.1560000000000001E-2</v>
      </c>
      <c r="U329" s="10">
        <v>7.7409999999999901E-3</v>
      </c>
      <c r="V329" s="10">
        <v>5.6569999999999902E-3</v>
      </c>
      <c r="W329" s="10">
        <v>1.227E-2</v>
      </c>
      <c r="X329" s="10">
        <v>2.5639999999999899E-3</v>
      </c>
      <c r="Y329" s="10">
        <v>15.27</v>
      </c>
      <c r="Z329" s="10">
        <v>17.5</v>
      </c>
      <c r="AA329" s="10">
        <v>97.9</v>
      </c>
      <c r="AB329" s="10">
        <v>706.6</v>
      </c>
      <c r="AC329" s="10">
        <v>0.1072</v>
      </c>
      <c r="AD329" s="10">
        <v>0.1071</v>
      </c>
      <c r="AE329" s="10">
        <v>3.517E-2</v>
      </c>
      <c r="AF329" s="10">
        <v>3.31199999999999E-2</v>
      </c>
      <c r="AG329" s="10">
        <v>0.18590000000000001</v>
      </c>
      <c r="AH329">
        <v>6.8099999999999897E-2</v>
      </c>
    </row>
    <row r="330" spans="3:34">
      <c r="C330" s="11" t="s">
        <v>583</v>
      </c>
      <c r="D330" s="10" t="s">
        <v>1</v>
      </c>
      <c r="E330" s="10">
        <v>13.71</v>
      </c>
      <c r="F330" s="10">
        <v>18.32</v>
      </c>
      <c r="G330" s="10">
        <v>66.819999999999894</v>
      </c>
      <c r="H330" s="10">
        <v>340.89999999999901</v>
      </c>
      <c r="I330" s="10">
        <v>8.1420000000000006E-2</v>
      </c>
      <c r="J330" s="10">
        <v>4.462E-2</v>
      </c>
      <c r="K330" s="10">
        <v>1.993E-2</v>
      </c>
      <c r="L330" s="10">
        <v>1.111E-2</v>
      </c>
      <c r="M330" s="10">
        <v>0.23719999999999899</v>
      </c>
      <c r="N330" s="10">
        <v>5.7680000000000002E-2</v>
      </c>
      <c r="O330" s="10">
        <v>0.18179999999999899</v>
      </c>
      <c r="P330" s="10">
        <v>2.54199999999999</v>
      </c>
      <c r="Q330" s="10">
        <v>1.2769999999999899</v>
      </c>
      <c r="R330" s="10">
        <v>13.1199999999999</v>
      </c>
      <c r="S330" s="10">
        <v>1.072E-2</v>
      </c>
      <c r="T330" s="10">
        <v>1.3310000000000001E-2</v>
      </c>
      <c r="U330" s="10">
        <v>1.993E-2</v>
      </c>
      <c r="V330" s="10">
        <v>1.111E-2</v>
      </c>
      <c r="W330" s="10">
        <v>1.7170000000000001E-2</v>
      </c>
      <c r="X330" s="10">
        <v>4.4920000000000003E-3</v>
      </c>
      <c r="Y330" s="10">
        <v>10.94</v>
      </c>
      <c r="Z330" s="10">
        <v>23.309999999999899</v>
      </c>
      <c r="AA330" s="10">
        <v>69.349999999999895</v>
      </c>
      <c r="AB330" s="10">
        <v>366.3</v>
      </c>
      <c r="AC330" s="10">
        <v>9.7939999999999902E-2</v>
      </c>
      <c r="AD330" s="10">
        <v>6.5420000000000006E-2</v>
      </c>
      <c r="AE330" s="10">
        <v>3.986E-2</v>
      </c>
      <c r="AF330" s="10">
        <v>2.222E-2</v>
      </c>
      <c r="AG330" s="10">
        <v>0.26989999999999897</v>
      </c>
      <c r="AH330">
        <v>6.7360000000000003E-2</v>
      </c>
    </row>
    <row r="331" spans="3:34">
      <c r="C331" s="11" t="s">
        <v>584</v>
      </c>
      <c r="D331" s="10" t="s">
        <v>0</v>
      </c>
      <c r="E331" s="10">
        <v>13.71</v>
      </c>
      <c r="F331" s="10">
        <v>16.850000000000001</v>
      </c>
      <c r="G331" s="10">
        <v>117.5</v>
      </c>
      <c r="H331" s="10">
        <v>990</v>
      </c>
      <c r="I331" s="10">
        <v>8.9469999999999897E-2</v>
      </c>
      <c r="J331" s="10">
        <v>0.1232</v>
      </c>
      <c r="K331" s="10">
        <v>0.109</v>
      </c>
      <c r="L331" s="10">
        <v>6.2539999999999901E-2</v>
      </c>
      <c r="M331" s="10">
        <v>0.17199999999999899</v>
      </c>
      <c r="N331" s="10">
        <v>5.77999999999999E-2</v>
      </c>
      <c r="O331" s="10">
        <v>0.29859999999999898</v>
      </c>
      <c r="P331" s="10">
        <v>0.59060000000000001</v>
      </c>
      <c r="Q331" s="10">
        <v>1.921</v>
      </c>
      <c r="R331" s="10">
        <v>35.770000000000003</v>
      </c>
      <c r="S331" s="10">
        <v>4.117E-3</v>
      </c>
      <c r="T331" s="10">
        <v>1.55999999999999E-2</v>
      </c>
      <c r="U331" s="10">
        <v>2.9749999999999902E-2</v>
      </c>
      <c r="V331" s="10">
        <v>9.7529999999999908E-3</v>
      </c>
      <c r="W331" s="10">
        <v>1.295E-2</v>
      </c>
      <c r="X331" s="10">
        <v>2.4359999999999898E-3</v>
      </c>
      <c r="Y331" s="10">
        <v>20.3799999999999</v>
      </c>
      <c r="Z331" s="10">
        <v>22.02</v>
      </c>
      <c r="AA331" s="10">
        <v>133.30000000000001</v>
      </c>
      <c r="AB331" s="10">
        <v>1292</v>
      </c>
      <c r="AC331" s="10">
        <v>0.1263</v>
      </c>
      <c r="AD331" s="10">
        <v>0.2666</v>
      </c>
      <c r="AE331" s="10">
        <v>0.42899999999999899</v>
      </c>
      <c r="AF331" s="10">
        <v>0.1535</v>
      </c>
      <c r="AG331" s="10">
        <v>0.28420000000000001</v>
      </c>
      <c r="AH331">
        <v>8.2250000000000004E-2</v>
      </c>
    </row>
    <row r="332" spans="3:34">
      <c r="C332" s="11" t="s">
        <v>585</v>
      </c>
      <c r="D332" s="10" t="s">
        <v>1</v>
      </c>
      <c r="E332" s="10">
        <v>13.71</v>
      </c>
      <c r="F332" s="10">
        <v>24.89</v>
      </c>
      <c r="G332" s="10">
        <v>77.6099999999999</v>
      </c>
      <c r="H332" s="10">
        <v>441.3</v>
      </c>
      <c r="I332" s="10">
        <v>0.102999999999999</v>
      </c>
      <c r="J332" s="10">
        <v>9.2179999999999901E-2</v>
      </c>
      <c r="K332" s="10">
        <v>5.441E-2</v>
      </c>
      <c r="L332" s="10">
        <v>4.274E-2</v>
      </c>
      <c r="M332" s="10">
        <v>0.182</v>
      </c>
      <c r="N332" s="10">
        <v>6.8500000000000005E-2</v>
      </c>
      <c r="O332" s="10">
        <v>0.26229999999999898</v>
      </c>
      <c r="P332" s="10">
        <v>1.204</v>
      </c>
      <c r="Q332" s="10">
        <v>1.865</v>
      </c>
      <c r="R332" s="10">
        <v>19.39</v>
      </c>
      <c r="S332" s="10">
        <v>8.3199999999999906E-3</v>
      </c>
      <c r="T332" s="10">
        <v>2.0250000000000001E-2</v>
      </c>
      <c r="U332" s="10">
        <v>2.334E-2</v>
      </c>
      <c r="V332" s="10">
        <v>1.6650000000000002E-2</v>
      </c>
      <c r="W332" s="10">
        <v>2.094E-2</v>
      </c>
      <c r="X332" s="10">
        <v>3.6740000000000002E-3</v>
      </c>
      <c r="Y332" s="10">
        <v>12.98</v>
      </c>
      <c r="Z332" s="10">
        <v>30.3599999999999</v>
      </c>
      <c r="AA332" s="10">
        <v>84.48</v>
      </c>
      <c r="AB332" s="10">
        <v>513.89999999999895</v>
      </c>
      <c r="AC332" s="10">
        <v>0.131099999999999</v>
      </c>
      <c r="AD332" s="10">
        <v>0.1822</v>
      </c>
      <c r="AE332" s="10">
        <v>0.16089999999999899</v>
      </c>
      <c r="AF332" s="10">
        <v>0.1202</v>
      </c>
      <c r="AG332" s="10">
        <v>0.25990000000000002</v>
      </c>
      <c r="AH332">
        <v>8.251E-2</v>
      </c>
    </row>
    <row r="333" spans="3:34">
      <c r="C333" s="11" t="s">
        <v>586</v>
      </c>
      <c r="D333" s="10" t="s">
        <v>0</v>
      </c>
      <c r="E333" s="10">
        <v>13.71</v>
      </c>
      <c r="F333" s="10">
        <v>28.03</v>
      </c>
      <c r="G333" s="10">
        <v>117.3</v>
      </c>
      <c r="H333" s="10">
        <v>981.6</v>
      </c>
      <c r="I333" s="10">
        <v>9.9970000000000003E-2</v>
      </c>
      <c r="J333" s="10">
        <v>0.13139999999999899</v>
      </c>
      <c r="K333" s="10">
        <v>0.16980000000000001</v>
      </c>
      <c r="L333" s="10">
        <v>8.2930000000000004E-2</v>
      </c>
      <c r="M333" s="10">
        <v>0.17130000000000001</v>
      </c>
      <c r="N333" s="10">
        <v>5.91599999999999E-2</v>
      </c>
      <c r="O333" s="10">
        <v>0.38969999999999899</v>
      </c>
      <c r="P333" s="10">
        <v>1.077</v>
      </c>
      <c r="Q333" s="10">
        <v>2.8730000000000002</v>
      </c>
      <c r="R333" s="10">
        <v>43.95</v>
      </c>
      <c r="S333" s="10">
        <v>4.7140000000000003E-3</v>
      </c>
      <c r="T333" s="10">
        <v>2.0150000000000001E-2</v>
      </c>
      <c r="U333" s="10">
        <v>3.6970000000000003E-2</v>
      </c>
      <c r="V333" s="10">
        <v>1.11E-2</v>
      </c>
      <c r="W333" s="10">
        <v>1.2370000000000001E-2</v>
      </c>
      <c r="X333" s="10">
        <v>2.5560000000000001E-3</v>
      </c>
      <c r="Y333" s="10">
        <v>21.53</v>
      </c>
      <c r="Z333" s="10">
        <v>38.5399999999999</v>
      </c>
      <c r="AA333" s="10">
        <v>145.4</v>
      </c>
      <c r="AB333" s="10">
        <v>1437</v>
      </c>
      <c r="AC333" s="10">
        <v>0.1401</v>
      </c>
      <c r="AD333" s="10">
        <v>0.37619999999999898</v>
      </c>
      <c r="AE333" s="10">
        <v>0.63990000000000002</v>
      </c>
      <c r="AF333" s="10">
        <v>0.19700000000000001</v>
      </c>
      <c r="AG333" s="10">
        <v>0.29720000000000002</v>
      </c>
      <c r="AH333">
        <v>9.07499999999999E-2</v>
      </c>
    </row>
    <row r="334" spans="3:34">
      <c r="C334" s="11" t="s">
        <v>587</v>
      </c>
      <c r="D334" s="10" t="s">
        <v>1</v>
      </c>
      <c r="E334" s="10">
        <v>13.71</v>
      </c>
      <c r="F334" s="10">
        <v>17.66</v>
      </c>
      <c r="G334" s="10">
        <v>95.879999999999896</v>
      </c>
      <c r="H334" s="10">
        <v>674.79999999999905</v>
      </c>
      <c r="I334" s="10">
        <v>9.1789999999999899E-2</v>
      </c>
      <c r="J334" s="10">
        <v>8.8900000000000007E-2</v>
      </c>
      <c r="K334" s="10">
        <v>4.06899999999999E-2</v>
      </c>
      <c r="L334" s="10">
        <v>2.2599999999999901E-2</v>
      </c>
      <c r="M334" s="10">
        <v>0.1893</v>
      </c>
      <c r="N334" s="10">
        <v>5.8860000000000003E-2</v>
      </c>
      <c r="O334" s="10">
        <v>0.22040000000000001</v>
      </c>
      <c r="P334" s="10">
        <v>0.62209999999999899</v>
      </c>
      <c r="Q334" s="10">
        <v>1.482</v>
      </c>
      <c r="R334" s="10">
        <v>19.75</v>
      </c>
      <c r="S334" s="10">
        <v>4.7959999999999904E-3</v>
      </c>
      <c r="T334" s="10">
        <v>1.171E-2</v>
      </c>
      <c r="U334" s="10">
        <v>1.7579999999999901E-2</v>
      </c>
      <c r="V334" s="10">
        <v>6.8970000000000004E-3</v>
      </c>
      <c r="W334" s="10">
        <v>2.2540000000000001E-2</v>
      </c>
      <c r="X334" s="10">
        <v>1.9710000000000001E-3</v>
      </c>
      <c r="Y334" s="10">
        <v>16.43</v>
      </c>
      <c r="Z334" s="10">
        <v>22.739999999999899</v>
      </c>
      <c r="AA334" s="10">
        <v>105.9</v>
      </c>
      <c r="AB334" s="10">
        <v>829.5</v>
      </c>
      <c r="AC334" s="10">
        <v>0.1226</v>
      </c>
      <c r="AD334" s="10">
        <v>0.18809999999999899</v>
      </c>
      <c r="AE334" s="10">
        <v>0.20599999999999899</v>
      </c>
      <c r="AF334" s="10">
        <v>8.3080000000000001E-2</v>
      </c>
      <c r="AG334" s="10">
        <v>0.35999999999999899</v>
      </c>
      <c r="AH334">
        <v>7.2849999999999901E-2</v>
      </c>
    </row>
    <row r="335" spans="3:34">
      <c r="C335" s="11" t="s">
        <v>588</v>
      </c>
      <c r="D335" s="10" t="s">
        <v>1</v>
      </c>
      <c r="E335" s="10">
        <v>13.71</v>
      </c>
      <c r="F335" s="10">
        <v>19.34</v>
      </c>
      <c r="G335" s="10">
        <v>94.25</v>
      </c>
      <c r="H335" s="10">
        <v>659.7</v>
      </c>
      <c r="I335" s="10">
        <v>8.3879999999999899E-2</v>
      </c>
      <c r="J335" s="10">
        <v>7.8E-2</v>
      </c>
      <c r="K335" s="10">
        <v>8.8169999999999901E-2</v>
      </c>
      <c r="L335" s="10">
        <v>2.9250000000000002E-2</v>
      </c>
      <c r="M335" s="10">
        <v>0.14729999999999899</v>
      </c>
      <c r="N335" s="10">
        <v>5.74599999999999E-2</v>
      </c>
      <c r="O335" s="10">
        <v>0.2535</v>
      </c>
      <c r="P335" s="10">
        <v>1.3540000000000001</v>
      </c>
      <c r="Q335" s="10">
        <v>1.994</v>
      </c>
      <c r="R335" s="10">
        <v>23.0399999999999</v>
      </c>
      <c r="S335" s="10">
        <v>4.1469999999999901E-3</v>
      </c>
      <c r="T335" s="10">
        <v>2.0480000000000002E-2</v>
      </c>
      <c r="U335" s="10">
        <v>3.3790000000000001E-2</v>
      </c>
      <c r="V335" s="10">
        <v>8.848E-3</v>
      </c>
      <c r="W335" s="10">
        <v>1.39399999999999E-2</v>
      </c>
      <c r="X335" s="10">
        <v>2.3270000000000001E-3</v>
      </c>
      <c r="Y335" s="10">
        <v>16.3</v>
      </c>
      <c r="Z335" s="10">
        <v>28.39</v>
      </c>
      <c r="AA335" s="10">
        <v>108.099999999999</v>
      </c>
      <c r="AB335" s="10">
        <v>830.5</v>
      </c>
      <c r="AC335" s="10">
        <v>0.1089</v>
      </c>
      <c r="AD335" s="10">
        <v>0.26490000000000002</v>
      </c>
      <c r="AE335" s="10">
        <v>0.37790000000000001</v>
      </c>
      <c r="AF335" s="10">
        <v>9.59399999999999E-2</v>
      </c>
      <c r="AG335" s="10">
        <v>0.24709999999999899</v>
      </c>
      <c r="AH335">
        <v>7.4630000000000002E-2</v>
      </c>
    </row>
    <row r="336" spans="3:34">
      <c r="C336" s="11" t="s">
        <v>590</v>
      </c>
      <c r="D336" s="10" t="s">
        <v>1</v>
      </c>
      <c r="E336" s="10">
        <v>13.71</v>
      </c>
      <c r="F336" s="10">
        <v>21.5399999999999</v>
      </c>
      <c r="G336" s="10">
        <v>76.829999999999899</v>
      </c>
      <c r="H336" s="10">
        <v>432</v>
      </c>
      <c r="I336" s="10">
        <v>6.6129999999999897E-2</v>
      </c>
      <c r="J336" s="10">
        <v>0.106399999999999</v>
      </c>
      <c r="K336" s="10">
        <v>8.7770000000000001E-2</v>
      </c>
      <c r="L336" s="10">
        <v>2.3859999999999899E-2</v>
      </c>
      <c r="M336" s="10">
        <v>0.13489999999999899</v>
      </c>
      <c r="N336" s="10">
        <v>6.6119999999999901E-2</v>
      </c>
      <c r="O336" s="10">
        <v>0.25600000000000001</v>
      </c>
      <c r="P336" s="10">
        <v>1.554</v>
      </c>
      <c r="Q336" s="10">
        <v>1.9550000000000001</v>
      </c>
      <c r="R336" s="10">
        <v>20.239999999999899</v>
      </c>
      <c r="S336" s="10">
        <v>6.8539999999999903E-3</v>
      </c>
      <c r="T336" s="10">
        <v>6.0630000000000003E-2</v>
      </c>
      <c r="U336" s="10">
        <v>6.6629999999999898E-2</v>
      </c>
      <c r="V336" s="10">
        <v>1.553E-2</v>
      </c>
      <c r="W336" s="10">
        <v>2.3539999999999901E-2</v>
      </c>
      <c r="X336" s="10">
        <v>8.9250000000000006E-3</v>
      </c>
      <c r="Y336" s="10">
        <v>12.7899999999999</v>
      </c>
      <c r="Z336" s="10">
        <v>28.18</v>
      </c>
      <c r="AA336" s="10">
        <v>83.51</v>
      </c>
      <c r="AB336" s="10">
        <v>507.19999999999902</v>
      </c>
      <c r="AC336" s="10">
        <v>9.4570000000000001E-2</v>
      </c>
      <c r="AD336" s="10">
        <v>0.33989999999999898</v>
      </c>
      <c r="AE336" s="10">
        <v>0.32179999999999898</v>
      </c>
      <c r="AF336" s="10">
        <v>8.7499999999999897E-2</v>
      </c>
      <c r="AG336" s="10">
        <v>0.23050000000000001</v>
      </c>
      <c r="AH336">
        <v>9.95199999999999E-2</v>
      </c>
    </row>
    <row r="337" spans="3:34">
      <c r="C337" s="11" t="s">
        <v>591</v>
      </c>
      <c r="D337" s="10" t="s">
        <v>0</v>
      </c>
      <c r="E337" s="10">
        <v>13.71</v>
      </c>
      <c r="F337" s="10">
        <v>25</v>
      </c>
      <c r="G337" s="10">
        <v>127.7</v>
      </c>
      <c r="H337" s="10">
        <v>1191</v>
      </c>
      <c r="I337" s="10">
        <v>0.1032</v>
      </c>
      <c r="J337" s="10">
        <v>9.8710000000000006E-2</v>
      </c>
      <c r="K337" s="10">
        <v>0.16550000000000001</v>
      </c>
      <c r="L337" s="10">
        <v>9.0630000000000002E-2</v>
      </c>
      <c r="M337" s="10">
        <v>0.1663</v>
      </c>
      <c r="N337" s="10">
        <v>5.391E-2</v>
      </c>
      <c r="O337" s="10">
        <v>0.46739999999999898</v>
      </c>
      <c r="P337" s="10">
        <v>1.375</v>
      </c>
      <c r="Q337" s="10">
        <v>2.9159999999999902</v>
      </c>
      <c r="R337" s="10">
        <v>56.18</v>
      </c>
      <c r="S337" s="10">
        <v>1.1900000000000001E-2</v>
      </c>
      <c r="T337" s="10">
        <v>1.9290000000000002E-2</v>
      </c>
      <c r="U337" s="10">
        <v>4.9070000000000003E-2</v>
      </c>
      <c r="V337" s="10">
        <v>1.499E-2</v>
      </c>
      <c r="W337" s="10">
        <v>1.6410000000000001E-2</v>
      </c>
      <c r="X337" s="10">
        <v>1.807E-3</v>
      </c>
      <c r="Y337" s="10">
        <v>21.44</v>
      </c>
      <c r="Z337" s="10">
        <v>30.96</v>
      </c>
      <c r="AA337" s="10">
        <v>139.80000000000001</v>
      </c>
      <c r="AB337" s="10">
        <v>1421</v>
      </c>
      <c r="AC337" s="10">
        <v>0.15279999999999899</v>
      </c>
      <c r="AD337" s="10">
        <v>0.1845</v>
      </c>
      <c r="AE337" s="10">
        <v>0.3977</v>
      </c>
      <c r="AF337" s="10">
        <v>0.14660000000000001</v>
      </c>
      <c r="AG337" s="10">
        <v>0.2293</v>
      </c>
      <c r="AH337">
        <v>6.0909999999999902E-2</v>
      </c>
    </row>
    <row r="338" spans="3:34">
      <c r="C338" s="11" t="s">
        <v>592</v>
      </c>
      <c r="D338" s="10" t="s">
        <v>1</v>
      </c>
      <c r="E338" s="10">
        <v>13.71</v>
      </c>
      <c r="F338" s="10">
        <v>28.23</v>
      </c>
      <c r="G338" s="10">
        <v>76.769999999999897</v>
      </c>
      <c r="H338" s="10">
        <v>442.5</v>
      </c>
      <c r="I338" s="10">
        <v>8.4370000000000001E-2</v>
      </c>
      <c r="J338" s="10">
        <v>6.4500000000000002E-2</v>
      </c>
      <c r="K338" s="10">
        <v>4.0550000000000003E-2</v>
      </c>
      <c r="L338" s="10">
        <v>1.9449999999999901E-2</v>
      </c>
      <c r="M338" s="10">
        <v>0.1615</v>
      </c>
      <c r="N338" s="10">
        <v>6.10399999999999E-2</v>
      </c>
      <c r="O338" s="10">
        <v>0.19120000000000001</v>
      </c>
      <c r="P338" s="10">
        <v>1.7050000000000001</v>
      </c>
      <c r="Q338" s="10">
        <v>1.516</v>
      </c>
      <c r="R338" s="10">
        <v>13.8599999999999</v>
      </c>
      <c r="S338" s="10">
        <v>7.3340000000000002E-3</v>
      </c>
      <c r="T338" s="10">
        <v>2.589E-2</v>
      </c>
      <c r="U338" s="10">
        <v>2.9409999999999901E-2</v>
      </c>
      <c r="V338" s="10">
        <v>9.1660000000000005E-3</v>
      </c>
      <c r="W338" s="10">
        <v>1.745E-2</v>
      </c>
      <c r="X338" s="10">
        <v>4.3020000000000003E-3</v>
      </c>
      <c r="Y338" s="10">
        <v>13.09</v>
      </c>
      <c r="Z338" s="10">
        <v>37.880000000000003</v>
      </c>
      <c r="AA338" s="10">
        <v>85.069999999999894</v>
      </c>
      <c r="AB338" s="10">
        <v>523.70000000000005</v>
      </c>
      <c r="AC338" s="10">
        <v>0.1208</v>
      </c>
      <c r="AD338" s="10">
        <v>0.18559999999999899</v>
      </c>
      <c r="AE338" s="10">
        <v>0.18110000000000001</v>
      </c>
      <c r="AF338" s="10">
        <v>7.1160000000000001E-2</v>
      </c>
      <c r="AG338" s="10">
        <v>0.2447</v>
      </c>
      <c r="AH338">
        <v>8.1939999999999902E-2</v>
      </c>
    </row>
    <row r="339" spans="3:34">
      <c r="C339" s="11" t="s">
        <v>593</v>
      </c>
      <c r="D339" s="10" t="s">
        <v>1</v>
      </c>
      <c r="E339" s="10">
        <v>13.71</v>
      </c>
      <c r="F339" s="10">
        <v>13.98</v>
      </c>
      <c r="G339" s="10">
        <v>93.8599999999999</v>
      </c>
      <c r="H339" s="10">
        <v>644.20000000000005</v>
      </c>
      <c r="I339" s="10">
        <v>0.1099</v>
      </c>
      <c r="J339" s="10">
        <v>9.2420000000000002E-2</v>
      </c>
      <c r="K339" s="10">
        <v>6.89499999999999E-2</v>
      </c>
      <c r="L339" s="10">
        <v>6.4949999999999897E-2</v>
      </c>
      <c r="M339" s="10">
        <v>0.16500000000000001</v>
      </c>
      <c r="N339" s="10">
        <v>6.1210000000000001E-2</v>
      </c>
      <c r="O339" s="10">
        <v>0.305999999999999</v>
      </c>
      <c r="P339" s="10">
        <v>0.72130000000000005</v>
      </c>
      <c r="Q339" s="10">
        <v>2.14299999999999</v>
      </c>
      <c r="R339" s="10">
        <v>25.6999999999999</v>
      </c>
      <c r="S339" s="10">
        <v>6.1330000000000004E-3</v>
      </c>
      <c r="T339" s="10">
        <v>1.251E-2</v>
      </c>
      <c r="U339" s="10">
        <v>1.6150000000000001E-2</v>
      </c>
      <c r="V339" s="10">
        <v>1.136E-2</v>
      </c>
      <c r="W339" s="10">
        <v>2.2069999999999899E-2</v>
      </c>
      <c r="X339" s="10">
        <v>3.5630000000000002E-3</v>
      </c>
      <c r="Y339" s="10">
        <v>15.8</v>
      </c>
      <c r="Z339" s="10">
        <v>16.93</v>
      </c>
      <c r="AA339" s="10">
        <v>103.099999999999</v>
      </c>
      <c r="AB339" s="10">
        <v>749.89999999999895</v>
      </c>
      <c r="AC339" s="10">
        <v>0.13469999999999899</v>
      </c>
      <c r="AD339" s="10">
        <v>0.14779999999999899</v>
      </c>
      <c r="AE339" s="10">
        <v>0.13730000000000001</v>
      </c>
      <c r="AF339" s="10">
        <v>0.1069</v>
      </c>
      <c r="AG339" s="10">
        <v>0.2606</v>
      </c>
      <c r="AH339">
        <v>7.8100000000000003E-2</v>
      </c>
    </row>
    <row r="340" spans="3:34">
      <c r="C340" s="11" t="s">
        <v>594</v>
      </c>
      <c r="D340" s="10" t="s">
        <v>1</v>
      </c>
      <c r="E340" s="10">
        <v>13.71</v>
      </c>
      <c r="F340" s="10">
        <v>17.149999999999899</v>
      </c>
      <c r="G340" s="10">
        <v>80.62</v>
      </c>
      <c r="H340" s="10">
        <v>492.89999999999901</v>
      </c>
      <c r="I340" s="10">
        <v>8.5830000000000004E-2</v>
      </c>
      <c r="J340" s="10">
        <v>5.4300000000000001E-2</v>
      </c>
      <c r="K340" s="10">
        <v>2.9659999999999902E-2</v>
      </c>
      <c r="L340" s="10">
        <v>2.2720000000000001E-2</v>
      </c>
      <c r="M340" s="10">
        <v>0.1799</v>
      </c>
      <c r="N340" s="10">
        <v>5.8259999999999902E-2</v>
      </c>
      <c r="O340" s="10">
        <v>0.16919999999999899</v>
      </c>
      <c r="P340" s="10">
        <v>0.66739999999999899</v>
      </c>
      <c r="Q340" s="10">
        <v>1.1160000000000001</v>
      </c>
      <c r="R340" s="10">
        <v>13.32</v>
      </c>
      <c r="S340" s="10">
        <v>3.888E-3</v>
      </c>
      <c r="T340" s="10">
        <v>8.5389999999999893E-3</v>
      </c>
      <c r="U340" s="10">
        <v>1.256E-2</v>
      </c>
      <c r="V340" s="10">
        <v>6.888E-3</v>
      </c>
      <c r="W340" s="10">
        <v>1.6080000000000001E-2</v>
      </c>
      <c r="X340" s="10">
        <v>1.6379999999999899E-3</v>
      </c>
      <c r="Y340" s="10">
        <v>14.34</v>
      </c>
      <c r="Z340" s="10">
        <v>22.149999999999899</v>
      </c>
      <c r="AA340" s="10">
        <v>91.62</v>
      </c>
      <c r="AB340" s="10">
        <v>633.5</v>
      </c>
      <c r="AC340" s="10">
        <v>0.1225</v>
      </c>
      <c r="AD340" s="10">
        <v>0.1517</v>
      </c>
      <c r="AE340" s="10">
        <v>0.18870000000000001</v>
      </c>
      <c r="AF340" s="10">
        <v>9.851E-2</v>
      </c>
      <c r="AG340" s="10">
        <v>0.32700000000000001</v>
      </c>
      <c r="AH340">
        <v>7.3300000000000004E-2</v>
      </c>
    </row>
    <row r="341" spans="3:34">
      <c r="C341" s="11" t="s">
        <v>596</v>
      </c>
      <c r="D341" s="10" t="s">
        <v>1</v>
      </c>
      <c r="E341" s="10">
        <v>13.71</v>
      </c>
      <c r="F341" s="10">
        <v>29.2899999999999</v>
      </c>
      <c r="G341" s="10">
        <v>74.87</v>
      </c>
      <c r="H341" s="10">
        <v>415.1</v>
      </c>
      <c r="I341" s="10">
        <v>9.357E-2</v>
      </c>
      <c r="J341" s="10">
        <v>8.57399999999999E-2</v>
      </c>
      <c r="K341" s="10">
        <v>7.15999999999999E-2</v>
      </c>
      <c r="L341" s="10">
        <v>2.017E-2</v>
      </c>
      <c r="M341" s="10">
        <v>0.1799</v>
      </c>
      <c r="N341" s="10">
        <v>6.166E-2</v>
      </c>
      <c r="O341" s="10">
        <v>0.3135</v>
      </c>
      <c r="P341" s="10">
        <v>2.4260000000000002</v>
      </c>
      <c r="Q341" s="10">
        <v>2.1499999999999901</v>
      </c>
      <c r="R341" s="10">
        <v>23.1299999999999</v>
      </c>
      <c r="S341" s="10">
        <v>9.861E-3</v>
      </c>
      <c r="T341" s="10">
        <v>2.418E-2</v>
      </c>
      <c r="U341" s="10">
        <v>4.2750000000000003E-2</v>
      </c>
      <c r="V341" s="10">
        <v>9.2149999999999906E-3</v>
      </c>
      <c r="W341" s="10">
        <v>2.4750000000000001E-2</v>
      </c>
      <c r="X341" s="10">
        <v>2.1280000000000001E-3</v>
      </c>
      <c r="Y341" s="10">
        <v>13.1199999999999</v>
      </c>
      <c r="Z341" s="10">
        <v>38.81</v>
      </c>
      <c r="AA341" s="10">
        <v>86.04</v>
      </c>
      <c r="AB341" s="10">
        <v>527.79999999999905</v>
      </c>
      <c r="AC341" s="10">
        <v>0.1406</v>
      </c>
      <c r="AD341" s="10">
        <v>0.2031</v>
      </c>
      <c r="AE341" s="10">
        <v>0.2923</v>
      </c>
      <c r="AF341" s="10">
        <v>6.8349999999999897E-2</v>
      </c>
      <c r="AG341" s="10">
        <v>0.28839999999999899</v>
      </c>
      <c r="AH341">
        <v>7.22E-2</v>
      </c>
    </row>
    <row r="342" spans="3:34">
      <c r="C342" s="11" t="s">
        <v>599</v>
      </c>
      <c r="D342" s="10" t="s">
        <v>1</v>
      </c>
      <c r="E342" s="10">
        <v>13.71</v>
      </c>
      <c r="F342" s="10">
        <v>28.1999999999999</v>
      </c>
      <c r="G342" s="10">
        <v>61.68</v>
      </c>
      <c r="H342" s="10">
        <v>290.89999999999901</v>
      </c>
      <c r="I342" s="10">
        <v>7.9839999999999897E-2</v>
      </c>
      <c r="J342" s="10">
        <v>4.6260000000000003E-2</v>
      </c>
      <c r="K342" s="10">
        <v>1.541E-2</v>
      </c>
      <c r="L342" s="10">
        <v>1.043E-2</v>
      </c>
      <c r="M342" s="10">
        <v>0.16209999999999899</v>
      </c>
      <c r="N342" s="10">
        <v>5.9520000000000003E-2</v>
      </c>
      <c r="O342" s="10">
        <v>0.17810000000000001</v>
      </c>
      <c r="P342" s="10">
        <v>1.6870000000000001</v>
      </c>
      <c r="Q342" s="10">
        <v>1.2430000000000001</v>
      </c>
      <c r="R342" s="10">
        <v>11.2799999999999</v>
      </c>
      <c r="S342" s="10">
        <v>6.5880000000000001E-3</v>
      </c>
      <c r="T342" s="10">
        <v>1.2699999999999901E-2</v>
      </c>
      <c r="U342" s="10">
        <v>1.4500000000000001E-2</v>
      </c>
      <c r="V342" s="10">
        <v>6.1040000000000001E-3</v>
      </c>
      <c r="W342" s="10">
        <v>1.5740000000000001E-2</v>
      </c>
      <c r="X342" s="10">
        <v>2.2680000000000001E-3</v>
      </c>
      <c r="Y342" s="10">
        <v>10.67</v>
      </c>
      <c r="Z342" s="10">
        <v>36.92</v>
      </c>
      <c r="AA342" s="10">
        <v>68.03</v>
      </c>
      <c r="AB342" s="10">
        <v>349.89999999999901</v>
      </c>
      <c r="AC342" s="10">
        <v>0.111</v>
      </c>
      <c r="AD342" s="10">
        <v>0.1109</v>
      </c>
      <c r="AE342" s="10">
        <v>7.1900000000000006E-2</v>
      </c>
      <c r="AF342" s="10">
        <v>4.8660000000000002E-2</v>
      </c>
      <c r="AG342" s="10">
        <v>0.2321</v>
      </c>
      <c r="AH342">
        <v>7.2109999999999896E-2</v>
      </c>
    </row>
    <row r="343" spans="3:34">
      <c r="C343" s="11" t="s">
        <v>601</v>
      </c>
      <c r="D343" s="10" t="s">
        <v>0</v>
      </c>
      <c r="E343" s="10">
        <v>13.71</v>
      </c>
      <c r="F343" s="10">
        <v>26.27</v>
      </c>
      <c r="G343" s="10">
        <v>186.9</v>
      </c>
      <c r="H343" s="10">
        <v>2501</v>
      </c>
      <c r="I343" s="10">
        <v>0.1084</v>
      </c>
      <c r="J343" s="10">
        <v>0.1988</v>
      </c>
      <c r="K343" s="10">
        <v>0.36349999999999899</v>
      </c>
      <c r="L343" s="10">
        <v>0.168899999999999</v>
      </c>
      <c r="M343" s="10">
        <v>0.20610000000000001</v>
      </c>
      <c r="N343" s="10">
        <v>5.6230000000000002E-2</v>
      </c>
      <c r="O343" s="10">
        <v>2.5470000000000002</v>
      </c>
      <c r="P343" s="10">
        <v>1.306</v>
      </c>
      <c r="Q343" s="10">
        <v>18.649999999999899</v>
      </c>
      <c r="R343" s="10">
        <v>542.20000000000005</v>
      </c>
      <c r="S343" s="10">
        <v>7.6499999999999901E-3</v>
      </c>
      <c r="T343" s="10">
        <v>5.3740000000000003E-2</v>
      </c>
      <c r="U343" s="10">
        <v>8.0549999999999899E-2</v>
      </c>
      <c r="V343" s="10">
        <v>2.598E-2</v>
      </c>
      <c r="W343" s="10">
        <v>1.6969999999999898E-2</v>
      </c>
      <c r="X343" s="10">
        <v>4.5580000000000004E-3</v>
      </c>
      <c r="Y343" s="10">
        <v>36.0399999999999</v>
      </c>
      <c r="Z343" s="10">
        <v>31.37</v>
      </c>
      <c r="AA343" s="10">
        <v>251.19999999999899</v>
      </c>
      <c r="AB343" s="10">
        <v>4254</v>
      </c>
      <c r="AC343" s="10">
        <v>0.13569999999999899</v>
      </c>
      <c r="AD343" s="10">
        <v>0.42559999999999898</v>
      </c>
      <c r="AE343" s="10">
        <v>0.68330000000000002</v>
      </c>
      <c r="AF343" s="10">
        <v>0.26250000000000001</v>
      </c>
      <c r="AG343" s="10">
        <v>0.2641</v>
      </c>
      <c r="AH343">
        <v>7.4270000000000003E-2</v>
      </c>
    </row>
    <row r="344" spans="3:34">
      <c r="C344" s="11" t="s">
        <v>602</v>
      </c>
      <c r="D344" s="10" t="s">
        <v>1</v>
      </c>
      <c r="E344" s="10">
        <v>13.71</v>
      </c>
      <c r="F344" s="10">
        <v>26.989999999999899</v>
      </c>
      <c r="G344" s="10">
        <v>92.25</v>
      </c>
      <c r="H344" s="10">
        <v>646.1</v>
      </c>
      <c r="I344" s="10">
        <v>6.9949999999999901E-2</v>
      </c>
      <c r="J344" s="10">
        <v>5.2229999999999902E-2</v>
      </c>
      <c r="K344" s="10">
        <v>3.4759999999999902E-2</v>
      </c>
      <c r="L344" s="10">
        <v>1.737E-2</v>
      </c>
      <c r="M344" s="10">
        <v>0.17069999999999899</v>
      </c>
      <c r="N344" s="10">
        <v>5.4330000000000003E-2</v>
      </c>
      <c r="O344" s="10">
        <v>0.23150000000000001</v>
      </c>
      <c r="P344" s="10">
        <v>0.91120000000000001</v>
      </c>
      <c r="Q344" s="10">
        <v>1.7270000000000001</v>
      </c>
      <c r="R344" s="10">
        <v>20.52</v>
      </c>
      <c r="S344" s="10">
        <v>5.3559999999999901E-3</v>
      </c>
      <c r="T344" s="10">
        <v>1.6789999999999899E-2</v>
      </c>
      <c r="U344" s="10">
        <v>1.9709999999999901E-2</v>
      </c>
      <c r="V344" s="10">
        <v>6.3699999999999903E-3</v>
      </c>
      <c r="W344" s="10">
        <v>1.414E-2</v>
      </c>
      <c r="X344" s="10">
        <v>1.892E-3</v>
      </c>
      <c r="Y344" s="10">
        <v>15.4</v>
      </c>
      <c r="Z344" s="10">
        <v>31.98</v>
      </c>
      <c r="AA344" s="10">
        <v>100.4</v>
      </c>
      <c r="AB344" s="10">
        <v>734.6</v>
      </c>
      <c r="AC344" s="10">
        <v>0.1017</v>
      </c>
      <c r="AD344" s="10">
        <v>0.14599999999999899</v>
      </c>
      <c r="AE344" s="10">
        <v>0.1472</v>
      </c>
      <c r="AF344" s="10">
        <v>5.5629999999999902E-2</v>
      </c>
      <c r="AG344" s="10">
        <v>0.23449999999999899</v>
      </c>
      <c r="AH344">
        <v>6.4640000000000003E-2</v>
      </c>
    </row>
    <row r="345" spans="3:34">
      <c r="C345" s="11" t="s">
        <v>603</v>
      </c>
      <c r="D345" s="10" t="s">
        <v>1</v>
      </c>
      <c r="E345" s="10">
        <v>13.71</v>
      </c>
      <c r="F345" s="10">
        <v>18.3599999999999</v>
      </c>
      <c r="G345" s="10">
        <v>73.879999999999896</v>
      </c>
      <c r="H345" s="10">
        <v>412.69999999999902</v>
      </c>
      <c r="I345" s="10">
        <v>8.5080000000000003E-2</v>
      </c>
      <c r="J345" s="10">
        <v>5.8549999999999901E-2</v>
      </c>
      <c r="K345" s="10">
        <v>3.3669999999999901E-2</v>
      </c>
      <c r="L345" s="10">
        <v>1.7770000000000001E-2</v>
      </c>
      <c r="M345" s="10">
        <v>0.15160000000000001</v>
      </c>
      <c r="N345" s="10">
        <v>5.8590000000000003E-2</v>
      </c>
      <c r="O345" s="10">
        <v>0.18160000000000001</v>
      </c>
      <c r="P345" s="10">
        <v>0.76559999999999895</v>
      </c>
      <c r="Q345" s="10">
        <v>1.3029999999999899</v>
      </c>
      <c r="R345" s="10">
        <v>12.89</v>
      </c>
      <c r="S345" s="10">
        <v>6.7089999999999901E-3</v>
      </c>
      <c r="T345" s="10">
        <v>1.7010000000000001E-2</v>
      </c>
      <c r="U345" s="10">
        <v>2.0799999999999898E-2</v>
      </c>
      <c r="V345" s="10">
        <v>7.4970000000000002E-3</v>
      </c>
      <c r="W345" s="10">
        <v>2.1239999999999901E-2</v>
      </c>
      <c r="X345" s="10">
        <v>2.7680000000000001E-3</v>
      </c>
      <c r="Y345" s="10">
        <v>12.77</v>
      </c>
      <c r="Z345" s="10">
        <v>24.02</v>
      </c>
      <c r="AA345" s="10">
        <v>82.68</v>
      </c>
      <c r="AB345" s="10">
        <v>495.1</v>
      </c>
      <c r="AC345" s="10">
        <v>0.13420000000000001</v>
      </c>
      <c r="AD345" s="10">
        <v>0.18079999999999899</v>
      </c>
      <c r="AE345" s="10">
        <v>0.186</v>
      </c>
      <c r="AF345" s="10">
        <v>8.2879999999999898E-2</v>
      </c>
      <c r="AG345" s="10">
        <v>0.32100000000000001</v>
      </c>
      <c r="AH345">
        <v>7.8630000000000005E-2</v>
      </c>
    </row>
    <row r="346" spans="3:34">
      <c r="C346" s="11" t="s">
        <v>604</v>
      </c>
      <c r="D346" s="10" t="s">
        <v>1</v>
      </c>
      <c r="E346" s="10">
        <v>13.71</v>
      </c>
      <c r="F346" s="10">
        <v>18.219999999999899</v>
      </c>
      <c r="G346" s="10">
        <v>84.28</v>
      </c>
      <c r="H346" s="10">
        <v>537.29999999999905</v>
      </c>
      <c r="I346" s="10">
        <v>7.4660000000000004E-2</v>
      </c>
      <c r="J346" s="10">
        <v>5.994E-2</v>
      </c>
      <c r="K346" s="10">
        <v>4.8590000000000001E-2</v>
      </c>
      <c r="L346" s="10">
        <v>2.87E-2</v>
      </c>
      <c r="M346" s="10">
        <v>0.1454</v>
      </c>
      <c r="N346" s="10">
        <v>5.5489999999999901E-2</v>
      </c>
      <c r="O346" s="10">
        <v>0.20230000000000001</v>
      </c>
      <c r="P346" s="10">
        <v>0.68500000000000005</v>
      </c>
      <c r="Q346" s="10">
        <v>1.236</v>
      </c>
      <c r="R346" s="10">
        <v>16.89</v>
      </c>
      <c r="S346" s="10">
        <v>5.9690000000000003E-3</v>
      </c>
      <c r="T346" s="10">
        <v>1.4930000000000001E-2</v>
      </c>
      <c r="U346" s="10">
        <v>1.5640000000000001E-2</v>
      </c>
      <c r="V346" s="10">
        <v>8.463E-3</v>
      </c>
      <c r="W346" s="10">
        <v>1.093E-2</v>
      </c>
      <c r="X346" s="10">
        <v>1.6720000000000001E-3</v>
      </c>
      <c r="Y346" s="10">
        <v>14.9</v>
      </c>
      <c r="Z346" s="10">
        <v>23.89</v>
      </c>
      <c r="AA346" s="10">
        <v>95.099999999999895</v>
      </c>
      <c r="AB346" s="10">
        <v>687.6</v>
      </c>
      <c r="AC346" s="10">
        <v>0.12820000000000001</v>
      </c>
      <c r="AD346" s="10">
        <v>0.19650000000000001</v>
      </c>
      <c r="AE346" s="10">
        <v>0.18759999999999899</v>
      </c>
      <c r="AF346" s="10">
        <v>0.1045</v>
      </c>
      <c r="AG346" s="10">
        <v>0.2235</v>
      </c>
      <c r="AH346">
        <v>6.9250000000000006E-2</v>
      </c>
    </row>
    <row r="347" spans="3:34">
      <c r="C347" s="11" t="s">
        <v>605</v>
      </c>
      <c r="D347" s="10" t="s">
        <v>1</v>
      </c>
      <c r="E347" s="10">
        <v>13.71</v>
      </c>
      <c r="F347" s="10">
        <v>20.1299999999999</v>
      </c>
      <c r="G347" s="10">
        <v>86.87</v>
      </c>
      <c r="H347" s="10">
        <v>542.89999999999895</v>
      </c>
      <c r="I347" s="10">
        <v>8.28399999999999E-2</v>
      </c>
      <c r="J347" s="10">
        <v>0.12230000000000001</v>
      </c>
      <c r="K347" s="10">
        <v>0.10100000000000001</v>
      </c>
      <c r="L347" s="10">
        <v>2.8330000000000001E-2</v>
      </c>
      <c r="M347" s="10">
        <v>0.16009999999999899</v>
      </c>
      <c r="N347" s="10">
        <v>6.4320000000000002E-2</v>
      </c>
      <c r="O347" s="10">
        <v>0.28100000000000003</v>
      </c>
      <c r="P347" s="10">
        <v>0.8135</v>
      </c>
      <c r="Q347" s="10">
        <v>3.3690000000000002</v>
      </c>
      <c r="R347" s="10">
        <v>23.809999999999899</v>
      </c>
      <c r="S347" s="10">
        <v>4.9290000000000002E-3</v>
      </c>
      <c r="T347" s="10">
        <v>6.6570000000000004E-2</v>
      </c>
      <c r="U347" s="10">
        <v>7.6829999999999898E-2</v>
      </c>
      <c r="V347" s="10">
        <v>1.3679999999999901E-2</v>
      </c>
      <c r="W347" s="10">
        <v>1.52599999999999E-2</v>
      </c>
      <c r="X347" s="10">
        <v>8.1329999999999892E-3</v>
      </c>
      <c r="Y347" s="10">
        <v>15.44</v>
      </c>
      <c r="Z347" s="10">
        <v>25.5</v>
      </c>
      <c r="AA347" s="10">
        <v>115</v>
      </c>
      <c r="AB347" s="10">
        <v>733.5</v>
      </c>
      <c r="AC347" s="10">
        <v>0.1201</v>
      </c>
      <c r="AD347" s="10">
        <v>0.56459999999999899</v>
      </c>
      <c r="AE347" s="10">
        <v>0.65559999999999896</v>
      </c>
      <c r="AF347" s="10">
        <v>0.13569999999999899</v>
      </c>
      <c r="AG347" s="10">
        <v>0.28449999999999898</v>
      </c>
      <c r="AH347">
        <v>0.1249</v>
      </c>
    </row>
    <row r="348" spans="3:34">
      <c r="C348" s="11" t="s">
        <v>607</v>
      </c>
      <c r="D348" s="10" t="s">
        <v>1</v>
      </c>
      <c r="E348" s="10">
        <v>13.71</v>
      </c>
      <c r="F348" s="10">
        <v>18.100000000000001</v>
      </c>
      <c r="G348" s="10">
        <v>61.06</v>
      </c>
      <c r="H348" s="10">
        <v>286.3</v>
      </c>
      <c r="I348" s="10">
        <v>8.3110000000000003E-2</v>
      </c>
      <c r="J348" s="10">
        <v>5.4280000000000002E-2</v>
      </c>
      <c r="K348" s="10">
        <v>1.47899999999999E-2</v>
      </c>
      <c r="L348" s="10">
        <v>5.7689999999999903E-3</v>
      </c>
      <c r="M348" s="10">
        <v>0.16800000000000001</v>
      </c>
      <c r="N348" s="10">
        <v>6.4119999999999899E-2</v>
      </c>
      <c r="O348" s="10">
        <v>0.34160000000000001</v>
      </c>
      <c r="P348" s="10">
        <v>1.3120000000000001</v>
      </c>
      <c r="Q348" s="10">
        <v>2.2749999999999901</v>
      </c>
      <c r="R348" s="10">
        <v>20.98</v>
      </c>
      <c r="S348" s="10">
        <v>1.098E-2</v>
      </c>
      <c r="T348" s="10">
        <v>1.257E-2</v>
      </c>
      <c r="U348" s="10">
        <v>1.031E-2</v>
      </c>
      <c r="V348" s="10">
        <v>3.934E-3</v>
      </c>
      <c r="W348" s="10">
        <v>2.6929999999999898E-2</v>
      </c>
      <c r="X348" s="10">
        <v>2.9789999999999899E-3</v>
      </c>
      <c r="Y348" s="10">
        <v>11.15</v>
      </c>
      <c r="Z348" s="10">
        <v>24.62</v>
      </c>
      <c r="AA348" s="10">
        <v>71.1099999999999</v>
      </c>
      <c r="AB348" s="10">
        <v>380.19999999999902</v>
      </c>
      <c r="AC348" s="10">
        <v>0.13880000000000001</v>
      </c>
      <c r="AD348" s="10">
        <v>0.1255</v>
      </c>
      <c r="AE348" s="10">
        <v>6.4089999999999897E-2</v>
      </c>
      <c r="AF348" s="10">
        <v>2.5000000000000001E-2</v>
      </c>
      <c r="AG348" s="10">
        <v>0.30570000000000003</v>
      </c>
      <c r="AH348">
        <v>7.8750000000000001E-2</v>
      </c>
    </row>
    <row r="349" spans="3:34">
      <c r="C349" s="11" t="s">
        <v>609</v>
      </c>
      <c r="D349" s="10" t="s">
        <v>1</v>
      </c>
      <c r="E349" s="10">
        <v>13.71</v>
      </c>
      <c r="F349" s="10">
        <v>18.18</v>
      </c>
      <c r="G349" s="10">
        <v>76.379999999999896</v>
      </c>
      <c r="H349" s="10">
        <v>408.8</v>
      </c>
      <c r="I349" s="10">
        <v>0.11749999999999899</v>
      </c>
      <c r="J349" s="10">
        <v>0.14829999999999899</v>
      </c>
      <c r="K349" s="10">
        <v>0.10199999999999899</v>
      </c>
      <c r="L349" s="10">
        <v>5.5640000000000002E-2</v>
      </c>
      <c r="M349" s="10">
        <v>0.19570000000000001</v>
      </c>
      <c r="N349" s="10">
        <v>7.2550000000000003E-2</v>
      </c>
      <c r="O349" s="10">
        <v>0.41010000000000002</v>
      </c>
      <c r="P349" s="10">
        <v>1.74</v>
      </c>
      <c r="Q349" s="10">
        <v>3.0270000000000001</v>
      </c>
      <c r="R349" s="10">
        <v>27.85</v>
      </c>
      <c r="S349" s="10">
        <v>1.4590000000000001E-2</v>
      </c>
      <c r="T349" s="10">
        <v>3.2059999999999901E-2</v>
      </c>
      <c r="U349" s="10">
        <v>4.9610000000000001E-2</v>
      </c>
      <c r="V349" s="10">
        <v>1.8409999999999899E-2</v>
      </c>
      <c r="W349" s="10">
        <v>1.8069999999999899E-2</v>
      </c>
      <c r="X349" s="10">
        <v>5.2170000000000003E-3</v>
      </c>
      <c r="Y349" s="10">
        <v>13.3599999999999</v>
      </c>
      <c r="Z349" s="10">
        <v>25.399999999999899</v>
      </c>
      <c r="AA349" s="10">
        <v>88.14</v>
      </c>
      <c r="AB349" s="10">
        <v>528.1</v>
      </c>
      <c r="AC349" s="10">
        <v>0.17799999999999899</v>
      </c>
      <c r="AD349" s="10">
        <v>0.2878</v>
      </c>
      <c r="AE349" s="10">
        <v>0.318599999999999</v>
      </c>
      <c r="AF349" s="10">
        <v>0.1416</v>
      </c>
      <c r="AG349" s="10">
        <v>0.26600000000000001</v>
      </c>
      <c r="AH349">
        <v>9.2700000000000005E-2</v>
      </c>
    </row>
    <row r="350" spans="3:34">
      <c r="C350" s="11" t="s">
        <v>611</v>
      </c>
      <c r="D350" s="10" t="s">
        <v>1</v>
      </c>
      <c r="E350" s="10">
        <v>13.71</v>
      </c>
      <c r="F350" s="10">
        <v>28.14</v>
      </c>
      <c r="G350" s="10">
        <v>76.849999999999895</v>
      </c>
      <c r="H350" s="10">
        <v>449.89999999999901</v>
      </c>
      <c r="I350" s="10">
        <v>8.7520000000000001E-2</v>
      </c>
      <c r="J350" s="10">
        <v>5.9999999999999901E-2</v>
      </c>
      <c r="K350" s="10">
        <v>2.367E-2</v>
      </c>
      <c r="L350" s="10">
        <v>2.3769999999999899E-2</v>
      </c>
      <c r="M350" s="10">
        <v>0.18540000000000001</v>
      </c>
      <c r="N350" s="10">
        <v>5.6980000000000003E-2</v>
      </c>
      <c r="O350" s="10">
        <v>0.60609999999999897</v>
      </c>
      <c r="P350" s="10">
        <v>2.64299999999999</v>
      </c>
      <c r="Q350" s="10">
        <v>4.0990000000000002</v>
      </c>
      <c r="R350" s="10">
        <v>44.96</v>
      </c>
      <c r="S350" s="10">
        <v>7.5170000000000002E-3</v>
      </c>
      <c r="T350" s="10">
        <v>1.555E-2</v>
      </c>
      <c r="U350" s="10">
        <v>1.465E-2</v>
      </c>
      <c r="V350" s="10">
        <v>1.183E-2</v>
      </c>
      <c r="W350" s="10">
        <v>2.0469999999999901E-2</v>
      </c>
      <c r="X350" s="10">
        <v>3.8830000000000002E-3</v>
      </c>
      <c r="Y350" s="10">
        <v>13.6</v>
      </c>
      <c r="Z350" s="10">
        <v>33.329999999999899</v>
      </c>
      <c r="AA350" s="10">
        <v>87.239999999999895</v>
      </c>
      <c r="AB350" s="10">
        <v>567.6</v>
      </c>
      <c r="AC350" s="10">
        <v>0.1041</v>
      </c>
      <c r="AD350" s="10">
        <v>9.7259999999999902E-2</v>
      </c>
      <c r="AE350" s="10">
        <v>5.52399999999999E-2</v>
      </c>
      <c r="AF350" s="10">
        <v>5.5469999999999901E-2</v>
      </c>
      <c r="AG350" s="10">
        <v>0.2404</v>
      </c>
      <c r="AH350">
        <v>6.6390000000000005E-2</v>
      </c>
    </row>
    <row r="351" spans="3:34">
      <c r="C351" s="11" t="s">
        <v>613</v>
      </c>
      <c r="D351" s="10" t="s">
        <v>1</v>
      </c>
      <c r="E351" s="10">
        <v>13.71</v>
      </c>
      <c r="F351" s="10">
        <v>29.969999999999899</v>
      </c>
      <c r="G351" s="10">
        <v>77.42</v>
      </c>
      <c r="H351" s="10">
        <v>465.39999999999901</v>
      </c>
      <c r="I351" s="10">
        <v>7.6990000000000003E-2</v>
      </c>
      <c r="J351" s="10">
        <v>3.3980000000000003E-2</v>
      </c>
      <c r="K351" s="10">
        <v>0</v>
      </c>
      <c r="L351" s="10">
        <v>0</v>
      </c>
      <c r="M351" s="10">
        <v>0.1701</v>
      </c>
      <c r="N351" s="10">
        <v>5.96E-2</v>
      </c>
      <c r="O351" s="10">
        <v>0.44550000000000001</v>
      </c>
      <c r="P351" s="10">
        <v>3.64699999999999</v>
      </c>
      <c r="Q351" s="10">
        <v>2.8839999999999901</v>
      </c>
      <c r="R351" s="10">
        <v>35.130000000000003</v>
      </c>
      <c r="S351" s="10">
        <v>7.339E-3</v>
      </c>
      <c r="T351" s="10">
        <v>8.2430000000000003E-3</v>
      </c>
      <c r="U351" s="10">
        <v>0</v>
      </c>
      <c r="V351" s="10">
        <v>0</v>
      </c>
      <c r="W351" s="10">
        <v>3.141E-2</v>
      </c>
      <c r="X351" s="10">
        <v>3.1359999999999899E-3</v>
      </c>
      <c r="Y351" s="10">
        <v>13.4499999999999</v>
      </c>
      <c r="Z351" s="10">
        <v>38.049999999999898</v>
      </c>
      <c r="AA351" s="10">
        <v>85.079999999999899</v>
      </c>
      <c r="AB351" s="10">
        <v>558.89999999999895</v>
      </c>
      <c r="AC351" s="10">
        <v>9.4219999999999901E-2</v>
      </c>
      <c r="AD351" s="10">
        <v>5.2130000000000003E-2</v>
      </c>
      <c r="AE351" s="10">
        <v>0</v>
      </c>
      <c r="AF351" s="10">
        <v>0</v>
      </c>
      <c r="AG351" s="10">
        <v>0.2409</v>
      </c>
      <c r="AH351">
        <v>6.7430000000000004E-2</v>
      </c>
    </row>
    <row r="352" spans="3:34">
      <c r="C352" s="11" t="s">
        <v>614</v>
      </c>
      <c r="D352" s="10" t="s">
        <v>1</v>
      </c>
      <c r="E352" s="10">
        <v>13.71</v>
      </c>
      <c r="F352" s="10">
        <v>15.6199999999999</v>
      </c>
      <c r="G352" s="10">
        <v>70.409999999999897</v>
      </c>
      <c r="H352" s="10">
        <v>358.89999999999901</v>
      </c>
      <c r="I352" s="10">
        <v>0.1007</v>
      </c>
      <c r="J352" s="10">
        <v>0.1069</v>
      </c>
      <c r="K352" s="10">
        <v>5.1150000000000001E-2</v>
      </c>
      <c r="L352" s="10">
        <v>1.5709999999999901E-2</v>
      </c>
      <c r="M352" s="10">
        <v>0.18609999999999899</v>
      </c>
      <c r="N352" s="10">
        <v>6.837E-2</v>
      </c>
      <c r="O352" s="10">
        <v>0.1482</v>
      </c>
      <c r="P352" s="10">
        <v>0.53800000000000003</v>
      </c>
      <c r="Q352" s="10">
        <v>1.3009999999999899</v>
      </c>
      <c r="R352" s="10">
        <v>9.5969999999999906</v>
      </c>
      <c r="S352" s="10">
        <v>4.4739999999999901E-3</v>
      </c>
      <c r="T352" s="10">
        <v>3.0929999999999899E-2</v>
      </c>
      <c r="U352" s="10">
        <v>2.7570000000000001E-2</v>
      </c>
      <c r="V352" s="10">
        <v>6.6909999999999904E-3</v>
      </c>
      <c r="W352" s="10">
        <v>1.2120000000000001E-2</v>
      </c>
      <c r="X352" s="10">
        <v>4.6719999999999904E-3</v>
      </c>
      <c r="Y352" s="10">
        <v>11.94</v>
      </c>
      <c r="Z352" s="10">
        <v>19.350000000000001</v>
      </c>
      <c r="AA352" s="10">
        <v>80.78</v>
      </c>
      <c r="AB352" s="10">
        <v>433.1</v>
      </c>
      <c r="AC352" s="10">
        <v>0.13320000000000001</v>
      </c>
      <c r="AD352" s="10">
        <v>0.38979999999999898</v>
      </c>
      <c r="AE352" s="10">
        <v>0.33650000000000002</v>
      </c>
      <c r="AF352" s="10">
        <v>7.9659999999999898E-2</v>
      </c>
      <c r="AG352" s="10">
        <v>0.2581</v>
      </c>
      <c r="AH352">
        <v>0.108</v>
      </c>
    </row>
    <row r="353" spans="3:34">
      <c r="C353" s="11" t="s">
        <v>615</v>
      </c>
      <c r="D353" s="10" t="s">
        <v>1</v>
      </c>
      <c r="E353" s="10">
        <v>13.71</v>
      </c>
      <c r="F353" s="10">
        <v>15.73</v>
      </c>
      <c r="G353" s="10">
        <v>82.89</v>
      </c>
      <c r="H353" s="10">
        <v>506.89999999999901</v>
      </c>
      <c r="I353" s="10">
        <v>9.0399999999999897E-2</v>
      </c>
      <c r="J353" s="10">
        <v>8.269E-2</v>
      </c>
      <c r="K353" s="10">
        <v>5.8349999999999902E-2</v>
      </c>
      <c r="L353" s="10">
        <v>3.0779999999999901E-2</v>
      </c>
      <c r="M353" s="10">
        <v>0.17050000000000001</v>
      </c>
      <c r="N353" s="10">
        <v>5.9130000000000002E-2</v>
      </c>
      <c r="O353" s="10">
        <v>0.14990000000000001</v>
      </c>
      <c r="P353" s="10">
        <v>0.48749999999999899</v>
      </c>
      <c r="Q353" s="10">
        <v>1.1950000000000001</v>
      </c>
      <c r="R353" s="10">
        <v>11.64</v>
      </c>
      <c r="S353" s="10">
        <v>4.8729999999999902E-3</v>
      </c>
      <c r="T353" s="10">
        <v>1.796E-2</v>
      </c>
      <c r="U353" s="10">
        <v>3.3180000000000001E-2</v>
      </c>
      <c r="V353" s="10">
        <v>8.3599999999999907E-3</v>
      </c>
      <c r="W353" s="10">
        <v>1.601E-2</v>
      </c>
      <c r="X353" s="10">
        <v>2.2889999999999898E-3</v>
      </c>
      <c r="Y353" s="10">
        <v>14.09</v>
      </c>
      <c r="Z353" s="10">
        <v>19.350000000000001</v>
      </c>
      <c r="AA353" s="10">
        <v>93.219999999999899</v>
      </c>
      <c r="AB353" s="10">
        <v>605.79999999999905</v>
      </c>
      <c r="AC353" s="10">
        <v>0.1326</v>
      </c>
      <c r="AD353" s="10">
        <v>0.26100000000000001</v>
      </c>
      <c r="AE353" s="10">
        <v>0.34760000000000002</v>
      </c>
      <c r="AF353" s="10">
        <v>9.783E-2</v>
      </c>
      <c r="AG353" s="10">
        <v>0.30059999999999898</v>
      </c>
      <c r="AH353">
        <v>7.8020000000000006E-2</v>
      </c>
    </row>
    <row r="354" spans="3:34">
      <c r="C354" s="11" t="s">
        <v>616</v>
      </c>
      <c r="D354" s="10" t="s">
        <v>1</v>
      </c>
      <c r="E354" s="10">
        <v>13.71</v>
      </c>
      <c r="F354" s="10">
        <v>20.53</v>
      </c>
      <c r="G354" s="10">
        <v>92.409999999999897</v>
      </c>
      <c r="H354" s="10">
        <v>618.39999999999895</v>
      </c>
      <c r="I354" s="10">
        <v>8.931E-2</v>
      </c>
      <c r="J354" s="10">
        <v>0.1108</v>
      </c>
      <c r="K354" s="10">
        <v>5.0630000000000001E-2</v>
      </c>
      <c r="L354" s="10">
        <v>3.058E-2</v>
      </c>
      <c r="M354" s="10">
        <v>0.15060000000000001</v>
      </c>
      <c r="N354" s="10">
        <v>6.00899999999999E-2</v>
      </c>
      <c r="O354" s="10">
        <v>0.3478</v>
      </c>
      <c r="P354" s="10">
        <v>1.018</v>
      </c>
      <c r="Q354" s="10">
        <v>2.7490000000000001</v>
      </c>
      <c r="R354" s="10">
        <v>31.01</v>
      </c>
      <c r="S354" s="10">
        <v>4.1070000000000004E-3</v>
      </c>
      <c r="T354" s="10">
        <v>3.288E-2</v>
      </c>
      <c r="U354" s="10">
        <v>2.8209999999999898E-2</v>
      </c>
      <c r="V354" s="10">
        <v>1.35E-2</v>
      </c>
      <c r="W354" s="10">
        <v>1.61E-2</v>
      </c>
      <c r="X354" s="10">
        <v>2.7439999999999899E-3</v>
      </c>
      <c r="Y354" s="10">
        <v>16.4499999999999</v>
      </c>
      <c r="Z354" s="10">
        <v>27.26</v>
      </c>
      <c r="AA354" s="10">
        <v>112.099999999999</v>
      </c>
      <c r="AB354" s="10">
        <v>828.5</v>
      </c>
      <c r="AC354" s="10">
        <v>0.1153</v>
      </c>
      <c r="AD354" s="10">
        <v>0.34289999999999898</v>
      </c>
      <c r="AE354" s="10">
        <v>0.25119999999999898</v>
      </c>
      <c r="AF354" s="10">
        <v>0.13389999999999899</v>
      </c>
      <c r="AG354" s="10">
        <v>0.25340000000000001</v>
      </c>
      <c r="AH354">
        <v>7.85799999999999E-2</v>
      </c>
    </row>
    <row r="355" spans="3:34">
      <c r="C355" s="11" t="s">
        <v>617</v>
      </c>
      <c r="D355" s="10" t="s">
        <v>1</v>
      </c>
      <c r="E355" s="10">
        <v>13.71</v>
      </c>
      <c r="F355" s="10">
        <v>16.62</v>
      </c>
      <c r="G355" s="10">
        <v>88.969999999999899</v>
      </c>
      <c r="H355" s="10">
        <v>599.39999999999895</v>
      </c>
      <c r="I355" s="10">
        <v>6.8279999999999896E-2</v>
      </c>
      <c r="J355" s="10">
        <v>5.3190000000000001E-2</v>
      </c>
      <c r="K355" s="10">
        <v>2.2239999999999899E-2</v>
      </c>
      <c r="L355" s="10">
        <v>1.3390000000000001E-2</v>
      </c>
      <c r="M355" s="10">
        <v>0.18129999999999899</v>
      </c>
      <c r="N355" s="10">
        <v>5.5359999999999902E-2</v>
      </c>
      <c r="O355" s="10">
        <v>0.1555</v>
      </c>
      <c r="P355" s="10">
        <v>0.57620000000000005</v>
      </c>
      <c r="Q355" s="10">
        <v>1.3919999999999899</v>
      </c>
      <c r="R355" s="10">
        <v>14.0299999999999</v>
      </c>
      <c r="S355" s="10">
        <v>3.3080000000000002E-3</v>
      </c>
      <c r="T355" s="10">
        <v>1.315E-2</v>
      </c>
      <c r="U355" s="10">
        <v>9.9039999999999892E-3</v>
      </c>
      <c r="V355" s="10">
        <v>4.8320000000000004E-3</v>
      </c>
      <c r="W355" s="10">
        <v>1.316E-2</v>
      </c>
      <c r="X355" s="10">
        <v>2.0950000000000001E-3</v>
      </c>
      <c r="Y355" s="10">
        <v>15.14</v>
      </c>
      <c r="Z355" s="10">
        <v>21.8</v>
      </c>
      <c r="AA355" s="10">
        <v>101.2</v>
      </c>
      <c r="AB355" s="10">
        <v>718.89999999999895</v>
      </c>
      <c r="AC355" s="10">
        <v>9.3840000000000007E-2</v>
      </c>
      <c r="AD355" s="10">
        <v>0.2006</v>
      </c>
      <c r="AE355" s="10">
        <v>0.1384</v>
      </c>
      <c r="AF355" s="10">
        <v>6.22199999999999E-2</v>
      </c>
      <c r="AG355" s="10">
        <v>0.26790000000000003</v>
      </c>
      <c r="AH355">
        <v>7.6980000000000007E-2</v>
      </c>
    </row>
    <row r="356" spans="3:34">
      <c r="C356" s="11" t="s">
        <v>618</v>
      </c>
      <c r="D356" s="10" t="s">
        <v>1</v>
      </c>
      <c r="E356" s="10">
        <v>13.71</v>
      </c>
      <c r="F356" s="10">
        <v>14.59</v>
      </c>
      <c r="G356" s="10">
        <v>73.989999999999895</v>
      </c>
      <c r="H356" s="10">
        <v>404.89999999999901</v>
      </c>
      <c r="I356" s="10">
        <v>0.1046</v>
      </c>
      <c r="J356" s="10">
        <v>8.2280000000000006E-2</v>
      </c>
      <c r="K356" s="10">
        <v>5.3080000000000002E-2</v>
      </c>
      <c r="L356" s="10">
        <v>1.9689999999999899E-2</v>
      </c>
      <c r="M356" s="10">
        <v>0.1779</v>
      </c>
      <c r="N356" s="10">
        <v>6.5740000000000007E-2</v>
      </c>
      <c r="O356" s="10">
        <v>0.2034</v>
      </c>
      <c r="P356" s="10">
        <v>1.1659999999999899</v>
      </c>
      <c r="Q356" s="10">
        <v>1.56699999999999</v>
      </c>
      <c r="R356" s="10">
        <v>14.34</v>
      </c>
      <c r="S356" s="10">
        <v>4.9569999999999901E-3</v>
      </c>
      <c r="T356" s="10">
        <v>2.1139999999999898E-2</v>
      </c>
      <c r="U356" s="10">
        <v>4.156E-2</v>
      </c>
      <c r="V356" s="10">
        <v>8.038E-3</v>
      </c>
      <c r="W356" s="10">
        <v>1.8429999999999901E-2</v>
      </c>
      <c r="X356" s="10">
        <v>3.614E-3</v>
      </c>
      <c r="Y356" s="10">
        <v>12.4</v>
      </c>
      <c r="Z356" s="10">
        <v>21.899999999999899</v>
      </c>
      <c r="AA356" s="10">
        <v>82.04</v>
      </c>
      <c r="AB356" s="10">
        <v>467.6</v>
      </c>
      <c r="AC356" s="10">
        <v>0.13519999999999899</v>
      </c>
      <c r="AD356" s="10">
        <v>0.20100000000000001</v>
      </c>
      <c r="AE356" s="10">
        <v>0.2596</v>
      </c>
      <c r="AF356" s="10">
        <v>7.4310000000000001E-2</v>
      </c>
      <c r="AG356" s="10">
        <v>0.29409999999999897</v>
      </c>
      <c r="AH356">
        <v>9.1800000000000007E-2</v>
      </c>
    </row>
    <row r="357" spans="3:34">
      <c r="C357" s="11" t="s">
        <v>620</v>
      </c>
      <c r="D357" s="10" t="s">
        <v>1</v>
      </c>
      <c r="E357" s="10">
        <v>13.71</v>
      </c>
      <c r="F357" s="10">
        <v>18.03</v>
      </c>
      <c r="G357" s="10">
        <v>78.290000000000006</v>
      </c>
      <c r="H357" s="10">
        <v>455.3</v>
      </c>
      <c r="I357" s="10">
        <v>9.0870000000000006E-2</v>
      </c>
      <c r="J357" s="10">
        <v>7.8380000000000005E-2</v>
      </c>
      <c r="K357" s="10">
        <v>2.9159999999999901E-2</v>
      </c>
      <c r="L357" s="10">
        <v>1.5270000000000001E-2</v>
      </c>
      <c r="M357" s="10">
        <v>0.1464</v>
      </c>
      <c r="N357" s="10">
        <v>6.2839999999999896E-2</v>
      </c>
      <c r="O357" s="10">
        <v>0.21940000000000001</v>
      </c>
      <c r="P357" s="10">
        <v>1.18999999999999</v>
      </c>
      <c r="Q357" s="10">
        <v>1.6779999999999899</v>
      </c>
      <c r="R357" s="10">
        <v>16.260000000000002</v>
      </c>
      <c r="S357" s="10">
        <v>4.91099999999999E-3</v>
      </c>
      <c r="T357" s="10">
        <v>1.6660000000000001E-2</v>
      </c>
      <c r="U357" s="10">
        <v>1.397E-2</v>
      </c>
      <c r="V357" s="10">
        <v>5.1609999999999902E-3</v>
      </c>
      <c r="W357" s="10">
        <v>1.4540000000000001E-2</v>
      </c>
      <c r="X357" s="10">
        <v>1.8580000000000001E-3</v>
      </c>
      <c r="Y357" s="10">
        <v>13.34</v>
      </c>
      <c r="Z357" s="10">
        <v>27.87</v>
      </c>
      <c r="AA357" s="10">
        <v>88.829999999999899</v>
      </c>
      <c r="AB357" s="10">
        <v>547.39999999999895</v>
      </c>
      <c r="AC357" s="10">
        <v>0.1208</v>
      </c>
      <c r="AD357" s="10">
        <v>0.22789999999999899</v>
      </c>
      <c r="AE357" s="10">
        <v>0.16200000000000001</v>
      </c>
      <c r="AF357" s="10">
        <v>5.6899999999999902E-2</v>
      </c>
      <c r="AG357" s="10">
        <v>0.24060000000000001</v>
      </c>
      <c r="AH357">
        <v>7.72899999999999E-2</v>
      </c>
    </row>
    <row r="358" spans="3:34">
      <c r="C358" s="11" t="s">
        <v>621</v>
      </c>
      <c r="D358" s="10" t="s">
        <v>1</v>
      </c>
      <c r="E358" s="10">
        <v>13.71</v>
      </c>
      <c r="F358" s="10">
        <v>19.239999999999899</v>
      </c>
      <c r="G358" s="10">
        <v>88.73</v>
      </c>
      <c r="H358" s="10">
        <v>602.89999999999895</v>
      </c>
      <c r="I358" s="10">
        <v>7.9909999999999898E-2</v>
      </c>
      <c r="J358" s="10">
        <v>5.3260000000000002E-2</v>
      </c>
      <c r="K358" s="10">
        <v>2.9950000000000001E-2</v>
      </c>
      <c r="L358" s="10">
        <v>2.07E-2</v>
      </c>
      <c r="M358" s="10">
        <v>0.15790000000000001</v>
      </c>
      <c r="N358" s="10">
        <v>5.59399999999999E-2</v>
      </c>
      <c r="O358" s="10">
        <v>0.33160000000000001</v>
      </c>
      <c r="P358" s="10">
        <v>0.9264</v>
      </c>
      <c r="Q358" s="10">
        <v>2.056</v>
      </c>
      <c r="R358" s="10">
        <v>28.41</v>
      </c>
      <c r="S358" s="10">
        <v>3.7039999999999899E-3</v>
      </c>
      <c r="T358" s="10">
        <v>2.5503945422535201E-2</v>
      </c>
      <c r="U358" s="10">
        <v>1.52999999999999E-2</v>
      </c>
      <c r="V358" s="10">
        <v>6.2750000000000002E-3</v>
      </c>
      <c r="W358" s="10">
        <v>1.06199999999999E-2</v>
      </c>
      <c r="X358" s="10">
        <v>2.2169999999999898E-3</v>
      </c>
      <c r="Y358" s="10">
        <v>16.41</v>
      </c>
      <c r="Z358" s="10">
        <v>26.42</v>
      </c>
      <c r="AA358" s="10">
        <v>104.4</v>
      </c>
      <c r="AB358" s="10">
        <v>830.5</v>
      </c>
      <c r="AC358" s="10">
        <v>0.106399999999999</v>
      </c>
      <c r="AD358" s="10">
        <v>0.14149999999999899</v>
      </c>
      <c r="AE358" s="10">
        <v>0.1673</v>
      </c>
      <c r="AF358" s="10">
        <v>8.1500000000000003E-2</v>
      </c>
      <c r="AG358" s="10">
        <v>0.2356</v>
      </c>
      <c r="AH358">
        <v>7.603E-2</v>
      </c>
    </row>
    <row r="359" spans="3:34">
      <c r="C359" s="11" t="s">
        <v>624</v>
      </c>
      <c r="D359" s="10" t="s">
        <v>1</v>
      </c>
      <c r="E359" s="10">
        <v>13.71</v>
      </c>
      <c r="F359" s="10">
        <v>11.2799999999999</v>
      </c>
      <c r="G359" s="10">
        <v>102.8</v>
      </c>
      <c r="H359" s="10">
        <v>747.2</v>
      </c>
      <c r="I359" s="10">
        <v>0.1043</v>
      </c>
      <c r="J359" s="10">
        <v>0.12989999999999899</v>
      </c>
      <c r="K359" s="10">
        <v>0.1191</v>
      </c>
      <c r="L359" s="10">
        <v>6.2109999999999901E-2</v>
      </c>
      <c r="M359" s="10">
        <v>0.1784</v>
      </c>
      <c r="N359" s="10">
        <v>6.2590000000000007E-2</v>
      </c>
      <c r="O359" s="10">
        <v>0.16300000000000001</v>
      </c>
      <c r="P359" s="10">
        <v>0.3871</v>
      </c>
      <c r="Q359" s="10">
        <v>1.143</v>
      </c>
      <c r="R359" s="10">
        <v>13.8699999999999</v>
      </c>
      <c r="S359" s="10">
        <v>6.0340000000000003E-3</v>
      </c>
      <c r="T359" s="10">
        <v>1.8200000000000001E-2</v>
      </c>
      <c r="U359" s="10">
        <v>3.3360000000000001E-2</v>
      </c>
      <c r="V359" s="10">
        <v>1.0670000000000001E-2</v>
      </c>
      <c r="W359" s="10">
        <v>1.175E-2</v>
      </c>
      <c r="X359" s="10">
        <v>2.2560000000000002E-3</v>
      </c>
      <c r="Y359" s="10">
        <v>17.010000000000002</v>
      </c>
      <c r="Z359" s="10">
        <v>14.1999999999999</v>
      </c>
      <c r="AA359" s="10">
        <v>112.5</v>
      </c>
      <c r="AB359" s="10">
        <v>854.29999999999905</v>
      </c>
      <c r="AC359" s="10">
        <v>0.15409999999999899</v>
      </c>
      <c r="AD359" s="10">
        <v>0.2979</v>
      </c>
      <c r="AE359" s="10">
        <v>0.40039999999999898</v>
      </c>
      <c r="AF359" s="10">
        <v>0.1452</v>
      </c>
      <c r="AG359" s="10">
        <v>0.25569999999999898</v>
      </c>
      <c r="AH359">
        <v>8.1809999999999897E-2</v>
      </c>
    </row>
    <row r="360" spans="3:34">
      <c r="C360" s="11" t="s">
        <v>625</v>
      </c>
      <c r="D360" s="10" t="s">
        <v>1</v>
      </c>
      <c r="E360" s="10">
        <v>13.71</v>
      </c>
      <c r="F360" s="10">
        <v>16.41</v>
      </c>
      <c r="G360" s="10">
        <v>82.849999999999895</v>
      </c>
      <c r="H360" s="10">
        <v>476.69999999999902</v>
      </c>
      <c r="I360" s="10">
        <v>9.5140000000000002E-2</v>
      </c>
      <c r="J360" s="10">
        <v>0.15110000000000001</v>
      </c>
      <c r="K360" s="10">
        <v>0.15440000000000001</v>
      </c>
      <c r="L360" s="10">
        <v>4.8460000000000003E-2</v>
      </c>
      <c r="M360" s="10">
        <v>0.2082</v>
      </c>
      <c r="N360" s="10">
        <v>7.3249999999999899E-2</v>
      </c>
      <c r="O360" s="10">
        <v>0.3921</v>
      </c>
      <c r="P360" s="10">
        <v>1.2070000000000001</v>
      </c>
      <c r="Q360" s="10">
        <v>5.0039999999999898</v>
      </c>
      <c r="R360" s="10">
        <v>30.19</v>
      </c>
      <c r="S360" s="10">
        <v>7.234E-3</v>
      </c>
      <c r="T360" s="10">
        <v>7.4709999999999901E-2</v>
      </c>
      <c r="U360" s="10">
        <v>0.1114</v>
      </c>
      <c r="V360" s="10">
        <v>2.7210000000000002E-2</v>
      </c>
      <c r="W360" s="10">
        <v>3.2320000000000002E-2</v>
      </c>
      <c r="X360" s="10">
        <v>9.6270000000000001E-3</v>
      </c>
      <c r="Y360" s="10">
        <v>13.7799999999999</v>
      </c>
      <c r="Z360" s="10">
        <v>21.03</v>
      </c>
      <c r="AA360" s="10">
        <v>97.819999999999894</v>
      </c>
      <c r="AB360" s="10">
        <v>580.6</v>
      </c>
      <c r="AC360" s="10">
        <v>0.11749999999999899</v>
      </c>
      <c r="AD360" s="10">
        <v>0.40610000000000002</v>
      </c>
      <c r="AE360" s="10">
        <v>0.48959999999999898</v>
      </c>
      <c r="AF360" s="10">
        <v>0.13420000000000001</v>
      </c>
      <c r="AG360" s="10">
        <v>0.3231</v>
      </c>
      <c r="AH360">
        <v>0.10340000000000001</v>
      </c>
    </row>
    <row r="361" spans="3:34">
      <c r="C361" s="11" t="s">
        <v>627</v>
      </c>
      <c r="D361" s="10" t="s">
        <v>0</v>
      </c>
      <c r="E361" s="10">
        <v>13.71</v>
      </c>
      <c r="F361" s="10">
        <v>18.82</v>
      </c>
      <c r="G361" s="10">
        <v>128.099999999999</v>
      </c>
      <c r="H361" s="10">
        <v>1167</v>
      </c>
      <c r="I361" s="10">
        <v>0.1089</v>
      </c>
      <c r="J361" s="10">
        <v>0.14480000000000001</v>
      </c>
      <c r="K361" s="10">
        <v>0.225599999999999</v>
      </c>
      <c r="L361" s="10">
        <v>0.11940000000000001</v>
      </c>
      <c r="M361" s="10">
        <v>0.18229999999999899</v>
      </c>
      <c r="N361" s="10">
        <v>6.1150000000000003E-2</v>
      </c>
      <c r="O361" s="10">
        <v>0.56589999999999896</v>
      </c>
      <c r="P361" s="10">
        <v>1.4079999999999899</v>
      </c>
      <c r="Q361" s="10">
        <v>3.63099999999999</v>
      </c>
      <c r="R361" s="10">
        <v>67.739999999999895</v>
      </c>
      <c r="S361" s="10">
        <v>5.2880000000000002E-3</v>
      </c>
      <c r="T361" s="10">
        <v>2.8330000000000001E-2</v>
      </c>
      <c r="U361" s="10">
        <v>4.2560000000000001E-2</v>
      </c>
      <c r="V361" s="10">
        <v>1.176E-2</v>
      </c>
      <c r="W361" s="10">
        <v>1.7170000000000001E-2</v>
      </c>
      <c r="X361" s="10">
        <v>3.2109999999999899E-3</v>
      </c>
      <c r="Y361" s="10">
        <v>23.96</v>
      </c>
      <c r="Z361" s="10">
        <v>30.39</v>
      </c>
      <c r="AA361" s="10">
        <v>153.9</v>
      </c>
      <c r="AB361" s="10">
        <v>1740</v>
      </c>
      <c r="AC361" s="10">
        <v>0.15140000000000001</v>
      </c>
      <c r="AD361" s="10">
        <v>0.3725</v>
      </c>
      <c r="AE361" s="10">
        <v>0.59360000000000002</v>
      </c>
      <c r="AF361" s="10">
        <v>0.20599999999999899</v>
      </c>
      <c r="AG361" s="10">
        <v>0.3266</v>
      </c>
      <c r="AH361">
        <v>9.0090000000000003E-2</v>
      </c>
    </row>
    <row r="362" spans="3:34">
      <c r="C362" s="11" t="s">
        <v>628</v>
      </c>
      <c r="D362" s="10" t="s">
        <v>1</v>
      </c>
      <c r="E362" s="10">
        <v>13.71</v>
      </c>
      <c r="F362" s="10">
        <v>16.170000000000002</v>
      </c>
      <c r="G362" s="10">
        <v>75.489999999999895</v>
      </c>
      <c r="H362" s="10">
        <v>420.5</v>
      </c>
      <c r="I362" s="10">
        <v>0.1128</v>
      </c>
      <c r="J362" s="10">
        <v>9.2630000000000004E-2</v>
      </c>
      <c r="K362" s="10">
        <v>4.2790000000000002E-2</v>
      </c>
      <c r="L362" s="10">
        <v>3.1320000000000001E-2</v>
      </c>
      <c r="M362" s="10">
        <v>0.18529999999999899</v>
      </c>
      <c r="N362" s="10">
        <v>6.40099999999999E-2</v>
      </c>
      <c r="O362" s="10">
        <v>0.37130000000000002</v>
      </c>
      <c r="P362" s="10">
        <v>1.1539999999999899</v>
      </c>
      <c r="Q362" s="10">
        <v>2.5539999999999901</v>
      </c>
      <c r="R362" s="10">
        <v>27.57</v>
      </c>
      <c r="S362" s="10">
        <v>8.9980000000000008E-3</v>
      </c>
      <c r="T362" s="10">
        <v>1.29199999999999E-2</v>
      </c>
      <c r="U362" s="10">
        <v>1.8509999999999902E-2</v>
      </c>
      <c r="V362" s="10">
        <v>1.167E-2</v>
      </c>
      <c r="W362" s="10">
        <v>2.1520000000000001E-2</v>
      </c>
      <c r="X362" s="10">
        <v>3.2130000000000001E-3</v>
      </c>
      <c r="Y362" s="10">
        <v>13.32</v>
      </c>
      <c r="Z362" s="10">
        <v>21.59</v>
      </c>
      <c r="AA362" s="10">
        <v>86.569999999999894</v>
      </c>
      <c r="AB362" s="10">
        <v>549.79999999999905</v>
      </c>
      <c r="AC362" s="10">
        <v>0.15260000000000001</v>
      </c>
      <c r="AD362" s="10">
        <v>0.1477</v>
      </c>
      <c r="AE362" s="10">
        <v>0.14899999999999899</v>
      </c>
      <c r="AF362" s="10">
        <v>9.8150000000000001E-2</v>
      </c>
      <c r="AG362" s="10">
        <v>0.28039999999999898</v>
      </c>
      <c r="AH362">
        <v>8.0240000000000006E-2</v>
      </c>
    </row>
    <row r="363" spans="3:34">
      <c r="C363" s="11" t="s">
        <v>630</v>
      </c>
      <c r="D363" s="10" t="s">
        <v>1</v>
      </c>
      <c r="E363" s="10">
        <v>13.71</v>
      </c>
      <c r="F363" s="10">
        <v>22.44</v>
      </c>
      <c r="G363" s="10">
        <v>78.180000000000007</v>
      </c>
      <c r="H363" s="10">
        <v>466.5</v>
      </c>
      <c r="I363" s="10">
        <v>8.1920000000000007E-2</v>
      </c>
      <c r="J363" s="10">
        <v>5.19999999999999E-2</v>
      </c>
      <c r="K363" s="10">
        <v>1.7139999999999898E-2</v>
      </c>
      <c r="L363" s="10">
        <v>1.261E-2</v>
      </c>
      <c r="M363" s="10">
        <v>0.15440000000000001</v>
      </c>
      <c r="N363" s="10">
        <v>5.9760000000000001E-2</v>
      </c>
      <c r="O363" s="10">
        <v>0.22389999999999899</v>
      </c>
      <c r="P363" s="10">
        <v>1.139</v>
      </c>
      <c r="Q363" s="10">
        <v>1.577</v>
      </c>
      <c r="R363" s="10">
        <v>18.0399999999999</v>
      </c>
      <c r="S363" s="10">
        <v>5.0959999999999903E-3</v>
      </c>
      <c r="T363" s="10">
        <v>1.205E-2</v>
      </c>
      <c r="U363" s="10">
        <v>9.41E-3</v>
      </c>
      <c r="V363" s="10">
        <v>4.5510000000000004E-3</v>
      </c>
      <c r="W363" s="10">
        <v>1.6080000000000001E-2</v>
      </c>
      <c r="X363" s="10">
        <v>2.3990000000000001E-3</v>
      </c>
      <c r="Y363" s="10">
        <v>14.17</v>
      </c>
      <c r="Z363" s="10">
        <v>31.989999999999899</v>
      </c>
      <c r="AA363" s="10">
        <v>92.739999999999895</v>
      </c>
      <c r="AB363" s="10">
        <v>622.89999999999895</v>
      </c>
      <c r="AC363" s="10">
        <v>0.12559999999999899</v>
      </c>
      <c r="AD363" s="10">
        <v>0.1804</v>
      </c>
      <c r="AE363" s="10">
        <v>0.123</v>
      </c>
      <c r="AF363" s="10">
        <v>6.3350000000000004E-2</v>
      </c>
      <c r="AG363" s="10">
        <v>0.31</v>
      </c>
      <c r="AH363">
        <v>8.2030000000000006E-2</v>
      </c>
    </row>
    <row r="364" spans="3:34">
      <c r="C364" s="11" t="s">
        <v>632</v>
      </c>
      <c r="D364" s="10" t="s">
        <v>0</v>
      </c>
      <c r="E364" s="10">
        <v>13.71</v>
      </c>
      <c r="F364" s="10">
        <v>20.559999999999899</v>
      </c>
      <c r="G364" s="10">
        <v>118.4</v>
      </c>
      <c r="H364" s="10">
        <v>1007</v>
      </c>
      <c r="I364" s="10">
        <v>0.100099999999999</v>
      </c>
      <c r="J364" s="10">
        <v>0.12889999999999899</v>
      </c>
      <c r="K364" s="10">
        <v>0.11700000000000001</v>
      </c>
      <c r="L364" s="10">
        <v>7.7619999999999897E-2</v>
      </c>
      <c r="M364" s="10">
        <v>0.21160000000000001</v>
      </c>
      <c r="N364" s="10">
        <v>6.07699999999999E-2</v>
      </c>
      <c r="O364" s="10">
        <v>0.75480000000000003</v>
      </c>
      <c r="P364" s="10">
        <v>1.288</v>
      </c>
      <c r="Q364" s="10">
        <v>5.35299999999999</v>
      </c>
      <c r="R364" s="10">
        <v>89.739999999999895</v>
      </c>
      <c r="S364" s="10">
        <v>7.9970000000000006E-3</v>
      </c>
      <c r="T364" s="10">
        <v>2.7E-2</v>
      </c>
      <c r="U364" s="10">
        <v>3.737E-2</v>
      </c>
      <c r="V364" s="10">
        <v>1.6480000000000002E-2</v>
      </c>
      <c r="W364" s="10">
        <v>2.8969999999999899E-2</v>
      </c>
      <c r="X364" s="10">
        <v>3.9960000000000004E-3</v>
      </c>
      <c r="Y364" s="10">
        <v>21.53</v>
      </c>
      <c r="Z364" s="10">
        <v>26.059999999999899</v>
      </c>
      <c r="AA364" s="10">
        <v>143.4</v>
      </c>
      <c r="AB364" s="10">
        <v>1426</v>
      </c>
      <c r="AC364" s="10">
        <v>0.13089999999999899</v>
      </c>
      <c r="AD364" s="10">
        <v>0.23269999999999899</v>
      </c>
      <c r="AE364" s="10">
        <v>0.25440000000000002</v>
      </c>
      <c r="AF364" s="10">
        <v>0.1489</v>
      </c>
      <c r="AG364" s="10">
        <v>0.3251</v>
      </c>
      <c r="AH364">
        <v>7.6249999999999901E-2</v>
      </c>
    </row>
    <row r="365" spans="3:34">
      <c r="C365" s="11" t="s">
        <v>633</v>
      </c>
      <c r="D365" s="10" t="s">
        <v>1</v>
      </c>
      <c r="E365" s="10">
        <v>13.71</v>
      </c>
      <c r="F365" s="10">
        <v>12.83</v>
      </c>
      <c r="G365" s="10">
        <v>78.829999999999899</v>
      </c>
      <c r="H365" s="10">
        <v>477.3</v>
      </c>
      <c r="I365" s="10">
        <v>7.3719999999999897E-2</v>
      </c>
      <c r="J365" s="10">
        <v>4.0430000000000001E-2</v>
      </c>
      <c r="K365" s="10">
        <v>7.1729999999999901E-3</v>
      </c>
      <c r="L365" s="10">
        <v>1.149E-2</v>
      </c>
      <c r="M365" s="10">
        <v>0.1613</v>
      </c>
      <c r="N365" s="10">
        <v>6.0130000000000003E-2</v>
      </c>
      <c r="O365" s="10">
        <v>0.3276</v>
      </c>
      <c r="P365" s="10">
        <v>1.486</v>
      </c>
      <c r="Q365" s="10">
        <v>2.1080000000000001</v>
      </c>
      <c r="R365" s="10">
        <v>24.6</v>
      </c>
      <c r="S365" s="10">
        <v>1.039E-2</v>
      </c>
      <c r="T365" s="10">
        <v>1.0030000000000001E-2</v>
      </c>
      <c r="U365" s="10">
        <v>6.4159999999999903E-3</v>
      </c>
      <c r="V365" s="10">
        <v>7.8949999999999906E-3</v>
      </c>
      <c r="W365" s="10">
        <v>2.869E-2</v>
      </c>
      <c r="X365" s="10">
        <v>4.8209999999999902E-3</v>
      </c>
      <c r="Y365" s="10">
        <v>13.19</v>
      </c>
      <c r="Z365" s="10">
        <v>16.3599999999999</v>
      </c>
      <c r="AA365" s="10">
        <v>83.239999999999895</v>
      </c>
      <c r="AB365" s="10">
        <v>534</v>
      </c>
      <c r="AC365" s="10">
        <v>9.4390000000000002E-2</v>
      </c>
      <c r="AD365" s="10">
        <v>6.4769999999999897E-2</v>
      </c>
      <c r="AE365" s="10">
        <v>1.6740000000000001E-2</v>
      </c>
      <c r="AF365" s="10">
        <v>2.6800000000000001E-2</v>
      </c>
      <c r="AG365" s="10">
        <v>0.22800000000000001</v>
      </c>
      <c r="AH365">
        <v>7.0279999999999898E-2</v>
      </c>
    </row>
    <row r="366" spans="3:34">
      <c r="C366" s="11" t="s">
        <v>634</v>
      </c>
      <c r="D366" s="10" t="s">
        <v>1</v>
      </c>
      <c r="E366" s="10">
        <v>13.71</v>
      </c>
      <c r="F366" s="10">
        <v>20.5399999999999</v>
      </c>
      <c r="G366" s="10">
        <v>84.06</v>
      </c>
      <c r="H366" s="10">
        <v>538.70000000000005</v>
      </c>
      <c r="I366" s="10">
        <v>7.3349999999999901E-2</v>
      </c>
      <c r="J366" s="10">
        <v>5.2749999999999901E-2</v>
      </c>
      <c r="K366" s="10">
        <v>1.7999999999999901E-2</v>
      </c>
      <c r="L366" s="10">
        <v>1.256E-2</v>
      </c>
      <c r="M366" s="10">
        <v>0.17130000000000001</v>
      </c>
      <c r="N366" s="10">
        <v>5.8880000000000002E-2</v>
      </c>
      <c r="O366" s="10">
        <v>0.32369999999999899</v>
      </c>
      <c r="P366" s="10">
        <v>1.4730000000000001</v>
      </c>
      <c r="Q366" s="10">
        <v>2.3260000000000001</v>
      </c>
      <c r="R366" s="10">
        <v>26.07</v>
      </c>
      <c r="S366" s="10">
        <v>7.8019999999999904E-3</v>
      </c>
      <c r="T366" s="10">
        <v>2.052E-2</v>
      </c>
      <c r="U366" s="10">
        <v>1.341E-2</v>
      </c>
      <c r="V366" s="10">
        <v>5.5640000000000004E-3</v>
      </c>
      <c r="W366" s="10">
        <v>2.086E-2</v>
      </c>
      <c r="X366" s="10">
        <v>2.7009999999999899E-3</v>
      </c>
      <c r="Y366" s="10">
        <v>14.5</v>
      </c>
      <c r="Z366" s="10">
        <v>28.46</v>
      </c>
      <c r="AA366" s="10">
        <v>95.29</v>
      </c>
      <c r="AB366" s="10">
        <v>648.29999999999905</v>
      </c>
      <c r="AC366" s="10">
        <v>0.1118</v>
      </c>
      <c r="AD366" s="10">
        <v>0.1646</v>
      </c>
      <c r="AE366" s="10">
        <v>7.6980000000000007E-2</v>
      </c>
      <c r="AF366" s="10">
        <v>4.1950000000000001E-2</v>
      </c>
      <c r="AG366" s="10">
        <v>0.268699999999999</v>
      </c>
      <c r="AH366">
        <v>7.4289999999999898E-2</v>
      </c>
    </row>
    <row r="367" spans="3:34">
      <c r="C367" s="11" t="s">
        <v>635</v>
      </c>
      <c r="D367" s="10" t="s">
        <v>1</v>
      </c>
      <c r="E367" s="10">
        <v>13.71</v>
      </c>
      <c r="F367" s="10">
        <v>20.21</v>
      </c>
      <c r="G367" s="10">
        <v>96.12</v>
      </c>
      <c r="H367" s="10">
        <v>680.89999999999895</v>
      </c>
      <c r="I367" s="10">
        <v>9.58699999999999E-2</v>
      </c>
      <c r="J367" s="10">
        <v>8.3449999999999899E-2</v>
      </c>
      <c r="K367" s="10">
        <v>6.8239999999999898E-2</v>
      </c>
      <c r="L367" s="10">
        <v>4.9509999999999901E-2</v>
      </c>
      <c r="M367" s="10">
        <v>0.1487</v>
      </c>
      <c r="N367" s="10">
        <v>5.7480000000000003E-2</v>
      </c>
      <c r="O367" s="10">
        <v>0.23230000000000001</v>
      </c>
      <c r="P367" s="10">
        <v>1.6359999999999899</v>
      </c>
      <c r="Q367" s="10">
        <v>1.5960000000000001</v>
      </c>
      <c r="R367" s="10">
        <v>21.84</v>
      </c>
      <c r="S367" s="10">
        <v>5.4149999999999901E-3</v>
      </c>
      <c r="T367" s="10">
        <v>1.371E-2</v>
      </c>
      <c r="U367" s="10">
        <v>2.1530000000000001E-2</v>
      </c>
      <c r="V367" s="10">
        <v>1.183E-2</v>
      </c>
      <c r="W367" s="10">
        <v>1.959E-2</v>
      </c>
      <c r="X367" s="10">
        <v>1.812E-3</v>
      </c>
      <c r="Y367" s="10">
        <v>16.010000000000002</v>
      </c>
      <c r="Z367" s="10">
        <v>28.48</v>
      </c>
      <c r="AA367" s="10">
        <v>103.9</v>
      </c>
      <c r="AB367" s="10">
        <v>783.6</v>
      </c>
      <c r="AC367" s="10">
        <v>0.1216</v>
      </c>
      <c r="AD367" s="10">
        <v>0.13880000000000001</v>
      </c>
      <c r="AE367" s="10">
        <v>0.17</v>
      </c>
      <c r="AF367" s="10">
        <v>0.1017</v>
      </c>
      <c r="AG367" s="10">
        <v>0.2369</v>
      </c>
      <c r="AH367">
        <v>6.5989999999999896E-2</v>
      </c>
    </row>
    <row r="368" spans="3:34">
      <c r="C368" s="11" t="s">
        <v>636</v>
      </c>
      <c r="D368" s="10" t="s">
        <v>1</v>
      </c>
      <c r="E368" s="10">
        <v>13.71</v>
      </c>
      <c r="F368" s="10">
        <v>18.170000000000002</v>
      </c>
      <c r="G368" s="10">
        <v>82.689999999999898</v>
      </c>
      <c r="H368" s="10">
        <v>485.6</v>
      </c>
      <c r="I368" s="10">
        <v>0.1076</v>
      </c>
      <c r="J368" s="10">
        <v>0.13339999999999899</v>
      </c>
      <c r="K368" s="10">
        <v>8.0170000000000005E-2</v>
      </c>
      <c r="L368" s="10">
        <v>5.074E-2</v>
      </c>
      <c r="M368" s="10">
        <v>0.1641</v>
      </c>
      <c r="N368" s="10">
        <v>6.8540000000000004E-2</v>
      </c>
      <c r="O368" s="10">
        <v>0.2324</v>
      </c>
      <c r="P368" s="10">
        <v>0.63319999999999899</v>
      </c>
      <c r="Q368" s="10">
        <v>1.696</v>
      </c>
      <c r="R368" s="10">
        <v>18.399999999999899</v>
      </c>
      <c r="S368" s="10">
        <v>5.7039999999999903E-3</v>
      </c>
      <c r="T368" s="10">
        <v>2.5020000000000001E-2</v>
      </c>
      <c r="U368" s="10">
        <v>2.6360000000000001E-2</v>
      </c>
      <c r="V368" s="10">
        <v>1.03199999999999E-2</v>
      </c>
      <c r="W368" s="10">
        <v>1.7590000000000001E-2</v>
      </c>
      <c r="X368" s="10">
        <v>3.5630000000000002E-3</v>
      </c>
      <c r="Y368" s="10">
        <v>14.38</v>
      </c>
      <c r="Z368" s="10">
        <v>22.149999999999899</v>
      </c>
      <c r="AA368" s="10">
        <v>95.29</v>
      </c>
      <c r="AB368" s="10">
        <v>633.70000000000005</v>
      </c>
      <c r="AC368" s="10">
        <v>0.15329999999999899</v>
      </c>
      <c r="AD368" s="10">
        <v>0.38419999999999899</v>
      </c>
      <c r="AE368" s="10">
        <v>0.35820000000000002</v>
      </c>
      <c r="AF368" s="10">
        <v>0.14069999999999899</v>
      </c>
      <c r="AG368" s="10">
        <v>0.32300000000000001</v>
      </c>
      <c r="AH368">
        <v>0.1033</v>
      </c>
    </row>
    <row r="369" spans="3:34">
      <c r="C369" s="11" t="s">
        <v>637</v>
      </c>
      <c r="D369" s="10" t="s">
        <v>1</v>
      </c>
      <c r="E369" s="10">
        <v>13.71</v>
      </c>
      <c r="F369" s="10">
        <v>17.309999999999899</v>
      </c>
      <c r="G369" s="10">
        <v>80.45</v>
      </c>
      <c r="H369" s="10">
        <v>480.1</v>
      </c>
      <c r="I369" s="10">
        <v>8.9279999999999901E-2</v>
      </c>
      <c r="J369" s="10">
        <v>7.6300000000000007E-2</v>
      </c>
      <c r="K369" s="10">
        <v>3.60899999999999E-2</v>
      </c>
      <c r="L369" s="10">
        <v>2.3689999999999899E-2</v>
      </c>
      <c r="M369" s="10">
        <v>0.15260000000000001</v>
      </c>
      <c r="N369" s="10">
        <v>6.046E-2</v>
      </c>
      <c r="O369" s="10">
        <v>0.1532</v>
      </c>
      <c r="P369" s="10">
        <v>0.78100000000000003</v>
      </c>
      <c r="Q369" s="10">
        <v>1.2529999999999899</v>
      </c>
      <c r="R369" s="10">
        <v>11.91</v>
      </c>
      <c r="S369" s="10">
        <v>3.7959999999999899E-3</v>
      </c>
      <c r="T369" s="10">
        <v>1.371E-2</v>
      </c>
      <c r="U369" s="10">
        <v>1.346E-2</v>
      </c>
      <c r="V369" s="10">
        <v>7.0959999999999903E-3</v>
      </c>
      <c r="W369" s="10">
        <v>1.536E-2</v>
      </c>
      <c r="X369" s="10">
        <v>1.5410000000000001E-3</v>
      </c>
      <c r="Y369" s="10">
        <v>14.06</v>
      </c>
      <c r="Z369" s="10">
        <v>24.34</v>
      </c>
      <c r="AA369" s="10">
        <v>92.819999999999894</v>
      </c>
      <c r="AB369" s="10">
        <v>607.29999999999905</v>
      </c>
      <c r="AC369" s="10">
        <v>0.12759999999999899</v>
      </c>
      <c r="AD369" s="10">
        <v>0.25059999999999899</v>
      </c>
      <c r="AE369" s="10">
        <v>0.20280000000000001</v>
      </c>
      <c r="AF369" s="10">
        <v>0.1053</v>
      </c>
      <c r="AG369" s="10">
        <v>0.30349999999999899</v>
      </c>
      <c r="AH369">
        <v>7.66099999999999E-2</v>
      </c>
    </row>
    <row r="370" spans="3:34">
      <c r="C370" s="11" t="s">
        <v>638</v>
      </c>
      <c r="D370" s="10" t="s">
        <v>0</v>
      </c>
      <c r="E370" s="10">
        <v>13.71</v>
      </c>
      <c r="F370" s="10">
        <v>17.52</v>
      </c>
      <c r="G370" s="10">
        <v>121.3</v>
      </c>
      <c r="H370" s="10">
        <v>1068</v>
      </c>
      <c r="I370" s="10">
        <v>0.1012</v>
      </c>
      <c r="J370" s="10">
        <v>0.13170000000000001</v>
      </c>
      <c r="K370" s="10">
        <v>0.14910000000000001</v>
      </c>
      <c r="L370" s="10">
        <v>9.1829999999999898E-2</v>
      </c>
      <c r="M370" s="10">
        <v>0.1832</v>
      </c>
      <c r="N370" s="10">
        <v>6.6970000000000002E-2</v>
      </c>
      <c r="O370" s="10">
        <v>0.7923</v>
      </c>
      <c r="P370" s="10">
        <v>1.0449999999999899</v>
      </c>
      <c r="Q370" s="10">
        <v>4.851</v>
      </c>
      <c r="R370" s="10">
        <v>95.769999999999897</v>
      </c>
      <c r="S370" s="10">
        <v>7.9740000000000002E-3</v>
      </c>
      <c r="T370" s="10">
        <v>3.2140000000000002E-2</v>
      </c>
      <c r="U370" s="10">
        <v>4.4350000000000001E-2</v>
      </c>
      <c r="V370" s="10">
        <v>1.5730000000000001E-2</v>
      </c>
      <c r="W370" s="10">
        <v>1.617E-2</v>
      </c>
      <c r="X370" s="10">
        <v>5.2550000000000001E-3</v>
      </c>
      <c r="Y370" s="10">
        <v>22.75</v>
      </c>
      <c r="Z370" s="10">
        <v>22.8799999999999</v>
      </c>
      <c r="AA370" s="10">
        <v>146.4</v>
      </c>
      <c r="AB370" s="10">
        <v>1600</v>
      </c>
      <c r="AC370" s="10">
        <v>0.14119999999999899</v>
      </c>
      <c r="AD370" s="10">
        <v>0.30890000000000001</v>
      </c>
      <c r="AE370" s="10">
        <v>0.3533</v>
      </c>
      <c r="AF370" s="10">
        <v>0.1663</v>
      </c>
      <c r="AG370" s="10">
        <v>0.251</v>
      </c>
      <c r="AH370">
        <v>9.4450000000000006E-2</v>
      </c>
    </row>
    <row r="371" spans="3:34">
      <c r="C371" s="11" t="s">
        <v>640</v>
      </c>
      <c r="D371" s="10" t="s">
        <v>1</v>
      </c>
      <c r="E371" s="10">
        <v>13.71</v>
      </c>
      <c r="F371" s="10">
        <v>16.739999999999899</v>
      </c>
      <c r="G371" s="10">
        <v>98.73</v>
      </c>
      <c r="H371" s="10">
        <v>689.39999999999895</v>
      </c>
      <c r="I371" s="10">
        <v>9.8830000000000001E-2</v>
      </c>
      <c r="J371" s="10">
        <v>0.13639999999999899</v>
      </c>
      <c r="K371" s="10">
        <v>7.7210000000000001E-2</v>
      </c>
      <c r="L371" s="10">
        <v>6.1420000000000002E-2</v>
      </c>
      <c r="M371" s="10">
        <v>0.1668</v>
      </c>
      <c r="N371" s="10">
        <v>6.8690000000000001E-2</v>
      </c>
      <c r="O371" s="10">
        <v>0.372</v>
      </c>
      <c r="P371" s="10">
        <v>0.84230000000000005</v>
      </c>
      <c r="Q371" s="10">
        <v>2.3039999999999901</v>
      </c>
      <c r="R371" s="10">
        <v>34.840000000000003</v>
      </c>
      <c r="S371" s="10">
        <v>4.1229999999999904E-3</v>
      </c>
      <c r="T371" s="10">
        <v>1.8190000000000001E-2</v>
      </c>
      <c r="U371" s="10">
        <v>1.9959999999999901E-2</v>
      </c>
      <c r="V371" s="10">
        <v>1.004E-2</v>
      </c>
      <c r="W371" s="10">
        <v>1.055E-2</v>
      </c>
      <c r="X371" s="10">
        <v>3.2369999999999899E-3</v>
      </c>
      <c r="Y371" s="10">
        <v>16.760000000000002</v>
      </c>
      <c r="Z371" s="10">
        <v>20.43</v>
      </c>
      <c r="AA371" s="10">
        <v>109.7</v>
      </c>
      <c r="AB371" s="10">
        <v>856.89999999999895</v>
      </c>
      <c r="AC371" s="10">
        <v>0.1135</v>
      </c>
      <c r="AD371" s="10">
        <v>0.21759999999999899</v>
      </c>
      <c r="AE371" s="10">
        <v>0.18559999999999899</v>
      </c>
      <c r="AF371" s="10">
        <v>0.1018</v>
      </c>
      <c r="AG371" s="10">
        <v>0.2177</v>
      </c>
      <c r="AH371">
        <v>8.5489999999999899E-2</v>
      </c>
    </row>
    <row r="372" spans="3:34">
      <c r="C372" s="11" t="s">
        <v>642</v>
      </c>
      <c r="D372" s="10" t="s">
        <v>1</v>
      </c>
      <c r="E372" s="10">
        <v>13.71</v>
      </c>
      <c r="F372" s="10">
        <v>16.32</v>
      </c>
      <c r="G372" s="10">
        <v>81.25</v>
      </c>
      <c r="H372" s="10">
        <v>476.3</v>
      </c>
      <c r="I372" s="10">
        <v>0.1158</v>
      </c>
      <c r="J372" s="10">
        <v>0.1085</v>
      </c>
      <c r="K372" s="10">
        <v>5.9279999999999902E-2</v>
      </c>
      <c r="L372" s="10">
        <v>3.279E-2</v>
      </c>
      <c r="M372" s="10">
        <v>0.1943</v>
      </c>
      <c r="N372" s="10">
        <v>6.6119999999999901E-2</v>
      </c>
      <c r="O372" s="10">
        <v>0.25769999999999899</v>
      </c>
      <c r="P372" s="10">
        <v>1.095</v>
      </c>
      <c r="Q372" s="10">
        <v>1.5660000000000001</v>
      </c>
      <c r="R372" s="10">
        <v>18.489999999999899</v>
      </c>
      <c r="S372" s="10">
        <v>9.7020000000000006E-3</v>
      </c>
      <c r="T372" s="10">
        <v>1.567E-2</v>
      </c>
      <c r="U372" s="10">
        <v>2.5749999999999901E-2</v>
      </c>
      <c r="V372" s="10">
        <v>1.1610000000000001E-2</v>
      </c>
      <c r="W372" s="10">
        <v>2.801E-2</v>
      </c>
      <c r="X372" s="10">
        <v>2.48E-3</v>
      </c>
      <c r="Y372" s="10">
        <v>13.57</v>
      </c>
      <c r="Z372" s="10">
        <v>21.399999999999899</v>
      </c>
      <c r="AA372" s="10">
        <v>86.67</v>
      </c>
      <c r="AB372" s="10">
        <v>552</v>
      </c>
      <c r="AC372" s="10">
        <v>0.158</v>
      </c>
      <c r="AD372" s="10">
        <v>0.17510000000000001</v>
      </c>
      <c r="AE372" s="10">
        <v>0.18890000000000001</v>
      </c>
      <c r="AF372" s="10">
        <v>8.4110000000000004E-2</v>
      </c>
      <c r="AG372" s="10">
        <v>0.3155</v>
      </c>
      <c r="AH372">
        <v>7.5380000000000003E-2</v>
      </c>
    </row>
    <row r="373" spans="3:34">
      <c r="C373" s="11" t="s">
        <v>643</v>
      </c>
      <c r="D373" s="10" t="s">
        <v>0</v>
      </c>
      <c r="E373" s="10">
        <v>13.71</v>
      </c>
      <c r="F373" s="10">
        <v>19.829999999999899</v>
      </c>
      <c r="G373" s="10">
        <v>152.099999999999</v>
      </c>
      <c r="H373" s="10">
        <v>1682</v>
      </c>
      <c r="I373" s="10">
        <v>9.3420000000000003E-2</v>
      </c>
      <c r="J373" s="10">
        <v>0.1275</v>
      </c>
      <c r="K373" s="10">
        <v>0.1676</v>
      </c>
      <c r="L373" s="10">
        <v>0.1003</v>
      </c>
      <c r="M373" s="10">
        <v>0.150499999999999</v>
      </c>
      <c r="N373" s="10">
        <v>5.484E-2</v>
      </c>
      <c r="O373" s="10">
        <v>1.2909999999999899</v>
      </c>
      <c r="P373" s="10">
        <v>0.74519999999999897</v>
      </c>
      <c r="Q373" s="10">
        <v>9.6349999999999891</v>
      </c>
      <c r="R373" s="10">
        <v>180.19999999999899</v>
      </c>
      <c r="S373" s="10">
        <v>5.7530000000000003E-3</v>
      </c>
      <c r="T373" s="10">
        <v>3.356E-2</v>
      </c>
      <c r="U373" s="10">
        <v>3.97599999999999E-2</v>
      </c>
      <c r="V373" s="10">
        <v>2.1559999999999899E-2</v>
      </c>
      <c r="W373" s="10">
        <v>2.2009999999999901E-2</v>
      </c>
      <c r="X373" s="10">
        <v>2.8969999999999899E-3</v>
      </c>
      <c r="Y373" s="10">
        <v>30.7899999999999</v>
      </c>
      <c r="Z373" s="10">
        <v>23.87</v>
      </c>
      <c r="AA373" s="10">
        <v>211.5</v>
      </c>
      <c r="AB373" s="10">
        <v>2782</v>
      </c>
      <c r="AC373" s="10">
        <v>0.11990000000000001</v>
      </c>
      <c r="AD373" s="10">
        <v>0.36249999999999899</v>
      </c>
      <c r="AE373" s="10">
        <v>0.37940000000000002</v>
      </c>
      <c r="AF373" s="10">
        <v>0.22639999999999899</v>
      </c>
      <c r="AG373" s="10">
        <v>0.2908</v>
      </c>
      <c r="AH373">
        <v>7.2770000000000001E-2</v>
      </c>
    </row>
    <row r="374" spans="3:34">
      <c r="C374" s="11" t="s">
        <v>645</v>
      </c>
      <c r="D374" s="10" t="s">
        <v>1</v>
      </c>
      <c r="E374" s="10">
        <v>13.71</v>
      </c>
      <c r="F374" s="10">
        <v>13.14</v>
      </c>
      <c r="G374" s="10">
        <v>64.12</v>
      </c>
      <c r="H374" s="10">
        <v>272.5</v>
      </c>
      <c r="I374" s="10">
        <v>0.1255</v>
      </c>
      <c r="J374" s="10">
        <v>0.22040000000000001</v>
      </c>
      <c r="K374" s="10">
        <v>0.1188</v>
      </c>
      <c r="L374" s="10">
        <v>7.0379999999999901E-2</v>
      </c>
      <c r="M374" s="10">
        <v>0.20569999999999899</v>
      </c>
      <c r="N374" s="10">
        <v>9.5750000000000002E-2</v>
      </c>
      <c r="O374" s="10">
        <v>0.27439999999999898</v>
      </c>
      <c r="P374" s="10">
        <v>1.3899999999999899</v>
      </c>
      <c r="Q374" s="10">
        <v>1.7869999999999899</v>
      </c>
      <c r="R374" s="10">
        <v>17.670000000000002</v>
      </c>
      <c r="S374" s="10">
        <v>2.1770000000000001E-2</v>
      </c>
      <c r="T374" s="10">
        <v>4.888E-2</v>
      </c>
      <c r="U374" s="10">
        <v>5.1889999999999901E-2</v>
      </c>
      <c r="V374" s="10">
        <v>1.4500000000000001E-2</v>
      </c>
      <c r="W374" s="10">
        <v>2.632E-2</v>
      </c>
      <c r="X374" s="10">
        <v>1.1480000000000001E-2</v>
      </c>
      <c r="Y374" s="10">
        <v>10.6</v>
      </c>
      <c r="Z374" s="10">
        <v>18.0399999999999</v>
      </c>
      <c r="AA374" s="10">
        <v>69.469999999999899</v>
      </c>
      <c r="AB374" s="10">
        <v>328.1</v>
      </c>
      <c r="AC374" s="10">
        <v>0.2006</v>
      </c>
      <c r="AD374" s="10">
        <v>0.36630000000000001</v>
      </c>
      <c r="AE374" s="10">
        <v>0.2913</v>
      </c>
      <c r="AF374" s="10">
        <v>0.1075</v>
      </c>
      <c r="AG374" s="10">
        <v>0.2848</v>
      </c>
      <c r="AH374">
        <v>0.13639999999999899</v>
      </c>
    </row>
    <row r="375" spans="3:34">
      <c r="C375" s="11" t="s">
        <v>649</v>
      </c>
      <c r="D375" s="10" t="s">
        <v>0</v>
      </c>
      <c r="E375" s="10">
        <v>13.71</v>
      </c>
      <c r="F375" s="10">
        <v>23.9499999999999</v>
      </c>
      <c r="G375" s="10">
        <v>103.8</v>
      </c>
      <c r="H375" s="10">
        <v>731.29999999999905</v>
      </c>
      <c r="I375" s="10">
        <v>0.1183</v>
      </c>
      <c r="J375" s="10">
        <v>0.187</v>
      </c>
      <c r="K375" s="10">
        <v>0.20300000000000001</v>
      </c>
      <c r="L375" s="10">
        <v>8.5199999999999901E-2</v>
      </c>
      <c r="M375" s="10">
        <v>0.1807</v>
      </c>
      <c r="N375" s="10">
        <v>7.0830000000000004E-2</v>
      </c>
      <c r="O375" s="10">
        <v>0.33310000000000001</v>
      </c>
      <c r="P375" s="10">
        <v>1.9610000000000001</v>
      </c>
      <c r="Q375" s="10">
        <v>2.9369999999999901</v>
      </c>
      <c r="R375" s="10">
        <v>32.520000000000003</v>
      </c>
      <c r="S375" s="10">
        <v>9.5379999999999892E-3</v>
      </c>
      <c r="T375" s="10">
        <v>4.9399999999999902E-2</v>
      </c>
      <c r="U375" s="10">
        <v>6.019E-2</v>
      </c>
      <c r="V375" s="10">
        <v>2.0410000000000001E-2</v>
      </c>
      <c r="W375" s="10">
        <v>2.1049999999999899E-2</v>
      </c>
      <c r="X375" s="10">
        <v>6.0000000000000001E-3</v>
      </c>
      <c r="Y375" s="10">
        <v>17.1099999999999</v>
      </c>
      <c r="Z375" s="10">
        <v>36.329999999999899</v>
      </c>
      <c r="AA375" s="10">
        <v>117.7</v>
      </c>
      <c r="AB375" s="10">
        <v>909.39999999999895</v>
      </c>
      <c r="AC375" s="10">
        <v>0.17319999999999899</v>
      </c>
      <c r="AD375" s="10">
        <v>0.49669999999999898</v>
      </c>
      <c r="AE375" s="10">
        <v>0.59109999999999896</v>
      </c>
      <c r="AF375" s="10">
        <v>0.21629999999999899</v>
      </c>
      <c r="AG375" s="10">
        <v>0.30130000000000001</v>
      </c>
      <c r="AH375">
        <v>0.1067</v>
      </c>
    </row>
    <row r="376" spans="3:34">
      <c r="C376" s="11" t="s">
        <v>650</v>
      </c>
      <c r="D376" s="10" t="s">
        <v>1</v>
      </c>
      <c r="E376" s="10">
        <v>13.71</v>
      </c>
      <c r="F376" s="10">
        <v>14.69</v>
      </c>
      <c r="G376" s="10">
        <v>76.31</v>
      </c>
      <c r="H376" s="10">
        <v>426</v>
      </c>
      <c r="I376" s="10">
        <v>8.0990000000000006E-2</v>
      </c>
      <c r="J376" s="10">
        <v>9.6610000000000001E-2</v>
      </c>
      <c r="K376" s="10">
        <v>6.726E-2</v>
      </c>
      <c r="L376" s="10">
        <v>2.639E-2</v>
      </c>
      <c r="M376" s="10">
        <v>0.14990000000000001</v>
      </c>
      <c r="N376" s="10">
        <v>6.7580000000000001E-2</v>
      </c>
      <c r="O376" s="10">
        <v>0.19239999999999899</v>
      </c>
      <c r="P376" s="10">
        <v>0.64170000000000005</v>
      </c>
      <c r="Q376" s="10">
        <v>1.345</v>
      </c>
      <c r="R376" s="10">
        <v>13.0399999999999</v>
      </c>
      <c r="S376" s="10">
        <v>6.9820000000000004E-3</v>
      </c>
      <c r="T376" s="10">
        <v>3.916E-2</v>
      </c>
      <c r="U376" s="10">
        <v>4.01699999999999E-2</v>
      </c>
      <c r="V376" s="10">
        <v>1.528E-2</v>
      </c>
      <c r="W376" s="10">
        <v>2.2599999999999901E-2</v>
      </c>
      <c r="X376" s="10">
        <v>6.8219999999999904E-3</v>
      </c>
      <c r="Y376" s="10">
        <v>12.4499999999999</v>
      </c>
      <c r="Z376" s="10">
        <v>17.600000000000001</v>
      </c>
      <c r="AA376" s="10">
        <v>81.25</v>
      </c>
      <c r="AB376" s="10">
        <v>473.8</v>
      </c>
      <c r="AC376" s="10">
        <v>0.10730000000000001</v>
      </c>
      <c r="AD376" s="10">
        <v>0.27929999999999899</v>
      </c>
      <c r="AE376" s="10">
        <v>0.26900000000000002</v>
      </c>
      <c r="AF376" s="10">
        <v>0.1056</v>
      </c>
      <c r="AG376" s="10">
        <v>0.26040000000000002</v>
      </c>
      <c r="AH376">
        <v>9.8790000000000003E-2</v>
      </c>
    </row>
    <row r="377" spans="3:34">
      <c r="C377" s="11" t="s">
        <v>653</v>
      </c>
      <c r="D377" s="10" t="s">
        <v>1</v>
      </c>
      <c r="E377" s="10">
        <v>13.71</v>
      </c>
      <c r="F377" s="10">
        <v>13.66</v>
      </c>
      <c r="G377" s="10">
        <v>94.29</v>
      </c>
      <c r="H377" s="10">
        <v>658.79999999999905</v>
      </c>
      <c r="I377" s="10">
        <v>9.8320000000000005E-2</v>
      </c>
      <c r="J377" s="10">
        <v>8.9179999999999898E-2</v>
      </c>
      <c r="K377" s="10">
        <v>8.2220000000000001E-2</v>
      </c>
      <c r="L377" s="10">
        <v>4.3490000000000001E-2</v>
      </c>
      <c r="M377" s="10">
        <v>0.1739</v>
      </c>
      <c r="N377" s="10">
        <v>5.6399999999999902E-2</v>
      </c>
      <c r="O377" s="10">
        <v>0.41649999999999898</v>
      </c>
      <c r="P377" s="10">
        <v>0.62370000000000003</v>
      </c>
      <c r="Q377" s="10">
        <v>2.5609999999999902</v>
      </c>
      <c r="R377" s="10">
        <v>37.1099999999999</v>
      </c>
      <c r="S377" s="10">
        <v>4.9529999999999904E-3</v>
      </c>
      <c r="T377" s="10">
        <v>1.8120000000000001E-2</v>
      </c>
      <c r="U377" s="10">
        <v>3.0349999999999901E-2</v>
      </c>
      <c r="V377" s="10">
        <v>8.6479999999999908E-3</v>
      </c>
      <c r="W377" s="10">
        <v>1.53899999999999E-2</v>
      </c>
      <c r="X377" s="10">
        <v>2.281E-3</v>
      </c>
      <c r="Y377" s="10">
        <v>16.760000000000002</v>
      </c>
      <c r="Z377" s="10">
        <v>17.239999999999899</v>
      </c>
      <c r="AA377" s="10">
        <v>108.5</v>
      </c>
      <c r="AB377" s="10">
        <v>862</v>
      </c>
      <c r="AC377" s="10">
        <v>0.12230000000000001</v>
      </c>
      <c r="AD377" s="10">
        <v>0.1928</v>
      </c>
      <c r="AE377" s="10">
        <v>0.2492</v>
      </c>
      <c r="AF377" s="10">
        <v>9.18599999999999E-2</v>
      </c>
      <c r="AG377" s="10">
        <v>0.2626</v>
      </c>
      <c r="AH377">
        <v>7.0480000000000001E-2</v>
      </c>
    </row>
    <row r="378" spans="3:34">
      <c r="C378" s="11" t="s">
        <v>654</v>
      </c>
      <c r="D378" s="10" t="s">
        <v>0</v>
      </c>
      <c r="E378" s="10">
        <v>13.71</v>
      </c>
      <c r="F378" s="10">
        <v>19.07</v>
      </c>
      <c r="G378" s="10">
        <v>97.26</v>
      </c>
      <c r="H378" s="10">
        <v>701.89999999999895</v>
      </c>
      <c r="I378" s="10">
        <v>9.2149999999999899E-2</v>
      </c>
      <c r="J378" s="10">
        <v>8.5970000000000005E-2</v>
      </c>
      <c r="K378" s="10">
        <v>7.4859999999999899E-2</v>
      </c>
      <c r="L378" s="10">
        <v>4.335E-2</v>
      </c>
      <c r="M378" s="10">
        <v>0.15609999999999899</v>
      </c>
      <c r="N378" s="10">
        <v>5.9150000000000001E-2</v>
      </c>
      <c r="O378" s="10">
        <v>0.38600000000000001</v>
      </c>
      <c r="P378" s="10">
        <v>1.198</v>
      </c>
      <c r="Q378" s="10">
        <v>2.6299999999999901</v>
      </c>
      <c r="R378" s="10">
        <v>38.49</v>
      </c>
      <c r="S378" s="10">
        <v>4.9519999999999903E-3</v>
      </c>
      <c r="T378" s="10">
        <v>1.6299999999999901E-2</v>
      </c>
      <c r="U378" s="10">
        <v>2.9669999999999901E-2</v>
      </c>
      <c r="V378" s="10">
        <v>9.4230000000000008E-3</v>
      </c>
      <c r="W378" s="10">
        <v>1.1520000000000001E-2</v>
      </c>
      <c r="X378" s="10">
        <v>1.7179999999999899E-3</v>
      </c>
      <c r="Y378" s="10">
        <v>17.579999999999899</v>
      </c>
      <c r="Z378" s="10">
        <v>28.059999999999899</v>
      </c>
      <c r="AA378" s="10">
        <v>113.8</v>
      </c>
      <c r="AB378" s="10">
        <v>967</v>
      </c>
      <c r="AC378" s="10">
        <v>0.1246</v>
      </c>
      <c r="AD378" s="10">
        <v>0.21010000000000001</v>
      </c>
      <c r="AE378" s="10">
        <v>0.28660000000000002</v>
      </c>
      <c r="AF378" s="10">
        <v>0.112</v>
      </c>
      <c r="AG378" s="10">
        <v>0.22819999999999899</v>
      </c>
      <c r="AH378">
        <v>6.9540000000000005E-2</v>
      </c>
    </row>
    <row r="379" spans="3:34">
      <c r="C379" s="11" t="s">
        <v>655</v>
      </c>
      <c r="D379" s="10" t="s">
        <v>1</v>
      </c>
      <c r="E379" s="10">
        <v>13.71</v>
      </c>
      <c r="F379" s="10">
        <v>18.6099999999999</v>
      </c>
      <c r="G379" s="10">
        <v>72.760000000000005</v>
      </c>
      <c r="H379" s="10">
        <v>391.19999999999902</v>
      </c>
      <c r="I379" s="10">
        <v>0.10489999999999899</v>
      </c>
      <c r="J379" s="10">
        <v>8.4989999999999899E-2</v>
      </c>
      <c r="K379" s="10">
        <v>4.3020000000000003E-2</v>
      </c>
      <c r="L379" s="10">
        <v>2.5940000000000001E-2</v>
      </c>
      <c r="M379" s="10">
        <v>0.19270000000000001</v>
      </c>
      <c r="N379" s="10">
        <v>6.2109999999999901E-2</v>
      </c>
      <c r="O379" s="10">
        <v>0.24299999999999899</v>
      </c>
      <c r="P379" s="10">
        <v>1.01</v>
      </c>
      <c r="Q379" s="10">
        <v>1.4910000000000001</v>
      </c>
      <c r="R379" s="10">
        <v>18.190000000000001</v>
      </c>
      <c r="S379" s="10">
        <v>8.5769999999999891E-3</v>
      </c>
      <c r="T379" s="10">
        <v>1.6410000000000001E-2</v>
      </c>
      <c r="U379" s="10">
        <v>2.0990000000000002E-2</v>
      </c>
      <c r="V379" s="10">
        <v>1.107E-2</v>
      </c>
      <c r="W379" s="10">
        <v>2.4340000000000001E-2</v>
      </c>
      <c r="X379" s="10">
        <v>1.217E-3</v>
      </c>
      <c r="Y379" s="10">
        <v>12.47</v>
      </c>
      <c r="Z379" s="10">
        <v>23.03</v>
      </c>
      <c r="AA379" s="10">
        <v>79.150000000000006</v>
      </c>
      <c r="AB379" s="10">
        <v>478.6</v>
      </c>
      <c r="AC379" s="10">
        <v>0.14829999999999899</v>
      </c>
      <c r="AD379" s="10">
        <v>0.15740000000000001</v>
      </c>
      <c r="AE379" s="10">
        <v>0.16239999999999899</v>
      </c>
      <c r="AF379" s="10">
        <v>8.5419999999999899E-2</v>
      </c>
      <c r="AG379" s="10">
        <v>0.305999999999999</v>
      </c>
      <c r="AH379">
        <v>6.7830000000000001E-2</v>
      </c>
    </row>
    <row r="380" spans="3:34">
      <c r="C380" s="11" t="s">
        <v>656</v>
      </c>
      <c r="D380" s="10" t="s">
        <v>0</v>
      </c>
      <c r="E380" s="10">
        <v>13.71</v>
      </c>
      <c r="F380" s="10">
        <v>20.579999999999899</v>
      </c>
      <c r="G380" s="10">
        <v>120.8</v>
      </c>
      <c r="H380" s="10">
        <v>1052</v>
      </c>
      <c r="I380" s="10">
        <v>0.10680000000000001</v>
      </c>
      <c r="J380" s="10">
        <v>0.124799999999999</v>
      </c>
      <c r="K380" s="10">
        <v>0.15690000000000001</v>
      </c>
      <c r="L380" s="10">
        <v>9.45099999999999E-2</v>
      </c>
      <c r="M380" s="10">
        <v>0.186</v>
      </c>
      <c r="N380" s="10">
        <v>5.94099999999999E-2</v>
      </c>
      <c r="O380" s="10">
        <v>0.54490000000000005</v>
      </c>
      <c r="P380" s="10">
        <v>0.92249999999999899</v>
      </c>
      <c r="Q380" s="10">
        <v>3.218</v>
      </c>
      <c r="R380" s="10">
        <v>67.3599999999999</v>
      </c>
      <c r="S380" s="10">
        <v>6.1760000000000001E-3</v>
      </c>
      <c r="T380" s="10">
        <v>1.8769999999999901E-2</v>
      </c>
      <c r="U380" s="10">
        <v>2.913E-2</v>
      </c>
      <c r="V380" s="10">
        <v>1.0460000000000001E-2</v>
      </c>
      <c r="W380" s="10">
        <v>1.559E-2</v>
      </c>
      <c r="X380" s="10">
        <v>2.725E-3</v>
      </c>
      <c r="Y380" s="10">
        <v>21.8599999999999</v>
      </c>
      <c r="Z380" s="10">
        <v>26.1999999999999</v>
      </c>
      <c r="AA380" s="10">
        <v>142.19999999999899</v>
      </c>
      <c r="AB380" s="10">
        <v>1493</v>
      </c>
      <c r="AC380" s="10">
        <v>0.1492</v>
      </c>
      <c r="AD380" s="10">
        <v>0.25359999999999899</v>
      </c>
      <c r="AE380" s="10">
        <v>0.37590000000000001</v>
      </c>
      <c r="AF380" s="10">
        <v>0.151</v>
      </c>
      <c r="AG380" s="10">
        <v>0.30740000000000001</v>
      </c>
      <c r="AH380">
        <v>7.8630000000000005E-2</v>
      </c>
    </row>
    <row r="381" spans="3:34">
      <c r="C381" s="11" t="s">
        <v>657</v>
      </c>
      <c r="D381" s="10" t="s">
        <v>0</v>
      </c>
      <c r="E381" s="10">
        <v>13.71</v>
      </c>
      <c r="F381" s="10">
        <v>20.260000000000002</v>
      </c>
      <c r="G381" s="10">
        <v>130.5</v>
      </c>
      <c r="H381" s="10">
        <v>1214</v>
      </c>
      <c r="I381" s="10">
        <v>0.1037</v>
      </c>
      <c r="J381" s="10">
        <v>0.13100000000000001</v>
      </c>
      <c r="K381" s="10">
        <v>0.1411</v>
      </c>
      <c r="L381" s="10">
        <v>9.4310000000000005E-2</v>
      </c>
      <c r="M381" s="10">
        <v>0.1802</v>
      </c>
      <c r="N381" s="10">
        <v>6.18799999999999E-2</v>
      </c>
      <c r="O381" s="10">
        <v>0.50790000000000002</v>
      </c>
      <c r="P381" s="10">
        <v>0.87370000000000003</v>
      </c>
      <c r="Q381" s="10">
        <v>3.6539999999999901</v>
      </c>
      <c r="R381" s="10">
        <v>59.7</v>
      </c>
      <c r="S381" s="10">
        <v>5.0889999999999902E-3</v>
      </c>
      <c r="T381" s="10">
        <v>2.3029999999999901E-2</v>
      </c>
      <c r="U381" s="10">
        <v>3.0519999999999901E-2</v>
      </c>
      <c r="V381" s="10">
        <v>1.1780000000000001E-2</v>
      </c>
      <c r="W381" s="10">
        <v>1.057E-2</v>
      </c>
      <c r="X381" s="10">
        <v>3.3909999999999899E-3</v>
      </c>
      <c r="Y381" s="10">
        <v>23.73</v>
      </c>
      <c r="Z381" s="10">
        <v>25.23</v>
      </c>
      <c r="AA381" s="10">
        <v>160.5</v>
      </c>
      <c r="AB381" s="10">
        <v>1646</v>
      </c>
      <c r="AC381" s="10">
        <v>0.14169999999999899</v>
      </c>
      <c r="AD381" s="10">
        <v>0.33090000000000003</v>
      </c>
      <c r="AE381" s="10">
        <v>0.41849999999999898</v>
      </c>
      <c r="AF381" s="10">
        <v>0.1613</v>
      </c>
      <c r="AG381" s="10">
        <v>0.25490000000000002</v>
      </c>
      <c r="AH381">
        <v>9.13599999999999E-2</v>
      </c>
    </row>
    <row r="382" spans="3:34">
      <c r="C382" s="11" t="s">
        <v>658</v>
      </c>
      <c r="D382" s="10" t="s">
        <v>1</v>
      </c>
      <c r="E382" s="10">
        <v>13.71</v>
      </c>
      <c r="F382" s="10">
        <v>18.219999999999899</v>
      </c>
      <c r="G382" s="10">
        <v>84.45</v>
      </c>
      <c r="H382" s="10">
        <v>493.1</v>
      </c>
      <c r="I382" s="10">
        <v>0.12180000000000001</v>
      </c>
      <c r="J382" s="10">
        <v>0.1661</v>
      </c>
      <c r="K382" s="10">
        <v>4.8250000000000001E-2</v>
      </c>
      <c r="L382" s="10">
        <v>5.3030000000000001E-2</v>
      </c>
      <c r="M382" s="10">
        <v>0.1709</v>
      </c>
      <c r="N382" s="10">
        <v>7.25299999999999E-2</v>
      </c>
      <c r="O382" s="10">
        <v>0.44259999999999899</v>
      </c>
      <c r="P382" s="10">
        <v>1.169</v>
      </c>
      <c r="Q382" s="10">
        <v>3.1760000000000002</v>
      </c>
      <c r="R382" s="10">
        <v>34.369999999999898</v>
      </c>
      <c r="S382" s="10">
        <v>5.2729999999999904E-3</v>
      </c>
      <c r="T382" s="10">
        <v>2.3290000000000002E-2</v>
      </c>
      <c r="U382" s="10">
        <v>1.405E-2</v>
      </c>
      <c r="V382" s="10">
        <v>1.244E-2</v>
      </c>
      <c r="W382" s="10">
        <v>1.8159999999999898E-2</v>
      </c>
      <c r="X382" s="10">
        <v>3.2989999999999899E-3</v>
      </c>
      <c r="Y382" s="10">
        <v>15.05</v>
      </c>
      <c r="Z382" s="10">
        <v>24.37</v>
      </c>
      <c r="AA382" s="10">
        <v>99.31</v>
      </c>
      <c r="AB382" s="10">
        <v>674.7</v>
      </c>
      <c r="AC382" s="10">
        <v>0.14560000000000001</v>
      </c>
      <c r="AD382" s="10">
        <v>0.29609999999999898</v>
      </c>
      <c r="AE382" s="10">
        <v>0.1246</v>
      </c>
      <c r="AF382" s="10">
        <v>0.1096</v>
      </c>
      <c r="AG382" s="10">
        <v>0.25819999999999899</v>
      </c>
      <c r="AH382">
        <v>8.8929999999999898E-2</v>
      </c>
    </row>
    <row r="383" spans="3:34">
      <c r="C383" s="11" t="s">
        <v>659</v>
      </c>
      <c r="D383" s="10" t="s">
        <v>1</v>
      </c>
      <c r="E383" s="10">
        <v>13.71</v>
      </c>
      <c r="F383" s="10">
        <v>16.6999999999999</v>
      </c>
      <c r="G383" s="10">
        <v>82.51</v>
      </c>
      <c r="H383" s="10">
        <v>493.8</v>
      </c>
      <c r="I383" s="10">
        <v>0.1125</v>
      </c>
      <c r="J383" s="10">
        <v>0.11169999999999899</v>
      </c>
      <c r="K383" s="10">
        <v>3.8800000000000001E-2</v>
      </c>
      <c r="L383" s="10">
        <v>2.9950000000000001E-2</v>
      </c>
      <c r="M383" s="10">
        <v>0.21199999999999899</v>
      </c>
      <c r="N383" s="10">
        <v>6.62299999999999E-2</v>
      </c>
      <c r="O383" s="10">
        <v>0.38340000000000002</v>
      </c>
      <c r="P383" s="10">
        <v>1.0029999999999899</v>
      </c>
      <c r="Q383" s="10">
        <v>2.4950000000000001</v>
      </c>
      <c r="R383" s="10">
        <v>28.62</v>
      </c>
      <c r="S383" s="10">
        <v>7.509E-3</v>
      </c>
      <c r="T383" s="10">
        <v>1.5610000000000001E-2</v>
      </c>
      <c r="U383" s="10">
        <v>1.9769999999999899E-2</v>
      </c>
      <c r="V383" s="10">
        <v>9.1990000000000006E-3</v>
      </c>
      <c r="W383" s="10">
        <v>1.805E-2</v>
      </c>
      <c r="X383" s="10">
        <v>3.6289999999999899E-3</v>
      </c>
      <c r="Y383" s="10">
        <v>14.4499999999999</v>
      </c>
      <c r="Z383" s="10">
        <v>21.739999999999899</v>
      </c>
      <c r="AA383" s="10">
        <v>93.629999999999896</v>
      </c>
      <c r="AB383" s="10">
        <v>624.1</v>
      </c>
      <c r="AC383" s="10">
        <v>0.14749999999999899</v>
      </c>
      <c r="AD383" s="10">
        <v>0.19789999999999899</v>
      </c>
      <c r="AE383" s="10">
        <v>0.14230000000000001</v>
      </c>
      <c r="AF383" s="10">
        <v>8.0449999999999897E-2</v>
      </c>
      <c r="AG383" s="10">
        <v>0.30709999999999898</v>
      </c>
      <c r="AH383">
        <v>8.5569999999999896E-2</v>
      </c>
    </row>
    <row r="384" spans="3:34">
      <c r="C384" s="11" t="s">
        <v>661</v>
      </c>
      <c r="D384" s="10" t="s">
        <v>0</v>
      </c>
      <c r="E384" s="10">
        <v>13.71</v>
      </c>
      <c r="F384" s="10">
        <v>21.6</v>
      </c>
      <c r="G384" s="10">
        <v>165.5</v>
      </c>
      <c r="H384" s="10">
        <v>1841</v>
      </c>
      <c r="I384" s="10">
        <v>0.102999999999999</v>
      </c>
      <c r="J384" s="10">
        <v>0.21060000000000001</v>
      </c>
      <c r="K384" s="10">
        <v>0.23100000000000001</v>
      </c>
      <c r="L384" s="10">
        <v>0.14710000000000001</v>
      </c>
      <c r="M384" s="10">
        <v>0.1991</v>
      </c>
      <c r="N384" s="10">
        <v>6.7390000000000005E-2</v>
      </c>
      <c r="O384" s="10">
        <v>0.99150000000000005</v>
      </c>
      <c r="P384" s="10">
        <v>0.90039999999999898</v>
      </c>
      <c r="Q384" s="10">
        <v>7.0499999999999901</v>
      </c>
      <c r="R384" s="10">
        <v>139.9</v>
      </c>
      <c r="S384" s="10">
        <v>4.9890000000000004E-3</v>
      </c>
      <c r="T384" s="10">
        <v>3.2120000000000003E-2</v>
      </c>
      <c r="U384" s="10">
        <v>3.5709999999999902E-2</v>
      </c>
      <c r="V384" s="10">
        <v>1.5970000000000002E-2</v>
      </c>
      <c r="W384" s="10">
        <v>1.8790000000000001E-2</v>
      </c>
      <c r="X384" s="10">
        <v>4.7600000000000003E-3</v>
      </c>
      <c r="Y384" s="10">
        <v>29.92</v>
      </c>
      <c r="Z384" s="10">
        <v>26.93</v>
      </c>
      <c r="AA384" s="10">
        <v>205.69999999999899</v>
      </c>
      <c r="AB384" s="10">
        <v>2642</v>
      </c>
      <c r="AC384" s="10">
        <v>0.13420000000000001</v>
      </c>
      <c r="AD384" s="10">
        <v>0.41880000000000001</v>
      </c>
      <c r="AE384" s="10">
        <v>0.46579999999999899</v>
      </c>
      <c r="AF384" s="10">
        <v>0.2475</v>
      </c>
      <c r="AG384" s="10">
        <v>0.31569999999999898</v>
      </c>
      <c r="AH384">
        <v>9.6710000000000004E-2</v>
      </c>
    </row>
    <row r="385" spans="3:34">
      <c r="C385" s="11" t="s">
        <v>662</v>
      </c>
      <c r="D385" s="10" t="s">
        <v>1</v>
      </c>
      <c r="E385" s="10">
        <v>13.71</v>
      </c>
      <c r="F385" s="10">
        <v>19.829999999999899</v>
      </c>
      <c r="G385" s="10">
        <v>71.299999999999898</v>
      </c>
      <c r="H385" s="10">
        <v>388.1</v>
      </c>
      <c r="I385" s="10">
        <v>8.5110000000000005E-2</v>
      </c>
      <c r="J385" s="10">
        <v>4.4130000000000003E-2</v>
      </c>
      <c r="K385" s="10">
        <v>5.0670000000000003E-3</v>
      </c>
      <c r="L385" s="10">
        <v>5.6639999999999902E-3</v>
      </c>
      <c r="M385" s="10">
        <v>0.16370000000000001</v>
      </c>
      <c r="N385" s="10">
        <v>6.343E-2</v>
      </c>
      <c r="O385" s="10">
        <v>0.13439999999999899</v>
      </c>
      <c r="P385" s="10">
        <v>1.083</v>
      </c>
      <c r="Q385" s="10">
        <v>0.98119999999999896</v>
      </c>
      <c r="R385" s="10">
        <v>9.3320000000000007</v>
      </c>
      <c r="S385" s="10">
        <v>4.1999999999999902E-3</v>
      </c>
      <c r="T385" s="10">
        <v>5.8999999999999903E-3</v>
      </c>
      <c r="U385" s="10">
        <v>3.846E-3</v>
      </c>
      <c r="V385" s="10">
        <v>4.065E-3</v>
      </c>
      <c r="W385" s="10">
        <v>1.487E-2</v>
      </c>
      <c r="X385" s="10">
        <v>2.2950000000000002E-3</v>
      </c>
      <c r="Y385" s="10">
        <v>11.93</v>
      </c>
      <c r="Z385" s="10">
        <v>26.43</v>
      </c>
      <c r="AA385" s="10">
        <v>76.379999999999896</v>
      </c>
      <c r="AB385" s="10">
        <v>435.89999999999901</v>
      </c>
      <c r="AC385" s="10">
        <v>0.1108</v>
      </c>
      <c r="AD385" s="10">
        <v>7.7229999999999896E-2</v>
      </c>
      <c r="AE385" s="10">
        <v>2.5329999999999901E-2</v>
      </c>
      <c r="AF385" s="10">
        <v>2.8320000000000001E-2</v>
      </c>
      <c r="AG385" s="10">
        <v>0.25569999999999898</v>
      </c>
      <c r="AH385">
        <v>7.6130000000000003E-2</v>
      </c>
    </row>
    <row r="386" spans="3:34">
      <c r="C386" s="11" t="s">
        <v>663</v>
      </c>
      <c r="D386" s="10" t="s">
        <v>1</v>
      </c>
      <c r="E386" s="10">
        <v>13.71</v>
      </c>
      <c r="F386" s="10">
        <v>18.68</v>
      </c>
      <c r="G386" s="10">
        <v>88.73</v>
      </c>
      <c r="H386" s="10">
        <v>571</v>
      </c>
      <c r="I386" s="10">
        <v>9.9159999999999901E-2</v>
      </c>
      <c r="J386" s="10">
        <v>0.107</v>
      </c>
      <c r="K386" s="10">
        <v>5.3850000000000002E-2</v>
      </c>
      <c r="L386" s="10">
        <v>3.7830000000000003E-2</v>
      </c>
      <c r="M386" s="10">
        <v>0.1714</v>
      </c>
      <c r="N386" s="10">
        <v>6.8430000000000005E-2</v>
      </c>
      <c r="O386" s="10">
        <v>0.319099999999999</v>
      </c>
      <c r="P386" s="10">
        <v>1.2490000000000001</v>
      </c>
      <c r="Q386" s="10">
        <v>2.28399999999999</v>
      </c>
      <c r="R386" s="10">
        <v>26.4499999999999</v>
      </c>
      <c r="S386" s="10">
        <v>6.7390000000000002E-3</v>
      </c>
      <c r="T386" s="10">
        <v>2.2509999999999902E-2</v>
      </c>
      <c r="U386" s="10">
        <v>2.086E-2</v>
      </c>
      <c r="V386" s="10">
        <v>1.3520000000000001E-2</v>
      </c>
      <c r="W386" s="10">
        <v>1.8700000000000001E-2</v>
      </c>
      <c r="X386" s="10">
        <v>3.7469999999999899E-3</v>
      </c>
      <c r="Y386" s="10">
        <v>15.1099999999999</v>
      </c>
      <c r="Z386" s="10">
        <v>25.6299999999999</v>
      </c>
      <c r="AA386" s="10">
        <v>99.43</v>
      </c>
      <c r="AB386" s="10">
        <v>701.89999999999895</v>
      </c>
      <c r="AC386" s="10">
        <v>0.14249999999999899</v>
      </c>
      <c r="AD386" s="10">
        <v>0.256599999999999</v>
      </c>
      <c r="AE386" s="10">
        <v>0.19350000000000001</v>
      </c>
      <c r="AF386" s="10">
        <v>0.12839999999999899</v>
      </c>
      <c r="AG386" s="10">
        <v>0.28489999999999899</v>
      </c>
      <c r="AH386">
        <v>9.0310000000000001E-2</v>
      </c>
    </row>
    <row r="387" spans="3:34">
      <c r="C387" s="11" t="s">
        <v>664</v>
      </c>
      <c r="D387" s="10" t="s">
        <v>1</v>
      </c>
      <c r="E387" s="10">
        <v>13.71</v>
      </c>
      <c r="F387" s="10">
        <v>15.68</v>
      </c>
      <c r="G387" s="10">
        <v>63</v>
      </c>
      <c r="H387" s="10">
        <v>293.19999999999902</v>
      </c>
      <c r="I387" s="10">
        <v>9.4920000000000004E-2</v>
      </c>
      <c r="J387" s="10">
        <v>8.4190000000000001E-2</v>
      </c>
      <c r="K387" s="10">
        <v>2.3300000000000001E-2</v>
      </c>
      <c r="L387" s="10">
        <v>2.4160000000000001E-2</v>
      </c>
      <c r="M387" s="10">
        <v>0.13869999999999899</v>
      </c>
      <c r="N387" s="10">
        <v>6.8909999999999902E-2</v>
      </c>
      <c r="O387" s="10">
        <v>0.249799999999999</v>
      </c>
      <c r="P387" s="10">
        <v>1.216</v>
      </c>
      <c r="Q387" s="10">
        <v>1.976</v>
      </c>
      <c r="R387" s="10">
        <v>15.24</v>
      </c>
      <c r="S387" s="10">
        <v>8.7320000000000002E-3</v>
      </c>
      <c r="T387" s="10">
        <v>2.0420000000000001E-2</v>
      </c>
      <c r="U387" s="10">
        <v>1.06199999999999E-2</v>
      </c>
      <c r="V387" s="10">
        <v>6.8009999999999902E-3</v>
      </c>
      <c r="W387" s="10">
        <v>1.8239999999999899E-2</v>
      </c>
      <c r="X387" s="10">
        <v>3.4940000000000001E-3</v>
      </c>
      <c r="Y387" s="10">
        <v>11.24</v>
      </c>
      <c r="Z387" s="10">
        <v>22.989999999999899</v>
      </c>
      <c r="AA387" s="10">
        <v>74.319999999999894</v>
      </c>
      <c r="AB387" s="10">
        <v>376.5</v>
      </c>
      <c r="AC387" s="10">
        <v>0.1419</v>
      </c>
      <c r="AD387" s="10">
        <v>0.2243</v>
      </c>
      <c r="AE387" s="10">
        <v>8.4339999999999901E-2</v>
      </c>
      <c r="AF387" s="10">
        <v>6.5280000000000005E-2</v>
      </c>
      <c r="AG387" s="10">
        <v>0.25019999999999898</v>
      </c>
      <c r="AH387">
        <v>9.2090000000000005E-2</v>
      </c>
    </row>
    <row r="388" spans="3:34">
      <c r="C388" s="11" t="s">
        <v>665</v>
      </c>
      <c r="D388" s="10" t="s">
        <v>1</v>
      </c>
      <c r="E388" s="10">
        <v>13.71</v>
      </c>
      <c r="F388" s="10">
        <v>13.1</v>
      </c>
      <c r="G388" s="10">
        <v>54.53</v>
      </c>
      <c r="H388" s="10">
        <v>221.3</v>
      </c>
      <c r="I388" s="10">
        <v>0.1036</v>
      </c>
      <c r="J388" s="10">
        <v>7.6319999999999902E-2</v>
      </c>
      <c r="K388" s="10">
        <v>2.5649999999999899E-2</v>
      </c>
      <c r="L388" s="10">
        <v>1.5100000000000001E-2</v>
      </c>
      <c r="M388" s="10">
        <v>0.1678</v>
      </c>
      <c r="N388" s="10">
        <v>7.1260000000000004E-2</v>
      </c>
      <c r="O388" s="10">
        <v>0.12670000000000001</v>
      </c>
      <c r="P388" s="10">
        <v>0.67930000000000001</v>
      </c>
      <c r="Q388" s="10">
        <v>1.069</v>
      </c>
      <c r="R388" s="10">
        <v>7.2539999999999898</v>
      </c>
      <c r="S388" s="10">
        <v>7.8969999999999908E-3</v>
      </c>
      <c r="T388" s="10">
        <v>1.762E-2</v>
      </c>
      <c r="U388" s="10">
        <v>1.8010000000000002E-2</v>
      </c>
      <c r="V388" s="10">
        <v>7.3200000000000001E-3</v>
      </c>
      <c r="W388" s="10">
        <v>1.592E-2</v>
      </c>
      <c r="X388" s="10">
        <v>3.9249999999999901E-3</v>
      </c>
      <c r="Y388" s="10">
        <v>9.4730000000000008</v>
      </c>
      <c r="Z388" s="10">
        <v>18.4499999999999</v>
      </c>
      <c r="AA388" s="10">
        <v>63.299999999999898</v>
      </c>
      <c r="AB388" s="10">
        <v>275.60000000000002</v>
      </c>
      <c r="AC388" s="10">
        <v>0.1641</v>
      </c>
      <c r="AD388" s="10">
        <v>0.2235</v>
      </c>
      <c r="AE388" s="10">
        <v>0.1754</v>
      </c>
      <c r="AF388" s="10">
        <v>8.5120000000000001E-2</v>
      </c>
      <c r="AG388" s="10">
        <v>0.29830000000000001</v>
      </c>
      <c r="AH388">
        <v>0.10489999999999899</v>
      </c>
    </row>
    <row r="389" spans="3:34">
      <c r="C389" s="11" t="s">
        <v>666</v>
      </c>
      <c r="D389" s="10" t="s">
        <v>1</v>
      </c>
      <c r="E389" s="10">
        <v>13.71</v>
      </c>
      <c r="F389" s="10">
        <v>18.75</v>
      </c>
      <c r="G389" s="10">
        <v>87.439999999999898</v>
      </c>
      <c r="H389" s="10">
        <v>551.1</v>
      </c>
      <c r="I389" s="10">
        <v>0.1075</v>
      </c>
      <c r="J389" s="10">
        <v>0.1138</v>
      </c>
      <c r="K389" s="10">
        <v>4.2009999999999902E-2</v>
      </c>
      <c r="L389" s="10">
        <v>3.1519999999999902E-2</v>
      </c>
      <c r="M389" s="10">
        <v>0.17230000000000001</v>
      </c>
      <c r="N389" s="10">
        <v>6.3170000000000004E-2</v>
      </c>
      <c r="O389" s="10">
        <v>0.19980000000000001</v>
      </c>
      <c r="P389" s="10">
        <v>0.60680000000000001</v>
      </c>
      <c r="Q389" s="10">
        <v>1.4430000000000001</v>
      </c>
      <c r="R389" s="10">
        <v>16.07</v>
      </c>
      <c r="S389" s="10">
        <v>4.4130000000000003E-3</v>
      </c>
      <c r="T389" s="10">
        <v>1.443E-2</v>
      </c>
      <c r="U389" s="10">
        <v>1.50899999999999E-2</v>
      </c>
      <c r="V389" s="10">
        <v>7.3689999999999901E-3</v>
      </c>
      <c r="W389" s="10">
        <v>1.354E-2</v>
      </c>
      <c r="X389" s="10">
        <v>1.787E-3</v>
      </c>
      <c r="Y389" s="10">
        <v>15.35</v>
      </c>
      <c r="Z389" s="10">
        <v>25.16</v>
      </c>
      <c r="AA389" s="10">
        <v>101.9</v>
      </c>
      <c r="AB389" s="10">
        <v>719.79999999999905</v>
      </c>
      <c r="AC389" s="10">
        <v>0.16239999999999899</v>
      </c>
      <c r="AD389" s="10">
        <v>0.31240000000000001</v>
      </c>
      <c r="AE389" s="10">
        <v>0.26540000000000002</v>
      </c>
      <c r="AF389" s="10">
        <v>0.14269999999999899</v>
      </c>
      <c r="AG389" s="10">
        <v>0.3518</v>
      </c>
      <c r="AH389">
        <v>8.6650000000000005E-2</v>
      </c>
    </row>
    <row r="390" spans="3:34">
      <c r="C390" s="11" t="s">
        <v>669</v>
      </c>
      <c r="D390" s="10" t="s">
        <v>1</v>
      </c>
      <c r="E390" s="10">
        <v>13.71</v>
      </c>
      <c r="F390" s="10">
        <v>13.44</v>
      </c>
      <c r="G390" s="10">
        <v>77.829999999999899</v>
      </c>
      <c r="H390" s="10">
        <v>445.19999999999902</v>
      </c>
      <c r="I390" s="10">
        <v>0.11</v>
      </c>
      <c r="J390" s="10">
        <v>9.0090000000000003E-2</v>
      </c>
      <c r="K390" s="10">
        <v>3.7810000000000003E-2</v>
      </c>
      <c r="L390" s="10">
        <v>2.7980000000000001E-2</v>
      </c>
      <c r="M390" s="10">
        <v>0.16569999999999899</v>
      </c>
      <c r="N390" s="10">
        <v>6.608E-2</v>
      </c>
      <c r="O390" s="10">
        <v>0.25130000000000002</v>
      </c>
      <c r="P390" s="10">
        <v>0.504</v>
      </c>
      <c r="Q390" s="10">
        <v>1.714</v>
      </c>
      <c r="R390" s="10">
        <v>18.5399999999999</v>
      </c>
      <c r="S390" s="10">
        <v>7.3270000000000002E-3</v>
      </c>
      <c r="T390" s="10">
        <v>1.153E-2</v>
      </c>
      <c r="U390" s="10">
        <v>1.7979999999999899E-2</v>
      </c>
      <c r="V390" s="10">
        <v>7.986E-3</v>
      </c>
      <c r="W390" s="10">
        <v>1.9619999999999901E-2</v>
      </c>
      <c r="X390" s="10">
        <v>2.2339999999999899E-3</v>
      </c>
      <c r="Y390" s="10">
        <v>13.4499999999999</v>
      </c>
      <c r="Z390" s="10">
        <v>15.77</v>
      </c>
      <c r="AA390" s="10">
        <v>86.92</v>
      </c>
      <c r="AB390" s="10">
        <v>549.89999999999895</v>
      </c>
      <c r="AC390" s="10">
        <v>0.15210000000000001</v>
      </c>
      <c r="AD390" s="10">
        <v>0.16320000000000001</v>
      </c>
      <c r="AE390" s="10">
        <v>0.16220000000000001</v>
      </c>
      <c r="AF390" s="10">
        <v>7.3929999999999899E-2</v>
      </c>
      <c r="AG390" s="10">
        <v>0.27810000000000001</v>
      </c>
      <c r="AH390">
        <v>8.0519999999999897E-2</v>
      </c>
    </row>
    <row r="391" spans="3:34">
      <c r="C391" s="11" t="s">
        <v>670</v>
      </c>
      <c r="D391" s="10" t="s">
        <v>1</v>
      </c>
      <c r="E391" s="10">
        <v>13.71</v>
      </c>
      <c r="F391" s="10">
        <v>17.559999999999899</v>
      </c>
      <c r="G391" s="10">
        <v>75.89</v>
      </c>
      <c r="H391" s="10">
        <v>422.89999999999901</v>
      </c>
      <c r="I391" s="10">
        <v>0.10730000000000001</v>
      </c>
      <c r="J391" s="10">
        <v>9.7129999999999897E-2</v>
      </c>
      <c r="K391" s="10">
        <v>5.2819999999999902E-2</v>
      </c>
      <c r="L391" s="10">
        <v>4.4400000000000002E-2</v>
      </c>
      <c r="M391" s="10">
        <v>0.1598</v>
      </c>
      <c r="N391" s="10">
        <v>6.6769999999999899E-2</v>
      </c>
      <c r="O391" s="10">
        <v>0.43840000000000001</v>
      </c>
      <c r="P391" s="10">
        <v>1.907</v>
      </c>
      <c r="Q391" s="10">
        <v>3.149</v>
      </c>
      <c r="R391" s="10">
        <v>30.66</v>
      </c>
      <c r="S391" s="10">
        <v>6.587E-3</v>
      </c>
      <c r="T391" s="10">
        <v>1.8149999999999899E-2</v>
      </c>
      <c r="U391" s="10">
        <v>1.737E-2</v>
      </c>
      <c r="V391" s="10">
        <v>1.316E-2</v>
      </c>
      <c r="W391" s="10">
        <v>1.8350000000000002E-2</v>
      </c>
      <c r="X391" s="10">
        <v>2.3180000000000002E-3</v>
      </c>
      <c r="Y391" s="10">
        <v>13.5</v>
      </c>
      <c r="Z391" s="10">
        <v>27.98</v>
      </c>
      <c r="AA391" s="10">
        <v>88.519999999999897</v>
      </c>
      <c r="AB391" s="10">
        <v>552.29999999999905</v>
      </c>
      <c r="AC391" s="10">
        <v>0.13489999999999899</v>
      </c>
      <c r="AD391" s="10">
        <v>0.18540000000000001</v>
      </c>
      <c r="AE391" s="10">
        <v>0.1366</v>
      </c>
      <c r="AF391" s="10">
        <v>0.10100000000000001</v>
      </c>
      <c r="AG391" s="10">
        <v>0.24779999999999899</v>
      </c>
      <c r="AH391">
        <v>7.757E-2</v>
      </c>
    </row>
    <row r="392" spans="3:34">
      <c r="C392" s="11" t="s">
        <v>673</v>
      </c>
      <c r="D392" s="10" t="s">
        <v>0</v>
      </c>
      <c r="E392" s="10">
        <v>13.71</v>
      </c>
      <c r="F392" s="10">
        <v>20.67</v>
      </c>
      <c r="G392" s="10">
        <v>134.69999999999899</v>
      </c>
      <c r="H392" s="10">
        <v>1299</v>
      </c>
      <c r="I392" s="10">
        <v>9.1560000000000002E-2</v>
      </c>
      <c r="J392" s="10">
        <v>0.1313</v>
      </c>
      <c r="K392" s="10">
        <v>0.15229999999999899</v>
      </c>
      <c r="L392" s="10">
        <v>0.10150000000000001</v>
      </c>
      <c r="M392" s="10">
        <v>0.21659999999999899</v>
      </c>
      <c r="N392" s="10">
        <v>5.4190000000000002E-2</v>
      </c>
      <c r="O392" s="10">
        <v>0.83360000000000001</v>
      </c>
      <c r="P392" s="10">
        <v>1.736</v>
      </c>
      <c r="Q392" s="10">
        <v>5.1680000000000001</v>
      </c>
      <c r="R392" s="10">
        <v>100.4</v>
      </c>
      <c r="S392" s="10">
        <v>4.9379999999999901E-3</v>
      </c>
      <c r="T392" s="10">
        <v>3.0890000000000001E-2</v>
      </c>
      <c r="U392" s="10">
        <v>4.0930000000000001E-2</v>
      </c>
      <c r="V392" s="10">
        <v>1.6990000000000002E-2</v>
      </c>
      <c r="W392" s="10">
        <v>2.8160000000000001E-2</v>
      </c>
      <c r="X392" s="10">
        <v>2.7190000000000001E-3</v>
      </c>
      <c r="Y392" s="10">
        <v>23.23</v>
      </c>
      <c r="Z392" s="10">
        <v>27.149999999999899</v>
      </c>
      <c r="AA392" s="10">
        <v>152</v>
      </c>
      <c r="AB392" s="10">
        <v>1645</v>
      </c>
      <c r="AC392" s="10">
        <v>0.10970000000000001</v>
      </c>
      <c r="AD392" s="10">
        <v>0.25340000000000001</v>
      </c>
      <c r="AE392" s="10">
        <v>0.30919999999999898</v>
      </c>
      <c r="AF392" s="10">
        <v>0.1613</v>
      </c>
      <c r="AG392" s="10">
        <v>0.32200000000000001</v>
      </c>
      <c r="AH392">
        <v>6.386E-2</v>
      </c>
    </row>
    <row r="393" spans="3:34">
      <c r="C393" s="11" t="s">
        <v>674</v>
      </c>
      <c r="D393" s="10" t="s">
        <v>1</v>
      </c>
      <c r="E393" s="10">
        <v>13.71</v>
      </c>
      <c r="F393" s="10">
        <v>17.62</v>
      </c>
      <c r="G393" s="10">
        <v>70.790000000000006</v>
      </c>
      <c r="H393" s="10">
        <v>365.6</v>
      </c>
      <c r="I393" s="10">
        <v>9.6869999999999901E-2</v>
      </c>
      <c r="J393" s="10">
        <v>9.7519999999999898E-2</v>
      </c>
      <c r="K393" s="10">
        <v>5.2630000000000003E-2</v>
      </c>
      <c r="L393" s="10">
        <v>2.7879999999999901E-2</v>
      </c>
      <c r="M393" s="10">
        <v>0.16189999999999899</v>
      </c>
      <c r="N393" s="10">
        <v>6.4079999999999901E-2</v>
      </c>
      <c r="O393" s="10">
        <v>0.1507</v>
      </c>
      <c r="P393" s="10">
        <v>1.583</v>
      </c>
      <c r="Q393" s="10">
        <v>1.165</v>
      </c>
      <c r="R393" s="10">
        <v>10.09</v>
      </c>
      <c r="S393" s="10">
        <v>9.5010000000000008E-3</v>
      </c>
      <c r="T393" s="10">
        <v>3.37799999999999E-2</v>
      </c>
      <c r="U393" s="10">
        <v>4.4010000000000001E-2</v>
      </c>
      <c r="V393" s="10">
        <v>1.346E-2</v>
      </c>
      <c r="W393" s="10">
        <v>1.3220000000000001E-2</v>
      </c>
      <c r="X393" s="10">
        <v>3.5339999999999898E-3</v>
      </c>
      <c r="Y393" s="10">
        <v>11.6199999999999</v>
      </c>
      <c r="Z393" s="10">
        <v>26.51</v>
      </c>
      <c r="AA393" s="10">
        <v>76.430000000000007</v>
      </c>
      <c r="AB393" s="10">
        <v>407.5</v>
      </c>
      <c r="AC393" s="10">
        <v>0.14280000000000001</v>
      </c>
      <c r="AD393" s="10">
        <v>0.251</v>
      </c>
      <c r="AE393" s="10">
        <v>0.21229999999999899</v>
      </c>
      <c r="AF393" s="10">
        <v>9.8610000000000003E-2</v>
      </c>
      <c r="AG393" s="10">
        <v>0.22889999999999899</v>
      </c>
      <c r="AH393">
        <v>8.2780000000000006E-2</v>
      </c>
    </row>
    <row r="394" spans="3:34">
      <c r="C394" s="11" t="s">
        <v>675</v>
      </c>
      <c r="D394" s="10" t="s">
        <v>0</v>
      </c>
      <c r="E394" s="10">
        <v>13.71</v>
      </c>
      <c r="F394" s="10">
        <v>20.8599999999999</v>
      </c>
      <c r="G394" s="10">
        <v>137.80000000000001</v>
      </c>
      <c r="H394" s="10">
        <v>1308</v>
      </c>
      <c r="I394" s="10">
        <v>0.1046</v>
      </c>
      <c r="J394" s="10">
        <v>0.1739</v>
      </c>
      <c r="K394" s="10">
        <v>0.20849999999999899</v>
      </c>
      <c r="L394" s="10">
        <v>0.13220000000000001</v>
      </c>
      <c r="M394" s="10">
        <v>0.2127</v>
      </c>
      <c r="N394" s="10">
        <v>6.2509999999999899E-2</v>
      </c>
      <c r="O394" s="10">
        <v>0.6986</v>
      </c>
      <c r="P394" s="10">
        <v>0.99009999999999898</v>
      </c>
      <c r="Q394" s="10">
        <v>4.7060000000000004</v>
      </c>
      <c r="R394" s="10">
        <v>87.78</v>
      </c>
      <c r="S394" s="10">
        <v>4.5779999999999901E-3</v>
      </c>
      <c r="T394" s="10">
        <v>2.6159999999999899E-2</v>
      </c>
      <c r="U394" s="10">
        <v>4.0050000000000002E-2</v>
      </c>
      <c r="V394" s="10">
        <v>1.421E-2</v>
      </c>
      <c r="W394" s="10">
        <v>1.9480000000000001E-2</v>
      </c>
      <c r="X394" s="10">
        <v>2.689E-3</v>
      </c>
      <c r="Y394" s="10">
        <v>24.3</v>
      </c>
      <c r="Z394" s="10">
        <v>25.48</v>
      </c>
      <c r="AA394" s="10">
        <v>160.19999999999899</v>
      </c>
      <c r="AB394" s="10">
        <v>1809</v>
      </c>
      <c r="AC394" s="10">
        <v>0.1268</v>
      </c>
      <c r="AD394" s="10">
        <v>0.3135</v>
      </c>
      <c r="AE394" s="10">
        <v>0.44330000000000003</v>
      </c>
      <c r="AF394" s="10">
        <v>0.21479999999999899</v>
      </c>
      <c r="AG394" s="10">
        <v>0.30769999999999897</v>
      </c>
      <c r="AH394">
        <v>7.5689999999999896E-2</v>
      </c>
    </row>
    <row r="395" spans="3:34">
      <c r="C395" s="11" t="s">
        <v>676</v>
      </c>
      <c r="D395" s="10" t="s">
        <v>0</v>
      </c>
      <c r="E395" s="10">
        <v>13.71</v>
      </c>
      <c r="F395" s="10">
        <v>22.55</v>
      </c>
      <c r="G395" s="10">
        <v>93.769999999999897</v>
      </c>
      <c r="H395" s="10">
        <v>629.79999999999905</v>
      </c>
      <c r="I395" s="10">
        <v>0.1038</v>
      </c>
      <c r="J395" s="10">
        <v>0.1154</v>
      </c>
      <c r="K395" s="10">
        <v>0.14630000000000001</v>
      </c>
      <c r="L395" s="10">
        <v>6.139E-2</v>
      </c>
      <c r="M395" s="10">
        <v>0.19259999999999899</v>
      </c>
      <c r="N395" s="10">
        <v>5.9819999999999901E-2</v>
      </c>
      <c r="O395" s="10">
        <v>0.20269999999999899</v>
      </c>
      <c r="P395" s="10">
        <v>1.851</v>
      </c>
      <c r="Q395" s="10">
        <v>1.895</v>
      </c>
      <c r="R395" s="10">
        <v>18.5399999999999</v>
      </c>
      <c r="S395" s="10">
        <v>6.1130000000000004E-3</v>
      </c>
      <c r="T395" s="10">
        <v>2.5829999999999902E-2</v>
      </c>
      <c r="U395" s="10">
        <v>4.6449999999999901E-2</v>
      </c>
      <c r="V395" s="10">
        <v>1.2760000000000001E-2</v>
      </c>
      <c r="W395" s="10">
        <v>1.451E-2</v>
      </c>
      <c r="X395" s="10">
        <v>3.7559999999999898E-3</v>
      </c>
      <c r="Y395" s="10">
        <v>15.2899999999999</v>
      </c>
      <c r="Z395" s="10">
        <v>34.270000000000003</v>
      </c>
      <c r="AA395" s="10">
        <v>104.3</v>
      </c>
      <c r="AB395" s="10">
        <v>728.29999999999905</v>
      </c>
      <c r="AC395" s="10">
        <v>0.13800000000000001</v>
      </c>
      <c r="AD395" s="10">
        <v>0.27329999999999899</v>
      </c>
      <c r="AE395" s="10">
        <v>0.4234</v>
      </c>
      <c r="AF395" s="10">
        <v>0.13619999999999899</v>
      </c>
      <c r="AG395" s="10">
        <v>0.26979999999999899</v>
      </c>
      <c r="AH395">
        <v>8.3510000000000001E-2</v>
      </c>
    </row>
    <row r="396" spans="3:34">
      <c r="C396" s="11" t="s">
        <v>677</v>
      </c>
      <c r="D396" s="10" t="s">
        <v>1</v>
      </c>
      <c r="E396" s="10">
        <v>13.71</v>
      </c>
      <c r="F396" s="10">
        <v>24.44</v>
      </c>
      <c r="G396" s="10">
        <v>76.37</v>
      </c>
      <c r="H396" s="10">
        <v>406.39999999999901</v>
      </c>
      <c r="I396" s="10">
        <v>0.1236</v>
      </c>
      <c r="J396" s="10">
        <v>0.1552</v>
      </c>
      <c r="K396" s="10">
        <v>4.5150000000000003E-2</v>
      </c>
      <c r="L396" s="10">
        <v>4.5310000000000003E-2</v>
      </c>
      <c r="M396" s="10">
        <v>0.21310000000000001</v>
      </c>
      <c r="N396" s="10">
        <v>7.4050000000000005E-2</v>
      </c>
      <c r="O396" s="10">
        <v>0.29570000000000002</v>
      </c>
      <c r="P396" s="10">
        <v>1.978</v>
      </c>
      <c r="Q396" s="10">
        <v>2.1579999999999901</v>
      </c>
      <c r="R396" s="10">
        <v>20.9499999999999</v>
      </c>
      <c r="S396" s="10">
        <v>1.2880000000000001E-2</v>
      </c>
      <c r="T396" s="10">
        <v>3.4950000000000002E-2</v>
      </c>
      <c r="U396" s="10">
        <v>1.865E-2</v>
      </c>
      <c r="V396" s="10">
        <v>1.7659999999999901E-2</v>
      </c>
      <c r="W396" s="10">
        <v>1.55999999999999E-2</v>
      </c>
      <c r="X396" s="10">
        <v>5.8240000000000002E-3</v>
      </c>
      <c r="Y396" s="10">
        <v>12.98</v>
      </c>
      <c r="Z396" s="10">
        <v>32.189999999999898</v>
      </c>
      <c r="AA396" s="10">
        <v>86.12</v>
      </c>
      <c r="AB396" s="10">
        <v>487.69999999999902</v>
      </c>
      <c r="AC396" s="10">
        <v>0.17680000000000001</v>
      </c>
      <c r="AD396" s="10">
        <v>0.3251</v>
      </c>
      <c r="AE396" s="10">
        <v>0.13950000000000001</v>
      </c>
      <c r="AF396" s="10">
        <v>0.1308</v>
      </c>
      <c r="AG396" s="10">
        <v>0.28029999999999899</v>
      </c>
      <c r="AH396">
        <v>9.96999999999999E-2</v>
      </c>
    </row>
    <row r="397" spans="3:34">
      <c r="C397" s="11" t="s">
        <v>681</v>
      </c>
      <c r="D397" s="10" t="s">
        <v>1</v>
      </c>
      <c r="E397" s="10">
        <v>13.71</v>
      </c>
      <c r="F397" s="10">
        <v>24.989999999999899</v>
      </c>
      <c r="G397" s="10">
        <v>95.81</v>
      </c>
      <c r="H397" s="10">
        <v>656.39999999999895</v>
      </c>
      <c r="I397" s="10">
        <v>8.8370000000000004E-2</v>
      </c>
      <c r="J397" s="10">
        <v>0.123</v>
      </c>
      <c r="K397" s="10">
        <v>0.1009</v>
      </c>
      <c r="L397" s="10">
        <v>3.88999999999999E-2</v>
      </c>
      <c r="M397" s="10">
        <v>0.18720000000000001</v>
      </c>
      <c r="N397" s="10">
        <v>6.3409999999999897E-2</v>
      </c>
      <c r="O397" s="10">
        <v>0.25419999999999898</v>
      </c>
      <c r="P397" s="10">
        <v>1.079</v>
      </c>
      <c r="Q397" s="10">
        <v>2.6150000000000002</v>
      </c>
      <c r="R397" s="10">
        <v>23.1099999999999</v>
      </c>
      <c r="S397" s="10">
        <v>7.1380000000000002E-3</v>
      </c>
      <c r="T397" s="10">
        <v>4.6530000000000002E-2</v>
      </c>
      <c r="U397" s="10">
        <v>3.8289999999999901E-2</v>
      </c>
      <c r="V397" s="10">
        <v>1.162E-2</v>
      </c>
      <c r="W397" s="10">
        <v>2.068E-2</v>
      </c>
      <c r="X397" s="10">
        <v>6.1110000000000001E-3</v>
      </c>
      <c r="Y397" s="10">
        <v>16.219999999999899</v>
      </c>
      <c r="Z397" s="10">
        <v>31.73</v>
      </c>
      <c r="AA397" s="10">
        <v>113.5</v>
      </c>
      <c r="AB397" s="10">
        <v>808.89999999999895</v>
      </c>
      <c r="AC397" s="10">
        <v>0.13400000000000001</v>
      </c>
      <c r="AD397" s="10">
        <v>0.42020000000000002</v>
      </c>
      <c r="AE397" s="10">
        <v>0.40400000000000003</v>
      </c>
      <c r="AF397" s="10">
        <v>0.1205</v>
      </c>
      <c r="AG397" s="10">
        <v>0.31869999999999898</v>
      </c>
      <c r="AH397">
        <v>0.1023</v>
      </c>
    </row>
    <row r="398" spans="3:34">
      <c r="C398" s="11" t="s">
        <v>684</v>
      </c>
      <c r="D398" s="10" t="s">
        <v>1</v>
      </c>
      <c r="E398" s="10">
        <v>13.71</v>
      </c>
      <c r="F398" s="10">
        <v>20.6999999999999</v>
      </c>
      <c r="G398" s="10">
        <v>89.769999999999897</v>
      </c>
      <c r="H398" s="10">
        <v>584.79999999999905</v>
      </c>
      <c r="I398" s="10">
        <v>9.5780000000000004E-2</v>
      </c>
      <c r="J398" s="10">
        <v>0.1018</v>
      </c>
      <c r="K398" s="10">
        <v>3.6880000000000003E-2</v>
      </c>
      <c r="L398" s="10">
        <v>2.3689999999999899E-2</v>
      </c>
      <c r="M398" s="10">
        <v>0.16200000000000001</v>
      </c>
      <c r="N398" s="10">
        <v>6.6879999999999898E-2</v>
      </c>
      <c r="O398" s="10">
        <v>0.27200000000000002</v>
      </c>
      <c r="P398" s="10">
        <v>1.0469999999999899</v>
      </c>
      <c r="Q398" s="10">
        <v>2.0760000000000001</v>
      </c>
      <c r="R398" s="10">
        <v>23.12</v>
      </c>
      <c r="S398" s="10">
        <v>6.2979999999999902E-3</v>
      </c>
      <c r="T398" s="10">
        <v>2.172E-2</v>
      </c>
      <c r="U398" s="10">
        <v>2.615E-2</v>
      </c>
      <c r="V398" s="10">
        <v>9.0609999999999892E-3</v>
      </c>
      <c r="W398" s="10">
        <v>1.49E-2</v>
      </c>
      <c r="X398" s="10">
        <v>3.5990000000000002E-3</v>
      </c>
      <c r="Y398" s="10">
        <v>15.05</v>
      </c>
      <c r="Z398" s="10">
        <v>24.75</v>
      </c>
      <c r="AA398" s="10">
        <v>99.17</v>
      </c>
      <c r="AB398" s="10">
        <v>688.6</v>
      </c>
      <c r="AC398" s="10">
        <v>0.12640000000000001</v>
      </c>
      <c r="AD398" s="10">
        <v>0.20369999999999899</v>
      </c>
      <c r="AE398" s="10">
        <v>0.13769999999999899</v>
      </c>
      <c r="AF398" s="10">
        <v>6.84499999999999E-2</v>
      </c>
      <c r="AG398" s="10">
        <v>0.22489999999999899</v>
      </c>
      <c r="AH398">
        <v>8.4919999999999898E-2</v>
      </c>
    </row>
    <row r="399" spans="3:34">
      <c r="C399" s="11" t="s">
        <v>685</v>
      </c>
      <c r="D399" s="10" t="s">
        <v>1</v>
      </c>
      <c r="E399" s="10">
        <v>13.71</v>
      </c>
      <c r="F399" s="10">
        <v>23.23</v>
      </c>
      <c r="G399" s="10">
        <v>87.189999999999898</v>
      </c>
      <c r="H399" s="10">
        <v>573.20000000000005</v>
      </c>
      <c r="I399" s="10">
        <v>9.2460000000000001E-2</v>
      </c>
      <c r="J399" s="10">
        <v>6.7470000000000002E-2</v>
      </c>
      <c r="K399" s="10">
        <v>2.9739999999999898E-2</v>
      </c>
      <c r="L399" s="10">
        <v>2.443E-2</v>
      </c>
      <c r="M399" s="10">
        <v>0.16639999999999899</v>
      </c>
      <c r="N399" s="10">
        <v>5.8009999999999902E-2</v>
      </c>
      <c r="O399" s="10">
        <v>0.34599999999999898</v>
      </c>
      <c r="P399" s="10">
        <v>1.3360000000000001</v>
      </c>
      <c r="Q399" s="10">
        <v>2.0659999999999901</v>
      </c>
      <c r="R399" s="10">
        <v>31.239999999999899</v>
      </c>
      <c r="S399" s="10">
        <v>5.868E-3</v>
      </c>
      <c r="T399" s="10">
        <v>2.0990000000000002E-2</v>
      </c>
      <c r="U399" s="10">
        <v>2.0209999999999902E-2</v>
      </c>
      <c r="V399" s="10">
        <v>9.0639999999999905E-3</v>
      </c>
      <c r="W399" s="10">
        <v>2.087E-2</v>
      </c>
      <c r="X399" s="10">
        <v>2.5829999999999898E-3</v>
      </c>
      <c r="Y399" s="10">
        <v>15.35</v>
      </c>
      <c r="Z399" s="10">
        <v>29.09</v>
      </c>
      <c r="AA399" s="10">
        <v>97.579999999999899</v>
      </c>
      <c r="AB399" s="10">
        <v>729.79999999999905</v>
      </c>
      <c r="AC399" s="10">
        <v>0.1216</v>
      </c>
      <c r="AD399" s="10">
        <v>0.1517</v>
      </c>
      <c r="AE399" s="10">
        <v>0.10489999999999899</v>
      </c>
      <c r="AF399" s="10">
        <v>7.1739999999999901E-2</v>
      </c>
      <c r="AG399" s="10">
        <v>0.26419999999999899</v>
      </c>
      <c r="AH399">
        <v>6.9529999999999897E-2</v>
      </c>
    </row>
    <row r="400" spans="3:34">
      <c r="C400" s="11" t="s">
        <v>686</v>
      </c>
      <c r="D400" s="10" t="s">
        <v>1</v>
      </c>
      <c r="E400" s="10">
        <v>13.71</v>
      </c>
      <c r="F400" s="10">
        <v>16.350000000000001</v>
      </c>
      <c r="G400" s="10">
        <v>65.31</v>
      </c>
      <c r="H400" s="10">
        <v>324.89999999999901</v>
      </c>
      <c r="I400" s="10">
        <v>9.4339999999999896E-2</v>
      </c>
      <c r="J400" s="10">
        <v>4.9939999999999901E-2</v>
      </c>
      <c r="K400" s="10">
        <v>1.0120000000000001E-2</v>
      </c>
      <c r="L400" s="10">
        <v>5.4949999999999903E-3</v>
      </c>
      <c r="M400" s="10">
        <v>0.1885</v>
      </c>
      <c r="N400" s="10">
        <v>6.2010000000000003E-2</v>
      </c>
      <c r="O400" s="10">
        <v>0.2104</v>
      </c>
      <c r="P400" s="10">
        <v>0.96699999999999897</v>
      </c>
      <c r="Q400" s="10">
        <v>1.3560000000000001</v>
      </c>
      <c r="R400" s="10">
        <v>12.97</v>
      </c>
      <c r="S400" s="10">
        <v>7.0860000000000003E-3</v>
      </c>
      <c r="T400" s="10">
        <v>7.247E-3</v>
      </c>
      <c r="U400" s="10">
        <v>1.0120000000000001E-2</v>
      </c>
      <c r="V400" s="10">
        <v>5.4949999999999903E-3</v>
      </c>
      <c r="W400" s="10">
        <v>1.55999999999999E-2</v>
      </c>
      <c r="X400" s="10">
        <v>2.6059999999999898E-3</v>
      </c>
      <c r="Y400" s="10">
        <v>11.25</v>
      </c>
      <c r="Z400" s="10">
        <v>21.77</v>
      </c>
      <c r="AA400" s="10">
        <v>71.12</v>
      </c>
      <c r="AB400" s="10">
        <v>384.89999999999901</v>
      </c>
      <c r="AC400" s="10">
        <v>0.1285</v>
      </c>
      <c r="AD400" s="10">
        <v>8.8419999999999901E-2</v>
      </c>
      <c r="AE400" s="10">
        <v>4.38399999999999E-2</v>
      </c>
      <c r="AF400" s="10">
        <v>2.3810000000000001E-2</v>
      </c>
      <c r="AG400" s="10">
        <v>0.2681</v>
      </c>
      <c r="AH400">
        <v>7.399E-2</v>
      </c>
    </row>
    <row r="401" spans="3:34">
      <c r="C401" s="11" t="s">
        <v>687</v>
      </c>
      <c r="D401" s="10" t="s">
        <v>1</v>
      </c>
      <c r="E401" s="10">
        <v>13.71</v>
      </c>
      <c r="F401" s="10">
        <v>16.579999999999899</v>
      </c>
      <c r="G401" s="10">
        <v>65.849999999999895</v>
      </c>
      <c r="H401" s="10">
        <v>320.8</v>
      </c>
      <c r="I401" s="10">
        <v>8.8770000000000002E-2</v>
      </c>
      <c r="J401" s="10">
        <v>8.0659999999999898E-2</v>
      </c>
      <c r="K401" s="10">
        <v>4.3580000000000001E-2</v>
      </c>
      <c r="L401" s="10">
        <v>2.4379999999999898E-2</v>
      </c>
      <c r="M401" s="10">
        <v>0.16689999999999899</v>
      </c>
      <c r="N401" s="10">
        <v>6.7140000000000005E-2</v>
      </c>
      <c r="O401" s="10">
        <v>0.1144</v>
      </c>
      <c r="P401" s="10">
        <v>1.0229999999999899</v>
      </c>
      <c r="Q401" s="10">
        <v>0.98870000000000002</v>
      </c>
      <c r="R401" s="10">
        <v>7.3259999999999899</v>
      </c>
      <c r="S401" s="10">
        <v>1.027E-2</v>
      </c>
      <c r="T401" s="10">
        <v>3.0839999999999899E-2</v>
      </c>
      <c r="U401" s="10">
        <v>2.613E-2</v>
      </c>
      <c r="V401" s="10">
        <v>1.0970000000000001E-2</v>
      </c>
      <c r="W401" s="10">
        <v>2.2769999999999901E-2</v>
      </c>
      <c r="X401" s="10">
        <v>5.8900000000000003E-3</v>
      </c>
      <c r="Y401" s="10">
        <v>10.83</v>
      </c>
      <c r="Z401" s="10">
        <v>22.0399999999999</v>
      </c>
      <c r="AA401" s="10">
        <v>71.079999999999899</v>
      </c>
      <c r="AB401" s="10">
        <v>357.39999999999901</v>
      </c>
      <c r="AC401" s="10">
        <v>0.14610000000000001</v>
      </c>
      <c r="AD401" s="10">
        <v>0.22459999999999899</v>
      </c>
      <c r="AE401" s="10">
        <v>0.17829999999999899</v>
      </c>
      <c r="AF401" s="10">
        <v>8.3330000000000001E-2</v>
      </c>
      <c r="AG401" s="10">
        <v>0.26910000000000001</v>
      </c>
      <c r="AH401">
        <v>9.4789999999999902E-2</v>
      </c>
    </row>
    <row r="402" spans="3:34">
      <c r="C402" s="11" t="s">
        <v>688</v>
      </c>
      <c r="D402" s="10" t="s">
        <v>1</v>
      </c>
      <c r="E402" s="10">
        <v>13.71</v>
      </c>
      <c r="F402" s="10">
        <v>19.34</v>
      </c>
      <c r="G402" s="10">
        <v>61.049999999999898</v>
      </c>
      <c r="H402" s="10">
        <v>285.69999999999902</v>
      </c>
      <c r="I402" s="10">
        <v>8.4909999999999902E-2</v>
      </c>
      <c r="J402" s="10">
        <v>5.02999999999999E-2</v>
      </c>
      <c r="K402" s="10">
        <v>2.3369999999999901E-2</v>
      </c>
      <c r="L402" s="10">
        <v>9.6150000000000003E-3</v>
      </c>
      <c r="M402" s="10">
        <v>0.158</v>
      </c>
      <c r="N402" s="10">
        <v>6.2350000000000003E-2</v>
      </c>
      <c r="O402" s="10">
        <v>0.29570000000000002</v>
      </c>
      <c r="P402" s="10">
        <v>1.363</v>
      </c>
      <c r="Q402" s="10">
        <v>2.0539999999999901</v>
      </c>
      <c r="R402" s="10">
        <v>18.239999999999899</v>
      </c>
      <c r="S402" s="10">
        <v>7.4400000000000004E-3</v>
      </c>
      <c r="T402" s="10">
        <v>1.123E-2</v>
      </c>
      <c r="U402" s="10">
        <v>2.3369999999999901E-2</v>
      </c>
      <c r="V402" s="10">
        <v>9.6150000000000003E-3</v>
      </c>
      <c r="W402" s="10">
        <v>2.2030000000000001E-2</v>
      </c>
      <c r="X402" s="10">
        <v>4.1539999999999902E-3</v>
      </c>
      <c r="Y402" s="10">
        <v>10.93</v>
      </c>
      <c r="Z402" s="10">
        <v>25.59</v>
      </c>
      <c r="AA402" s="10">
        <v>69.099999999999895</v>
      </c>
      <c r="AB402" s="10">
        <v>364.19999999999902</v>
      </c>
      <c r="AC402" s="10">
        <v>0.11990000000000001</v>
      </c>
      <c r="AD402" s="10">
        <v>9.5460000000000003E-2</v>
      </c>
      <c r="AE402" s="10">
        <v>9.35E-2</v>
      </c>
      <c r="AF402" s="10">
        <v>3.8460000000000001E-2</v>
      </c>
      <c r="AG402" s="10">
        <v>0.25519999999999898</v>
      </c>
      <c r="AH402">
        <v>7.9200000000000007E-2</v>
      </c>
    </row>
    <row r="403" spans="3:34">
      <c r="C403" s="11" t="s">
        <v>690</v>
      </c>
      <c r="D403" s="10" t="s">
        <v>1</v>
      </c>
      <c r="E403" s="10">
        <v>13.71</v>
      </c>
      <c r="F403" s="10">
        <v>21.48</v>
      </c>
      <c r="G403" s="10">
        <v>68.510000000000005</v>
      </c>
      <c r="H403" s="10">
        <v>360.5</v>
      </c>
      <c r="I403" s="10">
        <v>7.4310000000000001E-2</v>
      </c>
      <c r="J403" s="10">
        <v>4.2270000000000002E-2</v>
      </c>
      <c r="K403" s="10">
        <v>0</v>
      </c>
      <c r="L403" s="10">
        <v>0</v>
      </c>
      <c r="M403" s="10">
        <v>0.1661</v>
      </c>
      <c r="N403" s="10">
        <v>5.9479999999999901E-2</v>
      </c>
      <c r="O403" s="10">
        <v>0.31630000000000003</v>
      </c>
      <c r="P403" s="10">
        <v>1.304</v>
      </c>
      <c r="Q403" s="10">
        <v>2.1150000000000002</v>
      </c>
      <c r="R403" s="10">
        <v>20.67</v>
      </c>
      <c r="S403" s="10">
        <v>9.5790000000000007E-3</v>
      </c>
      <c r="T403" s="10">
        <v>1.1039999999999901E-2</v>
      </c>
      <c r="U403" s="10">
        <v>0</v>
      </c>
      <c r="V403" s="10">
        <v>0</v>
      </c>
      <c r="W403" s="10">
        <v>3.0040000000000001E-2</v>
      </c>
      <c r="X403" s="10">
        <v>2.22799999999999E-3</v>
      </c>
      <c r="Y403" s="10">
        <v>11.66</v>
      </c>
      <c r="Z403" s="10">
        <v>24.77</v>
      </c>
      <c r="AA403" s="10">
        <v>74.079999999999899</v>
      </c>
      <c r="AB403" s="10">
        <v>412.3</v>
      </c>
      <c r="AC403" s="10">
        <v>0.100099999999999</v>
      </c>
      <c r="AD403" s="10">
        <v>7.3480000000000004E-2</v>
      </c>
      <c r="AE403" s="10">
        <v>0</v>
      </c>
      <c r="AF403" s="10">
        <v>0</v>
      </c>
      <c r="AG403" s="10">
        <v>0.24579999999999899</v>
      </c>
      <c r="AH403">
        <v>6.5920000000000006E-2</v>
      </c>
    </row>
    <row r="404" spans="3:34">
      <c r="C404" s="11" t="s">
        <v>691</v>
      </c>
      <c r="D404" s="10" t="s">
        <v>1</v>
      </c>
      <c r="E404" s="10">
        <v>13.71</v>
      </c>
      <c r="F404" s="10">
        <v>22.44</v>
      </c>
      <c r="G404" s="10">
        <v>71.489999999999895</v>
      </c>
      <c r="H404" s="10">
        <v>378.39999999999901</v>
      </c>
      <c r="I404" s="10">
        <v>9.5659999999999898E-2</v>
      </c>
      <c r="J404" s="10">
        <v>8.1939999999999902E-2</v>
      </c>
      <c r="K404" s="10">
        <v>4.8239999999999901E-2</v>
      </c>
      <c r="L404" s="10">
        <v>2.257E-2</v>
      </c>
      <c r="M404" s="10">
        <v>0.20300000000000001</v>
      </c>
      <c r="N404" s="10">
        <v>6.5519999999999898E-2</v>
      </c>
      <c r="O404" s="10">
        <v>0.28000000000000003</v>
      </c>
      <c r="P404" s="10">
        <v>1.4670000000000001</v>
      </c>
      <c r="Q404" s="10">
        <v>1.994</v>
      </c>
      <c r="R404" s="10">
        <v>17.850000000000001</v>
      </c>
      <c r="S404" s="10">
        <v>3.4949999999999899E-3</v>
      </c>
      <c r="T404" s="10">
        <v>3.0509999999999898E-2</v>
      </c>
      <c r="U404" s="10">
        <v>3.4450000000000001E-2</v>
      </c>
      <c r="V404" s="10">
        <v>1.0240000000000001E-2</v>
      </c>
      <c r="W404" s="10">
        <v>2.912E-2</v>
      </c>
      <c r="X404" s="10">
        <v>4.7229999999999902E-3</v>
      </c>
      <c r="Y404" s="10">
        <v>12.02</v>
      </c>
      <c r="Z404" s="10">
        <v>28.26</v>
      </c>
      <c r="AA404" s="10">
        <v>77.799999999999898</v>
      </c>
      <c r="AB404" s="10">
        <v>436.6</v>
      </c>
      <c r="AC404" s="10">
        <v>0.1087</v>
      </c>
      <c r="AD404" s="10">
        <v>0.1782</v>
      </c>
      <c r="AE404" s="10">
        <v>0.15640000000000001</v>
      </c>
      <c r="AF404" s="10">
        <v>6.4130000000000006E-2</v>
      </c>
      <c r="AG404" s="10">
        <v>0.31690000000000002</v>
      </c>
      <c r="AH404">
        <v>8.0320000000000003E-2</v>
      </c>
    </row>
    <row r="405" spans="3:34">
      <c r="C405" s="11" t="s">
        <v>692</v>
      </c>
      <c r="D405" s="10" t="s">
        <v>1</v>
      </c>
      <c r="E405" s="10">
        <v>13.71</v>
      </c>
      <c r="F405" s="10">
        <v>29.43</v>
      </c>
      <c r="G405" s="10">
        <v>81.349999999999895</v>
      </c>
      <c r="H405" s="10">
        <v>507.89999999999901</v>
      </c>
      <c r="I405" s="10">
        <v>8.276E-2</v>
      </c>
      <c r="J405" s="10">
        <v>4.2340000000000003E-2</v>
      </c>
      <c r="K405" s="10">
        <v>1.9970000000000002E-2</v>
      </c>
      <c r="L405" s="10">
        <v>1.499E-2</v>
      </c>
      <c r="M405" s="10">
        <v>0.15390000000000001</v>
      </c>
      <c r="N405" s="10">
        <v>5.6370000000000003E-2</v>
      </c>
      <c r="O405" s="10">
        <v>0.2409</v>
      </c>
      <c r="P405" s="10">
        <v>1.367</v>
      </c>
      <c r="Q405" s="10">
        <v>1.4770000000000001</v>
      </c>
      <c r="R405" s="10">
        <v>18.760000000000002</v>
      </c>
      <c r="S405" s="10">
        <v>8.8350000000000008E-3</v>
      </c>
      <c r="T405" s="10">
        <v>1.2330000000000001E-2</v>
      </c>
      <c r="U405" s="10">
        <v>1.328E-2</v>
      </c>
      <c r="V405" s="10">
        <v>9.3050000000000008E-3</v>
      </c>
      <c r="W405" s="10">
        <v>1.8970000000000001E-2</v>
      </c>
      <c r="X405" s="10">
        <v>1.7260000000000001E-3</v>
      </c>
      <c r="Y405" s="10">
        <v>13.8699999999999</v>
      </c>
      <c r="Z405" s="10">
        <v>36</v>
      </c>
      <c r="AA405" s="10">
        <v>88.099999999999895</v>
      </c>
      <c r="AB405" s="10">
        <v>594.70000000000005</v>
      </c>
      <c r="AC405" s="10">
        <v>0.1234</v>
      </c>
      <c r="AD405" s="10">
        <v>0.106399999999999</v>
      </c>
      <c r="AE405" s="10">
        <v>8.6529999999999899E-2</v>
      </c>
      <c r="AF405" s="10">
        <v>6.4979999999999899E-2</v>
      </c>
      <c r="AG405" s="10">
        <v>0.2407</v>
      </c>
      <c r="AH405">
        <v>6.4839999999999898E-2</v>
      </c>
    </row>
    <row r="406" spans="3:34">
      <c r="C406" s="11" t="s">
        <v>694</v>
      </c>
      <c r="D406" s="10" t="s">
        <v>1</v>
      </c>
      <c r="E406" s="10">
        <v>13.71</v>
      </c>
      <c r="F406" s="10">
        <v>28.92</v>
      </c>
      <c r="G406" s="10">
        <v>82.5</v>
      </c>
      <c r="H406" s="10">
        <v>514.29999999999905</v>
      </c>
      <c r="I406" s="10">
        <v>8.12299999999999E-2</v>
      </c>
      <c r="J406" s="10">
        <v>5.824E-2</v>
      </c>
      <c r="K406" s="10">
        <v>6.1949999999999901E-2</v>
      </c>
      <c r="L406" s="10">
        <v>2.3429999999999899E-2</v>
      </c>
      <c r="M406" s="10">
        <v>0.15659999999999899</v>
      </c>
      <c r="N406" s="10">
        <v>5.7079999999999902E-2</v>
      </c>
      <c r="O406" s="10">
        <v>0.21160000000000001</v>
      </c>
      <c r="P406" s="10">
        <v>1.36</v>
      </c>
      <c r="Q406" s="10">
        <v>1.502</v>
      </c>
      <c r="R406" s="10">
        <v>16.829999999999899</v>
      </c>
      <c r="S406" s="10">
        <v>8.4119999999999907E-3</v>
      </c>
      <c r="T406" s="10">
        <v>2.1530000000000001E-2</v>
      </c>
      <c r="U406" s="10">
        <v>3.8980000000000001E-2</v>
      </c>
      <c r="V406" s="10">
        <v>7.62E-3</v>
      </c>
      <c r="W406" s="10">
        <v>1.695E-2</v>
      </c>
      <c r="X406" s="10">
        <v>2.8010000000000001E-3</v>
      </c>
      <c r="Y406" s="10">
        <v>13.89</v>
      </c>
      <c r="Z406" s="10">
        <v>35.74</v>
      </c>
      <c r="AA406" s="10">
        <v>88.84</v>
      </c>
      <c r="AB406" s="10">
        <v>595.70000000000005</v>
      </c>
      <c r="AC406" s="10">
        <v>0.1227</v>
      </c>
      <c r="AD406" s="10">
        <v>0.16200000000000001</v>
      </c>
      <c r="AE406" s="10">
        <v>0.24390000000000001</v>
      </c>
      <c r="AF406" s="10">
        <v>6.4930000000000002E-2</v>
      </c>
      <c r="AG406" s="10">
        <v>0.23719999999999899</v>
      </c>
      <c r="AH406">
        <v>7.2419999999999901E-2</v>
      </c>
    </row>
    <row r="407" spans="3:34">
      <c r="C407" s="11" t="s">
        <v>695</v>
      </c>
      <c r="D407" s="10" t="s">
        <v>1</v>
      </c>
      <c r="E407" s="10">
        <v>13.71</v>
      </c>
      <c r="F407" s="10">
        <v>27.6099999999999</v>
      </c>
      <c r="G407" s="10">
        <v>65.67</v>
      </c>
      <c r="H407" s="10">
        <v>321.39999999999901</v>
      </c>
      <c r="I407" s="10">
        <v>9.0300000000000005E-2</v>
      </c>
      <c r="J407" s="10">
        <v>7.6579999999999898E-2</v>
      </c>
      <c r="K407" s="10">
        <v>5.9990000000000002E-2</v>
      </c>
      <c r="L407" s="10">
        <v>2.7380000000000002E-2</v>
      </c>
      <c r="M407" s="10">
        <v>0.1593</v>
      </c>
      <c r="N407" s="10">
        <v>6.1269999999999901E-2</v>
      </c>
      <c r="O407" s="10">
        <v>0.21990000000000001</v>
      </c>
      <c r="P407" s="10">
        <v>2.2389999999999901</v>
      </c>
      <c r="Q407" s="10">
        <v>1.4370000000000001</v>
      </c>
      <c r="R407" s="10">
        <v>14.46</v>
      </c>
      <c r="S407" s="10">
        <v>1.205E-2</v>
      </c>
      <c r="T407" s="10">
        <v>2.7359999999999898E-2</v>
      </c>
      <c r="U407" s="10">
        <v>4.8039999999999902E-2</v>
      </c>
      <c r="V407" s="10">
        <v>1.721E-2</v>
      </c>
      <c r="W407" s="10">
        <v>1.8429999999999901E-2</v>
      </c>
      <c r="X407" s="10">
        <v>4.9379999999999901E-3</v>
      </c>
      <c r="Y407" s="10">
        <v>10.84</v>
      </c>
      <c r="Z407" s="10">
        <v>34.909999999999897</v>
      </c>
      <c r="AA407" s="10">
        <v>69.569999999999894</v>
      </c>
      <c r="AB407" s="10">
        <v>357.6</v>
      </c>
      <c r="AC407" s="10">
        <v>0.1384</v>
      </c>
      <c r="AD407" s="10">
        <v>0.17100000000000001</v>
      </c>
      <c r="AE407" s="10">
        <v>0.2</v>
      </c>
      <c r="AF407" s="10">
        <v>9.1270000000000004E-2</v>
      </c>
      <c r="AG407" s="10">
        <v>0.22259999999999899</v>
      </c>
      <c r="AH407">
        <v>8.2830000000000001E-2</v>
      </c>
    </row>
    <row r="408" spans="3:34">
      <c r="C408" s="11" t="s">
        <v>698</v>
      </c>
      <c r="D408" s="10" t="s">
        <v>1</v>
      </c>
      <c r="E408" s="10">
        <v>13.71</v>
      </c>
      <c r="F408" s="10">
        <v>22.68</v>
      </c>
      <c r="G408" s="10">
        <v>96.39</v>
      </c>
      <c r="H408" s="10">
        <v>657.1</v>
      </c>
      <c r="I408" s="10">
        <v>8.473E-2</v>
      </c>
      <c r="J408" s="10">
        <v>0.13300000000000001</v>
      </c>
      <c r="K408" s="10">
        <v>0.10290000000000001</v>
      </c>
      <c r="L408" s="10">
        <v>3.73599999999999E-2</v>
      </c>
      <c r="M408" s="10">
        <v>0.1454</v>
      </c>
      <c r="N408" s="10">
        <v>6.14699999999999E-2</v>
      </c>
      <c r="O408" s="10">
        <v>0.22539999999999899</v>
      </c>
      <c r="P408" s="10">
        <v>1.1080000000000001</v>
      </c>
      <c r="Q408" s="10">
        <v>2.2240000000000002</v>
      </c>
      <c r="R408" s="10">
        <v>19.5399999999999</v>
      </c>
      <c r="S408" s="10">
        <v>4.2420000000000001E-3</v>
      </c>
      <c r="T408" s="10">
        <v>4.6390000000000001E-2</v>
      </c>
      <c r="U408" s="10">
        <v>6.5780000000000005E-2</v>
      </c>
      <c r="V408" s="10">
        <v>1.6060000000000001E-2</v>
      </c>
      <c r="W408" s="10">
        <v>1.6379999999999902E-2</v>
      </c>
      <c r="X408" s="10">
        <v>4.4060000000000002E-3</v>
      </c>
      <c r="Y408" s="10">
        <v>15.48</v>
      </c>
      <c r="Z408" s="10">
        <v>27.27</v>
      </c>
      <c r="AA408" s="10">
        <v>105.9</v>
      </c>
      <c r="AB408" s="10">
        <v>733.5</v>
      </c>
      <c r="AC408" s="10">
        <v>0.1026</v>
      </c>
      <c r="AD408" s="10">
        <v>0.31709999999999899</v>
      </c>
      <c r="AE408" s="10">
        <v>0.36620000000000003</v>
      </c>
      <c r="AF408" s="10">
        <v>0.1105</v>
      </c>
      <c r="AG408" s="10">
        <v>0.2258</v>
      </c>
      <c r="AH408">
        <v>8.004E-2</v>
      </c>
    </row>
    <row r="409" spans="3:34">
      <c r="C409" s="11" t="s">
        <v>699</v>
      </c>
      <c r="D409" s="10" t="s">
        <v>1</v>
      </c>
      <c r="E409" s="10">
        <v>13.71</v>
      </c>
      <c r="F409" s="10">
        <v>23.93</v>
      </c>
      <c r="G409" s="10">
        <v>74.519999999999897</v>
      </c>
      <c r="H409" s="10">
        <v>403.5</v>
      </c>
      <c r="I409" s="10">
        <v>9.2609999999999901E-2</v>
      </c>
      <c r="J409" s="10">
        <v>0.1021</v>
      </c>
      <c r="K409" s="10">
        <v>0.11119999999999899</v>
      </c>
      <c r="L409" s="10">
        <v>4.1050000000000003E-2</v>
      </c>
      <c r="M409" s="10">
        <v>0.13880000000000001</v>
      </c>
      <c r="N409" s="10">
        <v>6.5699999999999897E-2</v>
      </c>
      <c r="O409" s="10">
        <v>0.23880000000000001</v>
      </c>
      <c r="P409" s="10">
        <v>2.9039999999999901</v>
      </c>
      <c r="Q409" s="10">
        <v>1.93599999999999</v>
      </c>
      <c r="R409" s="10">
        <v>16.969999999999899</v>
      </c>
      <c r="S409" s="10">
        <v>8.2000000000000007E-3</v>
      </c>
      <c r="T409" s="10">
        <v>2.9819999999999899E-2</v>
      </c>
      <c r="U409" s="10">
        <v>5.738E-2</v>
      </c>
      <c r="V409" s="10">
        <v>1.2670000000000001E-2</v>
      </c>
      <c r="W409" s="10">
        <v>1.4880000000000001E-2</v>
      </c>
      <c r="X409" s="10">
        <v>4.738E-3</v>
      </c>
      <c r="Y409" s="10">
        <v>12.48</v>
      </c>
      <c r="Z409" s="10">
        <v>37.159999999999897</v>
      </c>
      <c r="AA409" s="10">
        <v>82.28</v>
      </c>
      <c r="AB409" s="10">
        <v>474.19999999999902</v>
      </c>
      <c r="AC409" s="10">
        <v>0.1298</v>
      </c>
      <c r="AD409" s="10">
        <v>0.25169999999999898</v>
      </c>
      <c r="AE409" s="10">
        <v>0.36299999999999899</v>
      </c>
      <c r="AF409" s="10">
        <v>9.6530000000000005E-2</v>
      </c>
      <c r="AG409" s="10">
        <v>0.2112</v>
      </c>
      <c r="AH409">
        <v>8.7319999999999898E-2</v>
      </c>
    </row>
    <row r="410" spans="3:34">
      <c r="C410" s="11" t="s">
        <v>700</v>
      </c>
      <c r="D410" s="10" t="s">
        <v>1</v>
      </c>
      <c r="E410" s="10">
        <v>13.71</v>
      </c>
      <c r="F410" s="10">
        <v>27.149999999999899</v>
      </c>
      <c r="G410" s="10">
        <v>91.379999999999896</v>
      </c>
      <c r="H410" s="10">
        <v>600.39999999999895</v>
      </c>
      <c r="I410" s="10">
        <v>9.9290000000000003E-2</v>
      </c>
      <c r="J410" s="10">
        <v>0.11260000000000001</v>
      </c>
      <c r="K410" s="10">
        <v>4.462E-2</v>
      </c>
      <c r="L410" s="10">
        <v>4.3040000000000002E-2</v>
      </c>
      <c r="M410" s="10">
        <v>0.1537</v>
      </c>
      <c r="N410" s="10">
        <v>6.1710000000000001E-2</v>
      </c>
      <c r="O410" s="10">
        <v>0.36449999999999899</v>
      </c>
      <c r="P410" s="10">
        <v>1.492</v>
      </c>
      <c r="Q410" s="10">
        <v>2.8879999999999901</v>
      </c>
      <c r="R410" s="10">
        <v>29.84</v>
      </c>
      <c r="S410" s="10">
        <v>7.2560000000000003E-3</v>
      </c>
      <c r="T410" s="10">
        <v>2.6780000000000002E-2</v>
      </c>
      <c r="U410" s="10">
        <v>2.0709999999999899E-2</v>
      </c>
      <c r="V410" s="10">
        <v>1.626E-2</v>
      </c>
      <c r="W410" s="10">
        <v>2.0799999999999898E-2</v>
      </c>
      <c r="X410" s="10">
        <v>5.3039999999999901E-3</v>
      </c>
      <c r="Y410" s="10">
        <v>15.3</v>
      </c>
      <c r="Z410" s="10">
        <v>33.17</v>
      </c>
      <c r="AA410" s="10">
        <v>100.2</v>
      </c>
      <c r="AB410" s="10">
        <v>706.7</v>
      </c>
      <c r="AC410" s="10">
        <v>0.1241</v>
      </c>
      <c r="AD410" s="10">
        <v>0.22639999999999899</v>
      </c>
      <c r="AE410" s="10">
        <v>0.1326</v>
      </c>
      <c r="AF410" s="10">
        <v>0.1048</v>
      </c>
      <c r="AG410" s="10">
        <v>0.22500000000000001</v>
      </c>
      <c r="AH410">
        <v>8.3210000000000006E-2</v>
      </c>
    </row>
    <row r="411" spans="3:34">
      <c r="C411" s="11" t="s">
        <v>702</v>
      </c>
      <c r="D411" s="10" t="s">
        <v>0</v>
      </c>
      <c r="E411" s="10">
        <v>13.71</v>
      </c>
      <c r="F411" s="10">
        <v>30.62</v>
      </c>
      <c r="G411" s="10">
        <v>103.4</v>
      </c>
      <c r="H411" s="10">
        <v>716.89999999999895</v>
      </c>
      <c r="I411" s="10">
        <v>9.6345422535211098E-2</v>
      </c>
      <c r="J411" s="10">
        <v>0.2087</v>
      </c>
      <c r="K411" s="10">
        <v>0.255</v>
      </c>
      <c r="L411" s="10">
        <v>9.4289999999999902E-2</v>
      </c>
      <c r="M411" s="10">
        <v>0.21279999999999899</v>
      </c>
      <c r="N411" s="10">
        <v>7.152E-2</v>
      </c>
      <c r="O411" s="10">
        <v>0.26019999999999899</v>
      </c>
      <c r="P411" s="10">
        <v>1.2050000000000001</v>
      </c>
      <c r="Q411" s="10">
        <v>2.3620000000000001</v>
      </c>
      <c r="R411" s="10">
        <v>22.649999999999899</v>
      </c>
      <c r="S411" s="10">
        <v>4.6249999999999902E-3</v>
      </c>
      <c r="T411" s="10">
        <v>4.84399999999999E-2</v>
      </c>
      <c r="U411" s="10">
        <v>7.3590000000000003E-2</v>
      </c>
      <c r="V411" s="10">
        <v>1.6080000000000001E-2</v>
      </c>
      <c r="W411" s="10">
        <v>2.137E-2</v>
      </c>
      <c r="X411" s="10">
        <v>6.1419999999999903E-3</v>
      </c>
      <c r="Y411" s="10">
        <v>17.52</v>
      </c>
      <c r="Z411" s="10">
        <v>42.7899999999999</v>
      </c>
      <c r="AA411" s="10">
        <v>128.69999999999899</v>
      </c>
      <c r="AB411" s="10">
        <v>915</v>
      </c>
      <c r="AC411" s="10">
        <v>0.14169999999999899</v>
      </c>
      <c r="AD411" s="10">
        <v>0.79169999999999896</v>
      </c>
      <c r="AE411" s="10">
        <v>1.1699999999999899</v>
      </c>
      <c r="AF411" s="10">
        <v>0.2356</v>
      </c>
      <c r="AG411" s="10">
        <v>0.40889999999999899</v>
      </c>
      <c r="AH411">
        <v>0.1409</v>
      </c>
    </row>
    <row r="412" spans="3:34">
      <c r="C412" s="11" t="s">
        <v>703</v>
      </c>
      <c r="D412" s="10" t="s">
        <v>0</v>
      </c>
      <c r="E412" s="10">
        <v>13.71</v>
      </c>
      <c r="F412" s="10">
        <v>25.09</v>
      </c>
      <c r="G412" s="10">
        <v>143</v>
      </c>
      <c r="H412" s="10">
        <v>1347</v>
      </c>
      <c r="I412" s="10">
        <v>0.1099</v>
      </c>
      <c r="J412" s="10">
        <v>0.22359999999999899</v>
      </c>
      <c r="K412" s="10">
        <v>0.31740000000000002</v>
      </c>
      <c r="L412" s="10">
        <v>0.1474</v>
      </c>
      <c r="M412" s="10">
        <v>0.21490000000000001</v>
      </c>
      <c r="N412" s="10">
        <v>6.8790000000000004E-2</v>
      </c>
      <c r="O412" s="10">
        <v>0.96220000000000006</v>
      </c>
      <c r="P412" s="10">
        <v>1.026</v>
      </c>
      <c r="Q412" s="10">
        <v>8.7579999999999902</v>
      </c>
      <c r="R412" s="10">
        <v>118.8</v>
      </c>
      <c r="S412" s="10">
        <v>6.3990000000000002E-3</v>
      </c>
      <c r="T412" s="10">
        <v>4.3099999999999902E-2</v>
      </c>
      <c r="U412" s="10">
        <v>7.8450000000000006E-2</v>
      </c>
      <c r="V412" s="10">
        <v>2.6239999999999899E-2</v>
      </c>
      <c r="W412" s="10">
        <v>2.0570000000000001E-2</v>
      </c>
      <c r="X412" s="10">
        <v>6.2129999999999902E-3</v>
      </c>
      <c r="Y412" s="10">
        <v>24.2899999999999</v>
      </c>
      <c r="Z412" s="10">
        <v>29.41</v>
      </c>
      <c r="AA412" s="10">
        <v>179.099999999999</v>
      </c>
      <c r="AB412" s="10">
        <v>1819</v>
      </c>
      <c r="AC412" s="10">
        <v>0.14069999999999899</v>
      </c>
      <c r="AD412" s="10">
        <v>0.41860000000000003</v>
      </c>
      <c r="AE412" s="10">
        <v>0.65990000000000004</v>
      </c>
      <c r="AF412" s="10">
        <v>0.25419999999999898</v>
      </c>
      <c r="AG412" s="10">
        <v>0.29289999999999899</v>
      </c>
      <c r="AH412">
        <v>9.8729999999999901E-2</v>
      </c>
    </row>
    <row r="413" spans="3:34">
      <c r="C413" s="11" t="s">
        <v>707</v>
      </c>
      <c r="D413" s="10" t="s">
        <v>0</v>
      </c>
      <c r="E413" s="10">
        <v>13.71</v>
      </c>
      <c r="F413" s="10">
        <v>29.329999999999899</v>
      </c>
      <c r="G413" s="10">
        <v>140.099999999999</v>
      </c>
      <c r="H413" s="10">
        <v>1265</v>
      </c>
      <c r="I413" s="10">
        <v>0.1178</v>
      </c>
      <c r="J413" s="10">
        <v>0.27700000000000002</v>
      </c>
      <c r="K413" s="10">
        <v>0.35139999999999899</v>
      </c>
      <c r="L413" s="10">
        <v>0.152</v>
      </c>
      <c r="M413" s="10">
        <v>0.2397</v>
      </c>
      <c r="N413" s="10">
        <v>7.016E-2</v>
      </c>
      <c r="O413" s="10">
        <v>0.72599999999999898</v>
      </c>
      <c r="P413" s="10">
        <v>1.595</v>
      </c>
      <c r="Q413" s="10">
        <v>5.7720000000000002</v>
      </c>
      <c r="R413" s="10">
        <v>86.219999999999899</v>
      </c>
      <c r="S413" s="10">
        <v>6.522E-3</v>
      </c>
      <c r="T413" s="10">
        <v>6.1580000000000003E-2</v>
      </c>
      <c r="U413" s="10">
        <v>7.11699999999999E-2</v>
      </c>
      <c r="V413" s="10">
        <v>1.6639999999999901E-2</v>
      </c>
      <c r="W413" s="10">
        <v>2.324E-2</v>
      </c>
      <c r="X413" s="10">
        <v>6.1850000000000004E-3</v>
      </c>
      <c r="Y413" s="10">
        <v>25.739999999999899</v>
      </c>
      <c r="Z413" s="10">
        <v>39.42</v>
      </c>
      <c r="AA413" s="10">
        <v>184.599999999999</v>
      </c>
      <c r="AB413" s="10">
        <v>1821</v>
      </c>
      <c r="AC413" s="10">
        <v>0.16500000000000001</v>
      </c>
      <c r="AD413" s="10">
        <v>0.86809999999999898</v>
      </c>
      <c r="AE413" s="10">
        <v>0.93869999999999898</v>
      </c>
      <c r="AF413" s="10">
        <v>0.26500000000000001</v>
      </c>
      <c r="AG413" s="10">
        <v>0.40870000000000001</v>
      </c>
      <c r="AH413">
        <v>0.124</v>
      </c>
    </row>
    <row r="414" spans="3:34">
      <c r="C414" s="11" t="s">
        <v>283</v>
      </c>
      <c r="D414" s="10" t="s">
        <v>1</v>
      </c>
      <c r="E414" s="10">
        <v>13.71</v>
      </c>
      <c r="F414" s="10">
        <v>15.92</v>
      </c>
      <c r="G414" s="10">
        <v>83.739999999999895</v>
      </c>
      <c r="H414" s="10">
        <v>512.20000000000005</v>
      </c>
      <c r="I414" s="10">
        <v>8.677E-2</v>
      </c>
      <c r="J414" s="10">
        <v>9.5089999999999897E-2</v>
      </c>
      <c r="K414" s="10">
        <v>4.89399999999999E-2</v>
      </c>
      <c r="L414" s="10">
        <v>3.0880000000000001E-2</v>
      </c>
      <c r="M414" s="10">
        <v>0.17780000000000001</v>
      </c>
      <c r="N414" s="10">
        <v>6.2350000000000003E-2</v>
      </c>
      <c r="O414" s="10">
        <v>0.21429999999999899</v>
      </c>
      <c r="P414" s="10">
        <v>0.7712</v>
      </c>
      <c r="Q414" s="10">
        <v>1.6890000000000001</v>
      </c>
      <c r="R414" s="10">
        <v>16.64</v>
      </c>
      <c r="S414" s="10">
        <v>5.3239999999999902E-3</v>
      </c>
      <c r="T414" s="10">
        <v>1.5630000000000002E-2</v>
      </c>
      <c r="U414" s="10">
        <v>1.5100000000000001E-2</v>
      </c>
      <c r="V414" s="10">
        <v>7.5839999999999901E-3</v>
      </c>
      <c r="W414" s="10">
        <v>2.104E-2</v>
      </c>
      <c r="X414" s="10">
        <v>1.887E-3</v>
      </c>
      <c r="Y414" s="10">
        <v>14.48</v>
      </c>
      <c r="Z414" s="10">
        <v>21.82</v>
      </c>
      <c r="AA414" s="10">
        <v>97.17</v>
      </c>
      <c r="AB414" s="10">
        <v>643.79999999999905</v>
      </c>
      <c r="AC414" s="10">
        <v>0.13120000000000001</v>
      </c>
      <c r="AD414" s="10">
        <v>0.25480000000000003</v>
      </c>
      <c r="AE414" s="10">
        <v>0.20899999999999899</v>
      </c>
      <c r="AF414" s="10">
        <v>0.1012</v>
      </c>
      <c r="AG414" s="10">
        <v>0.35489999999999899</v>
      </c>
      <c r="AH414">
        <v>8.1180000000000002E-2</v>
      </c>
    </row>
    <row r="415" spans="3:34">
      <c r="C415" s="11" t="s">
        <v>390</v>
      </c>
      <c r="D415" s="10" t="s">
        <v>0</v>
      </c>
      <c r="E415" s="10">
        <v>13.71</v>
      </c>
      <c r="F415" s="10">
        <v>23.559999999999899</v>
      </c>
      <c r="G415" s="10">
        <v>138.9</v>
      </c>
      <c r="H415" s="10">
        <v>1364</v>
      </c>
      <c r="I415" s="10">
        <v>0.1007</v>
      </c>
      <c r="J415" s="10">
        <v>0.16059999999999899</v>
      </c>
      <c r="K415" s="10">
        <v>0.2712</v>
      </c>
      <c r="L415" s="10">
        <v>0.13100000000000001</v>
      </c>
      <c r="M415" s="10">
        <v>0.2205</v>
      </c>
      <c r="N415" s="10">
        <v>5.8979999999999901E-2</v>
      </c>
      <c r="O415" s="10">
        <v>1.004</v>
      </c>
      <c r="P415" s="10">
        <v>0.82079999999999897</v>
      </c>
      <c r="Q415" s="10">
        <v>6.3719999999999901</v>
      </c>
      <c r="R415" s="10">
        <v>137.9</v>
      </c>
      <c r="S415" s="10">
        <v>5.2830000000000004E-3</v>
      </c>
      <c r="T415" s="10">
        <v>3.90799999999999E-2</v>
      </c>
      <c r="U415" s="10">
        <v>9.5180000000000001E-2</v>
      </c>
      <c r="V415" s="10">
        <v>1.864E-2</v>
      </c>
      <c r="W415" s="10">
        <v>2.401E-2</v>
      </c>
      <c r="X415" s="10">
        <v>5.0020000000000004E-3</v>
      </c>
      <c r="Y415" s="10">
        <v>25.579999999999899</v>
      </c>
      <c r="Z415" s="10">
        <v>27</v>
      </c>
      <c r="AA415" s="10">
        <v>165.3</v>
      </c>
      <c r="AB415" s="10">
        <v>2010</v>
      </c>
      <c r="AC415" s="10">
        <v>0.1211</v>
      </c>
      <c r="AD415" s="10">
        <v>0.31719999999999898</v>
      </c>
      <c r="AE415" s="10">
        <v>0.69910000000000005</v>
      </c>
      <c r="AF415" s="10">
        <v>0.21049999999999899</v>
      </c>
      <c r="AG415" s="10">
        <v>0.31259999999999899</v>
      </c>
      <c r="AH415">
        <v>7.8490000000000004E-2</v>
      </c>
    </row>
    <row r="416" spans="3:34">
      <c r="C416" s="11" t="s">
        <v>472</v>
      </c>
      <c r="D416" s="10" t="s">
        <v>1</v>
      </c>
      <c r="E416" s="10">
        <v>13.71</v>
      </c>
      <c r="F416" s="10">
        <v>19.8599999999999</v>
      </c>
      <c r="G416" s="10">
        <v>71.939999999999898</v>
      </c>
      <c r="H416" s="10">
        <v>387.3</v>
      </c>
      <c r="I416" s="10">
        <v>0.10539999999999899</v>
      </c>
      <c r="J416" s="10">
        <v>6.7790000000000003E-2</v>
      </c>
      <c r="K416" s="10">
        <v>5.006E-3</v>
      </c>
      <c r="L416" s="10">
        <v>7.5830000000000003E-3</v>
      </c>
      <c r="M416" s="10">
        <v>0.19400000000000001</v>
      </c>
      <c r="N416" s="10">
        <v>6.028E-2</v>
      </c>
      <c r="O416" s="10">
        <v>0.29759999999999898</v>
      </c>
      <c r="P416" s="10">
        <v>1.966</v>
      </c>
      <c r="Q416" s="10">
        <v>1.9590000000000001</v>
      </c>
      <c r="R416" s="10">
        <v>19.62</v>
      </c>
      <c r="S416" s="10">
        <v>1.289E-2</v>
      </c>
      <c r="T416" s="10">
        <v>1.1039999999999901E-2</v>
      </c>
      <c r="U416" s="10">
        <v>3.297E-3</v>
      </c>
      <c r="V416" s="10">
        <v>4.9670000000000001E-3</v>
      </c>
      <c r="W416" s="10">
        <v>4.2430000000000002E-2</v>
      </c>
      <c r="X416" s="10">
        <v>1.9629999999999899E-3</v>
      </c>
      <c r="Y416" s="10">
        <v>11.98</v>
      </c>
      <c r="Z416" s="10">
        <v>25.78</v>
      </c>
      <c r="AA416" s="10">
        <v>76.909999999999897</v>
      </c>
      <c r="AB416" s="10">
        <v>436.1</v>
      </c>
      <c r="AC416" s="10">
        <v>0.1424</v>
      </c>
      <c r="AD416" s="10">
        <v>9.6689999999999901E-2</v>
      </c>
      <c r="AE416" s="10">
        <v>1.3350000000000001E-2</v>
      </c>
      <c r="AF416" s="10">
        <v>2.0219999999999901E-2</v>
      </c>
      <c r="AG416" s="10">
        <v>0.32919999999999899</v>
      </c>
      <c r="AH416">
        <v>6.522E-2</v>
      </c>
    </row>
    <row r="417" spans="3:34">
      <c r="C417" s="11" t="s">
        <v>170</v>
      </c>
      <c r="D417" s="10" t="s">
        <v>0</v>
      </c>
      <c r="E417" s="10">
        <v>13.71</v>
      </c>
      <c r="F417" s="10">
        <v>25.1099999999999</v>
      </c>
      <c r="G417" s="10">
        <v>124.8</v>
      </c>
      <c r="H417" s="10">
        <v>1088</v>
      </c>
      <c r="I417" s="10">
        <v>0.106399999999999</v>
      </c>
      <c r="J417" s="10">
        <v>0.18870000000000001</v>
      </c>
      <c r="K417" s="10">
        <v>0.2319</v>
      </c>
      <c r="L417" s="10">
        <v>0.1244</v>
      </c>
      <c r="M417" s="10">
        <v>0.21829999999999899</v>
      </c>
      <c r="N417" s="10">
        <v>6.19699999999999E-2</v>
      </c>
      <c r="O417" s="10">
        <v>0.83069999999999899</v>
      </c>
      <c r="P417" s="10">
        <v>1.466</v>
      </c>
      <c r="Q417" s="10">
        <v>5.5739999999999901</v>
      </c>
      <c r="R417" s="10">
        <v>105</v>
      </c>
      <c r="S417" s="10">
        <v>6.2480000000000001E-3</v>
      </c>
      <c r="T417" s="10">
        <v>3.3739999999999902E-2</v>
      </c>
      <c r="U417" s="10">
        <v>5.1959999999999902E-2</v>
      </c>
      <c r="V417" s="10">
        <v>1.158E-2</v>
      </c>
      <c r="W417" s="10">
        <v>2.0070000000000001E-2</v>
      </c>
      <c r="X417" s="10">
        <v>4.5599999999999903E-3</v>
      </c>
      <c r="Y417" s="10">
        <v>23.149999999999899</v>
      </c>
      <c r="Z417" s="10">
        <v>34.009999999999899</v>
      </c>
      <c r="AA417" s="10">
        <v>160.5</v>
      </c>
      <c r="AB417" s="10">
        <v>1670</v>
      </c>
      <c r="AC417" s="10">
        <v>0.14910000000000001</v>
      </c>
      <c r="AD417" s="10">
        <v>0.42570000000000002</v>
      </c>
      <c r="AE417" s="10">
        <v>0.61329999999999896</v>
      </c>
      <c r="AF417" s="10">
        <v>0.18479999999999899</v>
      </c>
      <c r="AG417" s="10">
        <v>0.34439999999999898</v>
      </c>
      <c r="AH417">
        <v>9.7820000000000004E-2</v>
      </c>
    </row>
    <row r="418" spans="3:34">
      <c r="C418" s="11" t="s">
        <v>612</v>
      </c>
      <c r="D418" s="10" t="s">
        <v>1</v>
      </c>
      <c r="E418" s="10">
        <v>13.71</v>
      </c>
      <c r="F418" s="10">
        <v>14.93</v>
      </c>
      <c r="G418" s="10">
        <v>96.45</v>
      </c>
      <c r="H418" s="10">
        <v>686.89999999999895</v>
      </c>
      <c r="I418" s="10">
        <v>8.0979999999999899E-2</v>
      </c>
      <c r="J418" s="10">
        <v>8.5489999999999899E-2</v>
      </c>
      <c r="K418" s="10">
        <v>5.5390000000000002E-2</v>
      </c>
      <c r="L418" s="10">
        <v>3.2210000000000003E-2</v>
      </c>
      <c r="M418" s="10">
        <v>0.16869999999999899</v>
      </c>
      <c r="N418" s="10">
        <v>5.66899999999999E-2</v>
      </c>
      <c r="O418" s="10">
        <v>0.24460000000000001</v>
      </c>
      <c r="P418" s="10">
        <v>0.43340000000000001</v>
      </c>
      <c r="Q418" s="10">
        <v>1.8260000000000001</v>
      </c>
      <c r="R418" s="10">
        <v>23.309999999999899</v>
      </c>
      <c r="S418" s="10">
        <v>3.271E-3</v>
      </c>
      <c r="T418" s="10">
        <v>1.77E-2</v>
      </c>
      <c r="U418" s="10">
        <v>2.3099999999999898E-2</v>
      </c>
      <c r="V418" s="10">
        <v>8.3990000000000002E-3</v>
      </c>
      <c r="W418" s="10">
        <v>1.1480000000000001E-2</v>
      </c>
      <c r="X418" s="10">
        <v>2.379E-3</v>
      </c>
      <c r="Y418" s="10">
        <v>17.18</v>
      </c>
      <c r="Z418" s="10">
        <v>18.219999999999899</v>
      </c>
      <c r="AA418" s="10">
        <v>112</v>
      </c>
      <c r="AB418" s="10">
        <v>906.6</v>
      </c>
      <c r="AC418" s="10">
        <v>0.1065</v>
      </c>
      <c r="AD418" s="10">
        <v>0.27910000000000001</v>
      </c>
      <c r="AE418" s="10">
        <v>0.31509999999999899</v>
      </c>
      <c r="AF418" s="10">
        <v>0.1147</v>
      </c>
      <c r="AG418" s="10">
        <v>0.26879999999999898</v>
      </c>
      <c r="AH418">
        <v>8.2729999999999901E-2</v>
      </c>
    </row>
    <row r="419" spans="3:34">
      <c r="C419" s="11" t="s">
        <v>631</v>
      </c>
      <c r="D419" s="10" t="s">
        <v>1</v>
      </c>
      <c r="E419" s="10">
        <v>13.71</v>
      </c>
      <c r="F419" s="10">
        <v>13.23</v>
      </c>
      <c r="G419" s="10">
        <v>114.599999999999</v>
      </c>
      <c r="H419" s="10">
        <v>992.1</v>
      </c>
      <c r="I419" s="10">
        <v>7.8380000000000005E-2</v>
      </c>
      <c r="J419" s="10">
        <v>6.2170000000000003E-2</v>
      </c>
      <c r="K419" s="10">
        <v>4.4450000000000003E-2</v>
      </c>
      <c r="L419" s="10">
        <v>4.1779999999999901E-2</v>
      </c>
      <c r="M419" s="10">
        <v>0.122</v>
      </c>
      <c r="N419" s="10">
        <v>5.24299999999999E-2</v>
      </c>
      <c r="O419" s="10">
        <v>0.4834</v>
      </c>
      <c r="P419" s="10">
        <v>1.046</v>
      </c>
      <c r="Q419" s="10">
        <v>3.16299999999999</v>
      </c>
      <c r="R419" s="10">
        <v>50.95</v>
      </c>
      <c r="S419" s="10">
        <v>4.3689999999999901E-3</v>
      </c>
      <c r="T419" s="10">
        <v>8.2740000000000001E-3</v>
      </c>
      <c r="U419" s="10">
        <v>1.153E-2</v>
      </c>
      <c r="V419" s="10">
        <v>7.437E-3</v>
      </c>
      <c r="W419" s="10">
        <v>1.302E-2</v>
      </c>
      <c r="X419" s="10">
        <v>1.3090000000000001E-3</v>
      </c>
      <c r="Y419" s="10">
        <v>19.82</v>
      </c>
      <c r="Z419" s="10">
        <v>18.420000000000002</v>
      </c>
      <c r="AA419" s="10">
        <v>127.099999999999</v>
      </c>
      <c r="AB419" s="10">
        <v>1210</v>
      </c>
      <c r="AC419" s="10">
        <v>9.8619999999999902E-2</v>
      </c>
      <c r="AD419" s="10">
        <v>9.9760000000000001E-2</v>
      </c>
      <c r="AE419" s="10">
        <v>0.1048</v>
      </c>
      <c r="AF419" s="10">
        <v>8.3409999999999901E-2</v>
      </c>
      <c r="AG419" s="10">
        <v>0.17829999999999899</v>
      </c>
      <c r="AH419">
        <v>5.8709999999999901E-2</v>
      </c>
    </row>
    <row r="420" spans="3:34">
      <c r="C420" s="11" t="s">
        <v>708</v>
      </c>
      <c r="D420" s="10" t="s">
        <v>1</v>
      </c>
      <c r="E420" s="10">
        <v>13.71</v>
      </c>
      <c r="F420" s="10">
        <v>24.5399999999999</v>
      </c>
      <c r="G420" s="10">
        <v>47.92</v>
      </c>
      <c r="H420" s="10">
        <v>181</v>
      </c>
      <c r="I420" s="10">
        <v>5.2630000000000003E-2</v>
      </c>
      <c r="J420" s="10">
        <v>4.3619999999999902E-2</v>
      </c>
      <c r="K420" s="10">
        <v>0</v>
      </c>
      <c r="L420" s="10">
        <v>0</v>
      </c>
      <c r="M420" s="10">
        <v>0.15870000000000001</v>
      </c>
      <c r="N420" s="10">
        <v>5.8840000000000003E-2</v>
      </c>
      <c r="O420" s="10">
        <v>0.38569999999999899</v>
      </c>
      <c r="P420" s="10">
        <v>1.4279999999999899</v>
      </c>
      <c r="Q420" s="10">
        <v>2.548</v>
      </c>
      <c r="R420" s="10">
        <v>19.149999999999899</v>
      </c>
      <c r="S420" s="10">
        <v>7.1890000000000001E-3</v>
      </c>
      <c r="T420" s="10">
        <v>4.6600000000000001E-3</v>
      </c>
      <c r="U420" s="10">
        <v>0</v>
      </c>
      <c r="V420" s="10">
        <v>0</v>
      </c>
      <c r="W420" s="10">
        <v>2.6759999999999898E-2</v>
      </c>
      <c r="X420" s="10">
        <v>2.7829999999999899E-3</v>
      </c>
      <c r="Y420" s="10">
        <v>9.4559999999999906</v>
      </c>
      <c r="Z420" s="10">
        <v>30.37</v>
      </c>
      <c r="AA420" s="10">
        <v>59.159999999999897</v>
      </c>
      <c r="AB420" s="10">
        <v>268.60000000000002</v>
      </c>
      <c r="AC420" s="10">
        <v>8.9959999999999901E-2</v>
      </c>
      <c r="AD420" s="10">
        <v>6.44399999999999E-2</v>
      </c>
      <c r="AE420" s="10">
        <v>0</v>
      </c>
      <c r="AF420" s="10">
        <v>0</v>
      </c>
      <c r="AG420" s="10">
        <v>0.28710000000000002</v>
      </c>
      <c r="AH420">
        <v>7.0389999999999897E-2</v>
      </c>
    </row>
    <row r="421" spans="3:34">
      <c r="C421" s="11" t="s">
        <v>166</v>
      </c>
      <c r="D421" s="10" t="s">
        <v>0</v>
      </c>
      <c r="E421" s="10">
        <v>13.71</v>
      </c>
      <c r="F421" s="10">
        <v>21.53</v>
      </c>
      <c r="G421" s="10">
        <v>97.409999999999897</v>
      </c>
      <c r="H421" s="10">
        <v>644.79999999999905</v>
      </c>
      <c r="I421" s="10">
        <v>0.10539999999999899</v>
      </c>
      <c r="J421" s="10">
        <v>0.18679999999999899</v>
      </c>
      <c r="K421" s="10">
        <v>0.14249999999999899</v>
      </c>
      <c r="L421" s="10">
        <v>8.7830000000000005E-2</v>
      </c>
      <c r="M421" s="10">
        <v>0.22520000000000001</v>
      </c>
      <c r="N421" s="10">
        <v>6.9239999999999899E-2</v>
      </c>
      <c r="O421" s="10">
        <v>0.2545</v>
      </c>
      <c r="P421" s="10">
        <v>0.98319999999999896</v>
      </c>
      <c r="Q421" s="10">
        <v>2.1099999999999901</v>
      </c>
      <c r="R421" s="10">
        <v>21.05</v>
      </c>
      <c r="S421" s="10">
        <v>4.4520000000000002E-3</v>
      </c>
      <c r="T421" s="10">
        <v>3.0550000000000001E-2</v>
      </c>
      <c r="U421" s="10">
        <v>2.681E-2</v>
      </c>
      <c r="V421" s="10">
        <v>1.3520000000000001E-2</v>
      </c>
      <c r="W421" s="10">
        <v>1.4540000000000001E-2</v>
      </c>
      <c r="X421" s="10">
        <v>3.7109999999999899E-3</v>
      </c>
      <c r="Y421" s="10">
        <v>17.62</v>
      </c>
      <c r="Z421" s="10">
        <v>33.21</v>
      </c>
      <c r="AA421" s="10">
        <v>122.4</v>
      </c>
      <c r="AB421" s="10">
        <v>896.89999999999895</v>
      </c>
      <c r="AC421" s="10">
        <v>0.1525</v>
      </c>
      <c r="AD421" s="10">
        <v>0.6643</v>
      </c>
      <c r="AE421" s="10">
        <v>0.55389999999999895</v>
      </c>
      <c r="AF421" s="10">
        <v>0.27010000000000001</v>
      </c>
      <c r="AG421" s="10">
        <v>0.4264</v>
      </c>
      <c r="AH421">
        <v>0.1275</v>
      </c>
    </row>
    <row r="422" spans="3:34">
      <c r="C422" s="11" t="s">
        <v>493</v>
      </c>
      <c r="D422" s="10" t="s">
        <v>0</v>
      </c>
      <c r="E422" s="10">
        <v>13.71</v>
      </c>
      <c r="F422" s="10">
        <v>25.739999999999899</v>
      </c>
      <c r="G422" s="10">
        <v>98</v>
      </c>
      <c r="H422" s="10">
        <v>716.6</v>
      </c>
      <c r="I422" s="10">
        <v>0.1024</v>
      </c>
      <c r="J422" s="10">
        <v>9.7689999999999902E-2</v>
      </c>
      <c r="K422" s="10">
        <v>0.1235</v>
      </c>
      <c r="L422" s="10">
        <v>6.5530000000000005E-2</v>
      </c>
      <c r="M422" s="10">
        <v>0.16470000000000001</v>
      </c>
      <c r="N422" s="10">
        <v>6.4640000000000003E-2</v>
      </c>
      <c r="O422" s="10">
        <v>0.65339999999999898</v>
      </c>
      <c r="P422" s="10">
        <v>1.506</v>
      </c>
      <c r="Q422" s="10">
        <v>4.1740000000000004</v>
      </c>
      <c r="R422" s="10">
        <v>63.369999999999898</v>
      </c>
      <c r="S422" s="10">
        <v>1.052E-2</v>
      </c>
      <c r="T422" s="10">
        <v>2.4309999999999901E-2</v>
      </c>
      <c r="U422" s="10">
        <v>4.91199999999999E-2</v>
      </c>
      <c r="V422" s="10">
        <v>1.746E-2</v>
      </c>
      <c r="W422" s="10">
        <v>2.12E-2</v>
      </c>
      <c r="X422" s="10">
        <v>4.8669999999999903E-3</v>
      </c>
      <c r="Y422" s="10">
        <v>18.510000000000002</v>
      </c>
      <c r="Z422" s="10">
        <v>33.219999999999899</v>
      </c>
      <c r="AA422" s="10">
        <v>121.2</v>
      </c>
      <c r="AB422" s="10">
        <v>1050</v>
      </c>
      <c r="AC422" s="10">
        <v>0.16600000000000001</v>
      </c>
      <c r="AD422" s="10">
        <v>0.2356</v>
      </c>
      <c r="AE422" s="10">
        <v>0.40289999999999898</v>
      </c>
      <c r="AF422" s="10">
        <v>0.15260000000000001</v>
      </c>
      <c r="AG422" s="10">
        <v>0.26540000000000002</v>
      </c>
      <c r="AH422">
        <v>9.4380000000000006E-2</v>
      </c>
    </row>
    <row r="423" spans="3:34">
      <c r="C423" s="11" t="s">
        <v>233</v>
      </c>
      <c r="D423" s="10" t="s">
        <v>1</v>
      </c>
      <c r="E423" s="10">
        <v>13.71</v>
      </c>
      <c r="F423" s="10">
        <v>18.3</v>
      </c>
      <c r="G423" s="10">
        <v>86.599999999999895</v>
      </c>
      <c r="H423" s="10">
        <v>555.1</v>
      </c>
      <c r="I423" s="10">
        <v>0.1022</v>
      </c>
      <c r="J423" s="10">
        <v>8.165E-2</v>
      </c>
      <c r="K423" s="10">
        <v>3.97399999999999E-2</v>
      </c>
      <c r="L423" s="10">
        <v>2.7799999999999901E-2</v>
      </c>
      <c r="M423" s="10">
        <v>0.1638</v>
      </c>
      <c r="N423" s="10">
        <v>5.7099999999999901E-2</v>
      </c>
      <c r="O423" s="10">
        <v>0.29499999999999899</v>
      </c>
      <c r="P423" s="10">
        <v>1.373</v>
      </c>
      <c r="Q423" s="10">
        <v>2.0990000000000002</v>
      </c>
      <c r="R423" s="10">
        <v>25.219999999999899</v>
      </c>
      <c r="S423" s="10">
        <v>5.8840000000000003E-3</v>
      </c>
      <c r="T423" s="10">
        <v>1.491E-2</v>
      </c>
      <c r="U423" s="10">
        <v>1.8720000000000001E-2</v>
      </c>
      <c r="V423" s="10">
        <v>9.3659999999999907E-3</v>
      </c>
      <c r="W423" s="10">
        <v>1.8839999999999898E-2</v>
      </c>
      <c r="X423" s="10">
        <v>1.817E-3</v>
      </c>
      <c r="Y423" s="10">
        <v>15.1</v>
      </c>
      <c r="Z423" s="10">
        <v>25.94</v>
      </c>
      <c r="AA423" s="10">
        <v>97.59</v>
      </c>
      <c r="AB423" s="10">
        <v>699.39999999999895</v>
      </c>
      <c r="AC423" s="10">
        <v>0.13389999999999899</v>
      </c>
      <c r="AD423" s="10">
        <v>0.17510000000000001</v>
      </c>
      <c r="AE423" s="10">
        <v>0.1381</v>
      </c>
      <c r="AF423" s="10">
        <v>7.911E-2</v>
      </c>
      <c r="AG423" s="10">
        <v>0.26779999999999898</v>
      </c>
      <c r="AH423">
        <v>6.6030000000000005E-2</v>
      </c>
    </row>
    <row r="424" spans="3:34">
      <c r="C424" s="11" t="s">
        <v>680</v>
      </c>
      <c r="D424" s="10" t="s">
        <v>1</v>
      </c>
      <c r="E424" s="10">
        <v>13.71</v>
      </c>
      <c r="F424" s="10">
        <v>14.44</v>
      </c>
      <c r="G424" s="10">
        <v>74.650000000000006</v>
      </c>
      <c r="H424" s="10">
        <v>402.89999999999901</v>
      </c>
      <c r="I424" s="10">
        <v>9.9839999999999901E-2</v>
      </c>
      <c r="J424" s="10">
        <v>0.112</v>
      </c>
      <c r="K424" s="10">
        <v>6.7369999999999902E-2</v>
      </c>
      <c r="L424" s="10">
        <v>2.5940000000000001E-2</v>
      </c>
      <c r="M424" s="10">
        <v>0.18179999999999899</v>
      </c>
      <c r="N424" s="10">
        <v>6.7820000000000005E-2</v>
      </c>
      <c r="O424" s="10">
        <v>0.27839999999999898</v>
      </c>
      <c r="P424" s="10">
        <v>1.768</v>
      </c>
      <c r="Q424" s="10">
        <v>1.6279999999999899</v>
      </c>
      <c r="R424" s="10">
        <v>20.8599999999999</v>
      </c>
      <c r="S424" s="10">
        <v>1.21499999999999E-2</v>
      </c>
      <c r="T424" s="10">
        <v>4.11199999999999E-2</v>
      </c>
      <c r="U424" s="10">
        <v>5.5530000000000003E-2</v>
      </c>
      <c r="V424" s="10">
        <v>1.494E-2</v>
      </c>
      <c r="W424" s="10">
        <v>1.84E-2</v>
      </c>
      <c r="X424" s="10">
        <v>5.5120000000000004E-3</v>
      </c>
      <c r="Y424" s="10">
        <v>12.26</v>
      </c>
      <c r="Z424" s="10">
        <v>19.68</v>
      </c>
      <c r="AA424" s="10">
        <v>78.78</v>
      </c>
      <c r="AB424" s="10">
        <v>457.8</v>
      </c>
      <c r="AC424" s="10">
        <v>0.13450000000000001</v>
      </c>
      <c r="AD424" s="10">
        <v>0.21179999999999899</v>
      </c>
      <c r="AE424" s="10">
        <v>0.1797</v>
      </c>
      <c r="AF424" s="10">
        <v>6.9180000000000005E-2</v>
      </c>
      <c r="AG424" s="10">
        <v>0.2329</v>
      </c>
      <c r="AH424">
        <v>8.1339999999999898E-2</v>
      </c>
    </row>
    <row r="425" spans="3:34">
      <c r="C425" s="11" t="s">
        <v>333</v>
      </c>
      <c r="D425" s="10" t="s">
        <v>0</v>
      </c>
      <c r="E425" s="10">
        <v>13.71</v>
      </c>
      <c r="F425" s="10">
        <v>26.8599999999999</v>
      </c>
      <c r="G425" s="10">
        <v>81.150000000000006</v>
      </c>
      <c r="H425" s="10">
        <v>477.39999999999901</v>
      </c>
      <c r="I425" s="10">
        <v>0.10340000000000001</v>
      </c>
      <c r="J425" s="10">
        <v>0.1353</v>
      </c>
      <c r="K425" s="10">
        <v>0.1085</v>
      </c>
      <c r="L425" s="10">
        <v>4.5620000000000001E-2</v>
      </c>
      <c r="M425" s="10">
        <v>0.1943</v>
      </c>
      <c r="N425" s="10">
        <v>6.9370000000000001E-2</v>
      </c>
      <c r="O425" s="10">
        <v>0.40529999999999899</v>
      </c>
      <c r="P425" s="10">
        <v>1.8089999999999899</v>
      </c>
      <c r="Q425" s="10">
        <v>2.6419999999999901</v>
      </c>
      <c r="R425" s="10">
        <v>34.439999999999898</v>
      </c>
      <c r="S425" s="10">
        <v>9.0980000000000002E-3</v>
      </c>
      <c r="T425" s="10">
        <v>3.8449999999999901E-2</v>
      </c>
      <c r="U425" s="10">
        <v>3.76299999999999E-2</v>
      </c>
      <c r="V425" s="10">
        <v>1.321E-2</v>
      </c>
      <c r="W425" s="10">
        <v>1.8780000000000002E-2</v>
      </c>
      <c r="X425" s="10">
        <v>5.672E-3</v>
      </c>
      <c r="Y425" s="10">
        <v>15.65</v>
      </c>
      <c r="Z425" s="10">
        <v>39.340000000000003</v>
      </c>
      <c r="AA425" s="10">
        <v>101.7</v>
      </c>
      <c r="AB425" s="10">
        <v>768.89999999999895</v>
      </c>
      <c r="AC425" s="10">
        <v>0.17849999999999899</v>
      </c>
      <c r="AD425" s="10">
        <v>0.47060000000000002</v>
      </c>
      <c r="AE425" s="10">
        <v>0.4425</v>
      </c>
      <c r="AF425" s="10">
        <v>0.1459</v>
      </c>
      <c r="AG425" s="10">
        <v>0.32150000000000001</v>
      </c>
      <c r="AH425">
        <v>0.1205</v>
      </c>
    </row>
    <row r="426" spans="3:34">
      <c r="C426" s="11" t="s">
        <v>153</v>
      </c>
      <c r="D426" s="10" t="s">
        <v>0</v>
      </c>
      <c r="E426" s="10">
        <v>13.71</v>
      </c>
      <c r="F426" s="10">
        <v>23.9499999999999</v>
      </c>
      <c r="G426" s="10">
        <v>103.7</v>
      </c>
      <c r="H426" s="10">
        <v>782.7</v>
      </c>
      <c r="I426" s="10">
        <v>8.4010000000000001E-2</v>
      </c>
      <c r="J426" s="10">
        <v>0.1002</v>
      </c>
      <c r="K426" s="10">
        <v>9.9379999999999899E-2</v>
      </c>
      <c r="L426" s="10">
        <v>5.364E-2</v>
      </c>
      <c r="M426" s="10">
        <v>0.1847</v>
      </c>
      <c r="N426" s="10">
        <v>5.33799999999999E-2</v>
      </c>
      <c r="O426" s="10">
        <v>0.40329999999999899</v>
      </c>
      <c r="P426" s="10">
        <v>1.0780000000000001</v>
      </c>
      <c r="Q426" s="10">
        <v>2.903</v>
      </c>
      <c r="R426" s="10">
        <v>36.579999999999899</v>
      </c>
      <c r="S426" s="10">
        <v>9.7689999999999895E-3</v>
      </c>
      <c r="T426" s="10">
        <v>3.1260000000000003E-2</v>
      </c>
      <c r="U426" s="10">
        <v>5.0509999999999902E-2</v>
      </c>
      <c r="V426" s="10">
        <v>1.992E-2</v>
      </c>
      <c r="W426" s="10">
        <v>2.981E-2</v>
      </c>
      <c r="X426" s="10">
        <v>3.0019999999999899E-3</v>
      </c>
      <c r="Y426" s="10">
        <v>16.84</v>
      </c>
      <c r="Z426" s="10">
        <v>27.66</v>
      </c>
      <c r="AA426" s="10">
        <v>112</v>
      </c>
      <c r="AB426" s="10">
        <v>876.5</v>
      </c>
      <c r="AC426" s="10">
        <v>0.11310000000000001</v>
      </c>
      <c r="AD426" s="10">
        <v>0.19239999999999899</v>
      </c>
      <c r="AE426" s="10">
        <v>0.23219999999999899</v>
      </c>
      <c r="AF426" s="10">
        <v>0.1119</v>
      </c>
      <c r="AG426" s="10">
        <v>0.28089999999999898</v>
      </c>
      <c r="AH426">
        <v>6.2869999999999898E-2</v>
      </c>
    </row>
    <row r="427" spans="3:34">
      <c r="C427" s="11" t="s">
        <v>533</v>
      </c>
      <c r="D427" s="10" t="s">
        <v>0</v>
      </c>
      <c r="E427" s="10">
        <v>13.71</v>
      </c>
      <c r="F427" s="10">
        <v>22.28</v>
      </c>
      <c r="G427" s="10">
        <v>144.4</v>
      </c>
      <c r="H427" s="10">
        <v>1407</v>
      </c>
      <c r="I427" s="10">
        <v>0.1167</v>
      </c>
      <c r="J427" s="10">
        <v>0.2087</v>
      </c>
      <c r="K427" s="10">
        <v>0.28100000000000003</v>
      </c>
      <c r="L427" s="10">
        <v>0.15620000000000001</v>
      </c>
      <c r="M427" s="10">
        <v>0.2162</v>
      </c>
      <c r="N427" s="10">
        <v>6.6059999999999897E-2</v>
      </c>
      <c r="O427" s="10">
        <v>0.62419999999999898</v>
      </c>
      <c r="P427" s="10">
        <v>0.92090000000000005</v>
      </c>
      <c r="Q427" s="10">
        <v>4.1580000000000004</v>
      </c>
      <c r="R427" s="10">
        <v>80.989999999999895</v>
      </c>
      <c r="S427" s="10">
        <v>5.215E-3</v>
      </c>
      <c r="T427" s="10">
        <v>3.7260000000000001E-2</v>
      </c>
      <c r="U427" s="10">
        <v>4.718E-2</v>
      </c>
      <c r="V427" s="10">
        <v>1.2880000000000001E-2</v>
      </c>
      <c r="W427" s="10">
        <v>2.0449999999999899E-2</v>
      </c>
      <c r="X427" s="10">
        <v>4.0280000000000003E-3</v>
      </c>
      <c r="Y427" s="10">
        <v>26.23</v>
      </c>
      <c r="Z427" s="10">
        <v>28.739999999999899</v>
      </c>
      <c r="AA427" s="10">
        <v>172</v>
      </c>
      <c r="AB427" s="10">
        <v>2081</v>
      </c>
      <c r="AC427" s="10">
        <v>0.1502</v>
      </c>
      <c r="AD427" s="10">
        <v>0.57169999999999899</v>
      </c>
      <c r="AE427" s="10">
        <v>0.70530000000000004</v>
      </c>
      <c r="AF427" s="10">
        <v>0.2422</v>
      </c>
      <c r="AG427" s="10">
        <v>0.38279999999999897</v>
      </c>
      <c r="AH427">
        <v>0.1007</v>
      </c>
    </row>
    <row r="428" spans="3:34">
      <c r="C428" s="11" t="s">
        <v>641</v>
      </c>
      <c r="D428" s="10" t="s">
        <v>0</v>
      </c>
      <c r="E428" s="10">
        <v>13.71</v>
      </c>
      <c r="F428" s="10">
        <v>24.489999999999899</v>
      </c>
      <c r="G428" s="10">
        <v>92.329999999999899</v>
      </c>
      <c r="H428" s="10">
        <v>595.89999999999895</v>
      </c>
      <c r="I428" s="10">
        <v>0.1162</v>
      </c>
      <c r="J428" s="10">
        <v>0.1681</v>
      </c>
      <c r="K428" s="10">
        <v>0.13569999999999899</v>
      </c>
      <c r="L428" s="10">
        <v>6.75899999999999E-2</v>
      </c>
      <c r="M428" s="10">
        <v>0.22750000000000001</v>
      </c>
      <c r="N428" s="10">
        <v>7.2370000000000004E-2</v>
      </c>
      <c r="O428" s="10">
        <v>0.47510000000000002</v>
      </c>
      <c r="P428" s="10">
        <v>1.528</v>
      </c>
      <c r="Q428" s="10">
        <v>2.9740000000000002</v>
      </c>
      <c r="R428" s="10">
        <v>39.049999999999898</v>
      </c>
      <c r="S428" s="10">
        <v>9.6799999999999907E-3</v>
      </c>
      <c r="T428" s="10">
        <v>3.85599999999999E-2</v>
      </c>
      <c r="U428" s="10">
        <v>3.4759999999999902E-2</v>
      </c>
      <c r="V428" s="10">
        <v>1.6160000000000001E-2</v>
      </c>
      <c r="W428" s="10">
        <v>2.4340000000000001E-2</v>
      </c>
      <c r="X428" s="10">
        <v>6.9950000000000003E-3</v>
      </c>
      <c r="Y428" s="10">
        <v>16.010000000000002</v>
      </c>
      <c r="Z428" s="10">
        <v>32.939999999999898</v>
      </c>
      <c r="AA428" s="10">
        <v>106</v>
      </c>
      <c r="AB428" s="10">
        <v>788</v>
      </c>
      <c r="AC428" s="10">
        <v>0.1794</v>
      </c>
      <c r="AD428" s="10">
        <v>0.39660000000000001</v>
      </c>
      <c r="AE428" s="10">
        <v>0.33810000000000001</v>
      </c>
      <c r="AF428" s="10">
        <v>0.15210000000000001</v>
      </c>
      <c r="AG428" s="10">
        <v>0.36509999999999898</v>
      </c>
      <c r="AH428">
        <v>0.1183</v>
      </c>
    </row>
    <row r="429" spans="3:34">
      <c r="C429" s="11" t="s">
        <v>500</v>
      </c>
      <c r="D429" s="10" t="s">
        <v>1</v>
      </c>
      <c r="E429" s="10">
        <v>13.71</v>
      </c>
      <c r="F429" s="10">
        <v>18.07</v>
      </c>
      <c r="G429" s="10">
        <v>79.42</v>
      </c>
      <c r="H429" s="10">
        <v>491.89999999999901</v>
      </c>
      <c r="I429" s="10">
        <v>7.4359999999999898E-2</v>
      </c>
      <c r="J429" s="10">
        <v>2.6499999999999899E-2</v>
      </c>
      <c r="K429" s="10">
        <v>1.194E-3</v>
      </c>
      <c r="L429" s="10">
        <v>5.4489999999999903E-3</v>
      </c>
      <c r="M429" s="10">
        <v>0.15279999999999899</v>
      </c>
      <c r="N429" s="10">
        <v>5.185E-2</v>
      </c>
      <c r="O429" s="10">
        <v>0.35110000000000002</v>
      </c>
      <c r="P429" s="10">
        <v>0.95269999999999899</v>
      </c>
      <c r="Q429" s="10">
        <v>2.3290000000000002</v>
      </c>
      <c r="R429" s="10">
        <v>28.3</v>
      </c>
      <c r="S429" s="10">
        <v>5.7829999999999904E-3</v>
      </c>
      <c r="T429" s="10">
        <v>4.6930000000000001E-3</v>
      </c>
      <c r="U429" s="10">
        <v>7.9290000000000003E-4</v>
      </c>
      <c r="V429" s="10">
        <v>3.617E-3</v>
      </c>
      <c r="W429" s="10">
        <v>2.043E-2</v>
      </c>
      <c r="X429" s="10">
        <v>1.0579999999999899E-3</v>
      </c>
      <c r="Y429" s="10">
        <v>13.72</v>
      </c>
      <c r="Z429" s="10">
        <v>20.98</v>
      </c>
      <c r="AA429" s="10">
        <v>86.819999999999894</v>
      </c>
      <c r="AB429" s="10">
        <v>585.70000000000005</v>
      </c>
      <c r="AC429" s="10">
        <v>9.2929999999999902E-2</v>
      </c>
      <c r="AD429" s="10">
        <v>4.3270000000000003E-2</v>
      </c>
      <c r="AE429" s="10">
        <v>3.581E-3</v>
      </c>
      <c r="AF429" s="10">
        <v>1.635E-2</v>
      </c>
      <c r="AG429" s="10">
        <v>0.2233</v>
      </c>
      <c r="AH429">
        <v>5.5210000000000002E-2</v>
      </c>
    </row>
    <row r="430" spans="3:34">
      <c r="C430" s="11" t="s">
        <v>156</v>
      </c>
      <c r="D430" s="10" t="s">
        <v>0</v>
      </c>
      <c r="E430" s="10">
        <v>13.71</v>
      </c>
      <c r="F430" s="10">
        <v>20.1299999999999</v>
      </c>
      <c r="G430" s="10">
        <v>94.739999999999895</v>
      </c>
      <c r="H430" s="10">
        <v>684.5</v>
      </c>
      <c r="I430" s="10">
        <v>9.8669999999999897E-2</v>
      </c>
      <c r="J430" s="10">
        <v>7.1999999999999897E-2</v>
      </c>
      <c r="K430" s="10">
        <v>7.3950000000000002E-2</v>
      </c>
      <c r="L430" s="10">
        <v>5.2589999999999901E-2</v>
      </c>
      <c r="M430" s="10">
        <v>0.15859999999999899</v>
      </c>
      <c r="N430" s="10">
        <v>5.9220000000000002E-2</v>
      </c>
      <c r="O430" s="10">
        <v>0.47270000000000001</v>
      </c>
      <c r="P430" s="10">
        <v>1.24</v>
      </c>
      <c r="Q430" s="10">
        <v>3.1949999999999901</v>
      </c>
      <c r="R430" s="10">
        <v>45.399999999999899</v>
      </c>
      <c r="S430" s="10">
        <v>5.718E-3</v>
      </c>
      <c r="T430" s="10">
        <v>1.162E-2</v>
      </c>
      <c r="U430" s="10">
        <v>1.9980000000000001E-2</v>
      </c>
      <c r="V430" s="10">
        <v>1.10899999999999E-2</v>
      </c>
      <c r="W430" s="10">
        <v>1.41E-2</v>
      </c>
      <c r="X430" s="10">
        <v>2.085E-3</v>
      </c>
      <c r="Y430" s="10">
        <v>19.07</v>
      </c>
      <c r="Z430" s="10">
        <v>30.8799999999999</v>
      </c>
      <c r="AA430" s="10">
        <v>123.4</v>
      </c>
      <c r="AB430" s="10">
        <v>1138</v>
      </c>
      <c r="AC430" s="10">
        <v>0.1464</v>
      </c>
      <c r="AD430" s="10">
        <v>0.18709999999999899</v>
      </c>
      <c r="AE430" s="10">
        <v>0.29139999999999899</v>
      </c>
      <c r="AF430" s="10">
        <v>0.16089999999999899</v>
      </c>
      <c r="AG430" s="10">
        <v>0.3029</v>
      </c>
      <c r="AH430">
        <v>8.21599999999999E-2</v>
      </c>
    </row>
    <row r="431" spans="3:34">
      <c r="C431" s="11" t="s">
        <v>211</v>
      </c>
      <c r="D431" s="10" t="s">
        <v>1</v>
      </c>
      <c r="E431" s="10">
        <v>13.71</v>
      </c>
      <c r="F431" s="10">
        <v>14.64</v>
      </c>
      <c r="G431" s="10">
        <v>58.7899999999999</v>
      </c>
      <c r="H431" s="10">
        <v>244</v>
      </c>
      <c r="I431" s="10">
        <v>9.783E-2</v>
      </c>
      <c r="J431" s="10">
        <v>0.15310000000000001</v>
      </c>
      <c r="K431" s="10">
        <v>8.60599999999999E-2</v>
      </c>
      <c r="L431" s="10">
        <v>2.8719999999999898E-2</v>
      </c>
      <c r="M431" s="10">
        <v>0.19020000000000001</v>
      </c>
      <c r="N431" s="10">
        <v>8.9800000000000005E-2</v>
      </c>
      <c r="O431" s="10">
        <v>0.5262</v>
      </c>
      <c r="P431" s="10">
        <v>0.85219999999999896</v>
      </c>
      <c r="Q431" s="10">
        <v>3.1680000000000001</v>
      </c>
      <c r="R431" s="10">
        <v>25.44</v>
      </c>
      <c r="S431" s="10">
        <v>1.721E-2</v>
      </c>
      <c r="T431" s="10">
        <v>9.3679999999999902E-2</v>
      </c>
      <c r="U431" s="10">
        <v>5.6710000000000003E-2</v>
      </c>
      <c r="V431" s="10">
        <v>1.7659999999999901E-2</v>
      </c>
      <c r="W431" s="10">
        <v>2.5409999999999901E-2</v>
      </c>
      <c r="X431" s="10">
        <v>2.1930000000000002E-2</v>
      </c>
      <c r="Y431" s="10">
        <v>9.7330000000000005</v>
      </c>
      <c r="Z431" s="10">
        <v>15.67</v>
      </c>
      <c r="AA431" s="10">
        <v>62.56</v>
      </c>
      <c r="AB431" s="10">
        <v>284.39999999999901</v>
      </c>
      <c r="AC431" s="10">
        <v>0.1207</v>
      </c>
      <c r="AD431" s="10">
        <v>0.24360000000000001</v>
      </c>
      <c r="AE431" s="10">
        <v>0.1434</v>
      </c>
      <c r="AF431" s="10">
        <v>4.786E-2</v>
      </c>
      <c r="AG431" s="10">
        <v>0.22539999999999899</v>
      </c>
      <c r="AH431">
        <v>0.1084</v>
      </c>
    </row>
    <row r="432" spans="3:34">
      <c r="C432" s="11" t="s">
        <v>143</v>
      </c>
      <c r="D432" s="10" t="s">
        <v>0</v>
      </c>
      <c r="E432" s="10">
        <v>11.42</v>
      </c>
      <c r="F432" s="10">
        <v>20.3799999999999</v>
      </c>
      <c r="G432" s="10">
        <v>77.579999999999899</v>
      </c>
      <c r="H432" s="10">
        <v>386.1</v>
      </c>
      <c r="I432" s="10">
        <v>0.14249999999999899</v>
      </c>
      <c r="J432" s="10">
        <v>0.28389999999999899</v>
      </c>
      <c r="K432" s="10">
        <v>0.2414</v>
      </c>
      <c r="L432" s="10">
        <v>0.1052</v>
      </c>
      <c r="M432" s="10">
        <v>0.25969999999999899</v>
      </c>
      <c r="N432" s="10">
        <v>9.7439999999999902E-2</v>
      </c>
      <c r="O432" s="10">
        <v>0.49559999999999899</v>
      </c>
      <c r="P432" s="10">
        <v>1.1559999999999899</v>
      </c>
      <c r="Q432" s="10">
        <v>3.4449999999999901</v>
      </c>
      <c r="R432" s="10">
        <v>27.23</v>
      </c>
      <c r="S432" s="10">
        <v>9.11E-3</v>
      </c>
      <c r="T432" s="10">
        <v>7.4579999999999896E-2</v>
      </c>
      <c r="U432" s="10">
        <v>5.6610000000000001E-2</v>
      </c>
      <c r="V432" s="10">
        <v>1.8669999999999898E-2</v>
      </c>
      <c r="W432" s="10">
        <v>5.9630000000000002E-2</v>
      </c>
      <c r="X432" s="10">
        <v>9.2079999999999905E-3</v>
      </c>
      <c r="Y432" s="10">
        <v>14.91</v>
      </c>
      <c r="Z432" s="10">
        <v>26.5</v>
      </c>
      <c r="AA432" s="10">
        <v>98.87</v>
      </c>
      <c r="AB432" s="10">
        <v>567.70000000000005</v>
      </c>
      <c r="AC432" s="10">
        <v>0.20979999999999899</v>
      </c>
      <c r="AD432" s="10">
        <v>0.86629999999999896</v>
      </c>
      <c r="AE432" s="10">
        <v>0.68689999999999896</v>
      </c>
      <c r="AF432" s="10">
        <v>0.25750000000000001</v>
      </c>
      <c r="AG432" s="10">
        <v>0.66379999999999895</v>
      </c>
      <c r="AH432">
        <v>0.17299999999999899</v>
      </c>
    </row>
    <row r="433" spans="3:34">
      <c r="C433" s="11" t="s">
        <v>304</v>
      </c>
      <c r="D433" s="10" t="s">
        <v>0</v>
      </c>
      <c r="E433" s="10">
        <v>13.71</v>
      </c>
      <c r="F433" s="10">
        <v>22.0399999999999</v>
      </c>
      <c r="G433" s="10">
        <v>152.099999999999</v>
      </c>
      <c r="H433" s="10">
        <v>1686</v>
      </c>
      <c r="I433" s="10">
        <v>8.4390000000000007E-2</v>
      </c>
      <c r="J433" s="10">
        <v>0.1145</v>
      </c>
      <c r="K433" s="10">
        <v>0.13239999999999899</v>
      </c>
      <c r="L433" s="10">
        <v>9.7019999999999898E-2</v>
      </c>
      <c r="M433" s="10">
        <v>0.18010000000000001</v>
      </c>
      <c r="N433" s="10">
        <v>5.5530000000000003E-2</v>
      </c>
      <c r="O433" s="10">
        <v>0.66420000000000001</v>
      </c>
      <c r="P433" s="10">
        <v>0.85609999999999897</v>
      </c>
      <c r="Q433" s="10">
        <v>4.60299999999999</v>
      </c>
      <c r="R433" s="10">
        <v>97.849999999999895</v>
      </c>
      <c r="S433" s="10">
        <v>4.9100000000000003E-3</v>
      </c>
      <c r="T433" s="10">
        <v>2.5440000000000001E-2</v>
      </c>
      <c r="U433" s="10">
        <v>2.8219999999999901E-2</v>
      </c>
      <c r="V433" s="10">
        <v>1.6230000000000001E-2</v>
      </c>
      <c r="W433" s="10">
        <v>1.9560000000000001E-2</v>
      </c>
      <c r="X433" s="10">
        <v>3.7399999999999899E-3</v>
      </c>
      <c r="Y433" s="10">
        <v>28.01</v>
      </c>
      <c r="Z433" s="10">
        <v>28.219999999999899</v>
      </c>
      <c r="AA433" s="10">
        <v>184.19999999999899</v>
      </c>
      <c r="AB433" s="10">
        <v>2403</v>
      </c>
      <c r="AC433" s="10">
        <v>0.12280000000000001</v>
      </c>
      <c r="AD433" s="10">
        <v>0.35830000000000001</v>
      </c>
      <c r="AE433" s="10">
        <v>0.39479999999999899</v>
      </c>
      <c r="AF433" s="10">
        <v>0.2346</v>
      </c>
      <c r="AG433" s="10">
        <v>0.3589</v>
      </c>
      <c r="AH433">
        <v>9.1869999999999896E-2</v>
      </c>
    </row>
    <row r="434" spans="3:34">
      <c r="C434" s="11" t="s">
        <v>704</v>
      </c>
      <c r="D434" s="10" t="s">
        <v>0</v>
      </c>
      <c r="E434" s="10">
        <v>13.71</v>
      </c>
      <c r="F434" s="10">
        <v>22.39</v>
      </c>
      <c r="G434" s="10">
        <v>142</v>
      </c>
      <c r="H434" s="10">
        <v>1479</v>
      </c>
      <c r="I434" s="10">
        <v>0.111</v>
      </c>
      <c r="J434" s="10">
        <v>0.1159</v>
      </c>
      <c r="K434" s="10">
        <v>0.24390000000000001</v>
      </c>
      <c r="L434" s="10">
        <v>0.1389</v>
      </c>
      <c r="M434" s="10">
        <v>0.1726</v>
      </c>
      <c r="N434" s="10">
        <v>5.6230000000000002E-2</v>
      </c>
      <c r="O434" s="10">
        <v>1.1759999999999899</v>
      </c>
      <c r="P434" s="10">
        <v>1.256</v>
      </c>
      <c r="Q434" s="10">
        <v>7.673</v>
      </c>
      <c r="R434" s="10">
        <v>158.69999999999899</v>
      </c>
      <c r="S434" s="10">
        <v>1.03E-2</v>
      </c>
      <c r="T434" s="10">
        <v>2.8910000000000002E-2</v>
      </c>
      <c r="U434" s="10">
        <v>5.1979999999999901E-2</v>
      </c>
      <c r="V434" s="10">
        <v>2.4539999999999899E-2</v>
      </c>
      <c r="W434" s="10">
        <v>1.1140000000000001E-2</v>
      </c>
      <c r="X434" s="10">
        <v>4.2389999999999902E-3</v>
      </c>
      <c r="Y434" s="10">
        <v>25.4499999999999</v>
      </c>
      <c r="Z434" s="10">
        <v>26.399999999999899</v>
      </c>
      <c r="AA434" s="10">
        <v>166.099999999999</v>
      </c>
      <c r="AB434" s="10">
        <v>2027</v>
      </c>
      <c r="AC434" s="10">
        <v>0.14099999999999899</v>
      </c>
      <c r="AD434" s="10">
        <v>0.21129999999999899</v>
      </c>
      <c r="AE434" s="10">
        <v>0.41070000000000001</v>
      </c>
      <c r="AF434" s="10">
        <v>0.22159999999999899</v>
      </c>
      <c r="AG434" s="10">
        <v>0.20599999999999899</v>
      </c>
      <c r="AH434">
        <v>7.1150000000000005E-2</v>
      </c>
    </row>
    <row r="435" spans="3:34">
      <c r="C435" s="11" t="s">
        <v>639</v>
      </c>
      <c r="D435" s="10" t="s">
        <v>0</v>
      </c>
      <c r="E435" s="10">
        <v>13.71</v>
      </c>
      <c r="F435" s="10">
        <v>21.239999999999899</v>
      </c>
      <c r="G435" s="10">
        <v>137.80000000000001</v>
      </c>
      <c r="H435" s="10">
        <v>1320</v>
      </c>
      <c r="I435" s="10">
        <v>0.1085</v>
      </c>
      <c r="J435" s="10">
        <v>0.16439999999999899</v>
      </c>
      <c r="K435" s="10">
        <v>0.218799999999999</v>
      </c>
      <c r="L435" s="10">
        <v>0.11210000000000001</v>
      </c>
      <c r="M435" s="10">
        <v>0.18479999999999899</v>
      </c>
      <c r="N435" s="10">
        <v>6.22199999999999E-2</v>
      </c>
      <c r="O435" s="10">
        <v>0.59040000000000004</v>
      </c>
      <c r="P435" s="10">
        <v>1.216</v>
      </c>
      <c r="Q435" s="10">
        <v>4.2060000000000004</v>
      </c>
      <c r="R435" s="10">
        <v>75.09</v>
      </c>
      <c r="S435" s="10">
        <v>6.6660000000000001E-3</v>
      </c>
      <c r="T435" s="10">
        <v>2.7910000000000001E-2</v>
      </c>
      <c r="U435" s="10">
        <v>4.0620000000000003E-2</v>
      </c>
      <c r="V435" s="10">
        <v>1.47899999999999E-2</v>
      </c>
      <c r="W435" s="10">
        <v>1.11699999999999E-2</v>
      </c>
      <c r="X435" s="10">
        <v>3.7269999999999899E-3</v>
      </c>
      <c r="Y435" s="10">
        <v>23.8599999999999</v>
      </c>
      <c r="Z435" s="10">
        <v>30.76</v>
      </c>
      <c r="AA435" s="10">
        <v>163.19999999999899</v>
      </c>
      <c r="AB435" s="10">
        <v>1760</v>
      </c>
      <c r="AC435" s="10">
        <v>0.1464</v>
      </c>
      <c r="AD435" s="10">
        <v>0.35970000000000002</v>
      </c>
      <c r="AE435" s="10">
        <v>0.51790000000000003</v>
      </c>
      <c r="AF435" s="10">
        <v>0.21129999999999899</v>
      </c>
      <c r="AG435" s="10">
        <v>0.248</v>
      </c>
      <c r="AH435">
        <v>8.9990000000000001E-2</v>
      </c>
    </row>
    <row r="436" spans="3:34">
      <c r="C436" s="11" t="s">
        <v>701</v>
      </c>
      <c r="D436" s="10" t="s">
        <v>1</v>
      </c>
      <c r="E436" s="10">
        <v>13.71</v>
      </c>
      <c r="F436" s="10">
        <v>29.37</v>
      </c>
      <c r="G436" s="10">
        <v>70.67</v>
      </c>
      <c r="H436" s="10">
        <v>386</v>
      </c>
      <c r="I436" s="10">
        <v>7.4490000000000001E-2</v>
      </c>
      <c r="J436" s="10">
        <v>3.5580000000000001E-2</v>
      </c>
      <c r="K436" s="10">
        <v>0</v>
      </c>
      <c r="L436" s="10">
        <v>0</v>
      </c>
      <c r="M436" s="10">
        <v>0.106</v>
      </c>
      <c r="N436" s="10">
        <v>5.5019999999999902E-2</v>
      </c>
      <c r="O436" s="10">
        <v>0.31409999999999899</v>
      </c>
      <c r="P436" s="10">
        <v>3.8959999999999901</v>
      </c>
      <c r="Q436" s="10">
        <v>2.0409999999999902</v>
      </c>
      <c r="R436" s="10">
        <v>22.809999999999899</v>
      </c>
      <c r="S436" s="10">
        <v>7.5940000000000001E-3</v>
      </c>
      <c r="T436" s="10">
        <v>8.8780000000000005E-3</v>
      </c>
      <c r="U436" s="10">
        <v>0</v>
      </c>
      <c r="V436" s="10">
        <v>0</v>
      </c>
      <c r="W436" s="10">
        <v>1.9890000000000001E-2</v>
      </c>
      <c r="X436" s="10">
        <v>1.7730000000000001E-3</v>
      </c>
      <c r="Y436" s="10">
        <v>11.92</v>
      </c>
      <c r="Z436" s="10">
        <v>38.299999999999898</v>
      </c>
      <c r="AA436" s="10">
        <v>75.189999999999898</v>
      </c>
      <c r="AB436" s="10">
        <v>439.6</v>
      </c>
      <c r="AC436" s="10">
        <v>9.2670000000000002E-2</v>
      </c>
      <c r="AD436" s="10">
        <v>5.4940000000000003E-2</v>
      </c>
      <c r="AE436" s="10">
        <v>0</v>
      </c>
      <c r="AF436" s="10">
        <v>0</v>
      </c>
      <c r="AG436" s="10">
        <v>0.15659999999999899</v>
      </c>
      <c r="AH436">
        <v>5.9049999999999901E-2</v>
      </c>
    </row>
    <row r="437" spans="3:34">
      <c r="C437" s="11" t="s">
        <v>448</v>
      </c>
      <c r="D437" s="10" t="s">
        <v>1</v>
      </c>
      <c r="E437" s="10">
        <v>13.71</v>
      </c>
      <c r="F437" s="10">
        <v>12.71</v>
      </c>
      <c r="G437" s="10">
        <v>85.689999999999898</v>
      </c>
      <c r="H437" s="10">
        <v>566.20000000000005</v>
      </c>
      <c r="I437" s="10">
        <v>7.3760000000000006E-2</v>
      </c>
      <c r="J437" s="10">
        <v>3.6139999999999901E-2</v>
      </c>
      <c r="K437" s="10">
        <v>2.758E-3</v>
      </c>
      <c r="L437" s="10">
        <v>4.4190000000000002E-3</v>
      </c>
      <c r="M437" s="10">
        <v>0.13650000000000001</v>
      </c>
      <c r="N437" s="10">
        <v>5.3350000000000002E-2</v>
      </c>
      <c r="O437" s="10">
        <v>0.22439999999999899</v>
      </c>
      <c r="P437" s="10">
        <v>0.68640000000000001</v>
      </c>
      <c r="Q437" s="10">
        <v>1.5089999999999899</v>
      </c>
      <c r="R437" s="10">
        <v>20.39</v>
      </c>
      <c r="S437" s="10">
        <v>3.3379999999999898E-3</v>
      </c>
      <c r="T437" s="10">
        <v>3.7460000000000002E-3</v>
      </c>
      <c r="U437" s="10">
        <v>2.0300000000000001E-3</v>
      </c>
      <c r="V437" s="10">
        <v>3.2420000000000001E-3</v>
      </c>
      <c r="W437" s="10">
        <v>1.4800000000000001E-2</v>
      </c>
      <c r="X437" s="10">
        <v>1.5659999999999899E-3</v>
      </c>
      <c r="Y437" s="10">
        <v>14.97</v>
      </c>
      <c r="Z437" s="10">
        <v>16.940000000000001</v>
      </c>
      <c r="AA437" s="10">
        <v>95.48</v>
      </c>
      <c r="AB437" s="10">
        <v>698.7</v>
      </c>
      <c r="AC437" s="10">
        <v>9.0230000000000005E-2</v>
      </c>
      <c r="AD437" s="10">
        <v>5.8360000000000002E-2</v>
      </c>
      <c r="AE437" s="10">
        <v>1.379E-2</v>
      </c>
      <c r="AF437" s="10">
        <v>2.2100000000000002E-2</v>
      </c>
      <c r="AG437" s="10">
        <v>0.22670000000000001</v>
      </c>
      <c r="AH437">
        <v>6.1920000000000003E-2</v>
      </c>
    </row>
    <row r="438" spans="3:34">
      <c r="C438" s="11" t="s">
        <v>606</v>
      </c>
      <c r="D438" s="10" t="s">
        <v>1</v>
      </c>
      <c r="E438" s="10">
        <v>13.71</v>
      </c>
      <c r="F438" s="10">
        <v>20.739999999999899</v>
      </c>
      <c r="G438" s="10">
        <v>85.98</v>
      </c>
      <c r="H438" s="10">
        <v>536.89999999999895</v>
      </c>
      <c r="I438" s="10">
        <v>8.6749999999999897E-2</v>
      </c>
      <c r="J438" s="10">
        <v>0.1089</v>
      </c>
      <c r="K438" s="10">
        <v>0.1085</v>
      </c>
      <c r="L438" s="10">
        <v>3.5099999999999902E-2</v>
      </c>
      <c r="M438" s="10">
        <v>0.15620000000000001</v>
      </c>
      <c r="N438" s="10">
        <v>6.0199999999999899E-2</v>
      </c>
      <c r="O438" s="10">
        <v>0.31519999999999898</v>
      </c>
      <c r="P438" s="10">
        <v>0.78839999999999899</v>
      </c>
      <c r="Q438" s="10">
        <v>2.3119999999999901</v>
      </c>
      <c r="R438" s="10">
        <v>27.399999999999899</v>
      </c>
      <c r="S438" s="10">
        <v>7.2950000000000003E-3</v>
      </c>
      <c r="T438" s="10">
        <v>3.1789999999999902E-2</v>
      </c>
      <c r="U438" s="10">
        <v>4.6149999999999899E-2</v>
      </c>
      <c r="V438" s="10">
        <v>1.2540000000000001E-2</v>
      </c>
      <c r="W438" s="10">
        <v>1.5610000000000001E-2</v>
      </c>
      <c r="X438" s="10">
        <v>3.2299999999999898E-3</v>
      </c>
      <c r="Y438" s="10">
        <v>14.8</v>
      </c>
      <c r="Z438" s="10">
        <v>25.46</v>
      </c>
      <c r="AA438" s="10">
        <v>100.9</v>
      </c>
      <c r="AB438" s="10">
        <v>689.1</v>
      </c>
      <c r="AC438" s="10">
        <v>0.1351</v>
      </c>
      <c r="AD438" s="10">
        <v>0.35489999999999899</v>
      </c>
      <c r="AE438" s="10">
        <v>0.45040000000000002</v>
      </c>
      <c r="AF438" s="10">
        <v>0.1181</v>
      </c>
      <c r="AG438" s="10">
        <v>0.25629999999999897</v>
      </c>
      <c r="AH438">
        <v>8.1739999999999896E-2</v>
      </c>
    </row>
    <row r="439" spans="3:34">
      <c r="C439" s="11" t="s">
        <v>182</v>
      </c>
      <c r="D439" s="10" t="s">
        <v>0</v>
      </c>
      <c r="E439" s="10">
        <v>13.71</v>
      </c>
      <c r="F439" s="10">
        <v>24.809999999999899</v>
      </c>
      <c r="G439" s="10">
        <v>128.30000000000001</v>
      </c>
      <c r="H439" s="10">
        <v>1104</v>
      </c>
      <c r="I439" s="10">
        <v>9.0810000000000002E-2</v>
      </c>
      <c r="J439" s="10">
        <v>0.219</v>
      </c>
      <c r="K439" s="10">
        <v>0.2107</v>
      </c>
      <c r="L439" s="10">
        <v>9.9610000000000004E-2</v>
      </c>
      <c r="M439" s="10">
        <v>0.23100000000000001</v>
      </c>
      <c r="N439" s="10">
        <v>6.343E-2</v>
      </c>
      <c r="O439" s="10">
        <v>0.98109999999999897</v>
      </c>
      <c r="P439" s="10">
        <v>1.6659999999999899</v>
      </c>
      <c r="Q439" s="10">
        <v>8.83</v>
      </c>
      <c r="R439" s="10">
        <v>104.9</v>
      </c>
      <c r="S439" s="10">
        <v>6.548E-3</v>
      </c>
      <c r="T439" s="10">
        <v>0.100599999999999</v>
      </c>
      <c r="U439" s="10">
        <v>9.72299999999999E-2</v>
      </c>
      <c r="V439" s="10">
        <v>2.6380000000000001E-2</v>
      </c>
      <c r="W439" s="10">
        <v>5.3330000000000002E-2</v>
      </c>
      <c r="X439" s="10">
        <v>7.646E-3</v>
      </c>
      <c r="Y439" s="10">
        <v>24.09</v>
      </c>
      <c r="Z439" s="10">
        <v>33.17</v>
      </c>
      <c r="AA439" s="10">
        <v>177.4</v>
      </c>
      <c r="AB439" s="10">
        <v>1651</v>
      </c>
      <c r="AC439" s="10">
        <v>0.12470000000000001</v>
      </c>
      <c r="AD439" s="10">
        <v>0.74439999999999895</v>
      </c>
      <c r="AE439" s="10">
        <v>0.72419999999999896</v>
      </c>
      <c r="AF439" s="10">
        <v>0.24929999999999899</v>
      </c>
      <c r="AG439" s="10">
        <v>0.46700000000000003</v>
      </c>
      <c r="AH439">
        <v>0.1038</v>
      </c>
    </row>
    <row r="440" spans="3:34">
      <c r="C440" s="11" t="s">
        <v>376</v>
      </c>
      <c r="D440" s="10" t="s">
        <v>0</v>
      </c>
      <c r="E440" s="10">
        <v>13.71</v>
      </c>
      <c r="F440" s="10">
        <v>26.969999999999899</v>
      </c>
      <c r="G440" s="10">
        <v>153.5</v>
      </c>
      <c r="H440" s="10">
        <v>1670</v>
      </c>
      <c r="I440" s="10">
        <v>9.5089999999999897E-2</v>
      </c>
      <c r="J440" s="10">
        <v>0.16819999999999899</v>
      </c>
      <c r="K440" s="10">
        <v>0.19500000000000001</v>
      </c>
      <c r="L440" s="10">
        <v>0.1237</v>
      </c>
      <c r="M440" s="10">
        <v>0.19089999999999899</v>
      </c>
      <c r="N440" s="10">
        <v>6.3089999999999896E-2</v>
      </c>
      <c r="O440" s="10">
        <v>1.0580000000000001</v>
      </c>
      <c r="P440" s="10">
        <v>0.96350000000000002</v>
      </c>
      <c r="Q440" s="10">
        <v>7.2469999999999901</v>
      </c>
      <c r="R440" s="10">
        <v>155.80000000000001</v>
      </c>
      <c r="S440" s="10">
        <v>6.4279999999999901E-3</v>
      </c>
      <c r="T440" s="10">
        <v>2.8629999999999899E-2</v>
      </c>
      <c r="U440" s="10">
        <v>4.4970000000000003E-2</v>
      </c>
      <c r="V440" s="10">
        <v>1.7160000000000002E-2</v>
      </c>
      <c r="W440" s="10">
        <v>1.5900000000000001E-2</v>
      </c>
      <c r="X440" s="10">
        <v>3.0530000000000002E-3</v>
      </c>
      <c r="Y440" s="10">
        <v>31.01</v>
      </c>
      <c r="Z440" s="10">
        <v>34.509999999999899</v>
      </c>
      <c r="AA440" s="10">
        <v>206</v>
      </c>
      <c r="AB440" s="10">
        <v>2944</v>
      </c>
      <c r="AC440" s="10">
        <v>0.14810000000000001</v>
      </c>
      <c r="AD440" s="10">
        <v>0.41260000000000002</v>
      </c>
      <c r="AE440" s="10">
        <v>0.58199999999999896</v>
      </c>
      <c r="AF440" s="10">
        <v>0.25929999999999898</v>
      </c>
      <c r="AG440" s="10">
        <v>0.31030000000000002</v>
      </c>
      <c r="AH440">
        <v>8.677E-2</v>
      </c>
    </row>
    <row r="441" spans="3:34">
      <c r="C441" s="11" t="s">
        <v>175</v>
      </c>
      <c r="D441" s="10" t="s">
        <v>0</v>
      </c>
      <c r="E441" s="10">
        <v>13.71</v>
      </c>
      <c r="F441" s="10">
        <v>21.59</v>
      </c>
      <c r="G441" s="10">
        <v>110.099999999999</v>
      </c>
      <c r="H441" s="10">
        <v>869.5</v>
      </c>
      <c r="I441" s="10">
        <v>9.6100000000000005E-2</v>
      </c>
      <c r="J441" s="10">
        <v>0.1336</v>
      </c>
      <c r="K441" s="10">
        <v>0.1348</v>
      </c>
      <c r="L441" s="10">
        <v>6.01799999999999E-2</v>
      </c>
      <c r="M441" s="10">
        <v>0.18959999999999899</v>
      </c>
      <c r="N441" s="10">
        <v>5.6559999999999902E-2</v>
      </c>
      <c r="O441" s="10">
        <v>0.46150000000000002</v>
      </c>
      <c r="P441" s="10">
        <v>0.91969999999999896</v>
      </c>
      <c r="Q441" s="10">
        <v>3.008</v>
      </c>
      <c r="R441" s="10">
        <v>45.189999999999898</v>
      </c>
      <c r="S441" s="10">
        <v>5.7759999999999903E-3</v>
      </c>
      <c r="T441" s="10">
        <v>2.4989999999999901E-2</v>
      </c>
      <c r="U441" s="10">
        <v>3.69499999999999E-2</v>
      </c>
      <c r="V441" s="10">
        <v>1.1950000000000001E-2</v>
      </c>
      <c r="W441" s="10">
        <v>2.7890000000000002E-2</v>
      </c>
      <c r="X441" s="10">
        <v>2.6649999999999899E-3</v>
      </c>
      <c r="Y441" s="10">
        <v>20.010000000000002</v>
      </c>
      <c r="Z441" s="10">
        <v>29.02</v>
      </c>
      <c r="AA441" s="10">
        <v>133.5</v>
      </c>
      <c r="AB441" s="10">
        <v>1229</v>
      </c>
      <c r="AC441" s="10">
        <v>0.156299999999999</v>
      </c>
      <c r="AD441" s="10">
        <v>0.38350000000000001</v>
      </c>
      <c r="AE441" s="10">
        <v>0.54090000000000005</v>
      </c>
      <c r="AF441" s="10">
        <v>0.18129999999999899</v>
      </c>
      <c r="AG441" s="10">
        <v>0.48630000000000001</v>
      </c>
      <c r="AH441">
        <v>8.6330000000000004E-2</v>
      </c>
    </row>
    <row r="442" spans="3:34">
      <c r="C442" s="11" t="s">
        <v>597</v>
      </c>
      <c r="D442" s="10" t="s">
        <v>1</v>
      </c>
      <c r="E442" s="10">
        <v>13.71</v>
      </c>
      <c r="F442" s="10">
        <v>25.25</v>
      </c>
      <c r="G442" s="10">
        <v>84.099999999999895</v>
      </c>
      <c r="H442" s="10">
        <v>537.89999999999895</v>
      </c>
      <c r="I442" s="10">
        <v>8.7910000000000002E-2</v>
      </c>
      <c r="J442" s="10">
        <v>5.2049999999999902E-2</v>
      </c>
      <c r="K442" s="10">
        <v>2.7720000000000002E-2</v>
      </c>
      <c r="L442" s="10">
        <v>2.068E-2</v>
      </c>
      <c r="M442" s="10">
        <v>0.16189999999999899</v>
      </c>
      <c r="N442" s="10">
        <v>5.5840000000000001E-2</v>
      </c>
      <c r="O442" s="10">
        <v>0.2084</v>
      </c>
      <c r="P442" s="10">
        <v>1.35</v>
      </c>
      <c r="Q442" s="10">
        <v>1.3140000000000001</v>
      </c>
      <c r="R442" s="10">
        <v>17.579999999999899</v>
      </c>
      <c r="S442" s="10">
        <v>5.7679999999999901E-3</v>
      </c>
      <c r="T442" s="10">
        <v>8.0820000000000006E-3</v>
      </c>
      <c r="U442" s="10">
        <v>1.5100000000000001E-2</v>
      </c>
      <c r="V442" s="10">
        <v>6.4510000000000001E-3</v>
      </c>
      <c r="W442" s="10">
        <v>1.34699999999999E-2</v>
      </c>
      <c r="X442" s="10">
        <v>1.828E-3</v>
      </c>
      <c r="Y442" s="10">
        <v>14.35</v>
      </c>
      <c r="Z442" s="10">
        <v>34.229999999999897</v>
      </c>
      <c r="AA442" s="10">
        <v>91.29</v>
      </c>
      <c r="AB442" s="10">
        <v>632.89999999999895</v>
      </c>
      <c r="AC442" s="10">
        <v>0.12889999999999899</v>
      </c>
      <c r="AD442" s="10">
        <v>0.10630000000000001</v>
      </c>
      <c r="AE442" s="10">
        <v>0.13900000000000001</v>
      </c>
      <c r="AF442" s="10">
        <v>6.0049999999999902E-2</v>
      </c>
      <c r="AG442" s="10">
        <v>0.24440000000000001</v>
      </c>
      <c r="AH442">
        <v>6.7879999999999899E-2</v>
      </c>
    </row>
    <row r="443" spans="3:34">
      <c r="C443" s="11" t="s">
        <v>578</v>
      </c>
      <c r="D443" s="10" t="s">
        <v>1</v>
      </c>
      <c r="E443" s="10">
        <v>13.71</v>
      </c>
      <c r="F443" s="10">
        <v>19.600000000000001</v>
      </c>
      <c r="G443" s="10">
        <v>88.68</v>
      </c>
      <c r="H443" s="10">
        <v>592.6</v>
      </c>
      <c r="I443" s="10">
        <v>8.6840000000000001E-2</v>
      </c>
      <c r="J443" s="10">
        <v>6.3299999999999898E-2</v>
      </c>
      <c r="K443" s="10">
        <v>1.342E-2</v>
      </c>
      <c r="L443" s="10">
        <v>2.2929999999999898E-2</v>
      </c>
      <c r="M443" s="10">
        <v>0.1555</v>
      </c>
      <c r="N443" s="10">
        <v>5.6730000000000003E-2</v>
      </c>
      <c r="O443" s="10">
        <v>0.34189999999999898</v>
      </c>
      <c r="P443" s="10">
        <v>1.6779999999999899</v>
      </c>
      <c r="Q443" s="10">
        <v>2.331</v>
      </c>
      <c r="R443" s="10">
        <v>29.6299999999999</v>
      </c>
      <c r="S443" s="10">
        <v>5.836E-3</v>
      </c>
      <c r="T443" s="10">
        <v>1.095E-2</v>
      </c>
      <c r="U443" s="10">
        <v>5.8120000000000003E-3</v>
      </c>
      <c r="V443" s="10">
        <v>7.0390000000000001E-3</v>
      </c>
      <c r="W443" s="10">
        <v>2.0140000000000002E-2</v>
      </c>
      <c r="X443" s="10">
        <v>2.32599999999999E-3</v>
      </c>
      <c r="Y443" s="10">
        <v>15.63</v>
      </c>
      <c r="Z443" s="10">
        <v>28.01</v>
      </c>
      <c r="AA443" s="10">
        <v>100.9</v>
      </c>
      <c r="AB443" s="10">
        <v>749.1</v>
      </c>
      <c r="AC443" s="10">
        <v>0.1118</v>
      </c>
      <c r="AD443" s="10">
        <v>0.11409999999999899</v>
      </c>
      <c r="AE443" s="10">
        <v>4.7530000000000003E-2</v>
      </c>
      <c r="AF443" s="10">
        <v>5.8900000000000001E-2</v>
      </c>
      <c r="AG443" s="10">
        <v>0.25130000000000002</v>
      </c>
      <c r="AH443">
        <v>6.9110000000000005E-2</v>
      </c>
    </row>
    <row r="444" spans="3:34">
      <c r="C444" s="11" t="s">
        <v>414</v>
      </c>
      <c r="D444" s="10" t="s">
        <v>0</v>
      </c>
      <c r="E444" s="10">
        <v>13.71</v>
      </c>
      <c r="F444" s="10">
        <v>24.48</v>
      </c>
      <c r="G444" s="10">
        <v>115.2</v>
      </c>
      <c r="H444" s="10">
        <v>998.89999999999895</v>
      </c>
      <c r="I444" s="10">
        <v>8.8550000000000004E-2</v>
      </c>
      <c r="J444" s="10">
        <v>7.0269999999999902E-2</v>
      </c>
      <c r="K444" s="10">
        <v>5.6989999999999902E-2</v>
      </c>
      <c r="L444" s="10">
        <v>4.7440000000000003E-2</v>
      </c>
      <c r="M444" s="10">
        <v>0.15379999999999899</v>
      </c>
      <c r="N444" s="10">
        <v>5.5100000000000003E-2</v>
      </c>
      <c r="O444" s="10">
        <v>0.42120000000000002</v>
      </c>
      <c r="P444" s="10">
        <v>1.4330000000000001</v>
      </c>
      <c r="Q444" s="10">
        <v>2.7650000000000001</v>
      </c>
      <c r="R444" s="10">
        <v>45.81</v>
      </c>
      <c r="S444" s="10">
        <v>5.4440000000000001E-3</v>
      </c>
      <c r="T444" s="10">
        <v>1.1690000000000001E-2</v>
      </c>
      <c r="U444" s="10">
        <v>1.6219999999999901E-2</v>
      </c>
      <c r="V444" s="10">
        <v>8.5220000000000001E-3</v>
      </c>
      <c r="W444" s="10">
        <v>1.4189999999999901E-2</v>
      </c>
      <c r="X444" s="10">
        <v>2.751E-3</v>
      </c>
      <c r="Y444" s="10">
        <v>20.92</v>
      </c>
      <c r="Z444" s="10">
        <v>34.689999999999898</v>
      </c>
      <c r="AA444" s="10">
        <v>135.099999999999</v>
      </c>
      <c r="AB444" s="10">
        <v>1320</v>
      </c>
      <c r="AC444" s="10">
        <v>0.13150000000000001</v>
      </c>
      <c r="AD444" s="10">
        <v>0.18060000000000001</v>
      </c>
      <c r="AE444" s="10">
        <v>0.20799999999999899</v>
      </c>
      <c r="AF444" s="10">
        <v>0.11360000000000001</v>
      </c>
      <c r="AG444" s="10">
        <v>0.25040000000000001</v>
      </c>
      <c r="AH444">
        <v>7.9479999999999898E-2</v>
      </c>
    </row>
    <row r="445" spans="3:34">
      <c r="C445" s="11" t="s">
        <v>255</v>
      </c>
      <c r="D445" s="10" t="s">
        <v>1</v>
      </c>
      <c r="E445" s="10">
        <v>13.71</v>
      </c>
      <c r="F445" s="10">
        <v>21.53</v>
      </c>
      <c r="G445" s="10">
        <v>76.53</v>
      </c>
      <c r="H445" s="10">
        <v>438.6</v>
      </c>
      <c r="I445" s="10">
        <v>9.7680000000000003E-2</v>
      </c>
      <c r="J445" s="10">
        <v>7.8490000000000004E-2</v>
      </c>
      <c r="K445" s="10">
        <v>3.32799999999999E-2</v>
      </c>
      <c r="L445" s="10">
        <v>2.0080000000000001E-2</v>
      </c>
      <c r="M445" s="10">
        <v>0.16880000000000001</v>
      </c>
      <c r="N445" s="10">
        <v>6.1940000000000002E-2</v>
      </c>
      <c r="O445" s="10">
        <v>0.31180000000000002</v>
      </c>
      <c r="P445" s="10">
        <v>0.92269999999999897</v>
      </c>
      <c r="Q445" s="10">
        <v>2</v>
      </c>
      <c r="R445" s="10">
        <v>24.7899999999999</v>
      </c>
      <c r="S445" s="10">
        <v>7.803E-3</v>
      </c>
      <c r="T445" s="10">
        <v>2.5069999999999901E-2</v>
      </c>
      <c r="U445" s="10">
        <v>1.8350000000000002E-2</v>
      </c>
      <c r="V445" s="10">
        <v>7.711E-3</v>
      </c>
      <c r="W445" s="10">
        <v>1.278E-2</v>
      </c>
      <c r="X445" s="10">
        <v>3.8560000000000001E-3</v>
      </c>
      <c r="Y445" s="10">
        <v>13.67</v>
      </c>
      <c r="Z445" s="10">
        <v>26.149999999999899</v>
      </c>
      <c r="AA445" s="10">
        <v>87.54</v>
      </c>
      <c r="AB445" s="10">
        <v>583</v>
      </c>
      <c r="AC445" s="10">
        <v>0.149999999999999</v>
      </c>
      <c r="AD445" s="10">
        <v>0.2399</v>
      </c>
      <c r="AE445" s="10">
        <v>0.15029999999999899</v>
      </c>
      <c r="AF445" s="10">
        <v>7.2470000000000007E-2</v>
      </c>
      <c r="AG445" s="10">
        <v>0.24379999999999899</v>
      </c>
      <c r="AH445">
        <v>8.541E-2</v>
      </c>
    </row>
    <row r="446" spans="3:34">
      <c r="C446" s="11" t="s">
        <v>418</v>
      </c>
      <c r="D446" s="10" t="s">
        <v>1</v>
      </c>
      <c r="E446" s="10">
        <v>13.71</v>
      </c>
      <c r="F446" s="10">
        <v>17.84</v>
      </c>
      <c r="G446" s="10">
        <v>86.239999999999895</v>
      </c>
      <c r="H446" s="10">
        <v>572.29999999999905</v>
      </c>
      <c r="I446" s="10">
        <v>7.9479999999999898E-2</v>
      </c>
      <c r="J446" s="10">
        <v>4.052E-2</v>
      </c>
      <c r="K446" s="10">
        <v>1.9970000000000002E-2</v>
      </c>
      <c r="L446" s="10">
        <v>1.238E-2</v>
      </c>
      <c r="M446" s="10">
        <v>0.1573</v>
      </c>
      <c r="N446" s="10">
        <v>5.5199999999999902E-2</v>
      </c>
      <c r="O446" s="10">
        <v>0.25800000000000001</v>
      </c>
      <c r="P446" s="10">
        <v>1.1659999999999899</v>
      </c>
      <c r="Q446" s="10">
        <v>1.6830000000000001</v>
      </c>
      <c r="R446" s="10">
        <v>22.219999999999899</v>
      </c>
      <c r="S446" s="10">
        <v>3.741E-3</v>
      </c>
      <c r="T446" s="10">
        <v>5.274E-3</v>
      </c>
      <c r="U446" s="10">
        <v>1.065E-2</v>
      </c>
      <c r="V446" s="10">
        <v>5.0439999999999903E-3</v>
      </c>
      <c r="W446" s="10">
        <v>1.3440000000000001E-2</v>
      </c>
      <c r="X446" s="10">
        <v>1.126E-3</v>
      </c>
      <c r="Y446" s="10">
        <v>15.5</v>
      </c>
      <c r="Z446" s="10">
        <v>26.1</v>
      </c>
      <c r="AA446" s="10">
        <v>98.909999999999897</v>
      </c>
      <c r="AB446" s="10">
        <v>739.1</v>
      </c>
      <c r="AC446" s="10">
        <v>0.105</v>
      </c>
      <c r="AD446" s="10">
        <v>7.6219999999999899E-2</v>
      </c>
      <c r="AE446" s="10">
        <v>0.106</v>
      </c>
      <c r="AF446" s="10">
        <v>5.185E-2</v>
      </c>
      <c r="AG446" s="10">
        <v>0.23350000000000001</v>
      </c>
      <c r="AH446">
        <v>6.2630000000000005E-2</v>
      </c>
    </row>
    <row r="447" spans="3:34">
      <c r="C447" s="11" t="s">
        <v>149</v>
      </c>
      <c r="D447" s="10" t="s">
        <v>0</v>
      </c>
      <c r="E447" s="10">
        <v>13.71</v>
      </c>
      <c r="F447" s="10">
        <v>24.0399999999999</v>
      </c>
      <c r="G447" s="10">
        <v>83.969999999999899</v>
      </c>
      <c r="H447" s="10">
        <v>475.89999999999901</v>
      </c>
      <c r="I447" s="10">
        <v>0.1186</v>
      </c>
      <c r="J447" s="10">
        <v>0.23960000000000001</v>
      </c>
      <c r="K447" s="10">
        <v>0.2273</v>
      </c>
      <c r="L447" s="10">
        <v>8.5430000000000006E-2</v>
      </c>
      <c r="M447" s="10">
        <v>0.20300000000000001</v>
      </c>
      <c r="N447" s="10">
        <v>8.2430000000000003E-2</v>
      </c>
      <c r="O447" s="10">
        <v>0.29759999999999898</v>
      </c>
      <c r="P447" s="10">
        <v>1.599</v>
      </c>
      <c r="Q447" s="10">
        <v>2.0390000000000001</v>
      </c>
      <c r="R447" s="10">
        <v>23.94</v>
      </c>
      <c r="S447" s="10">
        <v>7.149E-3</v>
      </c>
      <c r="T447" s="10">
        <v>7.2169999999999901E-2</v>
      </c>
      <c r="U447" s="10">
        <v>7.7429999999999902E-2</v>
      </c>
      <c r="V447" s="10">
        <v>1.4319999999999901E-2</v>
      </c>
      <c r="W447" s="10">
        <v>1.789E-2</v>
      </c>
      <c r="X447" s="10">
        <v>1.008E-2</v>
      </c>
      <c r="Y447" s="10">
        <v>15.09</v>
      </c>
      <c r="Z447" s="10">
        <v>40.68</v>
      </c>
      <c r="AA447" s="10">
        <v>97.65</v>
      </c>
      <c r="AB447" s="10">
        <v>711.39999999999895</v>
      </c>
      <c r="AC447" s="10">
        <v>0.18529999999999899</v>
      </c>
      <c r="AD447" s="10">
        <v>1.0580000000000001</v>
      </c>
      <c r="AE447" s="10">
        <v>1.105</v>
      </c>
      <c r="AF447" s="10">
        <v>0.221</v>
      </c>
      <c r="AG447" s="10">
        <v>0.43659999999999899</v>
      </c>
      <c r="AH447">
        <v>0.20749999999999899</v>
      </c>
    </row>
    <row r="448" spans="3:34">
      <c r="C448" s="11" t="s">
        <v>145</v>
      </c>
      <c r="D448" s="10" t="s">
        <v>0</v>
      </c>
      <c r="E448" s="10">
        <v>12.4499999999999</v>
      </c>
      <c r="F448" s="10">
        <v>15.6999999999999</v>
      </c>
      <c r="G448" s="10">
        <v>82.569999999999894</v>
      </c>
      <c r="H448" s="10">
        <v>477.1</v>
      </c>
      <c r="I448" s="10">
        <v>0.1278</v>
      </c>
      <c r="J448" s="10">
        <v>0.17</v>
      </c>
      <c r="K448" s="10">
        <v>0.1578</v>
      </c>
      <c r="L448" s="10">
        <v>8.0890000000000004E-2</v>
      </c>
      <c r="M448" s="10">
        <v>0.2087</v>
      </c>
      <c r="N448" s="10">
        <v>7.6130000000000003E-2</v>
      </c>
      <c r="O448" s="10">
        <v>0.33450000000000002</v>
      </c>
      <c r="P448" s="10">
        <v>0.89019999999999899</v>
      </c>
      <c r="Q448" s="10">
        <v>2.2170000000000001</v>
      </c>
      <c r="R448" s="10">
        <v>27.19</v>
      </c>
      <c r="S448" s="10">
        <v>7.5100000000000002E-3</v>
      </c>
      <c r="T448" s="10">
        <v>3.3450000000000001E-2</v>
      </c>
      <c r="U448" s="10">
        <v>3.6720000000000003E-2</v>
      </c>
      <c r="V448" s="10">
        <v>1.137E-2</v>
      </c>
      <c r="W448" s="10">
        <v>2.1649999999999898E-2</v>
      </c>
      <c r="X448" s="10">
        <v>5.0819999999999902E-3</v>
      </c>
      <c r="Y448" s="10">
        <v>15.47</v>
      </c>
      <c r="Z448" s="10">
        <v>23.75</v>
      </c>
      <c r="AA448" s="10">
        <v>103.4</v>
      </c>
      <c r="AB448" s="10">
        <v>741.6</v>
      </c>
      <c r="AC448" s="10">
        <v>0.17910000000000001</v>
      </c>
      <c r="AD448" s="10">
        <v>0.52490000000000003</v>
      </c>
      <c r="AE448" s="10">
        <v>0.53549999999999898</v>
      </c>
      <c r="AF448" s="10">
        <v>0.1741</v>
      </c>
      <c r="AG448" s="10">
        <v>0.39850000000000002</v>
      </c>
      <c r="AH448">
        <v>0.1244</v>
      </c>
    </row>
    <row r="449" spans="3:34">
      <c r="C449" s="11" t="s">
        <v>507</v>
      </c>
      <c r="D449" s="10" t="s">
        <v>1</v>
      </c>
      <c r="E449" s="10">
        <v>13.71</v>
      </c>
      <c r="F449" s="10">
        <v>18.02</v>
      </c>
      <c r="G449" s="10">
        <v>78.31</v>
      </c>
      <c r="H449" s="10">
        <v>458.39999999999901</v>
      </c>
      <c r="I449" s="10">
        <v>9.2310000000000003E-2</v>
      </c>
      <c r="J449" s="10">
        <v>7.1749999999999897E-2</v>
      </c>
      <c r="K449" s="10">
        <v>4.3920000000000001E-2</v>
      </c>
      <c r="L449" s="10">
        <v>2.027E-2</v>
      </c>
      <c r="M449" s="10">
        <v>0.16950000000000001</v>
      </c>
      <c r="N449" s="10">
        <v>5.91599999999999E-2</v>
      </c>
      <c r="O449" s="10">
        <v>0.25269999999999898</v>
      </c>
      <c r="P449" s="10">
        <v>0.77859999999999896</v>
      </c>
      <c r="Q449" s="10">
        <v>1.8740000000000001</v>
      </c>
      <c r="R449" s="10">
        <v>18.57</v>
      </c>
      <c r="S449" s="10">
        <v>5.8329999999999901E-3</v>
      </c>
      <c r="T449" s="10">
        <v>1.388E-2</v>
      </c>
      <c r="U449" s="10">
        <v>0.02</v>
      </c>
      <c r="V449" s="10">
        <v>7.0870000000000004E-3</v>
      </c>
      <c r="W449" s="10">
        <v>1.9380000000000001E-2</v>
      </c>
      <c r="X449" s="10">
        <v>1.95999999999999E-3</v>
      </c>
      <c r="Y449" s="10">
        <v>14.2899999999999</v>
      </c>
      <c r="Z449" s="10">
        <v>24.0399999999999</v>
      </c>
      <c r="AA449" s="10">
        <v>93.849999999999895</v>
      </c>
      <c r="AB449" s="10">
        <v>624.6</v>
      </c>
      <c r="AC449" s="10">
        <v>0.1368</v>
      </c>
      <c r="AD449" s="10">
        <v>0.217</v>
      </c>
      <c r="AE449" s="10">
        <v>0.24129999999999899</v>
      </c>
      <c r="AF449" s="10">
        <v>8.8289999999999896E-2</v>
      </c>
      <c r="AG449" s="10">
        <v>0.32179999999999898</v>
      </c>
      <c r="AH449">
        <v>7.4700000000000003E-2</v>
      </c>
    </row>
    <row r="450" spans="3:34">
      <c r="C450" s="11" t="s">
        <v>595</v>
      </c>
      <c r="D450" s="10" t="s">
        <v>1</v>
      </c>
      <c r="E450" s="10">
        <v>13.71</v>
      </c>
      <c r="F450" s="10">
        <v>30.719999999999899</v>
      </c>
      <c r="G450" s="10">
        <v>86.34</v>
      </c>
      <c r="H450" s="10">
        <v>557.20000000000005</v>
      </c>
      <c r="I450" s="10">
        <v>9.2450000000000004E-2</v>
      </c>
      <c r="J450" s="10">
        <v>7.4260000000000007E-2</v>
      </c>
      <c r="K450" s="10">
        <v>2.819E-2</v>
      </c>
      <c r="L450" s="10">
        <v>3.2640000000000002E-2</v>
      </c>
      <c r="M450" s="10">
        <v>0.13750000000000001</v>
      </c>
      <c r="N450" s="10">
        <v>6.0159999999999901E-2</v>
      </c>
      <c r="O450" s="10">
        <v>0.34079999999999899</v>
      </c>
      <c r="P450" s="10">
        <v>1.9239999999999899</v>
      </c>
      <c r="Q450" s="10">
        <v>2.2869999999999902</v>
      </c>
      <c r="R450" s="10">
        <v>28.93</v>
      </c>
      <c r="S450" s="10">
        <v>5.8409999999999903E-3</v>
      </c>
      <c r="T450" s="10">
        <v>1.2460000000000001E-2</v>
      </c>
      <c r="U450" s="10">
        <v>7.9360000000000003E-3</v>
      </c>
      <c r="V450" s="10">
        <v>9.1280000000000007E-3</v>
      </c>
      <c r="W450" s="10">
        <v>1.5640000000000001E-2</v>
      </c>
      <c r="X450" s="10">
        <v>2.9849999999999898E-3</v>
      </c>
      <c r="Y450" s="10">
        <v>15.05</v>
      </c>
      <c r="Z450" s="10">
        <v>41.6099999999999</v>
      </c>
      <c r="AA450" s="10">
        <v>96.689999999999898</v>
      </c>
      <c r="AB450" s="10">
        <v>705.6</v>
      </c>
      <c r="AC450" s="10">
        <v>0.1172</v>
      </c>
      <c r="AD450" s="10">
        <v>0.1421</v>
      </c>
      <c r="AE450" s="10">
        <v>7.0029999999999898E-2</v>
      </c>
      <c r="AF450" s="10">
        <v>7.7630000000000005E-2</v>
      </c>
      <c r="AG450" s="10">
        <v>0.21959999999999899</v>
      </c>
      <c r="AH450">
        <v>7.6749999999999902E-2</v>
      </c>
    </row>
    <row r="451" spans="3:34">
      <c r="C451" s="11" t="s">
        <v>203</v>
      </c>
      <c r="D451" s="10" t="s">
        <v>1</v>
      </c>
      <c r="E451" s="10">
        <v>13.71</v>
      </c>
      <c r="F451" s="10">
        <v>13.8599999999999</v>
      </c>
      <c r="G451" s="10">
        <v>59.2</v>
      </c>
      <c r="H451" s="10">
        <v>260.89999999999901</v>
      </c>
      <c r="I451" s="10">
        <v>7.7210000000000001E-2</v>
      </c>
      <c r="J451" s="10">
        <v>8.7510000000000004E-2</v>
      </c>
      <c r="K451" s="10">
        <v>5.9880000000000003E-2</v>
      </c>
      <c r="L451" s="10">
        <v>2.18E-2</v>
      </c>
      <c r="M451" s="10">
        <v>0.2341</v>
      </c>
      <c r="N451" s="10">
        <v>6.96299999999999E-2</v>
      </c>
      <c r="O451" s="10">
        <v>0.4098</v>
      </c>
      <c r="P451" s="10">
        <v>2.2650000000000001</v>
      </c>
      <c r="Q451" s="10">
        <v>2.6080000000000001</v>
      </c>
      <c r="R451" s="10">
        <v>23.52</v>
      </c>
      <c r="S451" s="10">
        <v>8.7379999999999906E-3</v>
      </c>
      <c r="T451" s="10">
        <v>3.9379999999999901E-2</v>
      </c>
      <c r="U451" s="10">
        <v>4.3119999999999901E-2</v>
      </c>
      <c r="V451" s="10">
        <v>1.55999999999999E-2</v>
      </c>
      <c r="W451" s="10">
        <v>4.1919999999999902E-2</v>
      </c>
      <c r="X451" s="10">
        <v>5.8219999999999904E-3</v>
      </c>
      <c r="Y451" s="10">
        <v>10.01</v>
      </c>
      <c r="Z451" s="10">
        <v>19.23</v>
      </c>
      <c r="AA451" s="10">
        <v>65.59</v>
      </c>
      <c r="AB451" s="10">
        <v>310.10000000000002</v>
      </c>
      <c r="AC451" s="10">
        <v>9.8360000000000003E-2</v>
      </c>
      <c r="AD451" s="10">
        <v>0.1678</v>
      </c>
      <c r="AE451" s="10">
        <v>0.13969999999999899</v>
      </c>
      <c r="AF451" s="10">
        <v>5.0869999999999901E-2</v>
      </c>
      <c r="AG451" s="10">
        <v>0.32819999999999899</v>
      </c>
      <c r="AH451">
        <v>8.4900000000000003E-2</v>
      </c>
    </row>
    <row r="452" spans="3:34">
      <c r="C452" s="11" t="s">
        <v>322</v>
      </c>
      <c r="D452" s="10" t="s">
        <v>0</v>
      </c>
      <c r="E452" s="10">
        <v>13.71</v>
      </c>
      <c r="F452" s="10">
        <v>20.309999999999899</v>
      </c>
      <c r="G452" s="10">
        <v>101.2</v>
      </c>
      <c r="H452" s="10">
        <v>766.6</v>
      </c>
      <c r="I452" s="10">
        <v>9.597E-2</v>
      </c>
      <c r="J452" s="10">
        <v>8.7989999999999902E-2</v>
      </c>
      <c r="K452" s="10">
        <v>6.5930000000000002E-2</v>
      </c>
      <c r="L452" s="10">
        <v>5.1889999999999901E-2</v>
      </c>
      <c r="M452" s="10">
        <v>0.1618</v>
      </c>
      <c r="N452" s="10">
        <v>5.5489999999999901E-2</v>
      </c>
      <c r="O452" s="10">
        <v>0.36990000000000001</v>
      </c>
      <c r="P452" s="10">
        <v>1.1499999999999899</v>
      </c>
      <c r="Q452" s="10">
        <v>2.4060000000000001</v>
      </c>
      <c r="R452" s="10">
        <v>40.979999999999897</v>
      </c>
      <c r="S452" s="10">
        <v>4.6259999999999904E-3</v>
      </c>
      <c r="T452" s="10">
        <v>2.2630000000000001E-2</v>
      </c>
      <c r="U452" s="10">
        <v>1.9539999999999901E-2</v>
      </c>
      <c r="V452" s="10">
        <v>9.7669999999999892E-3</v>
      </c>
      <c r="W452" s="10">
        <v>1.54699999999999E-2</v>
      </c>
      <c r="X452" s="10">
        <v>2.4299999999999899E-3</v>
      </c>
      <c r="Y452" s="10">
        <v>20.1099999999999</v>
      </c>
      <c r="Z452" s="10">
        <v>32.82</v>
      </c>
      <c r="AA452" s="10">
        <v>129.30000000000001</v>
      </c>
      <c r="AB452" s="10">
        <v>1269</v>
      </c>
      <c r="AC452" s="10">
        <v>0.1414</v>
      </c>
      <c r="AD452" s="10">
        <v>0.35470000000000002</v>
      </c>
      <c r="AE452" s="10">
        <v>0.29020000000000001</v>
      </c>
      <c r="AF452" s="10">
        <v>0.15409999999999899</v>
      </c>
      <c r="AG452" s="10">
        <v>0.34370000000000001</v>
      </c>
      <c r="AH452">
        <v>8.6309999999999901E-2</v>
      </c>
    </row>
    <row r="453" spans="3:34">
      <c r="C453" s="11" t="s">
        <v>278</v>
      </c>
      <c r="D453" s="10" t="s">
        <v>0</v>
      </c>
      <c r="E453" s="10">
        <v>13.71</v>
      </c>
      <c r="F453" s="10">
        <v>17.57</v>
      </c>
      <c r="G453" s="10">
        <v>96.849999999999895</v>
      </c>
      <c r="H453" s="10">
        <v>678.1</v>
      </c>
      <c r="I453" s="10">
        <v>0.1167</v>
      </c>
      <c r="J453" s="10">
        <v>0.1305</v>
      </c>
      <c r="K453" s="10">
        <v>0.15390000000000001</v>
      </c>
      <c r="L453" s="10">
        <v>8.62399999999999E-2</v>
      </c>
      <c r="M453" s="10">
        <v>0.19570000000000001</v>
      </c>
      <c r="N453" s="10">
        <v>6.216E-2</v>
      </c>
      <c r="O453" s="10">
        <v>1.296</v>
      </c>
      <c r="P453" s="10">
        <v>1.452</v>
      </c>
      <c r="Q453" s="10">
        <v>8.4190000000000005</v>
      </c>
      <c r="R453" s="10">
        <v>101.9</v>
      </c>
      <c r="S453" s="10">
        <v>0.01</v>
      </c>
      <c r="T453" s="10">
        <v>3.47999999999999E-2</v>
      </c>
      <c r="U453" s="10">
        <v>6.5769999999999898E-2</v>
      </c>
      <c r="V453" s="10">
        <v>2.801E-2</v>
      </c>
      <c r="W453" s="10">
        <v>5.16799999999999E-2</v>
      </c>
      <c r="X453" s="10">
        <v>2.8869999999999898E-3</v>
      </c>
      <c r="Y453" s="10">
        <v>18.55</v>
      </c>
      <c r="Z453" s="10">
        <v>21.43</v>
      </c>
      <c r="AA453" s="10">
        <v>121.4</v>
      </c>
      <c r="AB453" s="10">
        <v>971.39999999999895</v>
      </c>
      <c r="AC453" s="10">
        <v>0.1411</v>
      </c>
      <c r="AD453" s="10">
        <v>0.21640000000000001</v>
      </c>
      <c r="AE453" s="10">
        <v>0.33550000000000002</v>
      </c>
      <c r="AF453" s="10">
        <v>0.16669999999999899</v>
      </c>
      <c r="AG453" s="10">
        <v>0.34139999999999898</v>
      </c>
      <c r="AH453">
        <v>7.1470000000000006E-2</v>
      </c>
    </row>
    <row r="454" spans="3:34">
      <c r="C454" s="11" t="s">
        <v>546</v>
      </c>
      <c r="D454" s="10" t="s">
        <v>1</v>
      </c>
      <c r="E454" s="10">
        <v>13.71</v>
      </c>
      <c r="F454" s="10">
        <v>14.8599999999999</v>
      </c>
      <c r="G454" s="10">
        <v>104.3</v>
      </c>
      <c r="H454" s="10">
        <v>800</v>
      </c>
      <c r="I454" s="10">
        <v>9.4950000000000007E-2</v>
      </c>
      <c r="J454" s="10">
        <v>8.5010000000000002E-2</v>
      </c>
      <c r="K454" s="10">
        <v>5.5E-2</v>
      </c>
      <c r="L454" s="10">
        <v>4.5280000000000001E-2</v>
      </c>
      <c r="M454" s="10">
        <v>0.17349999999999899</v>
      </c>
      <c r="N454" s="10">
        <v>5.87499999999999E-2</v>
      </c>
      <c r="O454" s="10">
        <v>0.2387</v>
      </c>
      <c r="P454" s="10">
        <v>0.63719999999999899</v>
      </c>
      <c r="Q454" s="10">
        <v>1.7290000000000001</v>
      </c>
      <c r="R454" s="10">
        <v>21.829999999999899</v>
      </c>
      <c r="S454" s="10">
        <v>3.9579999999999902E-3</v>
      </c>
      <c r="T454" s="10">
        <v>1.2460000000000001E-2</v>
      </c>
      <c r="U454" s="10">
        <v>1.831E-2</v>
      </c>
      <c r="V454" s="10">
        <v>8.7469999999999892E-3</v>
      </c>
      <c r="W454" s="10">
        <v>1.4999999999999901E-2</v>
      </c>
      <c r="X454" s="10">
        <v>1.621E-3</v>
      </c>
      <c r="Y454" s="10">
        <v>17.71</v>
      </c>
      <c r="Z454" s="10">
        <v>19.579999999999899</v>
      </c>
      <c r="AA454" s="10">
        <v>115.9</v>
      </c>
      <c r="AB454" s="10">
        <v>947.89999999999895</v>
      </c>
      <c r="AC454" s="10">
        <v>0.1206</v>
      </c>
      <c r="AD454" s="10">
        <v>0.17219999999999899</v>
      </c>
      <c r="AE454" s="10">
        <v>0.23100000000000001</v>
      </c>
      <c r="AF454" s="10">
        <v>0.1129</v>
      </c>
      <c r="AG454" s="10">
        <v>0.27779999999999899</v>
      </c>
      <c r="AH454">
        <v>7.0120000000000002E-2</v>
      </c>
    </row>
    <row r="455" spans="3:34">
      <c r="C455" s="11" t="s">
        <v>697</v>
      </c>
      <c r="D455" s="10" t="s">
        <v>1</v>
      </c>
      <c r="E455" s="10">
        <v>13.71</v>
      </c>
      <c r="F455" s="10">
        <v>27.8799999999999</v>
      </c>
      <c r="G455" s="10">
        <v>59.259999999999899</v>
      </c>
      <c r="H455" s="10">
        <v>271.3</v>
      </c>
      <c r="I455" s="10">
        <v>8.12299999999999E-2</v>
      </c>
      <c r="J455" s="10">
        <v>4.97099999999999E-2</v>
      </c>
      <c r="K455" s="10">
        <v>0</v>
      </c>
      <c r="L455" s="10">
        <v>0</v>
      </c>
      <c r="M455" s="10">
        <v>0.17419999999999899</v>
      </c>
      <c r="N455" s="10">
        <v>6.0589999999999901E-2</v>
      </c>
      <c r="O455" s="10">
        <v>0.53749999999999898</v>
      </c>
      <c r="P455" s="10">
        <v>2.927</v>
      </c>
      <c r="Q455" s="10">
        <v>3.6179999999999901</v>
      </c>
      <c r="R455" s="10">
        <v>29.1099999999999</v>
      </c>
      <c r="S455" s="10">
        <v>1.159E-2</v>
      </c>
      <c r="T455" s="10">
        <v>1.124E-2</v>
      </c>
      <c r="U455" s="10">
        <v>0</v>
      </c>
      <c r="V455" s="10">
        <v>0</v>
      </c>
      <c r="W455" s="10">
        <v>3.0040000000000001E-2</v>
      </c>
      <c r="X455" s="10">
        <v>3.3240000000000001E-3</v>
      </c>
      <c r="Y455" s="10">
        <v>10.49</v>
      </c>
      <c r="Z455" s="10">
        <v>34.24</v>
      </c>
      <c r="AA455" s="10">
        <v>66.5</v>
      </c>
      <c r="AB455" s="10">
        <v>330.6</v>
      </c>
      <c r="AC455" s="10">
        <v>0.10730000000000001</v>
      </c>
      <c r="AD455" s="10">
        <v>7.1580000000000005E-2</v>
      </c>
      <c r="AE455" s="10">
        <v>0</v>
      </c>
      <c r="AF455" s="10">
        <v>0</v>
      </c>
      <c r="AG455" s="10">
        <v>0.2475</v>
      </c>
      <c r="AH455">
        <v>6.9690000000000002E-2</v>
      </c>
    </row>
    <row r="456" spans="3:34">
      <c r="C456" s="11" t="s">
        <v>705</v>
      </c>
      <c r="D456" s="10" t="s">
        <v>0</v>
      </c>
      <c r="E456" s="10">
        <v>13.71</v>
      </c>
      <c r="F456" s="10">
        <v>28.25</v>
      </c>
      <c r="G456" s="10">
        <v>131.19999999999899</v>
      </c>
      <c r="H456" s="10">
        <v>1261</v>
      </c>
      <c r="I456" s="10">
        <v>9.7799999999999901E-2</v>
      </c>
      <c r="J456" s="10">
        <v>0.10340000000000001</v>
      </c>
      <c r="K456" s="10">
        <v>0.14399999999999899</v>
      </c>
      <c r="L456" s="10">
        <v>9.79099999999999E-2</v>
      </c>
      <c r="M456" s="10">
        <v>0.175199999999999</v>
      </c>
      <c r="N456" s="10">
        <v>5.53299999999999E-2</v>
      </c>
      <c r="O456" s="10">
        <v>0.76549999999999896</v>
      </c>
      <c r="P456" s="10">
        <v>2.4630000000000001</v>
      </c>
      <c r="Q456" s="10">
        <v>5.2030000000000003</v>
      </c>
      <c r="R456" s="10">
        <v>99.04</v>
      </c>
      <c r="S456" s="10">
        <v>5.7689999999999903E-3</v>
      </c>
      <c r="T456" s="10">
        <v>2.4230000000000002E-2</v>
      </c>
      <c r="U456" s="10">
        <v>3.95E-2</v>
      </c>
      <c r="V456" s="10">
        <v>1.678E-2</v>
      </c>
      <c r="W456" s="10">
        <v>1.898E-2</v>
      </c>
      <c r="X456" s="10">
        <v>2.4979999999999898E-3</v>
      </c>
      <c r="Y456" s="10">
        <v>23.69</v>
      </c>
      <c r="Z456" s="10">
        <v>38.25</v>
      </c>
      <c r="AA456" s="10">
        <v>155</v>
      </c>
      <c r="AB456" s="10">
        <v>1731</v>
      </c>
      <c r="AC456" s="10">
        <v>0.1166</v>
      </c>
      <c r="AD456" s="10">
        <v>0.19220000000000001</v>
      </c>
      <c r="AE456" s="10">
        <v>0.32150000000000001</v>
      </c>
      <c r="AF456" s="10">
        <v>0.1628</v>
      </c>
      <c r="AG456" s="10">
        <v>0.25719999999999898</v>
      </c>
      <c r="AH456">
        <v>6.6369999999999901E-2</v>
      </c>
    </row>
    <row r="457" spans="3:34">
      <c r="C457" s="11" t="s">
        <v>678</v>
      </c>
      <c r="D457" s="10" t="s">
        <v>1</v>
      </c>
      <c r="E457" s="10">
        <v>13.71</v>
      </c>
      <c r="F457" s="10">
        <v>25.489999999999899</v>
      </c>
      <c r="G457" s="10">
        <v>47.979999999999897</v>
      </c>
      <c r="H457" s="10">
        <v>178.8</v>
      </c>
      <c r="I457" s="10">
        <v>8.0979999999999899E-2</v>
      </c>
      <c r="J457" s="10">
        <v>4.87799999999999E-2</v>
      </c>
      <c r="K457" s="10">
        <v>0</v>
      </c>
      <c r="L457" s="10">
        <v>0</v>
      </c>
      <c r="M457" s="10">
        <v>0.187</v>
      </c>
      <c r="N457" s="10">
        <v>7.2849999999999901E-2</v>
      </c>
      <c r="O457" s="10">
        <v>0.37769999999999898</v>
      </c>
      <c r="P457" s="10">
        <v>1.462</v>
      </c>
      <c r="Q457" s="10">
        <v>2.492</v>
      </c>
      <c r="R457" s="10">
        <v>19.14</v>
      </c>
      <c r="S457" s="10">
        <v>1.26599999999999E-2</v>
      </c>
      <c r="T457" s="10">
        <v>9.6919999999999906E-3</v>
      </c>
      <c r="U457" s="10">
        <v>0</v>
      </c>
      <c r="V457" s="10">
        <v>0</v>
      </c>
      <c r="W457" s="10">
        <v>2.8819999999999901E-2</v>
      </c>
      <c r="X457" s="10">
        <v>6.8719999999999901E-3</v>
      </c>
      <c r="Y457" s="10">
        <v>9.077</v>
      </c>
      <c r="Z457" s="10">
        <v>30.92</v>
      </c>
      <c r="AA457" s="10">
        <v>57.17</v>
      </c>
      <c r="AB457" s="10">
        <v>248</v>
      </c>
      <c r="AC457" s="10">
        <v>0.12559999999999899</v>
      </c>
      <c r="AD457" s="10">
        <v>8.3400000000000002E-2</v>
      </c>
      <c r="AE457" s="10">
        <v>0</v>
      </c>
      <c r="AF457" s="10">
        <v>0</v>
      </c>
      <c r="AG457" s="10">
        <v>0.30580000000000002</v>
      </c>
      <c r="AH457">
        <v>9.9379999999999899E-2</v>
      </c>
    </row>
    <row r="458" spans="3:34">
      <c r="C458" s="11" t="s">
        <v>544</v>
      </c>
      <c r="D458" s="10" t="s">
        <v>1</v>
      </c>
      <c r="E458" s="10">
        <v>13.71</v>
      </c>
      <c r="F458" s="10">
        <v>14.9499999999999</v>
      </c>
      <c r="G458" s="10">
        <v>78.290000000000006</v>
      </c>
      <c r="H458" s="10">
        <v>469.1</v>
      </c>
      <c r="I458" s="10">
        <v>8.6819999999999897E-2</v>
      </c>
      <c r="J458" s="10">
        <v>4.5710000000000001E-2</v>
      </c>
      <c r="K458" s="10">
        <v>2.1090000000000001E-2</v>
      </c>
      <c r="L458" s="10">
        <v>2.0539999999999899E-2</v>
      </c>
      <c r="M458" s="10">
        <v>0.15709999999999899</v>
      </c>
      <c r="N458" s="10">
        <v>5.7079999999999902E-2</v>
      </c>
      <c r="O458" s="10">
        <v>0.38329999999999897</v>
      </c>
      <c r="P458" s="10">
        <v>0.90780000000000005</v>
      </c>
      <c r="Q458" s="10">
        <v>2.6019999999999901</v>
      </c>
      <c r="R458" s="10">
        <v>30.149999999999899</v>
      </c>
      <c r="S458" s="10">
        <v>7.7019999999999901E-3</v>
      </c>
      <c r="T458" s="10">
        <v>8.4910000000000003E-3</v>
      </c>
      <c r="U458" s="10">
        <v>1.307E-2</v>
      </c>
      <c r="V458" s="10">
        <v>1.03E-2</v>
      </c>
      <c r="W458" s="10">
        <v>2.9700000000000001E-2</v>
      </c>
      <c r="X458" s="10">
        <v>1.4319999999999899E-3</v>
      </c>
      <c r="Y458" s="10">
        <v>13.18</v>
      </c>
      <c r="Z458" s="10">
        <v>16.850000000000001</v>
      </c>
      <c r="AA458" s="10">
        <v>84.1099999999999</v>
      </c>
      <c r="AB458" s="10">
        <v>533.1</v>
      </c>
      <c r="AC458" s="10">
        <v>0.1048</v>
      </c>
      <c r="AD458" s="10">
        <v>6.744E-2</v>
      </c>
      <c r="AE458" s="10">
        <v>4.92099999999999E-2</v>
      </c>
      <c r="AF458" s="10">
        <v>4.793E-2</v>
      </c>
      <c r="AG458" s="10">
        <v>0.2298</v>
      </c>
      <c r="AH458">
        <v>5.9740000000000001E-2</v>
      </c>
    </row>
    <row r="459" spans="3:34">
      <c r="C459" s="11" t="s">
        <v>420</v>
      </c>
      <c r="D459" s="10" t="s">
        <v>0</v>
      </c>
      <c r="E459" s="10">
        <v>13.71</v>
      </c>
      <c r="F459" s="10">
        <v>26.6</v>
      </c>
      <c r="G459" s="10">
        <v>126.2</v>
      </c>
      <c r="H459" s="10">
        <v>1138</v>
      </c>
      <c r="I459" s="10">
        <v>0.10199999999999899</v>
      </c>
      <c r="J459" s="10">
        <v>0.14530000000000001</v>
      </c>
      <c r="K459" s="10">
        <v>0.19209999999999899</v>
      </c>
      <c r="L459" s="10">
        <v>9.6640000000000004E-2</v>
      </c>
      <c r="M459" s="10">
        <v>0.19020000000000001</v>
      </c>
      <c r="N459" s="10">
        <v>6.2199999999999901E-2</v>
      </c>
      <c r="O459" s="10">
        <v>0.6361</v>
      </c>
      <c r="P459" s="10">
        <v>1.0009999999999899</v>
      </c>
      <c r="Q459" s="10">
        <v>4.32099999999999</v>
      </c>
      <c r="R459" s="10">
        <v>69.650000000000006</v>
      </c>
      <c r="S459" s="10">
        <v>7.3920000000000001E-3</v>
      </c>
      <c r="T459" s="10">
        <v>2.4490000000000001E-2</v>
      </c>
      <c r="U459" s="10">
        <v>3.9879999999999902E-2</v>
      </c>
      <c r="V459" s="10">
        <v>1.2930000000000001E-2</v>
      </c>
      <c r="W459" s="10">
        <v>1.435E-2</v>
      </c>
      <c r="X459" s="10">
        <v>3.4459999999999899E-3</v>
      </c>
      <c r="Y459" s="10">
        <v>23.719999999999899</v>
      </c>
      <c r="Z459" s="10">
        <v>35.899999999999899</v>
      </c>
      <c r="AA459" s="10">
        <v>159.80000000000001</v>
      </c>
      <c r="AB459" s="10">
        <v>1724</v>
      </c>
      <c r="AC459" s="10">
        <v>0.1782</v>
      </c>
      <c r="AD459" s="10">
        <v>0.3841</v>
      </c>
      <c r="AE459" s="10">
        <v>0.57540000000000002</v>
      </c>
      <c r="AF459" s="10">
        <v>0.18720000000000001</v>
      </c>
      <c r="AG459" s="10">
        <v>0.32579999999999898</v>
      </c>
      <c r="AH459">
        <v>9.7199999999999898E-2</v>
      </c>
    </row>
    <row r="460" spans="3:34">
      <c r="C460" s="11" t="s">
        <v>517</v>
      </c>
      <c r="D460" s="10" t="s">
        <v>1</v>
      </c>
      <c r="E460" s="10">
        <v>13.71</v>
      </c>
      <c r="F460" s="10">
        <v>28.21</v>
      </c>
      <c r="G460" s="10">
        <v>85.89</v>
      </c>
      <c r="H460" s="10">
        <v>562.1</v>
      </c>
      <c r="I460" s="10">
        <v>7.5170000000000001E-2</v>
      </c>
      <c r="J460" s="10">
        <v>4.7260000000000003E-2</v>
      </c>
      <c r="K460" s="10">
        <v>1.2710000000000001E-2</v>
      </c>
      <c r="L460" s="10">
        <v>1.11699999999999E-2</v>
      </c>
      <c r="M460" s="10">
        <v>0.1421</v>
      </c>
      <c r="N460" s="10">
        <v>5.7630000000000001E-2</v>
      </c>
      <c r="O460" s="10">
        <v>0.168899999999999</v>
      </c>
      <c r="P460" s="10">
        <v>1.1499999999999899</v>
      </c>
      <c r="Q460" s="10">
        <v>1.3999999999999899</v>
      </c>
      <c r="R460" s="10">
        <v>14.91</v>
      </c>
      <c r="S460" s="10">
        <v>4.9420000000000002E-3</v>
      </c>
      <c r="T460" s="10">
        <v>1.2030000000000001E-2</v>
      </c>
      <c r="U460" s="10">
        <v>7.5079999999999904E-3</v>
      </c>
      <c r="V460" s="10">
        <v>5.17899999999999E-3</v>
      </c>
      <c r="W460" s="10">
        <v>1.4420000000000001E-2</v>
      </c>
      <c r="X460" s="10">
        <v>1.684E-3</v>
      </c>
      <c r="Y460" s="10">
        <v>14.69</v>
      </c>
      <c r="Z460" s="10">
        <v>35.630000000000003</v>
      </c>
      <c r="AA460" s="10">
        <v>97.1099999999999</v>
      </c>
      <c r="AB460" s="10">
        <v>680.6</v>
      </c>
      <c r="AC460" s="10">
        <v>0.1108</v>
      </c>
      <c r="AD460" s="10">
        <v>0.1457</v>
      </c>
      <c r="AE460" s="10">
        <v>7.9339999999999897E-2</v>
      </c>
      <c r="AF460" s="10">
        <v>5.781E-2</v>
      </c>
      <c r="AG460" s="10">
        <v>0.26939999999999897</v>
      </c>
      <c r="AH460">
        <v>7.0610000000000006E-2</v>
      </c>
    </row>
    <row r="461" spans="3:34">
      <c r="C461" s="11" t="s">
        <v>372</v>
      </c>
      <c r="D461" s="10" t="s">
        <v>1</v>
      </c>
      <c r="E461" s="10">
        <v>13.71</v>
      </c>
      <c r="F461" s="10">
        <v>33.81</v>
      </c>
      <c r="G461" s="10">
        <v>70.790000000000006</v>
      </c>
      <c r="H461" s="10">
        <v>386.8</v>
      </c>
      <c r="I461" s="10">
        <v>7.7799999999999897E-2</v>
      </c>
      <c r="J461" s="10">
        <v>3.5740000000000001E-2</v>
      </c>
      <c r="K461" s="10">
        <v>4.9670000000000001E-3</v>
      </c>
      <c r="L461" s="10">
        <v>6.4339999999999901E-3</v>
      </c>
      <c r="M461" s="10">
        <v>0.1845</v>
      </c>
      <c r="N461" s="10">
        <v>5.8279999999999901E-2</v>
      </c>
      <c r="O461" s="10">
        <v>0.22389999999999899</v>
      </c>
      <c r="P461" s="10">
        <v>1.647</v>
      </c>
      <c r="Q461" s="10">
        <v>1.4890000000000001</v>
      </c>
      <c r="R461" s="10">
        <v>15.46</v>
      </c>
      <c r="S461" s="10">
        <v>4.359E-3</v>
      </c>
      <c r="T461" s="10">
        <v>6.8129999999999901E-3</v>
      </c>
      <c r="U461" s="10">
        <v>3.2230000000000002E-3</v>
      </c>
      <c r="V461" s="10">
        <v>3.4190000000000002E-3</v>
      </c>
      <c r="W461" s="10">
        <v>1.916E-2</v>
      </c>
      <c r="X461" s="10">
        <v>2.5339999999999898E-3</v>
      </c>
      <c r="Y461" s="10">
        <v>12.3599999999999</v>
      </c>
      <c r="Z461" s="10">
        <v>41.78</v>
      </c>
      <c r="AA461" s="10">
        <v>78.439999999999898</v>
      </c>
      <c r="AB461" s="10">
        <v>470.89999999999901</v>
      </c>
      <c r="AC461" s="10">
        <v>9.9940000000000001E-2</v>
      </c>
      <c r="AD461" s="10">
        <v>6.8849999999999897E-2</v>
      </c>
      <c r="AE461" s="10">
        <v>2.3179999999999899E-2</v>
      </c>
      <c r="AF461" s="10">
        <v>3.0020000000000002E-2</v>
      </c>
      <c r="AG461" s="10">
        <v>0.29110000000000003</v>
      </c>
      <c r="AH461">
        <v>7.3069999999999899E-2</v>
      </c>
    </row>
    <row r="462" spans="3:34">
      <c r="C462" s="11" t="s">
        <v>386</v>
      </c>
      <c r="D462" s="10" t="s">
        <v>1</v>
      </c>
      <c r="E462" s="10">
        <v>13.71</v>
      </c>
      <c r="F462" s="10">
        <v>17.43</v>
      </c>
      <c r="G462" s="10">
        <v>84.129999999999896</v>
      </c>
      <c r="H462" s="10">
        <v>541.6</v>
      </c>
      <c r="I462" s="10">
        <v>7.2150000000000006E-2</v>
      </c>
      <c r="J462" s="10">
        <v>4.5240000000000002E-2</v>
      </c>
      <c r="K462" s="10">
        <v>4.3360000000000003E-2</v>
      </c>
      <c r="L462" s="10">
        <v>1.1050000000000001E-2</v>
      </c>
      <c r="M462" s="10">
        <v>0.1487</v>
      </c>
      <c r="N462" s="10">
        <v>5.63499999999999E-2</v>
      </c>
      <c r="O462" s="10">
        <v>0.16300000000000001</v>
      </c>
      <c r="P462" s="10">
        <v>1.601</v>
      </c>
      <c r="Q462" s="10">
        <v>0.873</v>
      </c>
      <c r="R462" s="10">
        <v>13.56</v>
      </c>
      <c r="S462" s="10">
        <v>6.2610000000000001E-3</v>
      </c>
      <c r="T462" s="10">
        <v>1.5689999999999898E-2</v>
      </c>
      <c r="U462" s="10">
        <v>3.0790000000000001E-2</v>
      </c>
      <c r="V462" s="10">
        <v>5.3829999999999902E-3</v>
      </c>
      <c r="W462" s="10">
        <v>1.9619999999999901E-2</v>
      </c>
      <c r="X462" s="10">
        <v>2.2499999999999899E-3</v>
      </c>
      <c r="Y462" s="10">
        <v>13.94</v>
      </c>
      <c r="Z462" s="10">
        <v>27.82</v>
      </c>
      <c r="AA462" s="10">
        <v>88.28</v>
      </c>
      <c r="AB462" s="10">
        <v>602</v>
      </c>
      <c r="AC462" s="10">
        <v>0.1101</v>
      </c>
      <c r="AD462" s="10">
        <v>0.15079999999999899</v>
      </c>
      <c r="AE462" s="10">
        <v>0.2298</v>
      </c>
      <c r="AF462" s="10">
        <v>4.9700000000000001E-2</v>
      </c>
      <c r="AG462" s="10">
        <v>0.2767</v>
      </c>
      <c r="AH462">
        <v>7.1980000000000002E-2</v>
      </c>
    </row>
    <row r="463" spans="3:34">
      <c r="C463" s="11" t="s">
        <v>648</v>
      </c>
      <c r="D463" s="10" t="s">
        <v>1</v>
      </c>
      <c r="E463" s="10">
        <v>13.71</v>
      </c>
      <c r="F463" s="10">
        <v>15.6999999999999</v>
      </c>
      <c r="G463" s="10">
        <v>104.7</v>
      </c>
      <c r="H463" s="10">
        <v>819.79999999999905</v>
      </c>
      <c r="I463" s="10">
        <v>9.4270000000000007E-2</v>
      </c>
      <c r="J463" s="10">
        <v>6.7119999999999902E-2</v>
      </c>
      <c r="K463" s="10">
        <v>5.5259999999999899E-2</v>
      </c>
      <c r="L463" s="10">
        <v>4.56299999999999E-2</v>
      </c>
      <c r="M463" s="10">
        <v>0.1711</v>
      </c>
      <c r="N463" s="10">
        <v>5.6570000000000002E-2</v>
      </c>
      <c r="O463" s="10">
        <v>0.206699999999999</v>
      </c>
      <c r="P463" s="10">
        <v>0.47060000000000002</v>
      </c>
      <c r="Q463" s="10">
        <v>1.1459999999999899</v>
      </c>
      <c r="R463" s="10">
        <v>20.67</v>
      </c>
      <c r="S463" s="10">
        <v>7.3940000000000004E-3</v>
      </c>
      <c r="T463" s="10">
        <v>1.2030000000000001E-2</v>
      </c>
      <c r="U463" s="10">
        <v>2.47E-2</v>
      </c>
      <c r="V463" s="10">
        <v>1.431E-2</v>
      </c>
      <c r="W463" s="10">
        <v>1.3440000000000001E-2</v>
      </c>
      <c r="X463" s="10">
        <v>2.5690000000000001E-3</v>
      </c>
      <c r="Y463" s="10">
        <v>17.32</v>
      </c>
      <c r="Z463" s="10">
        <v>17.760000000000002</v>
      </c>
      <c r="AA463" s="10">
        <v>109.8</v>
      </c>
      <c r="AB463" s="10">
        <v>928.2</v>
      </c>
      <c r="AC463" s="10">
        <v>0.13539999999999899</v>
      </c>
      <c r="AD463" s="10">
        <v>0.1361</v>
      </c>
      <c r="AE463" s="10">
        <v>0.19470000000000001</v>
      </c>
      <c r="AF463" s="10">
        <v>0.13569999999999899</v>
      </c>
      <c r="AG463" s="10">
        <v>0.23</v>
      </c>
      <c r="AH463">
        <v>7.2300000000000003E-2</v>
      </c>
    </row>
    <row r="464" spans="3:34">
      <c r="C464" s="11" t="s">
        <v>301</v>
      </c>
      <c r="D464" s="10" t="s">
        <v>0</v>
      </c>
      <c r="E464" s="10">
        <v>13.71</v>
      </c>
      <c r="F464" s="10">
        <v>15.94</v>
      </c>
      <c r="G464" s="10">
        <v>126.3</v>
      </c>
      <c r="H464" s="10">
        <v>1157</v>
      </c>
      <c r="I464" s="10">
        <v>8.6940000000000003E-2</v>
      </c>
      <c r="J464" s="10">
        <v>0.118499999999999</v>
      </c>
      <c r="K464" s="10">
        <v>0.1193</v>
      </c>
      <c r="L464" s="10">
        <v>9.6670000000000006E-2</v>
      </c>
      <c r="M464" s="10">
        <v>0.1741</v>
      </c>
      <c r="N464" s="10">
        <v>5.176E-2</v>
      </c>
      <c r="O464" s="10">
        <v>1</v>
      </c>
      <c r="P464" s="10">
        <v>0.63360000000000005</v>
      </c>
      <c r="Q464" s="10">
        <v>6.9710000000000001</v>
      </c>
      <c r="R464" s="10">
        <v>119.3</v>
      </c>
      <c r="S464" s="10">
        <v>9.4059999999999908E-3</v>
      </c>
      <c r="T464" s="10">
        <v>3.0550000000000001E-2</v>
      </c>
      <c r="U464" s="10">
        <v>4.3439999999999902E-2</v>
      </c>
      <c r="V464" s="10">
        <v>2.794E-2</v>
      </c>
      <c r="W464" s="10">
        <v>3.1559999999999901E-2</v>
      </c>
      <c r="X464" s="10">
        <v>3.362E-3</v>
      </c>
      <c r="Y464" s="10">
        <v>22.03</v>
      </c>
      <c r="Z464" s="10">
        <v>17.809999999999899</v>
      </c>
      <c r="AA464" s="10">
        <v>146.599999999999</v>
      </c>
      <c r="AB464" s="10">
        <v>1495</v>
      </c>
      <c r="AC464" s="10">
        <v>0.1124</v>
      </c>
      <c r="AD464" s="10">
        <v>0.2016</v>
      </c>
      <c r="AE464" s="10">
        <v>0.22639999999999899</v>
      </c>
      <c r="AF464" s="10">
        <v>0.1777</v>
      </c>
      <c r="AG464" s="10">
        <v>0.24429999999999899</v>
      </c>
      <c r="AH464">
        <v>6.2509999999999899E-2</v>
      </c>
    </row>
    <row r="465" spans="3:34">
      <c r="C465" s="11" t="s">
        <v>190</v>
      </c>
      <c r="D465" s="10" t="s">
        <v>1</v>
      </c>
      <c r="E465" s="10">
        <v>13.71</v>
      </c>
      <c r="F465" s="10">
        <v>21.6</v>
      </c>
      <c r="G465" s="10">
        <v>74.719999999999899</v>
      </c>
      <c r="H465" s="10">
        <v>427.89999999999901</v>
      </c>
      <c r="I465" s="10">
        <v>8.6370000000000002E-2</v>
      </c>
      <c r="J465" s="10">
        <v>4.9660000000000003E-2</v>
      </c>
      <c r="K465" s="10">
        <v>1.6570000000000001E-2</v>
      </c>
      <c r="L465" s="10">
        <v>1.115E-2</v>
      </c>
      <c r="M465" s="10">
        <v>0.14949999999999899</v>
      </c>
      <c r="N465" s="10">
        <v>5.8880000000000002E-2</v>
      </c>
      <c r="O465" s="10">
        <v>0.40620000000000001</v>
      </c>
      <c r="P465" s="10">
        <v>1.21</v>
      </c>
      <c r="Q465" s="10">
        <v>2.63499999999999</v>
      </c>
      <c r="R465" s="10">
        <v>28.469999999999899</v>
      </c>
      <c r="S465" s="10">
        <v>5.8570000000000002E-3</v>
      </c>
      <c r="T465" s="10">
        <v>9.7579999999999906E-3</v>
      </c>
      <c r="U465" s="10">
        <v>1.1679999999999901E-2</v>
      </c>
      <c r="V465" s="10">
        <v>7.4450000000000002E-3</v>
      </c>
      <c r="W465" s="10">
        <v>2.4060000000000002E-2</v>
      </c>
      <c r="X465" s="10">
        <v>1.769E-3</v>
      </c>
      <c r="Y465" s="10">
        <v>12.98</v>
      </c>
      <c r="Z465" s="10">
        <v>25.719999999999899</v>
      </c>
      <c r="AA465" s="10">
        <v>82.98</v>
      </c>
      <c r="AB465" s="10">
        <v>516.5</v>
      </c>
      <c r="AC465" s="10">
        <v>0.1085</v>
      </c>
      <c r="AD465" s="10">
        <v>8.6150000000000004E-2</v>
      </c>
      <c r="AE465" s="10">
        <v>5.5230000000000001E-2</v>
      </c>
      <c r="AF465" s="10">
        <v>3.7150000000000002E-2</v>
      </c>
      <c r="AG465" s="10">
        <v>0.24329999999999899</v>
      </c>
      <c r="AH465">
        <v>6.5629999999999897E-2</v>
      </c>
    </row>
    <row r="466" spans="3:34">
      <c r="C466" s="11" t="s">
        <v>693</v>
      </c>
      <c r="D466" s="10" t="s">
        <v>1</v>
      </c>
      <c r="E466" s="10">
        <v>13.71</v>
      </c>
      <c r="F466" s="10">
        <v>21.94</v>
      </c>
      <c r="G466" s="10">
        <v>59.009999999999899</v>
      </c>
      <c r="H466" s="10">
        <v>264</v>
      </c>
      <c r="I466" s="10">
        <v>9.2399999999999899E-2</v>
      </c>
      <c r="J466" s="10">
        <v>5.6050000000000003E-2</v>
      </c>
      <c r="K466" s="10">
        <v>3.9960000000000002E-2</v>
      </c>
      <c r="L466" s="10">
        <v>1.282E-2</v>
      </c>
      <c r="M466" s="10">
        <v>0.16919999999999899</v>
      </c>
      <c r="N466" s="10">
        <v>6.5759999999999902E-2</v>
      </c>
      <c r="O466" s="10">
        <v>0.30130000000000001</v>
      </c>
      <c r="P466" s="10">
        <v>1.879</v>
      </c>
      <c r="Q466" s="10">
        <v>2.121</v>
      </c>
      <c r="R466" s="10">
        <v>17.8599999999999</v>
      </c>
      <c r="S466" s="10">
        <v>1.094E-2</v>
      </c>
      <c r="T466" s="10">
        <v>1.8339999999999902E-2</v>
      </c>
      <c r="U466" s="10">
        <v>3.9960000000000002E-2</v>
      </c>
      <c r="V466" s="10">
        <v>1.282E-2</v>
      </c>
      <c r="W466" s="10">
        <v>3.7589999999999901E-2</v>
      </c>
      <c r="X466" s="10">
        <v>4.6230000000000004E-3</v>
      </c>
      <c r="Y466" s="10">
        <v>9.8450000000000006</v>
      </c>
      <c r="Z466" s="10">
        <v>25.05</v>
      </c>
      <c r="AA466" s="10">
        <v>62.8599999999999</v>
      </c>
      <c r="AB466" s="10">
        <v>295.8</v>
      </c>
      <c r="AC466" s="10">
        <v>0.1103</v>
      </c>
      <c r="AD466" s="10">
        <v>8.2979999999999901E-2</v>
      </c>
      <c r="AE466" s="10">
        <v>7.9930000000000001E-2</v>
      </c>
      <c r="AF466" s="10">
        <v>2.564E-2</v>
      </c>
      <c r="AG466" s="10">
        <v>0.243499999999999</v>
      </c>
      <c r="AH466">
        <v>7.3929999999999899E-2</v>
      </c>
    </row>
    <row r="467" spans="3:34">
      <c r="C467" s="11" t="s">
        <v>679</v>
      </c>
      <c r="D467" s="10" t="s">
        <v>1</v>
      </c>
      <c r="E467" s="10">
        <v>13.71</v>
      </c>
      <c r="F467" s="10">
        <v>25.44</v>
      </c>
      <c r="G467" s="10">
        <v>48.34</v>
      </c>
      <c r="H467" s="10">
        <v>170.4</v>
      </c>
      <c r="I467" s="10">
        <v>8.6679999999999896E-2</v>
      </c>
      <c r="J467" s="10">
        <v>0.11990000000000001</v>
      </c>
      <c r="K467" s="10">
        <v>9.2520000000000005E-2</v>
      </c>
      <c r="L467" s="10">
        <v>1.36399999999999E-2</v>
      </c>
      <c r="M467" s="10">
        <v>0.20369999999999899</v>
      </c>
      <c r="N467" s="10">
        <v>7.7509999999999898E-2</v>
      </c>
      <c r="O467" s="10">
        <v>0.21959999999999899</v>
      </c>
      <c r="P467" s="10">
        <v>1.4790000000000001</v>
      </c>
      <c r="Q467" s="10">
        <v>1.4450000000000001</v>
      </c>
      <c r="R467" s="10">
        <v>11.73</v>
      </c>
      <c r="S467" s="10">
        <v>1.54699999999999E-2</v>
      </c>
      <c r="T467" s="10">
        <v>6.4570000000000002E-2</v>
      </c>
      <c r="U467" s="10">
        <v>9.2520000000000005E-2</v>
      </c>
      <c r="V467" s="10">
        <v>1.36399999999999E-2</v>
      </c>
      <c r="W467" s="10">
        <v>2.1049999999999899E-2</v>
      </c>
      <c r="X467" s="10">
        <v>7.5510000000000004E-3</v>
      </c>
      <c r="Y467" s="10">
        <v>8.6780000000000008</v>
      </c>
      <c r="Z467" s="10">
        <v>31.89</v>
      </c>
      <c r="AA467" s="10">
        <v>54.49</v>
      </c>
      <c r="AB467" s="10">
        <v>223.599999999999</v>
      </c>
      <c r="AC467" s="10">
        <v>0.15959999999999899</v>
      </c>
      <c r="AD467" s="10">
        <v>0.30640000000000001</v>
      </c>
      <c r="AE467" s="10">
        <v>0.33929999999999899</v>
      </c>
      <c r="AF467" s="10">
        <v>0.05</v>
      </c>
      <c r="AG467" s="10">
        <v>0.27900000000000003</v>
      </c>
      <c r="AH467">
        <v>0.1066</v>
      </c>
    </row>
    <row r="468" spans="3:34">
      <c r="C468" s="11" t="s">
        <v>407</v>
      </c>
      <c r="D468" s="10" t="s">
        <v>1</v>
      </c>
      <c r="E468" s="10">
        <v>13.71</v>
      </c>
      <c r="F468" s="10">
        <v>21.84</v>
      </c>
      <c r="G468" s="10">
        <v>87.159999999999897</v>
      </c>
      <c r="H468" s="10">
        <v>561</v>
      </c>
      <c r="I468" s="10">
        <v>7.9560000000000006E-2</v>
      </c>
      <c r="J468" s="10">
        <v>8.25899999999999E-2</v>
      </c>
      <c r="K468" s="10">
        <v>4.0719999999999902E-2</v>
      </c>
      <c r="L468" s="10">
        <v>2.1420000000000002E-2</v>
      </c>
      <c r="M468" s="10">
        <v>0.16350000000000001</v>
      </c>
      <c r="N468" s="10">
        <v>5.8590000000000003E-2</v>
      </c>
      <c r="O468" s="10">
        <v>0.33800000000000002</v>
      </c>
      <c r="P468" s="10">
        <v>1.9159999999999899</v>
      </c>
      <c r="Q468" s="10">
        <v>2.5910000000000002</v>
      </c>
      <c r="R468" s="10">
        <v>26.76</v>
      </c>
      <c r="S468" s="10">
        <v>5.4359999999999903E-3</v>
      </c>
      <c r="T468" s="10">
        <v>2.4060000000000002E-2</v>
      </c>
      <c r="U468" s="10">
        <v>3.099E-2</v>
      </c>
      <c r="V468" s="10">
        <v>9.9190000000000007E-3</v>
      </c>
      <c r="W468" s="10">
        <v>2.0299999999999901E-2</v>
      </c>
      <c r="X468" s="10">
        <v>3.009E-3</v>
      </c>
      <c r="Y468" s="10">
        <v>14.8</v>
      </c>
      <c r="Z468" s="10">
        <v>30.0399999999999</v>
      </c>
      <c r="AA468" s="10">
        <v>97.659999999999897</v>
      </c>
      <c r="AB468" s="10">
        <v>661.5</v>
      </c>
      <c r="AC468" s="10">
        <v>0.10050000000000001</v>
      </c>
      <c r="AD468" s="10">
        <v>0.17299999999999899</v>
      </c>
      <c r="AE468" s="10">
        <v>0.14530000000000001</v>
      </c>
      <c r="AF468" s="10">
        <v>6.1890000000000001E-2</v>
      </c>
      <c r="AG468" s="10">
        <v>0.24460000000000001</v>
      </c>
      <c r="AH468">
        <v>7.02399999999999E-2</v>
      </c>
    </row>
    <row r="469" spans="3:34">
      <c r="C469" s="11" t="s">
        <v>208</v>
      </c>
      <c r="D469" s="10" t="s">
        <v>1</v>
      </c>
      <c r="E469" s="10">
        <v>13.71</v>
      </c>
      <c r="F469" s="10">
        <v>17.329999999999899</v>
      </c>
      <c r="G469" s="10">
        <v>58.7899999999999</v>
      </c>
      <c r="H469" s="10">
        <v>250.5</v>
      </c>
      <c r="I469" s="10">
        <v>0.1066</v>
      </c>
      <c r="J469" s="10">
        <v>0.14130000000000001</v>
      </c>
      <c r="K469" s="10">
        <v>0.313</v>
      </c>
      <c r="L469" s="10">
        <v>4.37499999999999E-2</v>
      </c>
      <c r="M469" s="10">
        <v>0.21110000000000001</v>
      </c>
      <c r="N469" s="10">
        <v>8.0460000000000004E-2</v>
      </c>
      <c r="O469" s="10">
        <v>0.32740000000000002</v>
      </c>
      <c r="P469" s="10">
        <v>1.194</v>
      </c>
      <c r="Q469" s="10">
        <v>1.885</v>
      </c>
      <c r="R469" s="10">
        <v>17.670000000000002</v>
      </c>
      <c r="S469" s="10">
        <v>9.5490000000000002E-3</v>
      </c>
      <c r="T469" s="10">
        <v>8.60599999999999E-2</v>
      </c>
      <c r="U469" s="10">
        <v>0.30380000000000001</v>
      </c>
      <c r="V469" s="10">
        <v>3.322E-2</v>
      </c>
      <c r="W469" s="10">
        <v>4.197E-2</v>
      </c>
      <c r="X469" s="10">
        <v>9.5589999999999894E-3</v>
      </c>
      <c r="Y469" s="10">
        <v>10.31</v>
      </c>
      <c r="Z469" s="10">
        <v>22.649999999999899</v>
      </c>
      <c r="AA469" s="10">
        <v>65.5</v>
      </c>
      <c r="AB469" s="10">
        <v>324.69999999999902</v>
      </c>
      <c r="AC469" s="10">
        <v>0.1482</v>
      </c>
      <c r="AD469" s="10">
        <v>0.4365</v>
      </c>
      <c r="AE469" s="10">
        <v>1.252</v>
      </c>
      <c r="AF469" s="10">
        <v>0.17499999999999899</v>
      </c>
      <c r="AG469" s="10">
        <v>0.42280000000000001</v>
      </c>
      <c r="AH469">
        <v>0.11749999999999899</v>
      </c>
    </row>
    <row r="470" spans="3:34">
      <c r="C470" s="11" t="s">
        <v>286</v>
      </c>
      <c r="D470" s="10" t="s">
        <v>0</v>
      </c>
      <c r="E470" s="10">
        <v>13.71</v>
      </c>
      <c r="F470" s="10">
        <v>16.579999999999899</v>
      </c>
      <c r="G470" s="10">
        <v>78.989999999999895</v>
      </c>
      <c r="H470" s="10">
        <v>432</v>
      </c>
      <c r="I470" s="10">
        <v>0.1091</v>
      </c>
      <c r="J470" s="10">
        <v>0.17</v>
      </c>
      <c r="K470" s="10">
        <v>0.16589999999999899</v>
      </c>
      <c r="L470" s="10">
        <v>7.4149999999999897E-2</v>
      </c>
      <c r="M470" s="10">
        <v>0.26779999999999898</v>
      </c>
      <c r="N470" s="10">
        <v>7.3709999999999901E-2</v>
      </c>
      <c r="O470" s="10">
        <v>0.31969999999999898</v>
      </c>
      <c r="P470" s="10">
        <v>1.4259999999999899</v>
      </c>
      <c r="Q470" s="10">
        <v>2.2810000000000001</v>
      </c>
      <c r="R470" s="10">
        <v>24.719999999999899</v>
      </c>
      <c r="S470" s="10">
        <v>5.4270000000000004E-3</v>
      </c>
      <c r="T470" s="10">
        <v>3.6330000000000001E-2</v>
      </c>
      <c r="U470" s="10">
        <v>4.6489999999999899E-2</v>
      </c>
      <c r="V470" s="10">
        <v>1.8429999999999901E-2</v>
      </c>
      <c r="W470" s="10">
        <v>5.62799999999999E-2</v>
      </c>
      <c r="X470" s="10">
        <v>4.6350000000000002E-3</v>
      </c>
      <c r="Y470" s="10">
        <v>13.74</v>
      </c>
      <c r="Z470" s="10">
        <v>26.3799999999999</v>
      </c>
      <c r="AA470" s="10">
        <v>91.93</v>
      </c>
      <c r="AB470" s="10">
        <v>591.70000000000005</v>
      </c>
      <c r="AC470" s="10">
        <v>0.13850000000000001</v>
      </c>
      <c r="AD470" s="10">
        <v>0.40920000000000001</v>
      </c>
      <c r="AE470" s="10">
        <v>0.45040000000000002</v>
      </c>
      <c r="AF470" s="10">
        <v>0.1865</v>
      </c>
      <c r="AG470" s="10">
        <v>0.57740000000000002</v>
      </c>
      <c r="AH470">
        <v>0.102999999999999</v>
      </c>
    </row>
    <row r="471" spans="3:34">
      <c r="C471" s="11" t="s">
        <v>279</v>
      </c>
      <c r="D471" s="10" t="s">
        <v>1</v>
      </c>
      <c r="E471" s="10">
        <v>13.71</v>
      </c>
      <c r="F471" s="10">
        <v>13.39</v>
      </c>
      <c r="G471" s="10">
        <v>73</v>
      </c>
      <c r="H471" s="10">
        <v>384.8</v>
      </c>
      <c r="I471" s="10">
        <v>0.1164</v>
      </c>
      <c r="J471" s="10">
        <v>0.11360000000000001</v>
      </c>
      <c r="K471" s="10">
        <v>4.6350000000000002E-2</v>
      </c>
      <c r="L471" s="10">
        <v>4.7960000000000003E-2</v>
      </c>
      <c r="M471" s="10">
        <v>0.17710000000000001</v>
      </c>
      <c r="N471" s="10">
        <v>6.0720000000000003E-2</v>
      </c>
      <c r="O471" s="10">
        <v>0.33839999999999898</v>
      </c>
      <c r="P471" s="10">
        <v>1.343</v>
      </c>
      <c r="Q471" s="10">
        <v>1.851</v>
      </c>
      <c r="R471" s="10">
        <v>26.329999999999899</v>
      </c>
      <c r="S471" s="10">
        <v>1.1270000000000001E-2</v>
      </c>
      <c r="T471" s="10">
        <v>3.49799999999999E-2</v>
      </c>
      <c r="U471" s="10">
        <v>2.1870000000000001E-2</v>
      </c>
      <c r="V471" s="10">
        <v>1.9650000000000001E-2</v>
      </c>
      <c r="W471" s="10">
        <v>1.5800000000000002E-2</v>
      </c>
      <c r="X471" s="10">
        <v>3.4420000000000002E-3</v>
      </c>
      <c r="Y471" s="10">
        <v>11.92</v>
      </c>
      <c r="Z471" s="10">
        <v>15.77</v>
      </c>
      <c r="AA471" s="10">
        <v>76.53</v>
      </c>
      <c r="AB471" s="10">
        <v>434</v>
      </c>
      <c r="AC471" s="10">
        <v>0.13669999999999899</v>
      </c>
      <c r="AD471" s="10">
        <v>0.1822</v>
      </c>
      <c r="AE471" s="10">
        <v>8.6690000000000003E-2</v>
      </c>
      <c r="AF471" s="10">
        <v>8.6110000000000006E-2</v>
      </c>
      <c r="AG471" s="10">
        <v>0.2102</v>
      </c>
      <c r="AH471">
        <v>6.78399999999999E-2</v>
      </c>
    </row>
    <row r="472" spans="3:34">
      <c r="C472" s="11" t="s">
        <v>558</v>
      </c>
      <c r="D472" s="10" t="s">
        <v>1</v>
      </c>
      <c r="E472" s="10">
        <v>13.71</v>
      </c>
      <c r="F472" s="10">
        <v>12.17</v>
      </c>
      <c r="G472" s="10">
        <v>80.879999999999896</v>
      </c>
      <c r="H472" s="10">
        <v>495</v>
      </c>
      <c r="I472" s="10">
        <v>8.78499999999999E-2</v>
      </c>
      <c r="J472" s="10">
        <v>5.7939999999999901E-2</v>
      </c>
      <c r="K472" s="10">
        <v>2.3599999999999899E-2</v>
      </c>
      <c r="L472" s="10">
        <v>2.402E-2</v>
      </c>
      <c r="M472" s="10">
        <v>0.1583</v>
      </c>
      <c r="N472" s="10">
        <v>6.275E-2</v>
      </c>
      <c r="O472" s="10">
        <v>0.2253</v>
      </c>
      <c r="P472" s="10">
        <v>0.64570000000000005</v>
      </c>
      <c r="Q472" s="10">
        <v>1.5269999999999899</v>
      </c>
      <c r="R472" s="10">
        <v>17.37</v>
      </c>
      <c r="S472" s="10">
        <v>6.1310000000000002E-3</v>
      </c>
      <c r="T472" s="10">
        <v>1.2630000000000001E-2</v>
      </c>
      <c r="U472" s="10">
        <v>9.0749999999999893E-3</v>
      </c>
      <c r="V472" s="10">
        <v>8.2310000000000005E-3</v>
      </c>
      <c r="W472" s="10">
        <v>1.7129999999999899E-2</v>
      </c>
      <c r="X472" s="10">
        <v>4.4140000000000004E-3</v>
      </c>
      <c r="Y472" s="10">
        <v>13.65</v>
      </c>
      <c r="Z472" s="10">
        <v>16.920000000000002</v>
      </c>
      <c r="AA472" s="10">
        <v>88.12</v>
      </c>
      <c r="AB472" s="10">
        <v>566.89999999999895</v>
      </c>
      <c r="AC472" s="10">
        <v>0.13139999999999899</v>
      </c>
      <c r="AD472" s="10">
        <v>0.16070000000000001</v>
      </c>
      <c r="AE472" s="10">
        <v>9.3850000000000003E-2</v>
      </c>
      <c r="AF472" s="10">
        <v>8.2239999999999897E-2</v>
      </c>
      <c r="AG472" s="10">
        <v>0.27750000000000002</v>
      </c>
      <c r="AH472">
        <v>9.4640000000000002E-2</v>
      </c>
    </row>
    <row r="473" spans="3:34">
      <c r="C473" s="11" t="s">
        <v>226</v>
      </c>
      <c r="D473" s="10" t="s">
        <v>0</v>
      </c>
      <c r="E473" s="10">
        <v>13.71</v>
      </c>
      <c r="F473" s="10">
        <v>21.46</v>
      </c>
      <c r="G473" s="10">
        <v>94.25</v>
      </c>
      <c r="H473" s="10">
        <v>648.20000000000005</v>
      </c>
      <c r="I473" s="10">
        <v>9.4439999999999899E-2</v>
      </c>
      <c r="J473" s="10">
        <v>9.9470000000000003E-2</v>
      </c>
      <c r="K473" s="10">
        <v>0.12039999999999899</v>
      </c>
      <c r="L473" s="10">
        <v>4.938E-2</v>
      </c>
      <c r="M473" s="10">
        <v>0.20749999999999899</v>
      </c>
      <c r="N473" s="10">
        <v>5.636E-2</v>
      </c>
      <c r="O473" s="10">
        <v>0.4204</v>
      </c>
      <c r="P473" s="10">
        <v>2.2200000000000002</v>
      </c>
      <c r="Q473" s="10">
        <v>3.3010000000000002</v>
      </c>
      <c r="R473" s="10">
        <v>38.869999999999898</v>
      </c>
      <c r="S473" s="10">
        <v>9.3690000000000006E-3</v>
      </c>
      <c r="T473" s="10">
        <v>2.9829999999999902E-2</v>
      </c>
      <c r="U473" s="10">
        <v>5.3710000000000001E-2</v>
      </c>
      <c r="V473" s="10">
        <v>1.7610000000000001E-2</v>
      </c>
      <c r="W473" s="10">
        <v>2.418E-2</v>
      </c>
      <c r="X473" s="10">
        <v>3.2490000000000002E-3</v>
      </c>
      <c r="Y473" s="10">
        <v>16.21</v>
      </c>
      <c r="Z473" s="10">
        <v>29.25</v>
      </c>
      <c r="AA473" s="10">
        <v>108.4</v>
      </c>
      <c r="AB473" s="10">
        <v>808.89999999999895</v>
      </c>
      <c r="AC473" s="10">
        <v>0.13059999999999899</v>
      </c>
      <c r="AD473" s="10">
        <v>0.1976</v>
      </c>
      <c r="AE473" s="10">
        <v>0.33489999999999898</v>
      </c>
      <c r="AF473" s="10">
        <v>0.1225</v>
      </c>
      <c r="AG473" s="10">
        <v>0.30199999999999899</v>
      </c>
      <c r="AH473">
        <v>6.8459999999999896E-2</v>
      </c>
    </row>
    <row r="474" spans="3:34">
      <c r="C474" s="11" t="s">
        <v>549</v>
      </c>
      <c r="D474" s="10" t="s">
        <v>1</v>
      </c>
      <c r="E474" s="10">
        <v>13.71</v>
      </c>
      <c r="F474" s="10">
        <v>17.920000000000002</v>
      </c>
      <c r="G474" s="10">
        <v>78.409999999999897</v>
      </c>
      <c r="H474" s="10">
        <v>466.1</v>
      </c>
      <c r="I474" s="10">
        <v>8.68499999999999E-2</v>
      </c>
      <c r="J474" s="10">
        <v>6.5259999999999901E-2</v>
      </c>
      <c r="K474" s="10">
        <v>3.211E-2</v>
      </c>
      <c r="L474" s="10">
        <v>2.6530000000000001E-2</v>
      </c>
      <c r="M474" s="10">
        <v>0.1966</v>
      </c>
      <c r="N474" s="10">
        <v>5.5969999999999902E-2</v>
      </c>
      <c r="O474" s="10">
        <v>0.3342</v>
      </c>
      <c r="P474" s="10">
        <v>1.7809999999999899</v>
      </c>
      <c r="Q474" s="10">
        <v>2.0790000000000002</v>
      </c>
      <c r="R474" s="10">
        <v>25.7899999999999</v>
      </c>
      <c r="S474" s="10">
        <v>5.888E-3</v>
      </c>
      <c r="T474" s="10">
        <v>2.3099999999999898E-2</v>
      </c>
      <c r="U474" s="10">
        <v>2.0590000000000001E-2</v>
      </c>
      <c r="V474" s="10">
        <v>1.07499999999999E-2</v>
      </c>
      <c r="W474" s="10">
        <v>2.5780000000000001E-2</v>
      </c>
      <c r="X474" s="10">
        <v>2.2669999999999899E-3</v>
      </c>
      <c r="Y474" s="10">
        <v>14.1</v>
      </c>
      <c r="Z474" s="10">
        <v>28.8799999999999</v>
      </c>
      <c r="AA474" s="10">
        <v>89</v>
      </c>
      <c r="AB474" s="10">
        <v>610.20000000000005</v>
      </c>
      <c r="AC474" s="10">
        <v>0.124</v>
      </c>
      <c r="AD474" s="10">
        <v>0.17949999999999899</v>
      </c>
      <c r="AE474" s="10">
        <v>0.13769999999999899</v>
      </c>
      <c r="AF474" s="10">
        <v>9.5320000000000002E-2</v>
      </c>
      <c r="AG474" s="10">
        <v>0.34549999999999897</v>
      </c>
      <c r="AH474">
        <v>6.8959999999999896E-2</v>
      </c>
    </row>
    <row r="475" spans="3:34">
      <c r="C475" s="11" t="s">
        <v>330</v>
      </c>
      <c r="D475" s="10" t="s">
        <v>0</v>
      </c>
      <c r="E475" s="10">
        <v>13.71</v>
      </c>
      <c r="F475" s="10">
        <v>23.12</v>
      </c>
      <c r="G475" s="10">
        <v>94.37</v>
      </c>
      <c r="H475" s="10">
        <v>609.89999999999895</v>
      </c>
      <c r="I475" s="10">
        <v>0.1075</v>
      </c>
      <c r="J475" s="10">
        <v>0.24129999999999899</v>
      </c>
      <c r="K475" s="10">
        <v>0.1981</v>
      </c>
      <c r="L475" s="10">
        <v>6.6180000000000003E-2</v>
      </c>
      <c r="M475" s="10">
        <v>0.2384</v>
      </c>
      <c r="N475" s="10">
        <v>7.5420000000000001E-2</v>
      </c>
      <c r="O475" s="10">
        <v>0.28599999999999898</v>
      </c>
      <c r="P475" s="10">
        <v>2.1099999999999901</v>
      </c>
      <c r="Q475" s="10">
        <v>2.1120000000000001</v>
      </c>
      <c r="R475" s="10">
        <v>31.719999999999899</v>
      </c>
      <c r="S475" s="10">
        <v>7.9699999999999892E-3</v>
      </c>
      <c r="T475" s="10">
        <v>0.13539999999999899</v>
      </c>
      <c r="U475" s="10">
        <v>0.1166</v>
      </c>
      <c r="V475" s="10">
        <v>1.6660000000000001E-2</v>
      </c>
      <c r="W475" s="10">
        <v>5.1130000000000002E-2</v>
      </c>
      <c r="X475" s="10">
        <v>1.172E-2</v>
      </c>
      <c r="Y475" s="10">
        <v>15.74</v>
      </c>
      <c r="Z475" s="10">
        <v>37.18</v>
      </c>
      <c r="AA475" s="10">
        <v>106.4</v>
      </c>
      <c r="AB475" s="10">
        <v>762.39999999999895</v>
      </c>
      <c r="AC475" s="10">
        <v>0.15329999999999899</v>
      </c>
      <c r="AD475" s="10">
        <v>0.93269999999999897</v>
      </c>
      <c r="AE475" s="10">
        <v>0.8488</v>
      </c>
      <c r="AF475" s="10">
        <v>0.1772</v>
      </c>
      <c r="AG475" s="10">
        <v>0.51659999999999895</v>
      </c>
      <c r="AH475">
        <v>0.14460000000000001</v>
      </c>
    </row>
    <row r="476" spans="3:34">
      <c r="C476" s="11" t="s">
        <v>446</v>
      </c>
      <c r="D476" s="10" t="s">
        <v>1</v>
      </c>
      <c r="E476" s="10">
        <v>13.71</v>
      </c>
      <c r="F476" s="10">
        <v>15.82</v>
      </c>
      <c r="G476" s="10">
        <v>84.069999999999894</v>
      </c>
      <c r="H476" s="10">
        <v>537.29999999999905</v>
      </c>
      <c r="I476" s="10">
        <v>8.5110000000000005E-2</v>
      </c>
      <c r="J476" s="10">
        <v>5.2510000000000001E-2</v>
      </c>
      <c r="K476" s="10">
        <v>1.4610000000000001E-3</v>
      </c>
      <c r="L476" s="10">
        <v>3.261E-3</v>
      </c>
      <c r="M476" s="10">
        <v>0.16320000000000001</v>
      </c>
      <c r="N476" s="10">
        <v>5.8939999999999902E-2</v>
      </c>
      <c r="O476" s="10">
        <v>0.1903</v>
      </c>
      <c r="P476" s="10">
        <v>0.57350000000000001</v>
      </c>
      <c r="Q476" s="10">
        <v>1.204</v>
      </c>
      <c r="R476" s="10">
        <v>15.5</v>
      </c>
      <c r="S476" s="10">
        <v>3.6319999999999898E-3</v>
      </c>
      <c r="T476" s="10">
        <v>7.8609999999999895E-3</v>
      </c>
      <c r="U476" s="10">
        <v>1.1280000000000001E-3</v>
      </c>
      <c r="V476" s="10">
        <v>2.3860000000000001E-3</v>
      </c>
      <c r="W476" s="10">
        <v>1.3440000000000001E-2</v>
      </c>
      <c r="X476" s="10">
        <v>2.5850000000000001E-3</v>
      </c>
      <c r="Y476" s="10">
        <v>14.41</v>
      </c>
      <c r="Z476" s="10">
        <v>20.4499999999999</v>
      </c>
      <c r="AA476" s="10">
        <v>92</v>
      </c>
      <c r="AB476" s="10">
        <v>636.89999999999895</v>
      </c>
      <c r="AC476" s="10">
        <v>0.1128</v>
      </c>
      <c r="AD476" s="10">
        <v>0.1346</v>
      </c>
      <c r="AE476" s="10">
        <v>1.12E-2</v>
      </c>
      <c r="AF476" s="10">
        <v>2.5000000000000001E-2</v>
      </c>
      <c r="AG476" s="10">
        <v>0.2651</v>
      </c>
      <c r="AH476">
        <v>8.3849999999999897E-2</v>
      </c>
    </row>
    <row r="477" spans="3:34">
      <c r="C477" s="11" t="s">
        <v>626</v>
      </c>
      <c r="D477" s="10" t="s">
        <v>1</v>
      </c>
      <c r="E477" s="10">
        <v>13.71</v>
      </c>
      <c r="F477" s="10">
        <v>16.850000000000001</v>
      </c>
      <c r="G477" s="10">
        <v>94.209999999999894</v>
      </c>
      <c r="H477" s="10">
        <v>666</v>
      </c>
      <c r="I477" s="10">
        <v>8.6410000000000001E-2</v>
      </c>
      <c r="J477" s="10">
        <v>6.6979999999999901E-2</v>
      </c>
      <c r="K477" s="10">
        <v>5.1920000000000001E-2</v>
      </c>
      <c r="L477" s="10">
        <v>2.7910000000000001E-2</v>
      </c>
      <c r="M477" s="10">
        <v>0.1409</v>
      </c>
      <c r="N477" s="10">
        <v>5.355E-2</v>
      </c>
      <c r="O477" s="10">
        <v>0.22040000000000001</v>
      </c>
      <c r="P477" s="10">
        <v>1.006</v>
      </c>
      <c r="Q477" s="10">
        <v>1.4710000000000001</v>
      </c>
      <c r="R477" s="10">
        <v>19.98</v>
      </c>
      <c r="S477" s="10">
        <v>3.53499999999999E-3</v>
      </c>
      <c r="T477" s="10">
        <v>1.393E-2</v>
      </c>
      <c r="U477" s="10">
        <v>1.7999999999999901E-2</v>
      </c>
      <c r="V477" s="10">
        <v>6.1440000000000002E-3</v>
      </c>
      <c r="W477" s="10">
        <v>1.2540000000000001E-2</v>
      </c>
      <c r="X477" s="10">
        <v>1.219E-3</v>
      </c>
      <c r="Y477" s="10">
        <v>16.46</v>
      </c>
      <c r="Z477" s="10">
        <v>25.44</v>
      </c>
      <c r="AA477" s="10">
        <v>106</v>
      </c>
      <c r="AB477" s="10">
        <v>831</v>
      </c>
      <c r="AC477" s="10">
        <v>0.1142</v>
      </c>
      <c r="AD477" s="10">
        <v>0.20699999999999899</v>
      </c>
      <c r="AE477" s="10">
        <v>0.2437</v>
      </c>
      <c r="AF477" s="10">
        <v>7.8280000000000002E-2</v>
      </c>
      <c r="AG477" s="10">
        <v>0.2455</v>
      </c>
      <c r="AH477">
        <v>6.5960000000000005E-2</v>
      </c>
    </row>
    <row r="478" spans="3:34">
      <c r="C478" s="11" t="s">
        <v>452</v>
      </c>
      <c r="D478" s="10" t="s">
        <v>1</v>
      </c>
      <c r="E478" s="10">
        <v>13.71</v>
      </c>
      <c r="F478" s="10">
        <v>13.3699999999999</v>
      </c>
      <c r="G478" s="10">
        <v>82.29</v>
      </c>
      <c r="H478" s="10">
        <v>504.1</v>
      </c>
      <c r="I478" s="10">
        <v>8.7940000000000004E-2</v>
      </c>
      <c r="J478" s="10">
        <v>7.9479999999999898E-2</v>
      </c>
      <c r="K478" s="10">
        <v>4.052E-2</v>
      </c>
      <c r="L478" s="10">
        <v>2.5479999999999899E-2</v>
      </c>
      <c r="M478" s="10">
        <v>0.16009999999999899</v>
      </c>
      <c r="N478" s="10">
        <v>6.1400000000000003E-2</v>
      </c>
      <c r="O478" s="10">
        <v>0.32650000000000001</v>
      </c>
      <c r="P478" s="10">
        <v>0.65939999999999899</v>
      </c>
      <c r="Q478" s="10">
        <v>2.3460000000000001</v>
      </c>
      <c r="R478" s="10">
        <v>25.18</v>
      </c>
      <c r="S478" s="10">
        <v>6.4939999999999902E-3</v>
      </c>
      <c r="T478" s="10">
        <v>2.768E-2</v>
      </c>
      <c r="U478" s="10">
        <v>3.1370000000000002E-2</v>
      </c>
      <c r="V478" s="10">
        <v>1.069E-2</v>
      </c>
      <c r="W478" s="10">
        <v>1.7309999999999898E-2</v>
      </c>
      <c r="X478" s="10">
        <v>4.3920000000000001E-3</v>
      </c>
      <c r="Y478" s="10">
        <v>14.19</v>
      </c>
      <c r="Z478" s="10">
        <v>16.399999999999899</v>
      </c>
      <c r="AA478" s="10">
        <v>92.04</v>
      </c>
      <c r="AB478" s="10">
        <v>618.79999999999905</v>
      </c>
      <c r="AC478" s="10">
        <v>0.11940000000000001</v>
      </c>
      <c r="AD478" s="10">
        <v>0.2208</v>
      </c>
      <c r="AE478" s="10">
        <v>0.1769</v>
      </c>
      <c r="AF478" s="10">
        <v>8.4110000000000004E-2</v>
      </c>
      <c r="AG478" s="10">
        <v>0.25640000000000002</v>
      </c>
      <c r="AH478">
        <v>8.2530000000000006E-2</v>
      </c>
    </row>
    <row r="479" spans="3:34">
      <c r="C479" s="11" t="s">
        <v>501</v>
      </c>
      <c r="D479" s="10" t="s">
        <v>1</v>
      </c>
      <c r="E479" s="10">
        <v>13.71</v>
      </c>
      <c r="F479" s="10">
        <v>21.57</v>
      </c>
      <c r="G479" s="10">
        <v>85.239999999999895</v>
      </c>
      <c r="H479" s="10">
        <v>546.1</v>
      </c>
      <c r="I479" s="10">
        <v>8.5819999999999896E-2</v>
      </c>
      <c r="J479" s="10">
        <v>6.3729999999999898E-2</v>
      </c>
      <c r="K479" s="10">
        <v>3.34399999999999E-2</v>
      </c>
      <c r="L479" s="10">
        <v>2.4240000000000001E-2</v>
      </c>
      <c r="M479" s="10">
        <v>0.181499999999999</v>
      </c>
      <c r="N479" s="10">
        <v>5.69599999999999E-2</v>
      </c>
      <c r="O479" s="10">
        <v>0.2621</v>
      </c>
      <c r="P479" s="10">
        <v>1.5389999999999899</v>
      </c>
      <c r="Q479" s="10">
        <v>2.028</v>
      </c>
      <c r="R479" s="10">
        <v>20.98</v>
      </c>
      <c r="S479" s="10">
        <v>5.4980000000000003E-3</v>
      </c>
      <c r="T479" s="10">
        <v>2.0449999999999899E-2</v>
      </c>
      <c r="U479" s="10">
        <v>1.7950000000000001E-2</v>
      </c>
      <c r="V479" s="10">
        <v>6.3990000000000002E-3</v>
      </c>
      <c r="W479" s="10">
        <v>1.8290000000000001E-2</v>
      </c>
      <c r="X479" s="10">
        <v>1.9559999999999899E-3</v>
      </c>
      <c r="Y479" s="10">
        <v>14.1999999999999</v>
      </c>
      <c r="Z479" s="10">
        <v>29.1999999999999</v>
      </c>
      <c r="AA479" s="10">
        <v>92.939999999999898</v>
      </c>
      <c r="AB479" s="10">
        <v>621.20000000000005</v>
      </c>
      <c r="AC479" s="10">
        <v>0.114</v>
      </c>
      <c r="AD479" s="10">
        <v>0.16669999999999899</v>
      </c>
      <c r="AE479" s="10">
        <v>0.1212</v>
      </c>
      <c r="AF479" s="10">
        <v>5.6140000000000002E-2</v>
      </c>
      <c r="AG479" s="10">
        <v>0.26369999999999899</v>
      </c>
      <c r="AH479">
        <v>6.658E-2</v>
      </c>
    </row>
    <row r="480" spans="3:34">
      <c r="C480" s="11" t="s">
        <v>183</v>
      </c>
      <c r="D480" s="10" t="s">
        <v>0</v>
      </c>
      <c r="E480" s="10">
        <v>13.71</v>
      </c>
      <c r="F480" s="10">
        <v>20.28</v>
      </c>
      <c r="G480" s="10">
        <v>87.319999999999894</v>
      </c>
      <c r="H480" s="10">
        <v>545.20000000000005</v>
      </c>
      <c r="I480" s="10">
        <v>0.1041</v>
      </c>
      <c r="J480" s="10">
        <v>0.14360000000000001</v>
      </c>
      <c r="K480" s="10">
        <v>9.8470000000000002E-2</v>
      </c>
      <c r="L480" s="10">
        <v>6.1580000000000003E-2</v>
      </c>
      <c r="M480" s="10">
        <v>0.19739999999999899</v>
      </c>
      <c r="N480" s="10">
        <v>6.7820000000000005E-2</v>
      </c>
      <c r="O480" s="10">
        <v>0.37040000000000001</v>
      </c>
      <c r="P480" s="10">
        <v>0.82489999999999897</v>
      </c>
      <c r="Q480" s="10">
        <v>2.427</v>
      </c>
      <c r="R480" s="10">
        <v>31.329999999999899</v>
      </c>
      <c r="S480" s="10">
        <v>5.0720000000000001E-3</v>
      </c>
      <c r="T480" s="10">
        <v>2.147E-2</v>
      </c>
      <c r="U480" s="10">
        <v>2.1850000000000001E-2</v>
      </c>
      <c r="V480" s="10">
        <v>9.5600000000000008E-3</v>
      </c>
      <c r="W480" s="10">
        <v>1.719E-2</v>
      </c>
      <c r="X480" s="10">
        <v>3.3170000000000001E-3</v>
      </c>
      <c r="Y480" s="10">
        <v>17.3799999999999</v>
      </c>
      <c r="Z480" s="10">
        <v>28</v>
      </c>
      <c r="AA480" s="10">
        <v>113.099999999999</v>
      </c>
      <c r="AB480" s="10">
        <v>907.2</v>
      </c>
      <c r="AC480" s="10">
        <v>0.153</v>
      </c>
      <c r="AD480" s="10">
        <v>0.37240000000000001</v>
      </c>
      <c r="AE480" s="10">
        <v>0.3664</v>
      </c>
      <c r="AF480" s="10">
        <v>0.1492</v>
      </c>
      <c r="AG480" s="10">
        <v>0.37390000000000001</v>
      </c>
      <c r="AH480">
        <v>0.1027</v>
      </c>
    </row>
    <row r="481" spans="3:34">
      <c r="C481" s="11" t="s">
        <v>398</v>
      </c>
      <c r="D481" s="10" t="s">
        <v>0</v>
      </c>
      <c r="E481" s="10">
        <v>13.71</v>
      </c>
      <c r="F481" s="10">
        <v>23.1999999999999</v>
      </c>
      <c r="G481" s="10">
        <v>110.2</v>
      </c>
      <c r="H481" s="10">
        <v>773.5</v>
      </c>
      <c r="I481" s="10">
        <v>0.1109</v>
      </c>
      <c r="J481" s="10">
        <v>0.31140000000000001</v>
      </c>
      <c r="K481" s="10">
        <v>0.31759999999999899</v>
      </c>
      <c r="L481" s="10">
        <v>0.13769999999999899</v>
      </c>
      <c r="M481" s="10">
        <v>0.2495</v>
      </c>
      <c r="N481" s="10">
        <v>8.1040000000000001E-2</v>
      </c>
      <c r="O481" s="10">
        <v>1.292</v>
      </c>
      <c r="P481" s="10">
        <v>2.4540000000000002</v>
      </c>
      <c r="Q481" s="10">
        <v>10.1199999999999</v>
      </c>
      <c r="R481" s="10">
        <v>138.5</v>
      </c>
      <c r="S481" s="10">
        <v>1.2359999999999901E-2</v>
      </c>
      <c r="T481" s="10">
        <v>5.9950000000000003E-2</v>
      </c>
      <c r="U481" s="10">
        <v>8.2320000000000004E-2</v>
      </c>
      <c r="V481" s="10">
        <v>3.024E-2</v>
      </c>
      <c r="W481" s="10">
        <v>2.3369999999999901E-2</v>
      </c>
      <c r="X481" s="10">
        <v>6.0419999999999901E-3</v>
      </c>
      <c r="Y481" s="10">
        <v>19.850000000000001</v>
      </c>
      <c r="Z481" s="10">
        <v>31.64</v>
      </c>
      <c r="AA481" s="10">
        <v>143.69999999999899</v>
      </c>
      <c r="AB481" s="10">
        <v>1226</v>
      </c>
      <c r="AC481" s="10">
        <v>0.15040000000000001</v>
      </c>
      <c r="AD481" s="10">
        <v>0.51719999999999899</v>
      </c>
      <c r="AE481" s="10">
        <v>0.61809999999999898</v>
      </c>
      <c r="AF481" s="10">
        <v>0.2462</v>
      </c>
      <c r="AG481" s="10">
        <v>0.32769999999999899</v>
      </c>
      <c r="AH481">
        <v>0.1019</v>
      </c>
    </row>
    <row r="482" spans="3:34">
      <c r="C482" s="11" t="s">
        <v>315</v>
      </c>
      <c r="D482" s="10" t="s">
        <v>1</v>
      </c>
      <c r="E482" s="10">
        <v>13.71</v>
      </c>
      <c r="F482" s="10">
        <v>14.4499999999999</v>
      </c>
      <c r="G482" s="10">
        <v>54.42</v>
      </c>
      <c r="H482" s="10">
        <v>227.19999999999899</v>
      </c>
      <c r="I482" s="10">
        <v>9.1380000000000003E-2</v>
      </c>
      <c r="J482" s="10">
        <v>4.2759999999999902E-2</v>
      </c>
      <c r="K482" s="10">
        <v>0</v>
      </c>
      <c r="L482" s="10">
        <v>0</v>
      </c>
      <c r="M482" s="10">
        <v>0.17219999999999899</v>
      </c>
      <c r="N482" s="10">
        <v>6.7239999999999897E-2</v>
      </c>
      <c r="O482" s="10">
        <v>0.22040000000000001</v>
      </c>
      <c r="P482" s="10">
        <v>0.7873</v>
      </c>
      <c r="Q482" s="10">
        <v>1.4350000000000001</v>
      </c>
      <c r="R482" s="10">
        <v>11.3599999999999</v>
      </c>
      <c r="S482" s="10">
        <v>9.1719999999999892E-3</v>
      </c>
      <c r="T482" s="10">
        <v>8.0070000000000002E-3</v>
      </c>
      <c r="U482" s="10">
        <v>0</v>
      </c>
      <c r="V482" s="10">
        <v>0</v>
      </c>
      <c r="W482" s="10">
        <v>2.7109999999999902E-2</v>
      </c>
      <c r="X482" s="10">
        <v>3.3990000000000001E-3</v>
      </c>
      <c r="Y482" s="10">
        <v>9.2620000000000005</v>
      </c>
      <c r="Z482" s="10">
        <v>17.0399999999999</v>
      </c>
      <c r="AA482" s="10">
        <v>58.3599999999999</v>
      </c>
      <c r="AB482" s="10">
        <v>259.19999999999902</v>
      </c>
      <c r="AC482" s="10">
        <v>0.1162</v>
      </c>
      <c r="AD482" s="10">
        <v>7.0569999999999897E-2</v>
      </c>
      <c r="AE482" s="10">
        <v>0</v>
      </c>
      <c r="AF482" s="10">
        <v>0</v>
      </c>
      <c r="AG482" s="10">
        <v>0.25919999999999899</v>
      </c>
      <c r="AH482">
        <v>7.8479999999999897E-2</v>
      </c>
    </row>
    <row r="483" spans="3:34">
      <c r="C483" s="11" t="s">
        <v>397</v>
      </c>
      <c r="D483" s="10" t="s">
        <v>0</v>
      </c>
      <c r="E483" s="10">
        <v>13.71</v>
      </c>
      <c r="F483" s="10">
        <v>17.27</v>
      </c>
      <c r="G483" s="10">
        <v>103.2</v>
      </c>
      <c r="H483" s="10">
        <v>713.29999999999905</v>
      </c>
      <c r="I483" s="10">
        <v>0.13350000000000001</v>
      </c>
      <c r="J483" s="10">
        <v>0.22839999999999899</v>
      </c>
      <c r="K483" s="10">
        <v>0.24479999999999899</v>
      </c>
      <c r="L483" s="10">
        <v>0.1242</v>
      </c>
      <c r="M483" s="10">
        <v>0.23980000000000001</v>
      </c>
      <c r="N483" s="10">
        <v>7.596E-2</v>
      </c>
      <c r="O483" s="10">
        <v>0.65920000000000001</v>
      </c>
      <c r="P483" s="10">
        <v>1.0589999999999899</v>
      </c>
      <c r="Q483" s="10">
        <v>4.0609999999999902</v>
      </c>
      <c r="R483" s="10">
        <v>59.46</v>
      </c>
      <c r="S483" s="10">
        <v>1.01499999999999E-2</v>
      </c>
      <c r="T483" s="10">
        <v>4.58799999999999E-2</v>
      </c>
      <c r="U483" s="10">
        <v>4.9829999999999902E-2</v>
      </c>
      <c r="V483" s="10">
        <v>2.1270000000000001E-2</v>
      </c>
      <c r="W483" s="10">
        <v>1.8839999999999898E-2</v>
      </c>
      <c r="X483" s="10">
        <v>8.6599999999999906E-3</v>
      </c>
      <c r="Y483" s="10">
        <v>17.73</v>
      </c>
      <c r="Z483" s="10">
        <v>22.66</v>
      </c>
      <c r="AA483" s="10">
        <v>119.8</v>
      </c>
      <c r="AB483" s="10">
        <v>928.79999999999905</v>
      </c>
      <c r="AC483" s="10">
        <v>0.17649999999999899</v>
      </c>
      <c r="AD483" s="10">
        <v>0.45029999999999898</v>
      </c>
      <c r="AE483" s="10">
        <v>0.44290000000000002</v>
      </c>
      <c r="AF483" s="10">
        <v>0.22289999999999899</v>
      </c>
      <c r="AG483" s="10">
        <v>0.32579999999999898</v>
      </c>
      <c r="AH483">
        <v>0.1191</v>
      </c>
    </row>
    <row r="484" spans="3:34">
      <c r="C484" s="11" t="s">
        <v>483</v>
      </c>
      <c r="D484" s="10" t="s">
        <v>0</v>
      </c>
      <c r="E484" s="10">
        <v>13.71</v>
      </c>
      <c r="F484" s="10">
        <v>21.68</v>
      </c>
      <c r="G484" s="10">
        <v>129.9</v>
      </c>
      <c r="H484" s="10">
        <v>1194</v>
      </c>
      <c r="I484" s="10">
        <v>9.7970000000000002E-2</v>
      </c>
      <c r="J484" s="10">
        <v>0.13389999999999899</v>
      </c>
      <c r="K484" s="10">
        <v>0.18629999999999899</v>
      </c>
      <c r="L484" s="10">
        <v>0.1103</v>
      </c>
      <c r="M484" s="10">
        <v>0.2082</v>
      </c>
      <c r="N484" s="10">
        <v>5.7149999999999902E-2</v>
      </c>
      <c r="O484" s="10">
        <v>0.62260000000000004</v>
      </c>
      <c r="P484" s="10">
        <v>2.28399999999999</v>
      </c>
      <c r="Q484" s="10">
        <v>5.173</v>
      </c>
      <c r="R484" s="10">
        <v>67.659999999999897</v>
      </c>
      <c r="S484" s="10">
        <v>4.7559999999999903E-3</v>
      </c>
      <c r="T484" s="10">
        <v>3.3680000000000002E-2</v>
      </c>
      <c r="U484" s="10">
        <v>4.3450000000000003E-2</v>
      </c>
      <c r="V484" s="10">
        <v>1.806E-2</v>
      </c>
      <c r="W484" s="10">
        <v>3.7560000000000003E-2</v>
      </c>
      <c r="X484" s="10">
        <v>3.2880000000000001E-3</v>
      </c>
      <c r="Y484" s="10">
        <v>22.75</v>
      </c>
      <c r="Z484" s="10">
        <v>34.659999999999897</v>
      </c>
      <c r="AA484" s="10">
        <v>157.599999999999</v>
      </c>
      <c r="AB484" s="10">
        <v>1540</v>
      </c>
      <c r="AC484" s="10">
        <v>0.12180000000000001</v>
      </c>
      <c r="AD484" s="10">
        <v>0.3458</v>
      </c>
      <c r="AE484" s="10">
        <v>0.47339999999999899</v>
      </c>
      <c r="AF484" s="10">
        <v>0.22550000000000001</v>
      </c>
      <c r="AG484" s="10">
        <v>0.40450000000000003</v>
      </c>
      <c r="AH484">
        <v>7.918E-2</v>
      </c>
    </row>
    <row r="485" spans="3:34">
      <c r="C485" s="11" t="s">
        <v>142</v>
      </c>
      <c r="D485" s="10" t="s">
        <v>0</v>
      </c>
      <c r="E485" s="10">
        <v>19.690000000000001</v>
      </c>
      <c r="F485" s="10">
        <v>21.25</v>
      </c>
      <c r="G485" s="10">
        <v>130</v>
      </c>
      <c r="H485" s="10">
        <v>1203</v>
      </c>
      <c r="I485" s="10">
        <v>0.1096</v>
      </c>
      <c r="J485" s="10">
        <v>0.15989999999999899</v>
      </c>
      <c r="K485" s="10">
        <v>0.19739999999999899</v>
      </c>
      <c r="L485" s="10">
        <v>0.12790000000000001</v>
      </c>
      <c r="M485" s="10">
        <v>0.2069</v>
      </c>
      <c r="N485" s="10">
        <v>5.9990000000000002E-2</v>
      </c>
      <c r="O485" s="10">
        <v>0.74560000000000004</v>
      </c>
      <c r="P485" s="10">
        <v>0.78690000000000004</v>
      </c>
      <c r="Q485" s="10">
        <v>4.585</v>
      </c>
      <c r="R485" s="10">
        <v>94.03</v>
      </c>
      <c r="S485" s="10">
        <v>6.1500000000000001E-3</v>
      </c>
      <c r="T485" s="10">
        <v>4.0059999999999901E-2</v>
      </c>
      <c r="U485" s="10">
        <v>3.832E-2</v>
      </c>
      <c r="V485" s="10">
        <v>2.0580000000000001E-2</v>
      </c>
      <c r="W485" s="10">
        <v>2.2499999999999899E-2</v>
      </c>
      <c r="X485" s="10">
        <v>4.5710000000000004E-3</v>
      </c>
      <c r="Y485" s="10">
        <v>23.57</v>
      </c>
      <c r="Z485" s="10">
        <v>25.53</v>
      </c>
      <c r="AA485" s="10">
        <v>152.5</v>
      </c>
      <c r="AB485" s="10">
        <v>1709</v>
      </c>
      <c r="AC485" s="10">
        <v>0.1444</v>
      </c>
      <c r="AD485" s="10">
        <v>0.42449999999999899</v>
      </c>
      <c r="AE485" s="10">
        <v>0.45040000000000002</v>
      </c>
      <c r="AF485" s="10">
        <v>0.24299999999999899</v>
      </c>
      <c r="AG485" s="10">
        <v>0.36130000000000001</v>
      </c>
      <c r="AH485">
        <v>8.7580000000000005E-2</v>
      </c>
    </row>
    <row r="486" spans="3:34">
      <c r="C486" s="11" t="s">
        <v>651</v>
      </c>
      <c r="D486" s="10" t="s">
        <v>1</v>
      </c>
      <c r="E486" s="10">
        <v>13.71</v>
      </c>
      <c r="F486" s="10">
        <v>14.6999999999999</v>
      </c>
      <c r="G486" s="10">
        <v>94.659999999999897</v>
      </c>
      <c r="H486" s="10">
        <v>680.7</v>
      </c>
      <c r="I486" s="10">
        <v>8.4720000000000004E-2</v>
      </c>
      <c r="J486" s="10">
        <v>5.0160000000000003E-2</v>
      </c>
      <c r="K486" s="10">
        <v>3.4160000000000003E-2</v>
      </c>
      <c r="L486" s="10">
        <v>2.5409999999999901E-2</v>
      </c>
      <c r="M486" s="10">
        <v>0.16589999999999899</v>
      </c>
      <c r="N486" s="10">
        <v>5.348E-2</v>
      </c>
      <c r="O486" s="10">
        <v>0.21820000000000001</v>
      </c>
      <c r="P486" s="10">
        <v>0.62319999999999898</v>
      </c>
      <c r="Q486" s="10">
        <v>1.677</v>
      </c>
      <c r="R486" s="10">
        <v>20.719999999999899</v>
      </c>
      <c r="S486" s="10">
        <v>6.7080000000000004E-3</v>
      </c>
      <c r="T486" s="10">
        <v>1.197E-2</v>
      </c>
      <c r="U486" s="10">
        <v>1.482E-2</v>
      </c>
      <c r="V486" s="10">
        <v>1.056E-2</v>
      </c>
      <c r="W486" s="10">
        <v>1.5800000000000002E-2</v>
      </c>
      <c r="X486" s="10">
        <v>1.779E-3</v>
      </c>
      <c r="Y486" s="10">
        <v>15.6099999999999</v>
      </c>
      <c r="Z486" s="10">
        <v>17.579999999999899</v>
      </c>
      <c r="AA486" s="10">
        <v>101.7</v>
      </c>
      <c r="AB486" s="10">
        <v>760.2</v>
      </c>
      <c r="AC486" s="10">
        <v>0.1139</v>
      </c>
      <c r="AD486" s="10">
        <v>0.1011</v>
      </c>
      <c r="AE486" s="10">
        <v>0.1101</v>
      </c>
      <c r="AF486" s="10">
        <v>7.9549999999999899E-2</v>
      </c>
      <c r="AG486" s="10">
        <v>0.2334</v>
      </c>
      <c r="AH486">
        <v>6.1420000000000002E-2</v>
      </c>
    </row>
    <row r="487" spans="3:34">
      <c r="C487" s="11" t="s">
        <v>432</v>
      </c>
      <c r="D487" s="10" t="s">
        <v>1</v>
      </c>
      <c r="E487" s="10">
        <v>13.71</v>
      </c>
      <c r="F487" s="10">
        <v>16.02</v>
      </c>
      <c r="G487" s="10">
        <v>83.14</v>
      </c>
      <c r="H487" s="10">
        <v>513.70000000000005</v>
      </c>
      <c r="I487" s="10">
        <v>0.10050000000000001</v>
      </c>
      <c r="J487" s="10">
        <v>7.9430000000000001E-2</v>
      </c>
      <c r="K487" s="10">
        <v>6.1550000000000001E-2</v>
      </c>
      <c r="L487" s="10">
        <v>3.3700000000000001E-2</v>
      </c>
      <c r="M487" s="10">
        <v>0.17299999999999899</v>
      </c>
      <c r="N487" s="10">
        <v>6.4699999999999896E-2</v>
      </c>
      <c r="O487" s="10">
        <v>0.2094</v>
      </c>
      <c r="P487" s="10">
        <v>0.76359999999999895</v>
      </c>
      <c r="Q487" s="10">
        <v>1.2310000000000001</v>
      </c>
      <c r="R487" s="10">
        <v>17.670000000000002</v>
      </c>
      <c r="S487" s="10">
        <v>8.7250000000000001E-3</v>
      </c>
      <c r="T487" s="10">
        <v>2.0029999999999899E-2</v>
      </c>
      <c r="U487" s="10">
        <v>2.3349999999999899E-2</v>
      </c>
      <c r="V487" s="10">
        <v>1.132E-2</v>
      </c>
      <c r="W487" s="10">
        <v>2.6249999999999898E-2</v>
      </c>
      <c r="X487" s="10">
        <v>4.7260000000000002E-3</v>
      </c>
      <c r="Y487" s="10">
        <v>13.74</v>
      </c>
      <c r="Z487" s="10">
        <v>19.93</v>
      </c>
      <c r="AA487" s="10">
        <v>88.81</v>
      </c>
      <c r="AB487" s="10">
        <v>585.39999999999895</v>
      </c>
      <c r="AC487" s="10">
        <v>0.14829999999999899</v>
      </c>
      <c r="AD487" s="10">
        <v>0.20680000000000001</v>
      </c>
      <c r="AE487" s="10">
        <v>0.22409999999999899</v>
      </c>
      <c r="AF487" s="10">
        <v>0.1056</v>
      </c>
      <c r="AG487" s="10">
        <v>0.33800000000000002</v>
      </c>
      <c r="AH487">
        <v>9.5839999999999897E-2</v>
      </c>
    </row>
    <row r="488" spans="3:34">
      <c r="C488" s="11" t="s">
        <v>706</v>
      </c>
      <c r="D488" s="10" t="s">
        <v>0</v>
      </c>
      <c r="E488" s="10">
        <v>13.71</v>
      </c>
      <c r="F488" s="10">
        <v>28.079999999999899</v>
      </c>
      <c r="G488" s="10">
        <v>108.3</v>
      </c>
      <c r="H488" s="10">
        <v>858.1</v>
      </c>
      <c r="I488" s="10">
        <v>8.455E-2</v>
      </c>
      <c r="J488" s="10">
        <v>0.1023</v>
      </c>
      <c r="K488" s="10">
        <v>9.2509999999999898E-2</v>
      </c>
      <c r="L488" s="10">
        <v>5.3019999999999901E-2</v>
      </c>
      <c r="M488" s="10">
        <v>0.159</v>
      </c>
      <c r="N488" s="10">
        <v>5.6480000000000002E-2</v>
      </c>
      <c r="O488" s="10">
        <v>0.45639999999999897</v>
      </c>
      <c r="P488" s="10">
        <v>1.075</v>
      </c>
      <c r="Q488" s="10">
        <v>3.4249999999999901</v>
      </c>
      <c r="R488" s="10">
        <v>48.549999999999898</v>
      </c>
      <c r="S488" s="10">
        <v>5.9030000000000003E-3</v>
      </c>
      <c r="T488" s="10">
        <v>3.7310000000000003E-2</v>
      </c>
      <c r="U488" s="10">
        <v>4.7300000000000002E-2</v>
      </c>
      <c r="V488" s="10">
        <v>1.5570000000000001E-2</v>
      </c>
      <c r="W488" s="10">
        <v>1.3180000000000001E-2</v>
      </c>
      <c r="X488" s="10">
        <v>3.8920000000000001E-3</v>
      </c>
      <c r="Y488" s="10">
        <v>18.98</v>
      </c>
      <c r="Z488" s="10">
        <v>34.119999999999898</v>
      </c>
      <c r="AA488" s="10">
        <v>126.7</v>
      </c>
      <c r="AB488" s="10">
        <v>1124</v>
      </c>
      <c r="AC488" s="10">
        <v>0.1139</v>
      </c>
      <c r="AD488" s="10">
        <v>0.30940000000000001</v>
      </c>
      <c r="AE488" s="10">
        <v>0.34029999999999899</v>
      </c>
      <c r="AF488" s="10">
        <v>0.14180000000000001</v>
      </c>
      <c r="AG488" s="10">
        <v>0.2218</v>
      </c>
      <c r="AH488">
        <v>7.8200000000000006E-2</v>
      </c>
    </row>
    <row r="489" spans="3:34">
      <c r="C489" s="11" t="s">
        <v>458</v>
      </c>
      <c r="D489" s="10" t="s">
        <v>1</v>
      </c>
      <c r="E489" s="10">
        <v>13.71</v>
      </c>
      <c r="F489" s="10">
        <v>18.899999999999899</v>
      </c>
      <c r="G489" s="10">
        <v>60.07</v>
      </c>
      <c r="H489" s="10">
        <v>244.5</v>
      </c>
      <c r="I489" s="10">
        <v>9.9680000000000005E-2</v>
      </c>
      <c r="J489" s="10">
        <v>0.19719999999999899</v>
      </c>
      <c r="K489" s="10">
        <v>0.19750000000000001</v>
      </c>
      <c r="L489" s="10">
        <v>4.9079999999999901E-2</v>
      </c>
      <c r="M489" s="10">
        <v>0.23300000000000001</v>
      </c>
      <c r="N489" s="10">
        <v>8.7429999999999897E-2</v>
      </c>
      <c r="O489" s="10">
        <v>0.46529999999999899</v>
      </c>
      <c r="P489" s="10">
        <v>1.911</v>
      </c>
      <c r="Q489" s="10">
        <v>3.7690000000000001</v>
      </c>
      <c r="R489" s="10">
        <v>24.1999999999999</v>
      </c>
      <c r="S489" s="10">
        <v>9.8449999999999892E-3</v>
      </c>
      <c r="T489" s="10">
        <v>6.59E-2</v>
      </c>
      <c r="U489" s="10">
        <v>0.1027</v>
      </c>
      <c r="V489" s="10">
        <v>2.5270000000000001E-2</v>
      </c>
      <c r="W489" s="10">
        <v>3.4909999999999899E-2</v>
      </c>
      <c r="X489" s="10">
        <v>7.8770000000000003E-3</v>
      </c>
      <c r="Y489" s="10">
        <v>10.06</v>
      </c>
      <c r="Z489" s="10">
        <v>23.399999999999899</v>
      </c>
      <c r="AA489" s="10">
        <v>68.62</v>
      </c>
      <c r="AB489" s="10">
        <v>297.10000000000002</v>
      </c>
      <c r="AC489" s="10">
        <v>0.1221</v>
      </c>
      <c r="AD489" s="10">
        <v>0.37480000000000002</v>
      </c>
      <c r="AE489" s="10">
        <v>0.46089999999999898</v>
      </c>
      <c r="AF489" s="10">
        <v>0.1145</v>
      </c>
      <c r="AG489" s="10">
        <v>0.3135</v>
      </c>
      <c r="AH489">
        <v>0.1055</v>
      </c>
    </row>
    <row r="490" spans="3:34">
      <c r="C490" s="11" t="s">
        <v>158</v>
      </c>
      <c r="D490" s="10" t="s">
        <v>0</v>
      </c>
      <c r="E490" s="10">
        <v>13.71</v>
      </c>
      <c r="F490" s="10">
        <v>22.149999999999899</v>
      </c>
      <c r="G490" s="10">
        <v>130</v>
      </c>
      <c r="H490" s="10">
        <v>1260</v>
      </c>
      <c r="I490" s="10">
        <v>9.8309999999999897E-2</v>
      </c>
      <c r="J490" s="10">
        <v>0.1027</v>
      </c>
      <c r="K490" s="10">
        <v>0.1479</v>
      </c>
      <c r="L490" s="10">
        <v>9.4979999999999898E-2</v>
      </c>
      <c r="M490" s="10">
        <v>0.15820000000000001</v>
      </c>
      <c r="N490" s="10">
        <v>5.3949999999999901E-2</v>
      </c>
      <c r="O490" s="10">
        <v>0.75819999999999899</v>
      </c>
      <c r="P490" s="10">
        <v>1.0169999999999899</v>
      </c>
      <c r="Q490" s="10">
        <v>5.8650000000000002</v>
      </c>
      <c r="R490" s="10">
        <v>112.4</v>
      </c>
      <c r="S490" s="10">
        <v>6.4939999999999902E-3</v>
      </c>
      <c r="T490" s="10">
        <v>1.8929999999999898E-2</v>
      </c>
      <c r="U490" s="10">
        <v>3.3910000000000003E-2</v>
      </c>
      <c r="V490" s="10">
        <v>1.521E-2</v>
      </c>
      <c r="W490" s="10">
        <v>1.35599999999999E-2</v>
      </c>
      <c r="X490" s="10">
        <v>1.9970000000000001E-3</v>
      </c>
      <c r="Y490" s="10">
        <v>27.32</v>
      </c>
      <c r="Z490" s="10">
        <v>30.8799999999999</v>
      </c>
      <c r="AA490" s="10">
        <v>186.8</v>
      </c>
      <c r="AB490" s="10">
        <v>2398</v>
      </c>
      <c r="AC490" s="10">
        <v>0.1512</v>
      </c>
      <c r="AD490" s="10">
        <v>0.315</v>
      </c>
      <c r="AE490" s="10">
        <v>0.53720000000000001</v>
      </c>
      <c r="AF490" s="10">
        <v>0.23880000000000001</v>
      </c>
      <c r="AG490" s="10">
        <v>0.27679999999999899</v>
      </c>
      <c r="AH490">
        <v>7.6149999999999898E-2</v>
      </c>
    </row>
    <row r="491" spans="3:34">
      <c r="C491" s="11" t="s">
        <v>422</v>
      </c>
      <c r="D491" s="10" t="s">
        <v>0</v>
      </c>
      <c r="E491" s="10">
        <v>13.71</v>
      </c>
      <c r="F491" s="10">
        <v>18.18</v>
      </c>
      <c r="G491" s="10">
        <v>127.2</v>
      </c>
      <c r="H491" s="10">
        <v>1145</v>
      </c>
      <c r="I491" s="10">
        <v>0.1037</v>
      </c>
      <c r="J491" s="10">
        <v>0.144199999999999</v>
      </c>
      <c r="K491" s="10">
        <v>0.162599999999999</v>
      </c>
      <c r="L491" s="10">
        <v>9.4640000000000002E-2</v>
      </c>
      <c r="M491" s="10">
        <v>0.1893</v>
      </c>
      <c r="N491" s="10">
        <v>5.892E-2</v>
      </c>
      <c r="O491" s="10">
        <v>0.47089999999999899</v>
      </c>
      <c r="P491" s="10">
        <v>0.99509999999999899</v>
      </c>
      <c r="Q491" s="10">
        <v>2.903</v>
      </c>
      <c r="R491" s="10">
        <v>53.159999999999897</v>
      </c>
      <c r="S491" s="10">
        <v>5.6540000000000002E-3</v>
      </c>
      <c r="T491" s="10">
        <v>2.1989999999999899E-2</v>
      </c>
      <c r="U491" s="10">
        <v>3.0589999999999899E-2</v>
      </c>
      <c r="V491" s="10">
        <v>1.499E-2</v>
      </c>
      <c r="W491" s="10">
        <v>1.6230000000000001E-2</v>
      </c>
      <c r="X491" s="10">
        <v>1.9650000000000002E-3</v>
      </c>
      <c r="Y491" s="10">
        <v>23.7899999999999</v>
      </c>
      <c r="Z491" s="10">
        <v>28.649999999999899</v>
      </c>
      <c r="AA491" s="10">
        <v>152.4</v>
      </c>
      <c r="AB491" s="10">
        <v>1628</v>
      </c>
      <c r="AC491" s="10">
        <v>0.15179999999999899</v>
      </c>
      <c r="AD491" s="10">
        <v>0.37490000000000001</v>
      </c>
      <c r="AE491" s="10">
        <v>0.43159999999999898</v>
      </c>
      <c r="AF491" s="10">
        <v>0.22520000000000001</v>
      </c>
      <c r="AG491" s="10">
        <v>0.35899999999999899</v>
      </c>
      <c r="AH491">
        <v>7.7869999999999898E-2</v>
      </c>
    </row>
    <row r="492" spans="3:34">
      <c r="C492" s="11" t="s">
        <v>213</v>
      </c>
      <c r="D492" s="10" t="s">
        <v>0</v>
      </c>
      <c r="E492" s="10">
        <v>13.71</v>
      </c>
      <c r="F492" s="10">
        <v>15.7899999999999</v>
      </c>
      <c r="G492" s="10">
        <v>90.43</v>
      </c>
      <c r="H492" s="10">
        <v>584.1</v>
      </c>
      <c r="I492" s="10">
        <v>0.1007</v>
      </c>
      <c r="J492" s="10">
        <v>0.128</v>
      </c>
      <c r="K492" s="10">
        <v>7.7890000000000001E-2</v>
      </c>
      <c r="L492" s="10">
        <v>5.0689999999999902E-2</v>
      </c>
      <c r="M492" s="10">
        <v>0.16619999999999899</v>
      </c>
      <c r="N492" s="10">
        <v>6.5659999999999899E-2</v>
      </c>
      <c r="O492" s="10">
        <v>0.2787</v>
      </c>
      <c r="P492" s="10">
        <v>0.62050000000000005</v>
      </c>
      <c r="Q492" s="10">
        <v>1.9570000000000001</v>
      </c>
      <c r="R492" s="10">
        <v>23.35</v>
      </c>
      <c r="S492" s="10">
        <v>4.7169999999999903E-3</v>
      </c>
      <c r="T492" s="10">
        <v>2.0650000000000002E-2</v>
      </c>
      <c r="U492" s="10">
        <v>1.7590000000000001E-2</v>
      </c>
      <c r="V492" s="10">
        <v>9.2060000000000006E-3</v>
      </c>
      <c r="W492" s="10">
        <v>1.2200000000000001E-2</v>
      </c>
      <c r="X492" s="10">
        <v>3.13E-3</v>
      </c>
      <c r="Y492" s="10">
        <v>16.57</v>
      </c>
      <c r="Z492" s="10">
        <v>20.8599999999999</v>
      </c>
      <c r="AA492" s="10">
        <v>110.3</v>
      </c>
      <c r="AB492" s="10">
        <v>812.39999999999895</v>
      </c>
      <c r="AC492" s="10">
        <v>0.1411</v>
      </c>
      <c r="AD492" s="10">
        <v>0.35420000000000001</v>
      </c>
      <c r="AE492" s="10">
        <v>0.27789999999999898</v>
      </c>
      <c r="AF492" s="10">
        <v>0.13830000000000001</v>
      </c>
      <c r="AG492" s="10">
        <v>0.25890000000000002</v>
      </c>
      <c r="AH492">
        <v>0.102999999999999</v>
      </c>
    </row>
    <row r="493" spans="3:34">
      <c r="C493" s="11" t="s">
        <v>518</v>
      </c>
      <c r="D493" s="10" t="s">
        <v>1</v>
      </c>
      <c r="E493" s="10">
        <v>13.71</v>
      </c>
      <c r="F493" s="10">
        <v>15.15</v>
      </c>
      <c r="G493" s="10">
        <v>88.269999999999897</v>
      </c>
      <c r="H493" s="10">
        <v>580.6</v>
      </c>
      <c r="I493" s="10">
        <v>8.2680000000000003E-2</v>
      </c>
      <c r="J493" s="10">
        <v>7.5480000000000005E-2</v>
      </c>
      <c r="K493" s="10">
        <v>4.249E-2</v>
      </c>
      <c r="L493" s="10">
        <v>2.4709999999999899E-2</v>
      </c>
      <c r="M493" s="10">
        <v>0.1792</v>
      </c>
      <c r="N493" s="10">
        <v>5.8970000000000002E-2</v>
      </c>
      <c r="O493" s="10">
        <v>0.14019999999999899</v>
      </c>
      <c r="P493" s="10">
        <v>0.54169999999999896</v>
      </c>
      <c r="Q493" s="10">
        <v>1.101</v>
      </c>
      <c r="R493" s="10">
        <v>11.35</v>
      </c>
      <c r="S493" s="10">
        <v>5.2119999999999901E-3</v>
      </c>
      <c r="T493" s="10">
        <v>2.9839999999999901E-2</v>
      </c>
      <c r="U493" s="10">
        <v>2.443E-2</v>
      </c>
      <c r="V493" s="10">
        <v>8.3560000000000006E-3</v>
      </c>
      <c r="W493" s="10">
        <v>1.8180000000000002E-2</v>
      </c>
      <c r="X493" s="10">
        <v>4.8679999999999904E-3</v>
      </c>
      <c r="Y493" s="10">
        <v>14.5399999999999</v>
      </c>
      <c r="Z493" s="10">
        <v>19.64</v>
      </c>
      <c r="AA493" s="10">
        <v>97.959999999999894</v>
      </c>
      <c r="AB493" s="10">
        <v>657</v>
      </c>
      <c r="AC493" s="10">
        <v>0.1275</v>
      </c>
      <c r="AD493" s="10">
        <v>0.31040000000000001</v>
      </c>
      <c r="AE493" s="10">
        <v>0.25690000000000002</v>
      </c>
      <c r="AF493" s="10">
        <v>0.10539999999999899</v>
      </c>
      <c r="AG493" s="10">
        <v>0.3387</v>
      </c>
      <c r="AH493">
        <v>9.6379999999999896E-2</v>
      </c>
    </row>
    <row r="494" spans="3:34">
      <c r="C494" s="11" t="s">
        <v>240</v>
      </c>
      <c r="D494" s="10" t="s">
        <v>0</v>
      </c>
      <c r="E494" s="10">
        <v>13.71</v>
      </c>
      <c r="F494" s="10">
        <v>24.98</v>
      </c>
      <c r="G494" s="10">
        <v>88.049999999999898</v>
      </c>
      <c r="H494" s="10">
        <v>582.70000000000005</v>
      </c>
      <c r="I494" s="10">
        <v>9.4880000000000006E-2</v>
      </c>
      <c r="J494" s="10">
        <v>8.5110000000000005E-2</v>
      </c>
      <c r="K494" s="10">
        <v>8.6249999999999896E-2</v>
      </c>
      <c r="L494" s="10">
        <v>4.4889999999999902E-2</v>
      </c>
      <c r="M494" s="10">
        <v>0.16089999999999899</v>
      </c>
      <c r="N494" s="10">
        <v>5.8709999999999901E-2</v>
      </c>
      <c r="O494" s="10">
        <v>0.45650000000000002</v>
      </c>
      <c r="P494" s="10">
        <v>1.29</v>
      </c>
      <c r="Q494" s="10">
        <v>2.8610000000000002</v>
      </c>
      <c r="R494" s="10">
        <v>43.14</v>
      </c>
      <c r="S494" s="10">
        <v>5.8719999999999901E-3</v>
      </c>
      <c r="T494" s="10">
        <v>1.4880000000000001E-2</v>
      </c>
      <c r="U494" s="10">
        <v>2.647E-2</v>
      </c>
      <c r="V494" s="10">
        <v>9.9209999999999906E-3</v>
      </c>
      <c r="W494" s="10">
        <v>1.465E-2</v>
      </c>
      <c r="X494" s="10">
        <v>2.3549999999999899E-3</v>
      </c>
      <c r="Y494" s="10">
        <v>16.989999999999899</v>
      </c>
      <c r="Z494" s="10">
        <v>35.270000000000003</v>
      </c>
      <c r="AA494" s="10">
        <v>108.599999999999</v>
      </c>
      <c r="AB494" s="10">
        <v>906.5</v>
      </c>
      <c r="AC494" s="10">
        <v>0.1265</v>
      </c>
      <c r="AD494" s="10">
        <v>0.1943</v>
      </c>
      <c r="AE494" s="10">
        <v>0.31690000000000002</v>
      </c>
      <c r="AF494" s="10">
        <v>0.11840000000000001</v>
      </c>
      <c r="AG494" s="10">
        <v>0.2651</v>
      </c>
      <c r="AH494">
        <v>7.3969999999999897E-2</v>
      </c>
    </row>
    <row r="495" spans="3:34">
      <c r="C495" s="11" t="s">
        <v>503</v>
      </c>
      <c r="D495" s="10" t="s">
        <v>1</v>
      </c>
      <c r="E495" s="10">
        <v>13.71</v>
      </c>
      <c r="F495" s="10">
        <v>18.2899999999999</v>
      </c>
      <c r="G495" s="10">
        <v>106.599999999999</v>
      </c>
      <c r="H495" s="10">
        <v>838.1</v>
      </c>
      <c r="I495" s="10">
        <v>9.6860000000000002E-2</v>
      </c>
      <c r="J495" s="10">
        <v>8.4680000000000005E-2</v>
      </c>
      <c r="K495" s="10">
        <v>5.8619999999999901E-2</v>
      </c>
      <c r="L495" s="10">
        <v>4.83499999999999E-2</v>
      </c>
      <c r="M495" s="10">
        <v>0.14949999999999899</v>
      </c>
      <c r="N495" s="10">
        <v>5.5930000000000001E-2</v>
      </c>
      <c r="O495" s="10">
        <v>0.33889999999999898</v>
      </c>
      <c r="P495" s="10">
        <v>1.4390000000000001</v>
      </c>
      <c r="Q495" s="10">
        <v>2.3439999999999901</v>
      </c>
      <c r="R495" s="10">
        <v>33.579999999999899</v>
      </c>
      <c r="S495" s="10">
        <v>7.2570000000000004E-3</v>
      </c>
      <c r="T495" s="10">
        <v>1.805E-2</v>
      </c>
      <c r="U495" s="10">
        <v>1.8319999999999899E-2</v>
      </c>
      <c r="V495" s="10">
        <v>1.0330000000000001E-2</v>
      </c>
      <c r="W495" s="10">
        <v>1.694E-2</v>
      </c>
      <c r="X495" s="10">
        <v>2.0010000000000002E-3</v>
      </c>
      <c r="Y495" s="10">
        <v>18.1299999999999</v>
      </c>
      <c r="Z495" s="10">
        <v>25.4499999999999</v>
      </c>
      <c r="AA495" s="10">
        <v>117.2</v>
      </c>
      <c r="AB495" s="10">
        <v>1009</v>
      </c>
      <c r="AC495" s="10">
        <v>0.1338</v>
      </c>
      <c r="AD495" s="10">
        <v>0.16789999999999899</v>
      </c>
      <c r="AE495" s="10">
        <v>0.1663</v>
      </c>
      <c r="AF495" s="10">
        <v>9.1230000000000006E-2</v>
      </c>
      <c r="AG495" s="10">
        <v>0.2394</v>
      </c>
      <c r="AH495">
        <v>6.46899999999999E-2</v>
      </c>
    </row>
    <row r="496" spans="3:34">
      <c r="C496" s="11" t="s">
        <v>438</v>
      </c>
      <c r="D496" s="10" t="s">
        <v>1</v>
      </c>
      <c r="E496" s="10">
        <v>13.71</v>
      </c>
      <c r="F496" s="10">
        <v>18.170000000000002</v>
      </c>
      <c r="G496" s="10">
        <v>91.219999999999899</v>
      </c>
      <c r="H496" s="10">
        <v>633.1</v>
      </c>
      <c r="I496" s="10">
        <v>6.5759999999999902E-2</v>
      </c>
      <c r="J496" s="10">
        <v>5.2200000000000003E-2</v>
      </c>
      <c r="K496" s="10">
        <v>2.4750000000000001E-2</v>
      </c>
      <c r="L496" s="10">
        <v>1.374E-2</v>
      </c>
      <c r="M496" s="10">
        <v>0.16350000000000001</v>
      </c>
      <c r="N496" s="10">
        <v>5.586E-2</v>
      </c>
      <c r="O496" s="10">
        <v>0.23</v>
      </c>
      <c r="P496" s="10">
        <v>0.66900000000000004</v>
      </c>
      <c r="Q496" s="10">
        <v>1.661</v>
      </c>
      <c r="R496" s="10">
        <v>20.559999999999899</v>
      </c>
      <c r="S496" s="10">
        <v>3.16899999999999E-3</v>
      </c>
      <c r="T496" s="10">
        <v>1.37699999999999E-2</v>
      </c>
      <c r="U496" s="10">
        <v>1.07899999999999E-2</v>
      </c>
      <c r="V496" s="10">
        <v>5.2430000000000003E-3</v>
      </c>
      <c r="W496" s="10">
        <v>1.103E-2</v>
      </c>
      <c r="X496" s="10">
        <v>1.957E-3</v>
      </c>
      <c r="Y496" s="10">
        <v>16.219999999999899</v>
      </c>
      <c r="Z496" s="10">
        <v>25.26</v>
      </c>
      <c r="AA496" s="10">
        <v>105.8</v>
      </c>
      <c r="AB496" s="10">
        <v>819.7</v>
      </c>
      <c r="AC496" s="10">
        <v>9.4450000000000006E-2</v>
      </c>
      <c r="AD496" s="10">
        <v>0.2167</v>
      </c>
      <c r="AE496" s="10">
        <v>0.1565</v>
      </c>
      <c r="AF496" s="10">
        <v>7.5300000000000006E-2</v>
      </c>
      <c r="AG496" s="10">
        <v>0.2636</v>
      </c>
      <c r="AH496">
        <v>7.6759999999999898E-2</v>
      </c>
    </row>
    <row r="497" spans="3:34">
      <c r="C497" s="11" t="s">
        <v>197</v>
      </c>
      <c r="D497" s="10" t="s">
        <v>0</v>
      </c>
      <c r="E497" s="10">
        <v>13.71</v>
      </c>
      <c r="F497" s="10">
        <v>21.59</v>
      </c>
      <c r="G497" s="10">
        <v>95.549999999999898</v>
      </c>
      <c r="H497" s="10">
        <v>656.89999999999895</v>
      </c>
      <c r="I497" s="10">
        <v>0.1137</v>
      </c>
      <c r="J497" s="10">
        <v>0.13650000000000001</v>
      </c>
      <c r="K497" s="10">
        <v>0.1293</v>
      </c>
      <c r="L497" s="10">
        <v>8.12299999999999E-2</v>
      </c>
      <c r="M497" s="10">
        <v>0.20269999999999899</v>
      </c>
      <c r="N497" s="10">
        <v>6.7580000000000001E-2</v>
      </c>
      <c r="O497" s="10">
        <v>0.42259999999999898</v>
      </c>
      <c r="P497" s="10">
        <v>1.1499999999999899</v>
      </c>
      <c r="Q497" s="10">
        <v>2.7349999999999901</v>
      </c>
      <c r="R497" s="10">
        <v>40.090000000000003</v>
      </c>
      <c r="S497" s="10">
        <v>3.65899999999999E-3</v>
      </c>
      <c r="T497" s="10">
        <v>2.8549999999999898E-2</v>
      </c>
      <c r="U497" s="10">
        <v>2.572E-2</v>
      </c>
      <c r="V497" s="10">
        <v>1.272E-2</v>
      </c>
      <c r="W497" s="10">
        <v>1.8169999999999902E-2</v>
      </c>
      <c r="X497" s="10">
        <v>4.1079999999999901E-3</v>
      </c>
      <c r="Y497" s="10">
        <v>17.87</v>
      </c>
      <c r="Z497" s="10">
        <v>30.6999999999999</v>
      </c>
      <c r="AA497" s="10">
        <v>115.7</v>
      </c>
      <c r="AB497" s="10">
        <v>985.5</v>
      </c>
      <c r="AC497" s="10">
        <v>0.1368</v>
      </c>
      <c r="AD497" s="10">
        <v>0.42899999999999899</v>
      </c>
      <c r="AE497" s="10">
        <v>0.35870000000000002</v>
      </c>
      <c r="AF497" s="10">
        <v>0.18340000000000001</v>
      </c>
      <c r="AG497" s="10">
        <v>0.36980000000000002</v>
      </c>
      <c r="AH497">
        <v>0.1094</v>
      </c>
    </row>
    <row r="498" spans="3:34">
      <c r="C498" s="11" t="s">
        <v>241</v>
      </c>
      <c r="D498" s="10" t="s">
        <v>1</v>
      </c>
      <c r="E498" s="10">
        <v>13.71</v>
      </c>
      <c r="F498" s="10">
        <v>13.43</v>
      </c>
      <c r="G498" s="10">
        <v>43.7899999999999</v>
      </c>
      <c r="H498" s="10">
        <v>143.5</v>
      </c>
      <c r="I498" s="10">
        <v>0.11700000000000001</v>
      </c>
      <c r="J498" s="10">
        <v>7.56799999999999E-2</v>
      </c>
      <c r="K498" s="10">
        <v>0</v>
      </c>
      <c r="L498" s="10">
        <v>0</v>
      </c>
      <c r="M498" s="10">
        <v>0.193</v>
      </c>
      <c r="N498" s="10">
        <v>7.8179999999999902E-2</v>
      </c>
      <c r="O498" s="10">
        <v>0.22409999999999899</v>
      </c>
      <c r="P498" s="10">
        <v>1.508</v>
      </c>
      <c r="Q498" s="10">
        <v>1.5529999999999899</v>
      </c>
      <c r="R498" s="10">
        <v>9.8330000000000002</v>
      </c>
      <c r="S498" s="10">
        <v>1.0189999999999901E-2</v>
      </c>
      <c r="T498" s="10">
        <v>1.0840000000000001E-2</v>
      </c>
      <c r="U498" s="10">
        <v>0</v>
      </c>
      <c r="V498" s="10">
        <v>0</v>
      </c>
      <c r="W498" s="10">
        <v>2.6589999999999898E-2</v>
      </c>
      <c r="X498" s="10">
        <v>4.1000000000000003E-3</v>
      </c>
      <c r="Y498" s="10">
        <v>7.9299999999999899</v>
      </c>
      <c r="Z498" s="10">
        <v>19.5399999999999</v>
      </c>
      <c r="AA498" s="10">
        <v>50.409999999999897</v>
      </c>
      <c r="AB498" s="10">
        <v>185.19999999999899</v>
      </c>
      <c r="AC498" s="10">
        <v>0.15840000000000001</v>
      </c>
      <c r="AD498" s="10">
        <v>0.1202</v>
      </c>
      <c r="AE498" s="10">
        <v>0</v>
      </c>
      <c r="AF498" s="10">
        <v>0</v>
      </c>
      <c r="AG498" s="10">
        <v>0.29320000000000002</v>
      </c>
      <c r="AH498">
        <v>9.3820000000000001E-2</v>
      </c>
    </row>
    <row r="499" spans="3:34">
      <c r="C499" s="11" t="s">
        <v>364</v>
      </c>
      <c r="D499" s="10" t="s">
        <v>1</v>
      </c>
      <c r="E499" s="10">
        <v>13.71</v>
      </c>
      <c r="F499" s="10">
        <v>17.02</v>
      </c>
      <c r="G499" s="10">
        <v>84.549999999999898</v>
      </c>
      <c r="H499" s="10">
        <v>546.39999999999895</v>
      </c>
      <c r="I499" s="10">
        <v>8.44499999999999E-2</v>
      </c>
      <c r="J499" s="10">
        <v>4.9939999999999901E-2</v>
      </c>
      <c r="K499" s="10">
        <v>3.5540000000000002E-2</v>
      </c>
      <c r="L499" s="10">
        <v>2.4559999999999901E-2</v>
      </c>
      <c r="M499" s="10">
        <v>0.14960000000000001</v>
      </c>
      <c r="N499" s="10">
        <v>5.6739999999999902E-2</v>
      </c>
      <c r="O499" s="10">
        <v>0.29270000000000002</v>
      </c>
      <c r="P499" s="10">
        <v>0.89070000000000005</v>
      </c>
      <c r="Q499" s="10">
        <v>2.044</v>
      </c>
      <c r="R499" s="10">
        <v>24.68</v>
      </c>
      <c r="S499" s="10">
        <v>6.032E-3</v>
      </c>
      <c r="T499" s="10">
        <v>1.1039999999999901E-2</v>
      </c>
      <c r="U499" s="10">
        <v>2.2589999999999898E-2</v>
      </c>
      <c r="V499" s="10">
        <v>9.0570000000000008E-3</v>
      </c>
      <c r="W499" s="10">
        <v>1.482E-2</v>
      </c>
      <c r="X499" s="10">
        <v>2.496E-3</v>
      </c>
      <c r="Y499" s="10">
        <v>15.14</v>
      </c>
      <c r="Z499" s="10">
        <v>23.6</v>
      </c>
      <c r="AA499" s="10">
        <v>98.84</v>
      </c>
      <c r="AB499" s="10">
        <v>708.79999999999905</v>
      </c>
      <c r="AC499" s="10">
        <v>0.12759999999999899</v>
      </c>
      <c r="AD499" s="10">
        <v>0.131099999999999</v>
      </c>
      <c r="AE499" s="10">
        <v>0.17860000000000001</v>
      </c>
      <c r="AF499" s="10">
        <v>9.6780000000000005E-2</v>
      </c>
      <c r="AG499" s="10">
        <v>0.25059999999999899</v>
      </c>
      <c r="AH499">
        <v>7.6230000000000006E-2</v>
      </c>
    </row>
    <row r="500" spans="3:34">
      <c r="C500" s="11" t="s">
        <v>498</v>
      </c>
      <c r="D500" s="10" t="s">
        <v>1</v>
      </c>
      <c r="E500" s="10">
        <v>13.71</v>
      </c>
      <c r="F500" s="10">
        <v>15.49</v>
      </c>
      <c r="G500" s="10">
        <v>56.74</v>
      </c>
      <c r="H500" s="10">
        <v>241</v>
      </c>
      <c r="I500" s="10">
        <v>8.2930000000000004E-2</v>
      </c>
      <c r="J500" s="10">
        <v>7.6980000000000007E-2</v>
      </c>
      <c r="K500" s="10">
        <v>4.7210000000000002E-2</v>
      </c>
      <c r="L500" s="10">
        <v>2.3810000000000001E-2</v>
      </c>
      <c r="M500" s="10">
        <v>0.193</v>
      </c>
      <c r="N500" s="10">
        <v>6.6210000000000005E-2</v>
      </c>
      <c r="O500" s="10">
        <v>0.53810000000000002</v>
      </c>
      <c r="P500" s="10">
        <v>1.2</v>
      </c>
      <c r="Q500" s="10">
        <v>4.2770000000000001</v>
      </c>
      <c r="R500" s="10">
        <v>30.18</v>
      </c>
      <c r="S500" s="10">
        <v>1.093E-2</v>
      </c>
      <c r="T500" s="10">
        <v>2.8989999999999901E-2</v>
      </c>
      <c r="U500" s="10">
        <v>3.2140000000000002E-2</v>
      </c>
      <c r="V500" s="10">
        <v>1.506E-2</v>
      </c>
      <c r="W500" s="10">
        <v>2.8369999999999899E-2</v>
      </c>
      <c r="X500" s="10">
        <v>4.1739999999999902E-3</v>
      </c>
      <c r="Y500" s="10">
        <v>9.9809999999999892</v>
      </c>
      <c r="Z500" s="10">
        <v>17.6999999999999</v>
      </c>
      <c r="AA500" s="10">
        <v>65.269999999999897</v>
      </c>
      <c r="AB500" s="10">
        <v>302</v>
      </c>
      <c r="AC500" s="10">
        <v>0.10150000000000001</v>
      </c>
      <c r="AD500" s="10">
        <v>0.124799999999999</v>
      </c>
      <c r="AE500" s="10">
        <v>9.4409999999999897E-2</v>
      </c>
      <c r="AF500" s="10">
        <v>4.7620000000000003E-2</v>
      </c>
      <c r="AG500" s="10">
        <v>0.24340000000000001</v>
      </c>
      <c r="AH500">
        <v>7.4310000000000001E-2</v>
      </c>
    </row>
    <row r="501" spans="3:34">
      <c r="C501" s="11" t="s">
        <v>202</v>
      </c>
      <c r="D501" s="10" t="s">
        <v>0</v>
      </c>
      <c r="E501" s="10">
        <v>13.71</v>
      </c>
      <c r="F501" s="10">
        <v>22.149999999999899</v>
      </c>
      <c r="G501" s="10">
        <v>96.42</v>
      </c>
      <c r="H501" s="10">
        <v>645.70000000000005</v>
      </c>
      <c r="I501" s="10">
        <v>0.10489999999999899</v>
      </c>
      <c r="J501" s="10">
        <v>0.20080000000000001</v>
      </c>
      <c r="K501" s="10">
        <v>0.2135</v>
      </c>
      <c r="L501" s="10">
        <v>8.6529999999999899E-2</v>
      </c>
      <c r="M501" s="10">
        <v>0.19489999999999899</v>
      </c>
      <c r="N501" s="10">
        <v>7.2919999999999902E-2</v>
      </c>
      <c r="O501" s="10">
        <v>0.7036</v>
      </c>
      <c r="P501" s="10">
        <v>1.268</v>
      </c>
      <c r="Q501" s="10">
        <v>5.3730000000000002</v>
      </c>
      <c r="R501" s="10">
        <v>60.78</v>
      </c>
      <c r="S501" s="10">
        <v>9.4070000000000004E-3</v>
      </c>
      <c r="T501" s="10">
        <v>7.0559999999999901E-2</v>
      </c>
      <c r="U501" s="10">
        <v>6.8989999999999899E-2</v>
      </c>
      <c r="V501" s="10">
        <v>1.848E-2</v>
      </c>
      <c r="W501" s="10">
        <v>1.7000000000000001E-2</v>
      </c>
      <c r="X501" s="10">
        <v>6.1130000000000004E-3</v>
      </c>
      <c r="Y501" s="10">
        <v>17.670000000000002</v>
      </c>
      <c r="Z501" s="10">
        <v>29.51</v>
      </c>
      <c r="AA501" s="10">
        <v>119.099999999999</v>
      </c>
      <c r="AB501" s="10">
        <v>959.5</v>
      </c>
      <c r="AC501" s="10">
        <v>0.16400000000000001</v>
      </c>
      <c r="AD501" s="10">
        <v>0.62470000000000003</v>
      </c>
      <c r="AE501" s="10">
        <v>0.69220000000000004</v>
      </c>
      <c r="AF501" s="10">
        <v>0.17849999999999899</v>
      </c>
      <c r="AG501" s="10">
        <v>0.28439999999999899</v>
      </c>
      <c r="AH501">
        <v>0.1132</v>
      </c>
    </row>
    <row r="502" spans="3:34">
      <c r="C502" s="11" t="s">
        <v>392</v>
      </c>
      <c r="D502" s="10" t="s">
        <v>0</v>
      </c>
      <c r="E502" s="10">
        <v>13.71</v>
      </c>
      <c r="F502" s="10">
        <v>19.82</v>
      </c>
      <c r="G502" s="10">
        <v>130.69999999999899</v>
      </c>
      <c r="H502" s="10">
        <v>1206</v>
      </c>
      <c r="I502" s="10">
        <v>0.1062</v>
      </c>
      <c r="J502" s="10">
        <v>0.18490000000000001</v>
      </c>
      <c r="K502" s="10">
        <v>0.2417</v>
      </c>
      <c r="L502" s="10">
        <v>9.74E-2</v>
      </c>
      <c r="M502" s="10">
        <v>0.17330000000000001</v>
      </c>
      <c r="N502" s="10">
        <v>6.6970000000000002E-2</v>
      </c>
      <c r="O502" s="10">
        <v>0.7661</v>
      </c>
      <c r="P502" s="10">
        <v>0.78</v>
      </c>
      <c r="Q502" s="10">
        <v>4.1150000000000002</v>
      </c>
      <c r="R502" s="10">
        <v>92.81</v>
      </c>
      <c r="S502" s="10">
        <v>8.482E-3</v>
      </c>
      <c r="T502" s="10">
        <v>5.05699999999999E-2</v>
      </c>
      <c r="U502" s="10">
        <v>6.8000000000000005E-2</v>
      </c>
      <c r="V502" s="10">
        <v>1.9709999999999901E-2</v>
      </c>
      <c r="W502" s="10">
        <v>1.4670000000000001E-2</v>
      </c>
      <c r="X502" s="10">
        <v>7.2589999999999903E-3</v>
      </c>
      <c r="Y502" s="10">
        <v>25.28</v>
      </c>
      <c r="Z502" s="10">
        <v>25.59</v>
      </c>
      <c r="AA502" s="10">
        <v>159.80000000000001</v>
      </c>
      <c r="AB502" s="10">
        <v>1933</v>
      </c>
      <c r="AC502" s="10">
        <v>0.17100000000000001</v>
      </c>
      <c r="AD502" s="10">
        <v>0.59550000000000003</v>
      </c>
      <c r="AE502" s="10">
        <v>0.84889999999999899</v>
      </c>
      <c r="AF502" s="10">
        <v>0.25069999999999898</v>
      </c>
      <c r="AG502" s="10">
        <v>0.27489999999999898</v>
      </c>
      <c r="AH502">
        <v>0.12970000000000001</v>
      </c>
    </row>
    <row r="503" spans="3:34">
      <c r="C503" s="11" t="s">
        <v>569</v>
      </c>
      <c r="D503" s="10" t="s">
        <v>1</v>
      </c>
      <c r="E503" s="10">
        <v>13.71</v>
      </c>
      <c r="F503" s="10">
        <v>17.670000000000002</v>
      </c>
      <c r="G503" s="10">
        <v>80.98</v>
      </c>
      <c r="H503" s="10">
        <v>501.3</v>
      </c>
      <c r="I503" s="10">
        <v>7.8960000000000002E-2</v>
      </c>
      <c r="J503" s="10">
        <v>4.5220000000000003E-2</v>
      </c>
      <c r="K503" s="10">
        <v>1.4019999999999901E-2</v>
      </c>
      <c r="L503" s="10">
        <v>1.8350000000000002E-2</v>
      </c>
      <c r="M503" s="10">
        <v>0.1459</v>
      </c>
      <c r="N503" s="10">
        <v>5.5440000000000003E-2</v>
      </c>
      <c r="O503" s="10">
        <v>0.2954</v>
      </c>
      <c r="P503" s="10">
        <v>0.88360000000000005</v>
      </c>
      <c r="Q503" s="10">
        <v>2.109</v>
      </c>
      <c r="R503" s="10">
        <v>23.239999999999899</v>
      </c>
      <c r="S503" s="10">
        <v>7.3369999999999902E-3</v>
      </c>
      <c r="T503" s="10">
        <v>1.174E-2</v>
      </c>
      <c r="U503" s="10">
        <v>5.3829999999999902E-3</v>
      </c>
      <c r="V503" s="10">
        <v>5.6230000000000004E-3</v>
      </c>
      <c r="W503" s="10">
        <v>1.9400000000000001E-2</v>
      </c>
      <c r="X503" s="10">
        <v>1.1800000000000001E-3</v>
      </c>
      <c r="Y503" s="10">
        <v>13.82</v>
      </c>
      <c r="Z503" s="10">
        <v>20.96</v>
      </c>
      <c r="AA503" s="10">
        <v>88.87</v>
      </c>
      <c r="AB503" s="10">
        <v>586.79999999999905</v>
      </c>
      <c r="AC503" s="10">
        <v>0.10680000000000001</v>
      </c>
      <c r="AD503" s="10">
        <v>9.6049999999999899E-2</v>
      </c>
      <c r="AE503" s="10">
        <v>3.4689999999999901E-2</v>
      </c>
      <c r="AF503" s="10">
        <v>3.6119999999999902E-2</v>
      </c>
      <c r="AG503" s="10">
        <v>0.2165</v>
      </c>
      <c r="AH503">
        <v>6.0249999999999901E-2</v>
      </c>
    </row>
    <row r="504" spans="3:34">
      <c r="C504" s="11" t="s">
        <v>540</v>
      </c>
      <c r="D504" s="10" t="s">
        <v>0</v>
      </c>
      <c r="E504" s="10">
        <v>13.71</v>
      </c>
      <c r="F504" s="10">
        <v>21.02</v>
      </c>
      <c r="G504" s="10">
        <v>124.4</v>
      </c>
      <c r="H504" s="10">
        <v>994</v>
      </c>
      <c r="I504" s="10">
        <v>0.123</v>
      </c>
      <c r="J504" s="10">
        <v>0.2576</v>
      </c>
      <c r="K504" s="10">
        <v>0.31890000000000002</v>
      </c>
      <c r="L504" s="10">
        <v>0.1198</v>
      </c>
      <c r="M504" s="10">
        <v>0.21129999999999899</v>
      </c>
      <c r="N504" s="10">
        <v>7.1150000000000005E-2</v>
      </c>
      <c r="O504" s="10">
        <v>0.40300000000000002</v>
      </c>
      <c r="P504" s="10">
        <v>0.77470000000000006</v>
      </c>
      <c r="Q504" s="10">
        <v>3.1230000000000002</v>
      </c>
      <c r="R504" s="10">
        <v>41.509999999999899</v>
      </c>
      <c r="S504" s="10">
        <v>7.1590000000000004E-3</v>
      </c>
      <c r="T504" s="10">
        <v>3.7179999999999901E-2</v>
      </c>
      <c r="U504" s="10">
        <v>6.1650000000000003E-2</v>
      </c>
      <c r="V504" s="10">
        <v>1.051E-2</v>
      </c>
      <c r="W504" s="10">
        <v>1.5910000000000001E-2</v>
      </c>
      <c r="X504" s="10">
        <v>5.0990000000000002E-3</v>
      </c>
      <c r="Y504" s="10">
        <v>20.8</v>
      </c>
      <c r="Z504" s="10">
        <v>27.78</v>
      </c>
      <c r="AA504" s="10">
        <v>149.599999999999</v>
      </c>
      <c r="AB504" s="10">
        <v>1304</v>
      </c>
      <c r="AC504" s="10">
        <v>0.187299999999999</v>
      </c>
      <c r="AD504" s="10">
        <v>0.5917</v>
      </c>
      <c r="AE504" s="10">
        <v>0.90339999999999898</v>
      </c>
      <c r="AF504" s="10">
        <v>0.19639999999999899</v>
      </c>
      <c r="AG504" s="10">
        <v>0.32450000000000001</v>
      </c>
      <c r="AH504">
        <v>0.1198</v>
      </c>
    </row>
    <row r="505" spans="3:34">
      <c r="C505" s="11" t="s">
        <v>465</v>
      </c>
      <c r="D505" s="10" t="s">
        <v>1</v>
      </c>
      <c r="E505" s="10">
        <v>13.71</v>
      </c>
      <c r="F505" s="10">
        <v>17.3</v>
      </c>
      <c r="G505" s="10">
        <v>81.25</v>
      </c>
      <c r="H505" s="10">
        <v>489.89999999999901</v>
      </c>
      <c r="I505" s="10">
        <v>0.1028</v>
      </c>
      <c r="J505" s="10">
        <v>7.664E-2</v>
      </c>
      <c r="K505" s="10">
        <v>3.193E-2</v>
      </c>
      <c r="L505" s="10">
        <v>2.1069999999999901E-2</v>
      </c>
      <c r="M505" s="10">
        <v>0.17069999999999899</v>
      </c>
      <c r="N505" s="10">
        <v>5.98399999999999E-2</v>
      </c>
      <c r="O505" s="10">
        <v>0.20999999999999899</v>
      </c>
      <c r="P505" s="10">
        <v>0.95050000000000001</v>
      </c>
      <c r="Q505" s="10">
        <v>1.5660000000000001</v>
      </c>
      <c r="R505" s="10">
        <v>17.6099999999999</v>
      </c>
      <c r="S505" s="10">
        <v>6.8089999999999904E-3</v>
      </c>
      <c r="T505" s="10">
        <v>9.5139999999999895E-3</v>
      </c>
      <c r="U505" s="10">
        <v>1.329E-2</v>
      </c>
      <c r="V505" s="10">
        <v>6.4739999999999902E-3</v>
      </c>
      <c r="W505" s="10">
        <v>2.0570000000000001E-2</v>
      </c>
      <c r="X505" s="10">
        <v>1.784E-3</v>
      </c>
      <c r="Y505" s="10">
        <v>13.71</v>
      </c>
      <c r="Z505" s="10">
        <v>21.1</v>
      </c>
      <c r="AA505" s="10">
        <v>88.7</v>
      </c>
      <c r="AB505" s="10">
        <v>574.39999999999895</v>
      </c>
      <c r="AC505" s="10">
        <v>0.1384</v>
      </c>
      <c r="AD505" s="10">
        <v>0.1212</v>
      </c>
      <c r="AE505" s="10">
        <v>0.10199999999999899</v>
      </c>
      <c r="AF505" s="10">
        <v>5.602E-2</v>
      </c>
      <c r="AG505" s="10">
        <v>0.26879999999999898</v>
      </c>
      <c r="AH505">
        <v>6.88799999999999E-2</v>
      </c>
    </row>
    <row r="506" spans="3:34">
      <c r="C506" s="11" t="s">
        <v>423</v>
      </c>
      <c r="D506" s="10" t="s">
        <v>0</v>
      </c>
      <c r="E506" s="10">
        <v>13.71</v>
      </c>
      <c r="F506" s="10">
        <v>18.77</v>
      </c>
      <c r="G506" s="10">
        <v>108.8</v>
      </c>
      <c r="H506" s="10">
        <v>805.1</v>
      </c>
      <c r="I506" s="10">
        <v>0.1066</v>
      </c>
      <c r="J506" s="10">
        <v>0.1802</v>
      </c>
      <c r="K506" s="10">
        <v>0.1948</v>
      </c>
      <c r="L506" s="10">
        <v>9.0520000000000003E-2</v>
      </c>
      <c r="M506" s="10">
        <v>0.18759999999999899</v>
      </c>
      <c r="N506" s="10">
        <v>6.6839999999999899E-2</v>
      </c>
      <c r="O506" s="10">
        <v>0.2873</v>
      </c>
      <c r="P506" s="10">
        <v>0.9173</v>
      </c>
      <c r="Q506" s="10">
        <v>2.464</v>
      </c>
      <c r="R506" s="10">
        <v>28.09</v>
      </c>
      <c r="S506" s="10">
        <v>4.5630000000000002E-3</v>
      </c>
      <c r="T506" s="10">
        <v>3.4810000000000001E-2</v>
      </c>
      <c r="U506" s="10">
        <v>3.87199999999999E-2</v>
      </c>
      <c r="V506" s="10">
        <v>1.209E-2</v>
      </c>
      <c r="W506" s="10">
        <v>1.388E-2</v>
      </c>
      <c r="X506" s="10">
        <v>4.0810000000000004E-3</v>
      </c>
      <c r="Y506" s="10">
        <v>18.55</v>
      </c>
      <c r="Z506" s="10">
        <v>25.09</v>
      </c>
      <c r="AA506" s="10">
        <v>126.9</v>
      </c>
      <c r="AB506" s="10">
        <v>1031</v>
      </c>
      <c r="AC506" s="10">
        <v>0.13650000000000001</v>
      </c>
      <c r="AD506" s="10">
        <v>0.47060000000000002</v>
      </c>
      <c r="AE506" s="10">
        <v>0.50260000000000005</v>
      </c>
      <c r="AF506" s="10">
        <v>0.17319999999999899</v>
      </c>
      <c r="AG506" s="10">
        <v>0.27700000000000002</v>
      </c>
      <c r="AH506">
        <v>0.10630000000000001</v>
      </c>
    </row>
    <row r="507" spans="3:34">
      <c r="C507" s="11" t="s">
        <v>497</v>
      </c>
      <c r="D507" s="10" t="s">
        <v>1</v>
      </c>
      <c r="E507" s="10">
        <v>13.71</v>
      </c>
      <c r="F507" s="10">
        <v>16.21</v>
      </c>
      <c r="G507" s="10">
        <v>88.519999999999897</v>
      </c>
      <c r="H507" s="10">
        <v>593.70000000000005</v>
      </c>
      <c r="I507" s="10">
        <v>8.7429999999999897E-2</v>
      </c>
      <c r="J507" s="10">
        <v>5.4919999999999899E-2</v>
      </c>
      <c r="K507" s="10">
        <v>1.502E-2</v>
      </c>
      <c r="L507" s="10">
        <v>2.0879999999999899E-2</v>
      </c>
      <c r="M507" s="10">
        <v>0.1424</v>
      </c>
      <c r="N507" s="10">
        <v>5.883E-2</v>
      </c>
      <c r="O507" s="10">
        <v>0.25430000000000003</v>
      </c>
      <c r="P507" s="10">
        <v>1.363</v>
      </c>
      <c r="Q507" s="10">
        <v>1.7370000000000001</v>
      </c>
      <c r="R507" s="10">
        <v>20.739999999999899</v>
      </c>
      <c r="S507" s="10">
        <v>5.6379999999999902E-3</v>
      </c>
      <c r="T507" s="10">
        <v>7.9389999999999895E-3</v>
      </c>
      <c r="U507" s="10">
        <v>5.254E-3</v>
      </c>
      <c r="V507" s="10">
        <v>6.0419999999999901E-3</v>
      </c>
      <c r="W507" s="10">
        <v>1.5440000000000001E-2</v>
      </c>
      <c r="X507" s="10">
        <v>2.0869999999999899E-3</v>
      </c>
      <c r="Y507" s="10">
        <v>15.1099999999999</v>
      </c>
      <c r="Z507" s="10">
        <v>25.579999999999899</v>
      </c>
      <c r="AA507" s="10">
        <v>96.739999999999895</v>
      </c>
      <c r="AB507" s="10">
        <v>694.39999999999895</v>
      </c>
      <c r="AC507" s="10">
        <v>0.1153</v>
      </c>
      <c r="AD507" s="10">
        <v>0.1008</v>
      </c>
      <c r="AE507" s="10">
        <v>5.2850000000000001E-2</v>
      </c>
      <c r="AF507" s="10">
        <v>5.5559999999999901E-2</v>
      </c>
      <c r="AG507" s="10">
        <v>0.23619999999999899</v>
      </c>
      <c r="AH507">
        <v>7.1129999999999902E-2</v>
      </c>
    </row>
    <row r="508" spans="3:34">
      <c r="C508" s="11" t="s">
        <v>696</v>
      </c>
      <c r="D508" s="10" t="s">
        <v>1</v>
      </c>
      <c r="E508" s="10">
        <v>13.71</v>
      </c>
      <c r="F508" s="10">
        <v>19.59</v>
      </c>
      <c r="G508" s="10">
        <v>64.73</v>
      </c>
      <c r="H508" s="10">
        <v>311.69999999999902</v>
      </c>
      <c r="I508" s="10">
        <v>0.1003</v>
      </c>
      <c r="J508" s="10">
        <v>7.5039999999999898E-2</v>
      </c>
      <c r="K508" s="10">
        <v>5.025E-3</v>
      </c>
      <c r="L508" s="10">
        <v>1.116E-2</v>
      </c>
      <c r="M508" s="10">
        <v>0.17910000000000001</v>
      </c>
      <c r="N508" s="10">
        <v>6.3310000000000005E-2</v>
      </c>
      <c r="O508" s="10">
        <v>0.24410000000000001</v>
      </c>
      <c r="P508" s="10">
        <v>2.0899999999999901</v>
      </c>
      <c r="Q508" s="10">
        <v>1.6479999999999899</v>
      </c>
      <c r="R508" s="10">
        <v>16.8</v>
      </c>
      <c r="S508" s="10">
        <v>1.291E-2</v>
      </c>
      <c r="T508" s="10">
        <v>2.222E-2</v>
      </c>
      <c r="U508" s="10">
        <v>4.1739999999999902E-3</v>
      </c>
      <c r="V508" s="10">
        <v>7.0819999999999902E-3</v>
      </c>
      <c r="W508" s="10">
        <v>2.572E-2</v>
      </c>
      <c r="X508" s="10">
        <v>2.2780000000000001E-3</v>
      </c>
      <c r="Y508" s="10">
        <v>10.65</v>
      </c>
      <c r="Z508" s="10">
        <v>22.8799999999999</v>
      </c>
      <c r="AA508" s="10">
        <v>67.879999999999896</v>
      </c>
      <c r="AB508" s="10">
        <v>347.3</v>
      </c>
      <c r="AC508" s="10">
        <v>0.1265</v>
      </c>
      <c r="AD508" s="10">
        <v>0.12</v>
      </c>
      <c r="AE508" s="10">
        <v>1.005E-2</v>
      </c>
      <c r="AF508" s="10">
        <v>2.232E-2</v>
      </c>
      <c r="AG508" s="10">
        <v>0.22620000000000001</v>
      </c>
      <c r="AH508">
        <v>6.7419999999999897E-2</v>
      </c>
    </row>
    <row r="509" spans="3:34">
      <c r="C509" s="11" t="s">
        <v>404</v>
      </c>
      <c r="D509" s="10" t="s">
        <v>0</v>
      </c>
      <c r="E509" s="10">
        <v>13.71</v>
      </c>
      <c r="F509" s="10">
        <v>22.07</v>
      </c>
      <c r="G509" s="10">
        <v>111.599999999999</v>
      </c>
      <c r="H509" s="10">
        <v>928.29999999999905</v>
      </c>
      <c r="I509" s="10">
        <v>9.7259999999999902E-2</v>
      </c>
      <c r="J509" s="10">
        <v>8.9950000000000002E-2</v>
      </c>
      <c r="K509" s="10">
        <v>9.0609999999999899E-2</v>
      </c>
      <c r="L509" s="10">
        <v>6.5269999999999898E-2</v>
      </c>
      <c r="M509" s="10">
        <v>0.1867</v>
      </c>
      <c r="N509" s="10">
        <v>5.5800000000000002E-2</v>
      </c>
      <c r="O509" s="10">
        <v>0.42030000000000001</v>
      </c>
      <c r="P509" s="10">
        <v>0.73829999999999896</v>
      </c>
      <c r="Q509" s="10">
        <v>2.819</v>
      </c>
      <c r="R509" s="10">
        <v>45.42</v>
      </c>
      <c r="S509" s="10">
        <v>4.4929999999999901E-3</v>
      </c>
      <c r="T509" s="10">
        <v>1.206E-2</v>
      </c>
      <c r="U509" s="10">
        <v>2.0480000000000002E-2</v>
      </c>
      <c r="V509" s="10">
        <v>9.8750000000000001E-3</v>
      </c>
      <c r="W509" s="10">
        <v>1.1440000000000001E-2</v>
      </c>
      <c r="X509" s="10">
        <v>1.575E-3</v>
      </c>
      <c r="Y509" s="10">
        <v>21.579999999999899</v>
      </c>
      <c r="Z509" s="10">
        <v>29.329999999999899</v>
      </c>
      <c r="AA509" s="10">
        <v>140.5</v>
      </c>
      <c r="AB509" s="10">
        <v>1436</v>
      </c>
      <c r="AC509" s="10">
        <v>0.15579999999999899</v>
      </c>
      <c r="AD509" s="10">
        <v>0.25669999999999898</v>
      </c>
      <c r="AE509" s="10">
        <v>0.38890000000000002</v>
      </c>
      <c r="AF509" s="10">
        <v>0.19839999999999899</v>
      </c>
      <c r="AG509" s="10">
        <v>0.3216</v>
      </c>
      <c r="AH509">
        <v>7.5700000000000003E-2</v>
      </c>
    </row>
    <row r="510" spans="3:34">
      <c r="C510" s="11" t="s">
        <v>672</v>
      </c>
      <c r="D510" s="10" t="s">
        <v>1</v>
      </c>
      <c r="E510" s="10">
        <v>13.71</v>
      </c>
      <c r="F510" s="10">
        <v>16.329999999999899</v>
      </c>
      <c r="G510" s="10">
        <v>87.76</v>
      </c>
      <c r="H510" s="10">
        <v>575.5</v>
      </c>
      <c r="I510" s="10">
        <v>9.2770000000000005E-2</v>
      </c>
      <c r="J510" s="10">
        <v>7.2550000000000003E-2</v>
      </c>
      <c r="K510" s="10">
        <v>1.7520000000000001E-2</v>
      </c>
      <c r="L510" s="10">
        <v>1.8800000000000001E-2</v>
      </c>
      <c r="M510" s="10">
        <v>0.163099999999999</v>
      </c>
      <c r="N510" s="10">
        <v>6.1550000000000001E-2</v>
      </c>
      <c r="O510" s="10">
        <v>0.20469999999999899</v>
      </c>
      <c r="P510" s="10">
        <v>0.48010000000000003</v>
      </c>
      <c r="Q510" s="10">
        <v>1.373</v>
      </c>
      <c r="R510" s="10">
        <v>17.25</v>
      </c>
      <c r="S510" s="10">
        <v>3.8279999999999898E-3</v>
      </c>
      <c r="T510" s="10">
        <v>7.228E-3</v>
      </c>
      <c r="U510" s="10">
        <v>7.0780000000000001E-3</v>
      </c>
      <c r="V510" s="10">
        <v>5.0769999999999904E-3</v>
      </c>
      <c r="W510" s="10">
        <v>1.0540000000000001E-2</v>
      </c>
      <c r="X510" s="10">
        <v>1.69699999999999E-3</v>
      </c>
      <c r="Y510" s="10">
        <v>15.85</v>
      </c>
      <c r="Z510" s="10">
        <v>20.1999999999999</v>
      </c>
      <c r="AA510" s="10">
        <v>101.599999999999</v>
      </c>
      <c r="AB510" s="10">
        <v>773.39999999999895</v>
      </c>
      <c r="AC510" s="10">
        <v>0.12640000000000001</v>
      </c>
      <c r="AD510" s="10">
        <v>0.15640000000000001</v>
      </c>
      <c r="AE510" s="10">
        <v>0.1206</v>
      </c>
      <c r="AF510" s="10">
        <v>8.7040000000000006E-2</v>
      </c>
      <c r="AG510" s="10">
        <v>0.28060000000000002</v>
      </c>
      <c r="AH510">
        <v>7.782E-2</v>
      </c>
    </row>
    <row r="511" spans="3:34">
      <c r="C511" s="11" t="s">
        <v>314</v>
      </c>
      <c r="D511" s="10" t="s">
        <v>1</v>
      </c>
      <c r="E511" s="10">
        <v>13.71</v>
      </c>
      <c r="F511" s="10">
        <v>15.15</v>
      </c>
      <c r="G511" s="10">
        <v>67.489999999999895</v>
      </c>
      <c r="H511" s="10">
        <v>349.6</v>
      </c>
      <c r="I511" s="10">
        <v>8.7919999999999901E-2</v>
      </c>
      <c r="J511" s="10">
        <v>4.3020000000000003E-2</v>
      </c>
      <c r="K511" s="10">
        <v>0</v>
      </c>
      <c r="L511" s="10">
        <v>0</v>
      </c>
      <c r="M511" s="10">
        <v>0.1928</v>
      </c>
      <c r="N511" s="10">
        <v>5.97499999999999E-2</v>
      </c>
      <c r="O511" s="10">
        <v>0.33090000000000003</v>
      </c>
      <c r="P511" s="10">
        <v>1.925</v>
      </c>
      <c r="Q511" s="10">
        <v>2.15499999999999</v>
      </c>
      <c r="R511" s="10">
        <v>21.98</v>
      </c>
      <c r="S511" s="10">
        <v>8.7130000000000003E-3</v>
      </c>
      <c r="T511" s="10">
        <v>1.017E-2</v>
      </c>
      <c r="U511" s="10">
        <v>0</v>
      </c>
      <c r="V511" s="10">
        <v>0</v>
      </c>
      <c r="W511" s="10">
        <v>3.2649999999999901E-2</v>
      </c>
      <c r="X511" s="10">
        <v>1.0020000000000001E-3</v>
      </c>
      <c r="Y511" s="10">
        <v>11.5399999999999</v>
      </c>
      <c r="Z511" s="10">
        <v>19.1999999999999</v>
      </c>
      <c r="AA511" s="10">
        <v>73.2</v>
      </c>
      <c r="AB511" s="10">
        <v>408.3</v>
      </c>
      <c r="AC511" s="10">
        <v>0.1076</v>
      </c>
      <c r="AD511" s="10">
        <v>6.7909999999999901E-2</v>
      </c>
      <c r="AE511" s="10">
        <v>0</v>
      </c>
      <c r="AF511" s="10">
        <v>0</v>
      </c>
      <c r="AG511" s="10">
        <v>0.27100000000000002</v>
      </c>
      <c r="AH511">
        <v>6.164E-2</v>
      </c>
    </row>
    <row r="512" spans="3:34">
      <c r="C512" s="11" t="s">
        <v>316</v>
      </c>
      <c r="D512" s="10" t="s">
        <v>1</v>
      </c>
      <c r="E512" s="10">
        <v>13.71</v>
      </c>
      <c r="F512" s="10">
        <v>18.059999999999899</v>
      </c>
      <c r="G512" s="10">
        <v>64.599999999999895</v>
      </c>
      <c r="H512" s="10">
        <v>302.39999999999901</v>
      </c>
      <c r="I512" s="10">
        <v>9.6990000000000007E-2</v>
      </c>
      <c r="J512" s="10">
        <v>0.12939999999999899</v>
      </c>
      <c r="K512" s="10">
        <v>0.13070000000000001</v>
      </c>
      <c r="L512" s="10">
        <v>3.7159999999999901E-2</v>
      </c>
      <c r="M512" s="10">
        <v>0.16689999999999899</v>
      </c>
      <c r="N512" s="10">
        <v>8.1159999999999899E-2</v>
      </c>
      <c r="O512" s="10">
        <v>0.43109999999999898</v>
      </c>
      <c r="P512" s="10">
        <v>2.2610000000000001</v>
      </c>
      <c r="Q512" s="10">
        <v>3.1320000000000001</v>
      </c>
      <c r="R512" s="10">
        <v>27.48</v>
      </c>
      <c r="S512" s="10">
        <v>1.286E-2</v>
      </c>
      <c r="T512" s="10">
        <v>8.8080000000000006E-2</v>
      </c>
      <c r="U512" s="10">
        <v>0.1197</v>
      </c>
      <c r="V512" s="10">
        <v>2.46E-2</v>
      </c>
      <c r="W512" s="10">
        <v>3.8800000000000001E-2</v>
      </c>
      <c r="X512" s="10">
        <v>1.7919999999999901E-2</v>
      </c>
      <c r="Y512" s="10">
        <v>11.26</v>
      </c>
      <c r="Z512" s="10">
        <v>24.39</v>
      </c>
      <c r="AA512" s="10">
        <v>73.069999999999894</v>
      </c>
      <c r="AB512" s="10">
        <v>390.19999999999902</v>
      </c>
      <c r="AC512" s="10">
        <v>0.13009999999999899</v>
      </c>
      <c r="AD512" s="10">
        <v>0.29499999999999899</v>
      </c>
      <c r="AE512" s="10">
        <v>0.34860000000000002</v>
      </c>
      <c r="AF512" s="10">
        <v>9.9099999999999897E-2</v>
      </c>
      <c r="AG512" s="10">
        <v>0.26140000000000002</v>
      </c>
      <c r="AH512">
        <v>0.1162</v>
      </c>
    </row>
    <row r="513" spans="3:34">
      <c r="C513" s="11" t="s">
        <v>660</v>
      </c>
      <c r="D513" s="10" t="s">
        <v>1</v>
      </c>
      <c r="E513" s="10">
        <v>13.71</v>
      </c>
      <c r="F513" s="10">
        <v>13.9</v>
      </c>
      <c r="G513" s="10">
        <v>59.96</v>
      </c>
      <c r="H513" s="10">
        <v>257.8</v>
      </c>
      <c r="I513" s="10">
        <v>0.1371</v>
      </c>
      <c r="J513" s="10">
        <v>0.1225</v>
      </c>
      <c r="K513" s="10">
        <v>3.3320000000000002E-2</v>
      </c>
      <c r="L513" s="10">
        <v>2.4209999999999898E-2</v>
      </c>
      <c r="M513" s="10">
        <v>0.21970000000000001</v>
      </c>
      <c r="N513" s="10">
        <v>7.6960000000000001E-2</v>
      </c>
      <c r="O513" s="10">
        <v>0.3538</v>
      </c>
      <c r="P513" s="10">
        <v>1.1299999999999899</v>
      </c>
      <c r="Q513" s="10">
        <v>2.3879999999999901</v>
      </c>
      <c r="R513" s="10">
        <v>19.6299999999999</v>
      </c>
      <c r="S513" s="10">
        <v>1.546E-2</v>
      </c>
      <c r="T513" s="10">
        <v>2.5399999999999898E-2</v>
      </c>
      <c r="U513" s="10">
        <v>2.197E-2</v>
      </c>
      <c r="V513" s="10">
        <v>1.5800000000000002E-2</v>
      </c>
      <c r="W513" s="10">
        <v>3.9969999999999901E-2</v>
      </c>
      <c r="X513" s="10">
        <v>3.901E-3</v>
      </c>
      <c r="Y513" s="10">
        <v>10.57</v>
      </c>
      <c r="Z513" s="10">
        <v>17.84</v>
      </c>
      <c r="AA513" s="10">
        <v>67.84</v>
      </c>
      <c r="AB513" s="10">
        <v>326.60000000000002</v>
      </c>
      <c r="AC513" s="10">
        <v>0.185</v>
      </c>
      <c r="AD513" s="10">
        <v>0.2097</v>
      </c>
      <c r="AE513" s="10">
        <v>9.9959999999999896E-2</v>
      </c>
      <c r="AF513" s="10">
        <v>7.2620000000000004E-2</v>
      </c>
      <c r="AG513" s="10">
        <v>0.36809999999999898</v>
      </c>
      <c r="AH513">
        <v>8.98199999999999E-2</v>
      </c>
    </row>
    <row r="514" spans="3:34">
      <c r="C514" s="11" t="s">
        <v>312</v>
      </c>
      <c r="D514" s="10" t="s">
        <v>0</v>
      </c>
      <c r="E514" s="10">
        <v>13.71</v>
      </c>
      <c r="F514" s="10">
        <v>11.89</v>
      </c>
      <c r="G514" s="10">
        <v>102.5</v>
      </c>
      <c r="H514" s="10">
        <v>736.89999999999895</v>
      </c>
      <c r="I514" s="10">
        <v>0.12570000000000001</v>
      </c>
      <c r="J514" s="10">
        <v>0.1555</v>
      </c>
      <c r="K514" s="10">
        <v>0.20319999999999899</v>
      </c>
      <c r="L514" s="10">
        <v>0.10970000000000001</v>
      </c>
      <c r="M514" s="10">
        <v>0.1966</v>
      </c>
      <c r="N514" s="10">
        <v>7.0690000000000003E-2</v>
      </c>
      <c r="O514" s="10">
        <v>0.4209</v>
      </c>
      <c r="P514" s="10">
        <v>0.6583</v>
      </c>
      <c r="Q514" s="10">
        <v>2.8050000000000002</v>
      </c>
      <c r="R514" s="10">
        <v>44.64</v>
      </c>
      <c r="S514" s="10">
        <v>5.3930000000000002E-3</v>
      </c>
      <c r="T514" s="10">
        <v>2.3210000000000001E-2</v>
      </c>
      <c r="U514" s="10">
        <v>4.3029999999999902E-2</v>
      </c>
      <c r="V514" s="10">
        <v>1.32E-2</v>
      </c>
      <c r="W514" s="10">
        <v>1.7919999999999901E-2</v>
      </c>
      <c r="X514" s="10">
        <v>4.1679999999999903E-3</v>
      </c>
      <c r="Y514" s="10">
        <v>18.7899999999999</v>
      </c>
      <c r="Z514" s="10">
        <v>17.0399999999999</v>
      </c>
      <c r="AA514" s="10">
        <v>125</v>
      </c>
      <c r="AB514" s="10">
        <v>1102</v>
      </c>
      <c r="AC514" s="10">
        <v>0.15310000000000001</v>
      </c>
      <c r="AD514" s="10">
        <v>0.35830000000000001</v>
      </c>
      <c r="AE514" s="10">
        <v>0.58299999999999896</v>
      </c>
      <c r="AF514" s="10">
        <v>0.1827</v>
      </c>
      <c r="AG514" s="10">
        <v>0.3216</v>
      </c>
      <c r="AH514">
        <v>0.10100000000000001</v>
      </c>
    </row>
    <row r="515" spans="3:34">
      <c r="C515" s="11" t="s">
        <v>338</v>
      </c>
      <c r="D515" s="10" t="s">
        <v>0</v>
      </c>
      <c r="E515" s="10">
        <v>13.71</v>
      </c>
      <c r="F515" s="10">
        <v>22.489999999999899</v>
      </c>
      <c r="G515" s="10">
        <v>127.5</v>
      </c>
      <c r="H515" s="10">
        <v>1148</v>
      </c>
      <c r="I515" s="10">
        <v>8.523E-2</v>
      </c>
      <c r="J515" s="10">
        <v>0.14280000000000001</v>
      </c>
      <c r="K515" s="10">
        <v>0.1114</v>
      </c>
      <c r="L515" s="10">
        <v>6.7720000000000002E-2</v>
      </c>
      <c r="M515" s="10">
        <v>0.1767</v>
      </c>
      <c r="N515" s="10">
        <v>5.5289999999999902E-2</v>
      </c>
      <c r="O515" s="10">
        <v>0.43569999999999898</v>
      </c>
      <c r="P515" s="10">
        <v>1.073</v>
      </c>
      <c r="Q515" s="10">
        <v>3.8330000000000002</v>
      </c>
      <c r="R515" s="10">
        <v>54.219999999999899</v>
      </c>
      <c r="S515" s="10">
        <v>5.5240000000000003E-3</v>
      </c>
      <c r="T515" s="10">
        <v>3.6979999999999902E-2</v>
      </c>
      <c r="U515" s="10">
        <v>2.7060000000000001E-2</v>
      </c>
      <c r="V515" s="10">
        <v>1.221E-2</v>
      </c>
      <c r="W515" s="10">
        <v>1.4149999999999901E-2</v>
      </c>
      <c r="X515" s="10">
        <v>3.3969999999999899E-3</v>
      </c>
      <c r="Y515" s="10">
        <v>23.3599999999999</v>
      </c>
      <c r="Z515" s="10">
        <v>32.06</v>
      </c>
      <c r="AA515" s="10">
        <v>166.4</v>
      </c>
      <c r="AB515" s="10">
        <v>1688</v>
      </c>
      <c r="AC515" s="10">
        <v>0.13220000000000001</v>
      </c>
      <c r="AD515" s="10">
        <v>0.56010000000000004</v>
      </c>
      <c r="AE515" s="10">
        <v>0.38650000000000001</v>
      </c>
      <c r="AF515" s="10">
        <v>0.17080000000000001</v>
      </c>
      <c r="AG515" s="10">
        <v>0.31929999999999897</v>
      </c>
      <c r="AH515">
        <v>9.221E-2</v>
      </c>
    </row>
    <row r="516" spans="3:34">
      <c r="C516" s="11" t="s">
        <v>146</v>
      </c>
      <c r="D516" s="10" t="s">
        <v>0</v>
      </c>
      <c r="E516" s="10">
        <v>18.25</v>
      </c>
      <c r="F516" s="10">
        <v>19.98</v>
      </c>
      <c r="G516" s="10">
        <v>119.599999999999</v>
      </c>
      <c r="H516" s="10">
        <v>1040</v>
      </c>
      <c r="I516" s="10">
        <v>9.4630000000000006E-2</v>
      </c>
      <c r="J516" s="10">
        <v>0.109</v>
      </c>
      <c r="K516" s="10">
        <v>0.112699999999999</v>
      </c>
      <c r="L516" s="10">
        <v>7.3999999999999899E-2</v>
      </c>
      <c r="M516" s="10">
        <v>0.1794</v>
      </c>
      <c r="N516" s="10">
        <v>5.7419999999999902E-2</v>
      </c>
      <c r="O516" s="10">
        <v>0.44669999999999899</v>
      </c>
      <c r="P516" s="10">
        <v>0.7732</v>
      </c>
      <c r="Q516" s="10">
        <v>3.18</v>
      </c>
      <c r="R516" s="10">
        <v>53.909999999999897</v>
      </c>
      <c r="S516" s="10">
        <v>4.3140000000000001E-3</v>
      </c>
      <c r="T516" s="10">
        <v>1.3820000000000001E-2</v>
      </c>
      <c r="U516" s="10">
        <v>2.2540000000000001E-2</v>
      </c>
      <c r="V516" s="10">
        <v>1.039E-2</v>
      </c>
      <c r="W516" s="10">
        <v>1.3690000000000001E-2</v>
      </c>
      <c r="X516" s="10">
        <v>2.17899999999999E-3</v>
      </c>
      <c r="Y516" s="10">
        <v>22.8799999999999</v>
      </c>
      <c r="Z516" s="10">
        <v>27.66</v>
      </c>
      <c r="AA516" s="10">
        <v>153.19999999999899</v>
      </c>
      <c r="AB516" s="10">
        <v>1606</v>
      </c>
      <c r="AC516" s="10">
        <v>0.144199999999999</v>
      </c>
      <c r="AD516" s="10">
        <v>0.2576</v>
      </c>
      <c r="AE516" s="10">
        <v>0.37840000000000001</v>
      </c>
      <c r="AF516" s="10">
        <v>0.19320000000000001</v>
      </c>
      <c r="AG516" s="10">
        <v>0.30630000000000002</v>
      </c>
      <c r="AH516">
        <v>8.3680000000000004E-2</v>
      </c>
    </row>
    <row r="517" spans="3:34">
      <c r="C517" s="11" t="s">
        <v>225</v>
      </c>
      <c r="D517" s="10" t="s">
        <v>0</v>
      </c>
      <c r="E517" s="10">
        <v>13.71</v>
      </c>
      <c r="F517" s="10">
        <v>18.52</v>
      </c>
      <c r="G517" s="10">
        <v>121.099999999999</v>
      </c>
      <c r="H517" s="10">
        <v>1075</v>
      </c>
      <c r="I517" s="10">
        <v>9.8739999999999897E-2</v>
      </c>
      <c r="J517" s="10">
        <v>0.1053</v>
      </c>
      <c r="K517" s="10">
        <v>0.13350000000000001</v>
      </c>
      <c r="L517" s="10">
        <v>8.795E-2</v>
      </c>
      <c r="M517" s="10">
        <v>0.2132</v>
      </c>
      <c r="N517" s="10">
        <v>6.0220000000000003E-2</v>
      </c>
      <c r="O517" s="10">
        <v>0.69969999999999899</v>
      </c>
      <c r="P517" s="10">
        <v>1.4750000000000001</v>
      </c>
      <c r="Q517" s="10">
        <v>4.782</v>
      </c>
      <c r="R517" s="10">
        <v>80.599999999999895</v>
      </c>
      <c r="S517" s="10">
        <v>6.4710000000000002E-3</v>
      </c>
      <c r="T517" s="10">
        <v>1.6490000000000001E-2</v>
      </c>
      <c r="U517" s="10">
        <v>2.8060000000000002E-2</v>
      </c>
      <c r="V517" s="10">
        <v>1.4200000000000001E-2</v>
      </c>
      <c r="W517" s="10">
        <v>2.3699999999999902E-2</v>
      </c>
      <c r="X517" s="10">
        <v>3.7550000000000001E-3</v>
      </c>
      <c r="Y517" s="10">
        <v>22.93</v>
      </c>
      <c r="Z517" s="10">
        <v>27.68</v>
      </c>
      <c r="AA517" s="10">
        <v>152.19999999999899</v>
      </c>
      <c r="AB517" s="10">
        <v>1603</v>
      </c>
      <c r="AC517" s="10">
        <v>0.13980000000000001</v>
      </c>
      <c r="AD517" s="10">
        <v>0.2089</v>
      </c>
      <c r="AE517" s="10">
        <v>0.31569999999999898</v>
      </c>
      <c r="AF517" s="10">
        <v>0.16420000000000001</v>
      </c>
      <c r="AG517" s="10">
        <v>0.3695</v>
      </c>
      <c r="AH517">
        <v>8.5790000000000005E-2</v>
      </c>
    </row>
    <row r="518" spans="3:34">
      <c r="C518" s="11" t="s">
        <v>430</v>
      </c>
      <c r="D518" s="10" t="s">
        <v>1</v>
      </c>
      <c r="E518" s="10">
        <v>13.71</v>
      </c>
      <c r="F518" s="10">
        <v>19.73</v>
      </c>
      <c r="G518" s="10">
        <v>96.03</v>
      </c>
      <c r="H518" s="10">
        <v>651</v>
      </c>
      <c r="I518" s="10">
        <v>8.7569999999999898E-2</v>
      </c>
      <c r="J518" s="10">
        <v>0.1676</v>
      </c>
      <c r="K518" s="10">
        <v>0.13619999999999899</v>
      </c>
      <c r="L518" s="10">
        <v>6.6019999999999898E-2</v>
      </c>
      <c r="M518" s="10">
        <v>0.1714</v>
      </c>
      <c r="N518" s="10">
        <v>7.1919999999999901E-2</v>
      </c>
      <c r="O518" s="10">
        <v>0.881099999999999</v>
      </c>
      <c r="P518" s="10">
        <v>1.77</v>
      </c>
      <c r="Q518" s="10">
        <v>4.3600000000000003</v>
      </c>
      <c r="R518" s="10">
        <v>77.1099999999999</v>
      </c>
      <c r="S518" s="10">
        <v>7.7619999999999903E-3</v>
      </c>
      <c r="T518" s="10">
        <v>0.106399999999999</v>
      </c>
      <c r="U518" s="10">
        <v>9.9599999999999897E-2</v>
      </c>
      <c r="V518" s="10">
        <v>2.7709999999999901E-2</v>
      </c>
      <c r="W518" s="10">
        <v>4.0770000000000001E-2</v>
      </c>
      <c r="X518" s="10">
        <v>2.2859999999999901E-2</v>
      </c>
      <c r="Y518" s="10">
        <v>15.77</v>
      </c>
      <c r="Z518" s="10">
        <v>22.1299999999999</v>
      </c>
      <c r="AA518" s="10">
        <v>101.7</v>
      </c>
      <c r="AB518" s="10">
        <v>767.29999999999905</v>
      </c>
      <c r="AC518" s="10">
        <v>9.9830000000000002E-2</v>
      </c>
      <c r="AD518" s="10">
        <v>0.2472</v>
      </c>
      <c r="AE518" s="10">
        <v>0.222</v>
      </c>
      <c r="AF518" s="10">
        <v>0.1021</v>
      </c>
      <c r="AG518" s="10">
        <v>0.22720000000000001</v>
      </c>
      <c r="AH518">
        <v>8.7989999999999902E-2</v>
      </c>
    </row>
    <row r="519" spans="3:34">
      <c r="C519" s="11" t="s">
        <v>567</v>
      </c>
      <c r="D519" s="10" t="s">
        <v>1</v>
      </c>
      <c r="E519" s="10">
        <v>13.71</v>
      </c>
      <c r="F519" s="10">
        <v>21.98</v>
      </c>
      <c r="G519" s="10">
        <v>68.790000000000006</v>
      </c>
      <c r="H519" s="10">
        <v>359.89999999999901</v>
      </c>
      <c r="I519" s="10">
        <v>8.8010000000000005E-2</v>
      </c>
      <c r="J519" s="10">
        <v>5.7430000000000002E-2</v>
      </c>
      <c r="K519" s="10">
        <v>3.6139999999999901E-2</v>
      </c>
      <c r="L519" s="10">
        <v>1.404E-2</v>
      </c>
      <c r="M519" s="10">
        <v>0.2016</v>
      </c>
      <c r="N519" s="10">
        <v>5.97699999999999E-2</v>
      </c>
      <c r="O519" s="10">
        <v>0.30769999999999897</v>
      </c>
      <c r="P519" s="10">
        <v>1.621</v>
      </c>
      <c r="Q519" s="10">
        <v>2.2400000000000002</v>
      </c>
      <c r="R519" s="10">
        <v>20.1999999999999</v>
      </c>
      <c r="S519" s="10">
        <v>6.5430000000000002E-3</v>
      </c>
      <c r="T519" s="10">
        <v>2.1479999999999898E-2</v>
      </c>
      <c r="U519" s="10">
        <v>2.9909999999999898E-2</v>
      </c>
      <c r="V519" s="10">
        <v>1.04499999999999E-2</v>
      </c>
      <c r="W519" s="10">
        <v>1.8440000000000002E-2</v>
      </c>
      <c r="X519" s="10">
        <v>2.6900000000000001E-3</v>
      </c>
      <c r="Y519" s="10">
        <v>12.76</v>
      </c>
      <c r="Z519" s="10">
        <v>32.0399999999999</v>
      </c>
      <c r="AA519" s="10">
        <v>83.689999999999898</v>
      </c>
      <c r="AB519" s="10">
        <v>489.5</v>
      </c>
      <c r="AC519" s="10">
        <v>0.1303</v>
      </c>
      <c r="AD519" s="10">
        <v>0.1696</v>
      </c>
      <c r="AE519" s="10">
        <v>0.19270000000000001</v>
      </c>
      <c r="AF519" s="10">
        <v>7.485E-2</v>
      </c>
      <c r="AG519" s="10">
        <v>0.29649999999999899</v>
      </c>
      <c r="AH519">
        <v>7.6619999999999897E-2</v>
      </c>
    </row>
    <row r="520" spans="3:34">
      <c r="C520" s="11" t="s">
        <v>169</v>
      </c>
      <c r="D520" s="10" t="s">
        <v>0</v>
      </c>
      <c r="E520" s="10">
        <v>13.71</v>
      </c>
      <c r="F520" s="10">
        <v>15.05</v>
      </c>
      <c r="G520" s="10">
        <v>115</v>
      </c>
      <c r="H520" s="10">
        <v>955.1</v>
      </c>
      <c r="I520" s="10">
        <v>9.8470000000000002E-2</v>
      </c>
      <c r="J520" s="10">
        <v>0.1157</v>
      </c>
      <c r="K520" s="10">
        <v>9.8750000000000004E-2</v>
      </c>
      <c r="L520" s="10">
        <v>7.9530000000000003E-2</v>
      </c>
      <c r="M520" s="10">
        <v>0.1739</v>
      </c>
      <c r="N520" s="10">
        <v>6.1490000000000003E-2</v>
      </c>
      <c r="O520" s="10">
        <v>0.60029999999999895</v>
      </c>
      <c r="P520" s="10">
        <v>0.82250000000000001</v>
      </c>
      <c r="Q520" s="10">
        <v>4.6550000000000002</v>
      </c>
      <c r="R520" s="10">
        <v>61.1</v>
      </c>
      <c r="S520" s="10">
        <v>5.6270000000000001E-3</v>
      </c>
      <c r="T520" s="10">
        <v>3.0329999999999899E-2</v>
      </c>
      <c r="U520" s="10">
        <v>3.4070000000000003E-2</v>
      </c>
      <c r="V520" s="10">
        <v>1.354E-2</v>
      </c>
      <c r="W520" s="10">
        <v>1.925E-2</v>
      </c>
      <c r="X520" s="10">
        <v>3.7420000000000001E-3</v>
      </c>
      <c r="Y520" s="10">
        <v>20.010000000000002</v>
      </c>
      <c r="Z520" s="10">
        <v>19.52</v>
      </c>
      <c r="AA520" s="10">
        <v>134.9</v>
      </c>
      <c r="AB520" s="10">
        <v>1227</v>
      </c>
      <c r="AC520" s="10">
        <v>0.1255</v>
      </c>
      <c r="AD520" s="10">
        <v>0.28120000000000001</v>
      </c>
      <c r="AE520" s="10">
        <v>0.24890000000000001</v>
      </c>
      <c r="AF520" s="10">
        <v>0.14560000000000001</v>
      </c>
      <c r="AG520" s="10">
        <v>0.27560000000000001</v>
      </c>
      <c r="AH520">
        <v>7.9189999999999899E-2</v>
      </c>
    </row>
    <row r="521" spans="3:34">
      <c r="C521" s="11" t="s">
        <v>608</v>
      </c>
      <c r="D521" s="10" t="s">
        <v>0</v>
      </c>
      <c r="E521" s="10">
        <v>13.71</v>
      </c>
      <c r="F521" s="10">
        <v>23.329999999999899</v>
      </c>
      <c r="G521" s="10">
        <v>119</v>
      </c>
      <c r="H521" s="10">
        <v>980.5</v>
      </c>
      <c r="I521" s="10">
        <v>9.289E-2</v>
      </c>
      <c r="J521" s="10">
        <v>0.200399999999999</v>
      </c>
      <c r="K521" s="10">
        <v>0.21360000000000001</v>
      </c>
      <c r="L521" s="10">
        <v>0.1002</v>
      </c>
      <c r="M521" s="10">
        <v>0.1696</v>
      </c>
      <c r="N521" s="10">
        <v>7.3690000000000005E-2</v>
      </c>
      <c r="O521" s="10">
        <v>0.92889999999999895</v>
      </c>
      <c r="P521" s="10">
        <v>1.4650000000000001</v>
      </c>
      <c r="Q521" s="10">
        <v>5.8010000000000002</v>
      </c>
      <c r="R521" s="10">
        <v>104.9</v>
      </c>
      <c r="S521" s="10">
        <v>6.7660000000000003E-3</v>
      </c>
      <c r="T521" s="10">
        <v>7.0250000000000007E-2</v>
      </c>
      <c r="U521" s="10">
        <v>6.5909999999999899E-2</v>
      </c>
      <c r="V521" s="10">
        <v>2.3109999999999901E-2</v>
      </c>
      <c r="W521" s="10">
        <v>1.6729999999999901E-2</v>
      </c>
      <c r="X521" s="10">
        <v>1.12999999999999E-2</v>
      </c>
      <c r="Y521" s="10">
        <v>21.57</v>
      </c>
      <c r="Z521" s="10">
        <v>28.87</v>
      </c>
      <c r="AA521" s="10">
        <v>143.599999999999</v>
      </c>
      <c r="AB521" s="10">
        <v>1437</v>
      </c>
      <c r="AC521" s="10">
        <v>0.1207</v>
      </c>
      <c r="AD521" s="10">
        <v>0.47849999999999898</v>
      </c>
      <c r="AE521" s="10">
        <v>0.51649999999999896</v>
      </c>
      <c r="AF521" s="10">
        <v>0.1996</v>
      </c>
      <c r="AG521" s="10">
        <v>0.2301</v>
      </c>
      <c r="AH521">
        <v>0.122399999999999</v>
      </c>
    </row>
    <row r="522" spans="3:34">
      <c r="C522" s="11" t="s">
        <v>206</v>
      </c>
      <c r="D522" s="10" t="s">
        <v>1</v>
      </c>
      <c r="E522" s="10">
        <v>13.71</v>
      </c>
      <c r="F522" s="10">
        <v>21.01</v>
      </c>
      <c r="G522" s="10">
        <v>60.1099999999999</v>
      </c>
      <c r="H522" s="10">
        <v>269.39999999999901</v>
      </c>
      <c r="I522" s="10">
        <v>0.10440000000000001</v>
      </c>
      <c r="J522" s="10">
        <v>7.7729999999999896E-2</v>
      </c>
      <c r="K522" s="10">
        <v>2.172E-2</v>
      </c>
      <c r="L522" s="10">
        <v>1.504E-2</v>
      </c>
      <c r="M522" s="10">
        <v>0.17169999999999899</v>
      </c>
      <c r="N522" s="10">
        <v>6.8989999999999899E-2</v>
      </c>
      <c r="O522" s="10">
        <v>0.2351</v>
      </c>
      <c r="P522" s="10">
        <v>2.0110000000000001</v>
      </c>
      <c r="Q522" s="10">
        <v>1.6599999999999899</v>
      </c>
      <c r="R522" s="10">
        <v>14.1999999999999</v>
      </c>
      <c r="S522" s="10">
        <v>1.052E-2</v>
      </c>
      <c r="T522" s="10">
        <v>1.755E-2</v>
      </c>
      <c r="U522" s="10">
        <v>1.7139999999999898E-2</v>
      </c>
      <c r="V522" s="10">
        <v>9.3329999999999906E-3</v>
      </c>
      <c r="W522" s="10">
        <v>2.2790000000000001E-2</v>
      </c>
      <c r="X522" s="10">
        <v>4.2370000000000003E-3</v>
      </c>
      <c r="Y522" s="10">
        <v>10.41</v>
      </c>
      <c r="Z522" s="10">
        <v>31.559999999999899</v>
      </c>
      <c r="AA522" s="10">
        <v>67.03</v>
      </c>
      <c r="AB522" s="10">
        <v>330.69999999999902</v>
      </c>
      <c r="AC522" s="10">
        <v>0.15479999999999899</v>
      </c>
      <c r="AD522" s="10">
        <v>0.16639999999999899</v>
      </c>
      <c r="AE522" s="10">
        <v>9.4119999999999898E-2</v>
      </c>
      <c r="AF522" s="10">
        <v>6.5170000000000006E-2</v>
      </c>
      <c r="AG522" s="10">
        <v>0.2878</v>
      </c>
      <c r="AH522">
        <v>9.21099999999999E-2</v>
      </c>
    </row>
    <row r="523" spans="3:34">
      <c r="C523" s="11" t="s">
        <v>492</v>
      </c>
      <c r="D523" s="10" t="s">
        <v>0</v>
      </c>
      <c r="E523" s="10">
        <v>13.71</v>
      </c>
      <c r="F523" s="10">
        <v>17.46</v>
      </c>
      <c r="G523" s="10">
        <v>174.19999999999899</v>
      </c>
      <c r="H523" s="10">
        <v>2010</v>
      </c>
      <c r="I523" s="10">
        <v>0.1149</v>
      </c>
      <c r="J523" s="10">
        <v>0.23630000000000001</v>
      </c>
      <c r="K523" s="10">
        <v>0.33679999999999899</v>
      </c>
      <c r="L523" s="10">
        <v>0.1913</v>
      </c>
      <c r="M523" s="10">
        <v>0.1956</v>
      </c>
      <c r="N523" s="10">
        <v>6.1210000000000001E-2</v>
      </c>
      <c r="O523" s="10">
        <v>0.99480000000000002</v>
      </c>
      <c r="P523" s="10">
        <v>0.85089999999999899</v>
      </c>
      <c r="Q523" s="10">
        <v>7.2220000000000004</v>
      </c>
      <c r="R523" s="10">
        <v>153.099999999999</v>
      </c>
      <c r="S523" s="10">
        <v>6.3689999999999901E-3</v>
      </c>
      <c r="T523" s="10">
        <v>4.2430000000000002E-2</v>
      </c>
      <c r="U523" s="10">
        <v>4.2659999999999899E-2</v>
      </c>
      <c r="V523" s="10">
        <v>1.508E-2</v>
      </c>
      <c r="W523" s="10">
        <v>2.3349999999999899E-2</v>
      </c>
      <c r="X523" s="10">
        <v>3.385E-3</v>
      </c>
      <c r="Y523" s="10">
        <v>33.130000000000003</v>
      </c>
      <c r="Z523" s="10">
        <v>23.579999999999899</v>
      </c>
      <c r="AA523" s="10">
        <v>229.3</v>
      </c>
      <c r="AB523" s="10">
        <v>3234</v>
      </c>
      <c r="AC523" s="10">
        <v>0.153</v>
      </c>
      <c r="AD523" s="10">
        <v>0.59370000000000001</v>
      </c>
      <c r="AE523" s="10">
        <v>0.64510000000000001</v>
      </c>
      <c r="AF523" s="10">
        <v>0.27560000000000001</v>
      </c>
      <c r="AG523" s="10">
        <v>0.368999999999999</v>
      </c>
      <c r="AH523">
        <v>8.8150000000000006E-2</v>
      </c>
    </row>
    <row r="524" spans="3:34">
      <c r="C524" s="11" t="s">
        <v>224</v>
      </c>
      <c r="D524" s="10" t="s">
        <v>1</v>
      </c>
      <c r="E524" s="10">
        <v>13.71</v>
      </c>
      <c r="F524" s="10">
        <v>15.65</v>
      </c>
      <c r="G524" s="10">
        <v>76.95</v>
      </c>
      <c r="H524" s="10">
        <v>443.3</v>
      </c>
      <c r="I524" s="10">
        <v>9.72299999999999E-2</v>
      </c>
      <c r="J524" s="10">
        <v>7.1650000000000005E-2</v>
      </c>
      <c r="K524" s="10">
        <v>4.1509999999999901E-2</v>
      </c>
      <c r="L524" s="10">
        <v>1.8630000000000001E-2</v>
      </c>
      <c r="M524" s="10">
        <v>0.2079</v>
      </c>
      <c r="N524" s="10">
        <v>5.96799999999999E-2</v>
      </c>
      <c r="O524" s="10">
        <v>0.2271</v>
      </c>
      <c r="P524" s="10">
        <v>1.2549999999999899</v>
      </c>
      <c r="Q524" s="10">
        <v>1.4410000000000001</v>
      </c>
      <c r="R524" s="10">
        <v>16.16</v>
      </c>
      <c r="S524" s="10">
        <v>5.9690000000000003E-3</v>
      </c>
      <c r="T524" s="10">
        <v>1.8120000000000001E-2</v>
      </c>
      <c r="U524" s="10">
        <v>2.0070000000000001E-2</v>
      </c>
      <c r="V524" s="10">
        <v>7.0270000000000003E-3</v>
      </c>
      <c r="W524" s="10">
        <v>1.9720000000000001E-2</v>
      </c>
      <c r="X524" s="10">
        <v>2.60699999999999E-3</v>
      </c>
      <c r="Y524" s="10">
        <v>13.67</v>
      </c>
      <c r="Z524" s="10">
        <v>24.899999999999899</v>
      </c>
      <c r="AA524" s="10">
        <v>87.78</v>
      </c>
      <c r="AB524" s="10">
        <v>567.89999999999895</v>
      </c>
      <c r="AC524" s="10">
        <v>0.13769999999999899</v>
      </c>
      <c r="AD524" s="10">
        <v>0.20030000000000001</v>
      </c>
      <c r="AE524" s="10">
        <v>0.22670000000000001</v>
      </c>
      <c r="AF524" s="10">
        <v>7.6319999999999902E-2</v>
      </c>
      <c r="AG524" s="10">
        <v>0.33789999999999898</v>
      </c>
      <c r="AH524">
        <v>7.9240000000000005E-2</v>
      </c>
    </row>
    <row r="525" spans="3:34">
      <c r="C525" s="11" t="s">
        <v>410</v>
      </c>
      <c r="D525" s="10" t="s">
        <v>1</v>
      </c>
      <c r="E525" s="10">
        <v>13.71</v>
      </c>
      <c r="F525" s="10">
        <v>16.82</v>
      </c>
      <c r="G525" s="10">
        <v>90.299999999999898</v>
      </c>
      <c r="H525" s="10">
        <v>632.6</v>
      </c>
      <c r="I525" s="10">
        <v>6.429E-2</v>
      </c>
      <c r="J525" s="10">
        <v>2.6749999999999899E-2</v>
      </c>
      <c r="K525" s="10">
        <v>7.2500000000000004E-3</v>
      </c>
      <c r="L525" s="10">
        <v>6.2500000000000003E-3</v>
      </c>
      <c r="M525" s="10">
        <v>0.15079999999999899</v>
      </c>
      <c r="N525" s="10">
        <v>5.3760000000000002E-2</v>
      </c>
      <c r="O525" s="10">
        <v>0.13020000000000001</v>
      </c>
      <c r="P525" s="10">
        <v>0.7198</v>
      </c>
      <c r="Q525" s="10">
        <v>0.84389999999999898</v>
      </c>
      <c r="R525" s="10">
        <v>10.77</v>
      </c>
      <c r="S525" s="10">
        <v>3.4919999999999899E-3</v>
      </c>
      <c r="T525" s="10">
        <v>3.7100000000000002E-3</v>
      </c>
      <c r="U525" s="10">
        <v>4.8260000000000004E-3</v>
      </c>
      <c r="V525" s="10">
        <v>3.6080000000000001E-3</v>
      </c>
      <c r="W525" s="10">
        <v>1.536E-2</v>
      </c>
      <c r="X525" s="10">
        <v>1.3810000000000001E-3</v>
      </c>
      <c r="Y525" s="10">
        <v>14.91</v>
      </c>
      <c r="Z525" s="10">
        <v>20.649999999999899</v>
      </c>
      <c r="AA525" s="10">
        <v>94.439999999999898</v>
      </c>
      <c r="AB525" s="10">
        <v>684.6</v>
      </c>
      <c r="AC525" s="10">
        <v>8.5669999999999899E-2</v>
      </c>
      <c r="AD525" s="10">
        <v>5.0360000000000002E-2</v>
      </c>
      <c r="AE525" s="10">
        <v>3.866E-2</v>
      </c>
      <c r="AF525" s="10">
        <v>3.3329999999999901E-2</v>
      </c>
      <c r="AG525" s="10">
        <v>0.24579999999999899</v>
      </c>
      <c r="AH525">
        <v>6.11999999999999E-2</v>
      </c>
    </row>
    <row r="526" spans="3:34">
      <c r="C526" s="11" t="s">
        <v>667</v>
      </c>
      <c r="D526" s="10" t="s">
        <v>1</v>
      </c>
      <c r="E526" s="10">
        <v>13.71</v>
      </c>
      <c r="F526" s="10">
        <v>12.27</v>
      </c>
      <c r="G526" s="10">
        <v>78.939999999999898</v>
      </c>
      <c r="H526" s="10">
        <v>468.5</v>
      </c>
      <c r="I526" s="10">
        <v>9.0029999999999902E-2</v>
      </c>
      <c r="J526" s="10">
        <v>6.3070000000000001E-2</v>
      </c>
      <c r="K526" s="10">
        <v>2.9579999999999902E-2</v>
      </c>
      <c r="L526" s="10">
        <v>2.647E-2</v>
      </c>
      <c r="M526" s="10">
        <v>0.168899999999999</v>
      </c>
      <c r="N526" s="10">
        <v>5.808E-2</v>
      </c>
      <c r="O526" s="10">
        <v>0.1166</v>
      </c>
      <c r="P526" s="10">
        <v>0.49569999999999897</v>
      </c>
      <c r="Q526" s="10">
        <v>0.77139999999999898</v>
      </c>
      <c r="R526" s="10">
        <v>8.9550000000000001</v>
      </c>
      <c r="S526" s="10">
        <v>3.6809999999999898E-3</v>
      </c>
      <c r="T526" s="10">
        <v>9.1690000000000001E-3</v>
      </c>
      <c r="U526" s="10">
        <v>8.7320000000000002E-3</v>
      </c>
      <c r="V526" s="10">
        <v>5.7400000000000003E-3</v>
      </c>
      <c r="W526" s="10">
        <v>1.129E-2</v>
      </c>
      <c r="X526" s="10">
        <v>1.366E-3</v>
      </c>
      <c r="Y526" s="10">
        <v>13.6099999999999</v>
      </c>
      <c r="Z526" s="10">
        <v>19.27</v>
      </c>
      <c r="AA526" s="10">
        <v>87.219999999999899</v>
      </c>
      <c r="AB526" s="10">
        <v>564.89999999999895</v>
      </c>
      <c r="AC526" s="10">
        <v>0.12920000000000001</v>
      </c>
      <c r="AD526" s="10">
        <v>0.2074</v>
      </c>
      <c r="AE526" s="10">
        <v>0.17910000000000001</v>
      </c>
      <c r="AF526" s="10">
        <v>0.107</v>
      </c>
      <c r="AG526" s="10">
        <v>0.311</v>
      </c>
      <c r="AH526">
        <v>7.5920000000000001E-2</v>
      </c>
    </row>
    <row r="527" spans="3:34">
      <c r="C527" s="11" t="s">
        <v>276</v>
      </c>
      <c r="D527" s="10" t="s">
        <v>1</v>
      </c>
      <c r="E527" s="10">
        <v>13.71</v>
      </c>
      <c r="F527" s="10">
        <v>16.670000000000002</v>
      </c>
      <c r="G527" s="10">
        <v>74.719999999999899</v>
      </c>
      <c r="H527" s="10">
        <v>423.6</v>
      </c>
      <c r="I527" s="10">
        <v>0.1051</v>
      </c>
      <c r="J527" s="10">
        <v>6.09499999999999E-2</v>
      </c>
      <c r="K527" s="10">
        <v>3.5920000000000001E-2</v>
      </c>
      <c r="L527" s="10">
        <v>2.5999999999999902E-2</v>
      </c>
      <c r="M527" s="10">
        <v>0.13389999999999899</v>
      </c>
      <c r="N527" s="10">
        <v>5.9450000000000003E-2</v>
      </c>
      <c r="O527" s="10">
        <v>0.44890000000000002</v>
      </c>
      <c r="P527" s="10">
        <v>2.508</v>
      </c>
      <c r="Q527" s="10">
        <v>3.258</v>
      </c>
      <c r="R527" s="10">
        <v>34.369999999999898</v>
      </c>
      <c r="S527" s="10">
        <v>6.5779999999999901E-3</v>
      </c>
      <c r="T527" s="10">
        <v>1.38E-2</v>
      </c>
      <c r="U527" s="10">
        <v>2.6620000000000001E-2</v>
      </c>
      <c r="V527" s="10">
        <v>1.307E-2</v>
      </c>
      <c r="W527" s="10">
        <v>1.359E-2</v>
      </c>
      <c r="X527" s="10">
        <v>3.7069999999999898E-3</v>
      </c>
      <c r="Y527" s="10">
        <v>13.33</v>
      </c>
      <c r="Z527" s="10">
        <v>25.48</v>
      </c>
      <c r="AA527" s="10">
        <v>86.159999999999897</v>
      </c>
      <c r="AB527" s="10">
        <v>546.70000000000005</v>
      </c>
      <c r="AC527" s="10">
        <v>0.12709999999999899</v>
      </c>
      <c r="AD527" s="10">
        <v>0.1028</v>
      </c>
      <c r="AE527" s="10">
        <v>0.1046</v>
      </c>
      <c r="AF527" s="10">
        <v>6.9680000000000006E-2</v>
      </c>
      <c r="AG527" s="10">
        <v>0.17119999999999899</v>
      </c>
      <c r="AH527">
        <v>7.3429999999999898E-2</v>
      </c>
    </row>
    <row r="528" spans="3:34">
      <c r="C528" s="11" t="s">
        <v>491</v>
      </c>
      <c r="D528" s="10" t="s">
        <v>0</v>
      </c>
      <c r="E528" s="10">
        <v>13.71</v>
      </c>
      <c r="F528" s="10">
        <v>19.219999999999899</v>
      </c>
      <c r="G528" s="10">
        <v>107.099999999999</v>
      </c>
      <c r="H528" s="10">
        <v>758.6</v>
      </c>
      <c r="I528" s="10">
        <v>0.12429999999999899</v>
      </c>
      <c r="J528" s="10">
        <v>0.2364</v>
      </c>
      <c r="K528" s="10">
        <v>0.29139999999999899</v>
      </c>
      <c r="L528" s="10">
        <v>0.1242</v>
      </c>
      <c r="M528" s="10">
        <v>0.23749999999999899</v>
      </c>
      <c r="N528" s="10">
        <v>7.603E-2</v>
      </c>
      <c r="O528" s="10">
        <v>0.52039999999999897</v>
      </c>
      <c r="P528" s="10">
        <v>1.3240000000000001</v>
      </c>
      <c r="Q528" s="10">
        <v>3.4769999999999901</v>
      </c>
      <c r="R528" s="10">
        <v>51.219999999999899</v>
      </c>
      <c r="S528" s="10">
        <v>9.3290000000000005E-3</v>
      </c>
      <c r="T528" s="10">
        <v>6.5589999999999898E-2</v>
      </c>
      <c r="U528" s="10">
        <v>9.9529999999999896E-2</v>
      </c>
      <c r="V528" s="10">
        <v>2.283E-2</v>
      </c>
      <c r="W528" s="10">
        <v>5.543E-2</v>
      </c>
      <c r="X528" s="10">
        <v>7.3299999999999902E-3</v>
      </c>
      <c r="Y528" s="10">
        <v>17.3599999999999</v>
      </c>
      <c r="Z528" s="10">
        <v>24.17</v>
      </c>
      <c r="AA528" s="10">
        <v>119.4</v>
      </c>
      <c r="AB528" s="10">
        <v>915.29999999999905</v>
      </c>
      <c r="AC528" s="10">
        <v>0.155</v>
      </c>
      <c r="AD528" s="10">
        <v>0.50460000000000005</v>
      </c>
      <c r="AE528" s="10">
        <v>0.68720000000000003</v>
      </c>
      <c r="AF528" s="10">
        <v>0.2135</v>
      </c>
      <c r="AG528" s="10">
        <v>0.42449999999999899</v>
      </c>
      <c r="AH528">
        <v>0.105</v>
      </c>
    </row>
    <row r="529" spans="3:34">
      <c r="C529" s="11" t="s">
        <v>214</v>
      </c>
      <c r="D529" s="10" t="s">
        <v>1</v>
      </c>
      <c r="E529" s="10">
        <v>13.71</v>
      </c>
      <c r="F529" s="10">
        <v>16.52</v>
      </c>
      <c r="G529" s="10">
        <v>79.189999999999898</v>
      </c>
      <c r="H529" s="10">
        <v>470.89999999999901</v>
      </c>
      <c r="I529" s="10">
        <v>9.1719999999999899E-2</v>
      </c>
      <c r="J529" s="10">
        <v>6.8290000000000003E-2</v>
      </c>
      <c r="K529" s="10">
        <v>3.372E-2</v>
      </c>
      <c r="L529" s="10">
        <v>2.2720000000000001E-2</v>
      </c>
      <c r="M529" s="10">
        <v>0.17199999999999899</v>
      </c>
      <c r="N529" s="10">
        <v>5.9139999999999901E-2</v>
      </c>
      <c r="O529" s="10">
        <v>0.2505</v>
      </c>
      <c r="P529" s="10">
        <v>1.0249999999999899</v>
      </c>
      <c r="Q529" s="10">
        <v>1.74</v>
      </c>
      <c r="R529" s="10">
        <v>19.68</v>
      </c>
      <c r="S529" s="10">
        <v>4.8539999999999903E-3</v>
      </c>
      <c r="T529" s="10">
        <v>1.8190000000000001E-2</v>
      </c>
      <c r="U529" s="10">
        <v>1.8259999999999901E-2</v>
      </c>
      <c r="V529" s="10">
        <v>7.9649999999999894E-3</v>
      </c>
      <c r="W529" s="10">
        <v>1.3860000000000001E-2</v>
      </c>
      <c r="X529" s="10">
        <v>2.3040000000000001E-3</v>
      </c>
      <c r="Y529" s="10">
        <v>14.1099999999999</v>
      </c>
      <c r="Z529" s="10">
        <v>23.21</v>
      </c>
      <c r="AA529" s="10">
        <v>89.709999999999894</v>
      </c>
      <c r="AB529" s="10">
        <v>611.1</v>
      </c>
      <c r="AC529" s="10">
        <v>0.1176</v>
      </c>
      <c r="AD529" s="10">
        <v>0.18429999999999899</v>
      </c>
      <c r="AE529" s="10">
        <v>0.17030000000000001</v>
      </c>
      <c r="AF529" s="10">
        <v>8.6599999999999899E-2</v>
      </c>
      <c r="AG529" s="10">
        <v>0.26179999999999898</v>
      </c>
      <c r="AH529">
        <v>7.6090000000000005E-2</v>
      </c>
    </row>
    <row r="530" spans="3:34">
      <c r="C530" s="11" t="s">
        <v>250</v>
      </c>
      <c r="D530" s="10" t="s">
        <v>1</v>
      </c>
      <c r="E530" s="10">
        <v>13.71</v>
      </c>
      <c r="F530" s="10">
        <v>16.989999999999899</v>
      </c>
      <c r="G530" s="10">
        <v>62.5</v>
      </c>
      <c r="H530" s="10">
        <v>290.19999999999902</v>
      </c>
      <c r="I530" s="10">
        <v>0.1037</v>
      </c>
      <c r="J530" s="10">
        <v>8.4040000000000004E-2</v>
      </c>
      <c r="K530" s="10">
        <v>4.3339999999999899E-2</v>
      </c>
      <c r="L530" s="10">
        <v>1.7780000000000001E-2</v>
      </c>
      <c r="M530" s="10">
        <v>0.15840000000000001</v>
      </c>
      <c r="N530" s="10">
        <v>7.0650000000000004E-2</v>
      </c>
      <c r="O530" s="10">
        <v>0.40300000000000002</v>
      </c>
      <c r="P530" s="10">
        <v>1.4239999999999899</v>
      </c>
      <c r="Q530" s="10">
        <v>2.7469999999999901</v>
      </c>
      <c r="R530" s="10">
        <v>22.87</v>
      </c>
      <c r="S530" s="10">
        <v>1.3849999999999901E-2</v>
      </c>
      <c r="T530" s="10">
        <v>2.9319999999999902E-2</v>
      </c>
      <c r="U530" s="10">
        <v>2.7220000000000001E-2</v>
      </c>
      <c r="V530" s="10">
        <v>1.023E-2</v>
      </c>
      <c r="W530" s="10">
        <v>3.2809999999999902E-2</v>
      </c>
      <c r="X530" s="10">
        <v>4.6379999999999902E-3</v>
      </c>
      <c r="Y530" s="10">
        <v>11.05</v>
      </c>
      <c r="Z530" s="10">
        <v>21.469999999999899</v>
      </c>
      <c r="AA530" s="10">
        <v>71.680000000000007</v>
      </c>
      <c r="AB530" s="10">
        <v>367</v>
      </c>
      <c r="AC530" s="10">
        <v>0.1467</v>
      </c>
      <c r="AD530" s="10">
        <v>0.17649999999999899</v>
      </c>
      <c r="AE530" s="10">
        <v>0.13</v>
      </c>
      <c r="AF530" s="10">
        <v>5.3339999999999901E-2</v>
      </c>
      <c r="AG530" s="10">
        <v>0.25330000000000003</v>
      </c>
      <c r="AH530">
        <v>8.4680000000000005E-2</v>
      </c>
    </row>
    <row r="531" spans="3:34">
      <c r="C531" s="11" t="s">
        <v>191</v>
      </c>
      <c r="D531" s="10" t="s">
        <v>1</v>
      </c>
      <c r="E531" s="10">
        <v>13.71</v>
      </c>
      <c r="F531" s="10">
        <v>16.34</v>
      </c>
      <c r="G531" s="10">
        <v>87.209999999999894</v>
      </c>
      <c r="H531" s="10">
        <v>571.79999999999905</v>
      </c>
      <c r="I531" s="10">
        <v>7.6850000000000002E-2</v>
      </c>
      <c r="J531" s="10">
        <v>6.0589999999999901E-2</v>
      </c>
      <c r="K531" s="10">
        <v>1.857E-2</v>
      </c>
      <c r="L531" s="10">
        <v>1.7229999999999902E-2</v>
      </c>
      <c r="M531" s="10">
        <v>0.1353</v>
      </c>
      <c r="N531" s="10">
        <v>5.953E-2</v>
      </c>
      <c r="O531" s="10">
        <v>0.18720000000000001</v>
      </c>
      <c r="P531" s="10">
        <v>0.9234</v>
      </c>
      <c r="Q531" s="10">
        <v>1.4490000000000001</v>
      </c>
      <c r="R531" s="10">
        <v>14.55</v>
      </c>
      <c r="S531" s="10">
        <v>4.4770000000000001E-3</v>
      </c>
      <c r="T531" s="10">
        <v>1.17699999999999E-2</v>
      </c>
      <c r="U531" s="10">
        <v>1.07899999999999E-2</v>
      </c>
      <c r="V531" s="10">
        <v>7.9559999999999909E-3</v>
      </c>
      <c r="W531" s="10">
        <v>1.325E-2</v>
      </c>
      <c r="X531" s="10">
        <v>2.5509999999999899E-3</v>
      </c>
      <c r="Y531" s="10">
        <v>14.67</v>
      </c>
      <c r="Z531" s="10">
        <v>23.19</v>
      </c>
      <c r="AA531" s="10">
        <v>96.079999999999899</v>
      </c>
      <c r="AB531" s="10">
        <v>656.7</v>
      </c>
      <c r="AC531" s="10">
        <v>0.1089</v>
      </c>
      <c r="AD531" s="10">
        <v>0.15820000000000001</v>
      </c>
      <c r="AE531" s="10">
        <v>0.105</v>
      </c>
      <c r="AF531" s="10">
        <v>8.5860000000000006E-2</v>
      </c>
      <c r="AG531" s="10">
        <v>0.2346</v>
      </c>
      <c r="AH531">
        <v>8.0250000000000002E-2</v>
      </c>
    </row>
    <row r="532" spans="3:34">
      <c r="C532" s="11" t="s">
        <v>179</v>
      </c>
      <c r="D532" s="10" t="s">
        <v>0</v>
      </c>
      <c r="E532" s="10">
        <v>13.71</v>
      </c>
      <c r="F532" s="10">
        <v>20.82</v>
      </c>
      <c r="G532" s="10">
        <v>88.4</v>
      </c>
      <c r="H532" s="10">
        <v>559.20000000000005</v>
      </c>
      <c r="I532" s="10">
        <v>0.1016</v>
      </c>
      <c r="J532" s="10">
        <v>0.1255</v>
      </c>
      <c r="K532" s="10">
        <v>0.10630000000000001</v>
      </c>
      <c r="L532" s="10">
        <v>5.4390000000000001E-2</v>
      </c>
      <c r="M532" s="10">
        <v>0.17199999999999899</v>
      </c>
      <c r="N532" s="10">
        <v>6.41899999999999E-2</v>
      </c>
      <c r="O532" s="10">
        <v>0.212999999999999</v>
      </c>
      <c r="P532" s="10">
        <v>0.59140000000000004</v>
      </c>
      <c r="Q532" s="10">
        <v>1.5449999999999899</v>
      </c>
      <c r="R532" s="10">
        <v>18.52</v>
      </c>
      <c r="S532" s="10">
        <v>5.3670000000000002E-3</v>
      </c>
      <c r="T532" s="10">
        <v>2.239E-2</v>
      </c>
      <c r="U532" s="10">
        <v>3.049E-2</v>
      </c>
      <c r="V532" s="10">
        <v>1.26199999999999E-2</v>
      </c>
      <c r="W532" s="10">
        <v>1.37699999999999E-2</v>
      </c>
      <c r="X532" s="10">
        <v>3.1870000000000002E-3</v>
      </c>
      <c r="Y532" s="10">
        <v>15.5299999999999</v>
      </c>
      <c r="Z532" s="10">
        <v>26.02</v>
      </c>
      <c r="AA532" s="10">
        <v>107.3</v>
      </c>
      <c r="AB532" s="10">
        <v>740.39999999999895</v>
      </c>
      <c r="AC532" s="10">
        <v>0.161</v>
      </c>
      <c r="AD532" s="10">
        <v>0.42249999999999899</v>
      </c>
      <c r="AE532" s="10">
        <v>0.503</v>
      </c>
      <c r="AF532" s="10">
        <v>0.2258</v>
      </c>
      <c r="AG532" s="10">
        <v>0.28070000000000001</v>
      </c>
      <c r="AH532">
        <v>0.1071</v>
      </c>
    </row>
    <row r="533" spans="3:34">
      <c r="C533" s="11" t="s">
        <v>451</v>
      </c>
      <c r="D533" s="10" t="s">
        <v>1</v>
      </c>
      <c r="E533" s="10">
        <v>13.71</v>
      </c>
      <c r="F533" s="10">
        <v>15.69</v>
      </c>
      <c r="G533" s="10">
        <v>92.68</v>
      </c>
      <c r="H533" s="10">
        <v>664.89999999999895</v>
      </c>
      <c r="I533" s="10">
        <v>7.6179999999999901E-2</v>
      </c>
      <c r="J533" s="10">
        <v>3.5150000000000001E-2</v>
      </c>
      <c r="K533" s="10">
        <v>1.447E-2</v>
      </c>
      <c r="L533" s="10">
        <v>1.8769999999999901E-2</v>
      </c>
      <c r="M533" s="10">
        <v>0.16320000000000001</v>
      </c>
      <c r="N533" s="10">
        <v>5.2549999999999902E-2</v>
      </c>
      <c r="O533" s="10">
        <v>0.316</v>
      </c>
      <c r="P533" s="10">
        <v>0.91149999999999898</v>
      </c>
      <c r="Q533" s="10">
        <v>1.954</v>
      </c>
      <c r="R533" s="10">
        <v>28.899999999999899</v>
      </c>
      <c r="S533" s="10">
        <v>5.0309999999999903E-3</v>
      </c>
      <c r="T533" s="10">
        <v>6.0210000000000003E-3</v>
      </c>
      <c r="U533" s="10">
        <v>5.3249999999999903E-3</v>
      </c>
      <c r="V533" s="10">
        <v>6.3239999999999902E-3</v>
      </c>
      <c r="W533" s="10">
        <v>1.494E-2</v>
      </c>
      <c r="X533" s="10">
        <v>8.9479999999999898E-4</v>
      </c>
      <c r="Y533" s="10">
        <v>16.46</v>
      </c>
      <c r="Z533" s="10">
        <v>21.75</v>
      </c>
      <c r="AA533" s="10">
        <v>103.7</v>
      </c>
      <c r="AB533" s="10">
        <v>840.79999999999905</v>
      </c>
      <c r="AC533" s="10">
        <v>0.1011</v>
      </c>
      <c r="AD533" s="10">
        <v>7.0870000000000002E-2</v>
      </c>
      <c r="AE533" s="10">
        <v>4.7460000000000002E-2</v>
      </c>
      <c r="AF533" s="10">
        <v>5.8130000000000001E-2</v>
      </c>
      <c r="AG533" s="10">
        <v>0.253</v>
      </c>
      <c r="AH533">
        <v>5.6950000000000001E-2</v>
      </c>
    </row>
    <row r="534" spans="3:34">
      <c r="C534" s="11" t="s">
        <v>528</v>
      </c>
      <c r="D534" s="10" t="s">
        <v>1</v>
      </c>
      <c r="E534" s="10">
        <v>13.71</v>
      </c>
      <c r="F534" s="10">
        <v>15.5</v>
      </c>
      <c r="G534" s="10">
        <v>73.379999999999896</v>
      </c>
      <c r="H534" s="10">
        <v>392</v>
      </c>
      <c r="I534" s="10">
        <v>8.3650000000000002E-2</v>
      </c>
      <c r="J534" s="10">
        <v>0.1114</v>
      </c>
      <c r="K534" s="10">
        <v>0.1007</v>
      </c>
      <c r="L534" s="10">
        <v>2.7570000000000001E-2</v>
      </c>
      <c r="M534" s="10">
        <v>0.180999999999999</v>
      </c>
      <c r="N534" s="10">
        <v>7.2520000000000001E-2</v>
      </c>
      <c r="O534" s="10">
        <v>0.33050000000000002</v>
      </c>
      <c r="P534" s="10">
        <v>1.06699999999999</v>
      </c>
      <c r="Q534" s="10">
        <v>2.569</v>
      </c>
      <c r="R534" s="10">
        <v>22.969999999999899</v>
      </c>
      <c r="S534" s="10">
        <v>1.038E-2</v>
      </c>
      <c r="T534" s="10">
        <v>6.6689999999999902E-2</v>
      </c>
      <c r="U534" s="10">
        <v>9.4719999999999901E-2</v>
      </c>
      <c r="V534" s="10">
        <v>2.0469999999999901E-2</v>
      </c>
      <c r="W534" s="10">
        <v>1.2189999999999901E-2</v>
      </c>
      <c r="X534" s="10">
        <v>1.2330000000000001E-2</v>
      </c>
      <c r="Y534" s="10">
        <v>12.0399999999999</v>
      </c>
      <c r="Z534" s="10">
        <v>18.93</v>
      </c>
      <c r="AA534" s="10">
        <v>79.73</v>
      </c>
      <c r="AB534" s="10">
        <v>450</v>
      </c>
      <c r="AC534" s="10">
        <v>0.11020000000000001</v>
      </c>
      <c r="AD534" s="10">
        <v>0.28089999999999898</v>
      </c>
      <c r="AE534" s="10">
        <v>0.30209999999999898</v>
      </c>
      <c r="AF534" s="10">
        <v>8.2720000000000002E-2</v>
      </c>
      <c r="AG534" s="10">
        <v>0.2157</v>
      </c>
      <c r="AH534">
        <v>0.1043</v>
      </c>
    </row>
    <row r="535" spans="3:34">
      <c r="C535" s="11" t="s">
        <v>365</v>
      </c>
      <c r="D535" s="10" t="s">
        <v>1</v>
      </c>
      <c r="E535" s="10">
        <v>13.71</v>
      </c>
      <c r="F535" s="10">
        <v>13.47</v>
      </c>
      <c r="G535" s="10">
        <v>92.51</v>
      </c>
      <c r="H535" s="10">
        <v>641.20000000000005</v>
      </c>
      <c r="I535" s="10">
        <v>9.9059999999999898E-2</v>
      </c>
      <c r="J535" s="10">
        <v>7.6240000000000002E-2</v>
      </c>
      <c r="K535" s="10">
        <v>5.7239999999999902E-2</v>
      </c>
      <c r="L535" s="10">
        <v>4.6030000000000001E-2</v>
      </c>
      <c r="M535" s="10">
        <v>0.20749999999999899</v>
      </c>
      <c r="N535" s="10">
        <v>5.4480000000000001E-2</v>
      </c>
      <c r="O535" s="10">
        <v>0.52200000000000002</v>
      </c>
      <c r="P535" s="10">
        <v>0.81210000000000004</v>
      </c>
      <c r="Q535" s="10">
        <v>3.7629999999999901</v>
      </c>
      <c r="R535" s="10">
        <v>48.2899999999999</v>
      </c>
      <c r="S535" s="10">
        <v>7.0889999999999903E-3</v>
      </c>
      <c r="T535" s="10">
        <v>1.42799999999999E-2</v>
      </c>
      <c r="U535" s="10">
        <v>2.3599999999999899E-2</v>
      </c>
      <c r="V535" s="10">
        <v>1.286E-2</v>
      </c>
      <c r="W535" s="10">
        <v>2.266E-2</v>
      </c>
      <c r="X535" s="10">
        <v>1.4630000000000001E-3</v>
      </c>
      <c r="Y535" s="10">
        <v>16.77</v>
      </c>
      <c r="Z535" s="10">
        <v>16.899999999999899</v>
      </c>
      <c r="AA535" s="10">
        <v>110.4</v>
      </c>
      <c r="AB535" s="10">
        <v>873.2</v>
      </c>
      <c r="AC535" s="10">
        <v>0.12970000000000001</v>
      </c>
      <c r="AD535" s="10">
        <v>0.1525</v>
      </c>
      <c r="AE535" s="10">
        <v>0.16320000000000001</v>
      </c>
      <c r="AF535" s="10">
        <v>0.1087</v>
      </c>
      <c r="AG535" s="10">
        <v>0.30620000000000003</v>
      </c>
      <c r="AH535">
        <v>6.0720000000000003E-2</v>
      </c>
    </row>
    <row r="536" spans="3:34">
      <c r="C536" s="11" t="s">
        <v>232</v>
      </c>
      <c r="D536" s="10" t="s">
        <v>1</v>
      </c>
      <c r="E536" s="10">
        <v>13.71</v>
      </c>
      <c r="F536" s="10">
        <v>14.76</v>
      </c>
      <c r="G536" s="10">
        <v>84.739999999999895</v>
      </c>
      <c r="H536" s="10">
        <v>551.70000000000005</v>
      </c>
      <c r="I536" s="10">
        <v>7.3550000000000004E-2</v>
      </c>
      <c r="J536" s="10">
        <v>5.0549999999999901E-2</v>
      </c>
      <c r="K536" s="10">
        <v>3.261E-2</v>
      </c>
      <c r="L536" s="10">
        <v>2.648E-2</v>
      </c>
      <c r="M536" s="10">
        <v>0.1386</v>
      </c>
      <c r="N536" s="10">
        <v>5.3179999999999901E-2</v>
      </c>
      <c r="O536" s="10">
        <v>0.40570000000000001</v>
      </c>
      <c r="P536" s="10">
        <v>1.153</v>
      </c>
      <c r="Q536" s="10">
        <v>2.7010000000000001</v>
      </c>
      <c r="R536" s="10">
        <v>36.35</v>
      </c>
      <c r="S536" s="10">
        <v>4.4809999999999902E-3</v>
      </c>
      <c r="T536" s="10">
        <v>1.038E-2</v>
      </c>
      <c r="U536" s="10">
        <v>1.358E-2</v>
      </c>
      <c r="V536" s="10">
        <v>1.082E-2</v>
      </c>
      <c r="W536" s="10">
        <v>1.069E-2</v>
      </c>
      <c r="X536" s="10">
        <v>1.4350000000000001E-3</v>
      </c>
      <c r="Y536" s="10">
        <v>16.3599999999999</v>
      </c>
      <c r="Z536" s="10">
        <v>22.35</v>
      </c>
      <c r="AA536" s="10">
        <v>104.5</v>
      </c>
      <c r="AB536" s="10">
        <v>830.6</v>
      </c>
      <c r="AC536" s="10">
        <v>0.100599999999999</v>
      </c>
      <c r="AD536" s="10">
        <v>0.12379999999999899</v>
      </c>
      <c r="AE536" s="10">
        <v>0.13500000000000001</v>
      </c>
      <c r="AF536" s="10">
        <v>0.100099999999999</v>
      </c>
      <c r="AG536" s="10">
        <v>0.20269999999999899</v>
      </c>
      <c r="AH536">
        <v>6.20599999999999E-2</v>
      </c>
    </row>
    <row r="537" spans="3:34">
      <c r="C537" s="11" t="s">
        <v>355</v>
      </c>
      <c r="D537" s="10" t="s">
        <v>0</v>
      </c>
      <c r="E537" s="10">
        <v>13.71</v>
      </c>
      <c r="F537" s="10">
        <v>16.93</v>
      </c>
      <c r="G537" s="10">
        <v>90.959999999999894</v>
      </c>
      <c r="H537" s="10">
        <v>578.89999999999895</v>
      </c>
      <c r="I537" s="10">
        <v>0.1026</v>
      </c>
      <c r="J537" s="10">
        <v>0.1517</v>
      </c>
      <c r="K537" s="10">
        <v>9.9010000000000001E-2</v>
      </c>
      <c r="L537" s="10">
        <v>5.602E-2</v>
      </c>
      <c r="M537" s="10">
        <v>0.21060000000000001</v>
      </c>
      <c r="N537" s="10">
        <v>6.9159999999999902E-2</v>
      </c>
      <c r="O537" s="10">
        <v>0.25629999999999897</v>
      </c>
      <c r="P537" s="10">
        <v>1.194</v>
      </c>
      <c r="Q537" s="10">
        <v>1.9330000000000001</v>
      </c>
      <c r="R537" s="10">
        <v>22.69</v>
      </c>
      <c r="S537" s="10">
        <v>5.96E-3</v>
      </c>
      <c r="T537" s="10">
        <v>3.4380000000000001E-2</v>
      </c>
      <c r="U537" s="10">
        <v>3.909E-2</v>
      </c>
      <c r="V537" s="10">
        <v>1.435E-2</v>
      </c>
      <c r="W537" s="10">
        <v>1.9390000000000001E-2</v>
      </c>
      <c r="X537" s="10">
        <v>4.5599999999999903E-3</v>
      </c>
      <c r="Y537" s="10">
        <v>15.75</v>
      </c>
      <c r="Z537" s="10">
        <v>26.93</v>
      </c>
      <c r="AA537" s="10">
        <v>104.4</v>
      </c>
      <c r="AB537" s="10">
        <v>750.1</v>
      </c>
      <c r="AC537" s="10">
        <v>0.14599999999999899</v>
      </c>
      <c r="AD537" s="10">
        <v>0.437</v>
      </c>
      <c r="AE537" s="10">
        <v>0.46360000000000001</v>
      </c>
      <c r="AF537" s="10">
        <v>0.16539999999999899</v>
      </c>
      <c r="AG537" s="10">
        <v>0.36299999999999899</v>
      </c>
      <c r="AH537">
        <v>0.10589999999999899</v>
      </c>
    </row>
    <row r="538" spans="3:34">
      <c r="C538" s="11" t="s">
        <v>242</v>
      </c>
      <c r="D538" s="10" t="s">
        <v>1</v>
      </c>
      <c r="E538" s="10">
        <v>13.71</v>
      </c>
      <c r="F538" s="10">
        <v>20.52</v>
      </c>
      <c r="G538" s="10">
        <v>77.219999999999899</v>
      </c>
      <c r="H538" s="10">
        <v>458.69999999999902</v>
      </c>
      <c r="I538" s="10">
        <v>8.0130000000000007E-2</v>
      </c>
      <c r="J538" s="10">
        <v>4.0379999999999902E-2</v>
      </c>
      <c r="K538" s="10">
        <v>2.383E-2</v>
      </c>
      <c r="L538" s="10">
        <v>1.77E-2</v>
      </c>
      <c r="M538" s="10">
        <v>0.1739</v>
      </c>
      <c r="N538" s="10">
        <v>5.6770000000000001E-2</v>
      </c>
      <c r="O538" s="10">
        <v>0.19239999999999899</v>
      </c>
      <c r="P538" s="10">
        <v>1.571</v>
      </c>
      <c r="Q538" s="10">
        <v>1.1830000000000001</v>
      </c>
      <c r="R538" s="10">
        <v>14.68</v>
      </c>
      <c r="S538" s="10">
        <v>5.0800000000000003E-3</v>
      </c>
      <c r="T538" s="10">
        <v>6.0980000000000001E-3</v>
      </c>
      <c r="U538" s="10">
        <v>1.069E-2</v>
      </c>
      <c r="V538" s="10">
        <v>6.7970000000000001E-3</v>
      </c>
      <c r="W538" s="10">
        <v>1.447E-2</v>
      </c>
      <c r="X538" s="10">
        <v>1.53199999999999E-3</v>
      </c>
      <c r="Y538" s="10">
        <v>13.34</v>
      </c>
      <c r="Z538" s="10">
        <v>32.840000000000003</v>
      </c>
      <c r="AA538" s="10">
        <v>84.579999999999899</v>
      </c>
      <c r="AB538" s="10">
        <v>547.79999999999905</v>
      </c>
      <c r="AC538" s="10">
        <v>0.1123</v>
      </c>
      <c r="AD538" s="10">
        <v>8.8620000000000004E-2</v>
      </c>
      <c r="AE538" s="10">
        <v>0.1145</v>
      </c>
      <c r="AF538" s="10">
        <v>7.4310000000000001E-2</v>
      </c>
      <c r="AG538" s="10">
        <v>0.26939999999999897</v>
      </c>
      <c r="AH538">
        <v>6.8779999999999897E-2</v>
      </c>
    </row>
    <row r="539" spans="3:34">
      <c r="C539" s="11" t="s">
        <v>480</v>
      </c>
      <c r="D539" s="10" t="s">
        <v>1</v>
      </c>
      <c r="E539" s="10">
        <v>13.71</v>
      </c>
      <c r="F539" s="10">
        <v>16.5399999999999</v>
      </c>
      <c r="G539" s="10">
        <v>94.15</v>
      </c>
      <c r="H539" s="10">
        <v>641.20000000000005</v>
      </c>
      <c r="I539" s="10">
        <v>9.7509999999999902E-2</v>
      </c>
      <c r="J539" s="10">
        <v>0.1139</v>
      </c>
      <c r="K539" s="10">
        <v>8.0070000000000002E-2</v>
      </c>
      <c r="L539" s="10">
        <v>4.22299999999999E-2</v>
      </c>
      <c r="M539" s="10">
        <v>0.19120000000000001</v>
      </c>
      <c r="N539" s="10">
        <v>6.4119999999999899E-2</v>
      </c>
      <c r="O539" s="10">
        <v>0.34910000000000002</v>
      </c>
      <c r="P539" s="10">
        <v>0.77059999999999895</v>
      </c>
      <c r="Q539" s="10">
        <v>2.677</v>
      </c>
      <c r="R539" s="10">
        <v>32.14</v>
      </c>
      <c r="S539" s="10">
        <v>4.5770000000000003E-3</v>
      </c>
      <c r="T539" s="10">
        <v>3.0530000000000002E-2</v>
      </c>
      <c r="U539" s="10">
        <v>3.8399999999999899E-2</v>
      </c>
      <c r="V539" s="10">
        <v>1.243E-2</v>
      </c>
      <c r="W539" s="10">
        <v>1.873E-2</v>
      </c>
      <c r="X539" s="10">
        <v>3.3730000000000001E-3</v>
      </c>
      <c r="Y539" s="10">
        <v>16.670000000000002</v>
      </c>
      <c r="Z539" s="10">
        <v>21.51</v>
      </c>
      <c r="AA539" s="10">
        <v>111.4</v>
      </c>
      <c r="AB539" s="10">
        <v>862.1</v>
      </c>
      <c r="AC539" s="10">
        <v>0.12939999999999899</v>
      </c>
      <c r="AD539" s="10">
        <v>0.33710000000000001</v>
      </c>
      <c r="AE539" s="10">
        <v>0.3755</v>
      </c>
      <c r="AF539" s="10">
        <v>0.1414</v>
      </c>
      <c r="AG539" s="10">
        <v>0.30530000000000002</v>
      </c>
      <c r="AH539">
        <v>8.7639999999999899E-2</v>
      </c>
    </row>
    <row r="540" spans="3:34">
      <c r="C540" s="11" t="s">
        <v>270</v>
      </c>
      <c r="D540" s="10" t="s">
        <v>1</v>
      </c>
      <c r="E540" s="10">
        <v>13.71</v>
      </c>
      <c r="F540" s="10">
        <v>13.2899999999999</v>
      </c>
      <c r="G540" s="10">
        <v>79.079999999999899</v>
      </c>
      <c r="H540" s="10">
        <v>455.8</v>
      </c>
      <c r="I540" s="10">
        <v>0.1066</v>
      </c>
      <c r="J540" s="10">
        <v>9.5089999999999897E-2</v>
      </c>
      <c r="K540" s="10">
        <v>2.8549999999999898E-2</v>
      </c>
      <c r="L540" s="10">
        <v>2.8819999999999901E-2</v>
      </c>
      <c r="M540" s="10">
        <v>0.188</v>
      </c>
      <c r="N540" s="10">
        <v>6.4710000000000004E-2</v>
      </c>
      <c r="O540" s="10">
        <v>0.20050000000000001</v>
      </c>
      <c r="P540" s="10">
        <v>0.81630000000000003</v>
      </c>
      <c r="Q540" s="10">
        <v>1.9730000000000001</v>
      </c>
      <c r="R540" s="10">
        <v>15.24</v>
      </c>
      <c r="S540" s="10">
        <v>6.7730000000000004E-3</v>
      </c>
      <c r="T540" s="10">
        <v>2.4559999999999901E-2</v>
      </c>
      <c r="U540" s="10">
        <v>1.018E-2</v>
      </c>
      <c r="V540" s="10">
        <v>8.0940000000000005E-3</v>
      </c>
      <c r="W540" s="10">
        <v>2.6620000000000001E-2</v>
      </c>
      <c r="X540" s="10">
        <v>4.143E-3</v>
      </c>
      <c r="Y540" s="10">
        <v>13.34</v>
      </c>
      <c r="Z540" s="10">
        <v>17.809999999999899</v>
      </c>
      <c r="AA540" s="10">
        <v>91.379999999999896</v>
      </c>
      <c r="AB540" s="10">
        <v>545.20000000000005</v>
      </c>
      <c r="AC540" s="10">
        <v>0.14269999999999899</v>
      </c>
      <c r="AD540" s="10">
        <v>0.25850000000000001</v>
      </c>
      <c r="AE540" s="10">
        <v>9.9150000000000002E-2</v>
      </c>
      <c r="AF540" s="10">
        <v>8.1869999999999901E-2</v>
      </c>
      <c r="AG540" s="10">
        <v>0.34689999999999899</v>
      </c>
      <c r="AH540">
        <v>9.2410000000000006E-2</v>
      </c>
    </row>
    <row r="541" spans="3:34">
      <c r="C541" s="11" t="s">
        <v>440</v>
      </c>
      <c r="D541" s="10" t="s">
        <v>0</v>
      </c>
      <c r="E541" s="10">
        <v>13.71</v>
      </c>
      <c r="F541" s="10">
        <v>18.899999999999899</v>
      </c>
      <c r="G541" s="10">
        <v>129.5</v>
      </c>
      <c r="H541" s="10">
        <v>1217</v>
      </c>
      <c r="I541" s="10">
        <v>0.115</v>
      </c>
      <c r="J541" s="10">
        <v>0.16420000000000001</v>
      </c>
      <c r="K541" s="10">
        <v>0.21970000000000001</v>
      </c>
      <c r="L541" s="10">
        <v>0.1062</v>
      </c>
      <c r="M541" s="10">
        <v>0.1792</v>
      </c>
      <c r="N541" s="10">
        <v>6.5519999999999898E-2</v>
      </c>
      <c r="O541" s="10">
        <v>1.111</v>
      </c>
      <c r="P541" s="10">
        <v>1.161</v>
      </c>
      <c r="Q541" s="10">
        <v>7.2370000000000001</v>
      </c>
      <c r="R541" s="10">
        <v>133</v>
      </c>
      <c r="S541" s="10">
        <v>6.0559999999999902E-3</v>
      </c>
      <c r="T541" s="10">
        <v>3.2030000000000003E-2</v>
      </c>
      <c r="U541" s="10">
        <v>5.638E-2</v>
      </c>
      <c r="V541" s="10">
        <v>1.7330000000000002E-2</v>
      </c>
      <c r="W541" s="10">
        <v>1.8839999999999898E-2</v>
      </c>
      <c r="X541" s="10">
        <v>4.78699999999999E-3</v>
      </c>
      <c r="Y541" s="10">
        <v>25.93</v>
      </c>
      <c r="Z541" s="10">
        <v>26.239999999999899</v>
      </c>
      <c r="AA541" s="10">
        <v>171.099999999999</v>
      </c>
      <c r="AB541" s="10">
        <v>2053</v>
      </c>
      <c r="AC541" s="10">
        <v>0.14949999999999899</v>
      </c>
      <c r="AD541" s="10">
        <v>0.41160000000000002</v>
      </c>
      <c r="AE541" s="10">
        <v>0.61209999999999898</v>
      </c>
      <c r="AF541" s="10">
        <v>0.19800000000000001</v>
      </c>
      <c r="AG541" s="10">
        <v>0.29680000000000001</v>
      </c>
      <c r="AH541">
        <v>9.9290000000000003E-2</v>
      </c>
    </row>
    <row r="542" spans="3:34">
      <c r="C542" s="11" t="s">
        <v>484</v>
      </c>
      <c r="D542" s="10" t="s">
        <v>1</v>
      </c>
      <c r="E542" s="10">
        <v>13.71</v>
      </c>
      <c r="F542" s="10">
        <v>15.4499999999999</v>
      </c>
      <c r="G542" s="10">
        <v>75.03</v>
      </c>
      <c r="H542" s="10">
        <v>420.3</v>
      </c>
      <c r="I542" s="10">
        <v>0.115</v>
      </c>
      <c r="J542" s="10">
        <v>7.281E-2</v>
      </c>
      <c r="K542" s="10">
        <v>4.0059999999999901E-2</v>
      </c>
      <c r="L542" s="10">
        <v>3.2500000000000001E-2</v>
      </c>
      <c r="M542" s="10">
        <v>0.2009</v>
      </c>
      <c r="N542" s="10">
        <v>6.5060000000000007E-2</v>
      </c>
      <c r="O542" s="10">
        <v>0.34460000000000002</v>
      </c>
      <c r="P542" s="10">
        <v>0.73950000000000005</v>
      </c>
      <c r="Q542" s="10">
        <v>2.355</v>
      </c>
      <c r="R542" s="10">
        <v>24.53</v>
      </c>
      <c r="S542" s="10">
        <v>9.5359999999999907E-3</v>
      </c>
      <c r="T542" s="10">
        <v>1.0970000000000001E-2</v>
      </c>
      <c r="U542" s="10">
        <v>1.651E-2</v>
      </c>
      <c r="V542" s="10">
        <v>1.1209999999999901E-2</v>
      </c>
      <c r="W542" s="10">
        <v>1.9529999999999902E-2</v>
      </c>
      <c r="X542" s="10">
        <v>3.0999999999999899E-3</v>
      </c>
      <c r="Y542" s="10">
        <v>13.06</v>
      </c>
      <c r="Z542" s="10">
        <v>18.16</v>
      </c>
      <c r="AA542" s="10">
        <v>84.159999999999897</v>
      </c>
      <c r="AB542" s="10">
        <v>516.39999999999895</v>
      </c>
      <c r="AC542" s="10">
        <v>0.14599999999999899</v>
      </c>
      <c r="AD542" s="10">
        <v>0.1115</v>
      </c>
      <c r="AE542" s="10">
        <v>0.1087</v>
      </c>
      <c r="AF542" s="10">
        <v>7.8640000000000002E-2</v>
      </c>
      <c r="AG542" s="10">
        <v>0.27650000000000002</v>
      </c>
      <c r="AH542">
        <v>7.8060000000000004E-2</v>
      </c>
    </row>
    <row r="543" spans="3:34">
      <c r="C543" s="11" t="s">
        <v>366</v>
      </c>
      <c r="D543" s="10" t="s">
        <v>1</v>
      </c>
      <c r="E543" s="10">
        <v>13.71</v>
      </c>
      <c r="F543" s="10">
        <v>15.46</v>
      </c>
      <c r="G543" s="10">
        <v>66.62</v>
      </c>
      <c r="H543" s="10">
        <v>329.6</v>
      </c>
      <c r="I543" s="10">
        <v>0.1053</v>
      </c>
      <c r="J543" s="10">
        <v>7.72199999999999E-2</v>
      </c>
      <c r="K543" s="10">
        <v>6.6429999999999901E-3</v>
      </c>
      <c r="L543" s="10">
        <v>1.2160000000000001E-2</v>
      </c>
      <c r="M543" s="10">
        <v>0.17879999999999899</v>
      </c>
      <c r="N543" s="10">
        <v>6.4500000000000002E-2</v>
      </c>
      <c r="O543" s="10">
        <v>0.1913</v>
      </c>
      <c r="P543" s="10">
        <v>0.90269999999999895</v>
      </c>
      <c r="Q543" s="10">
        <v>1.208</v>
      </c>
      <c r="R543" s="10">
        <v>11.8599999999999</v>
      </c>
      <c r="S543" s="10">
        <v>6.5129999999999902E-3</v>
      </c>
      <c r="T543" s="10">
        <v>8.0610000000000005E-3</v>
      </c>
      <c r="U543" s="10">
        <v>2.8170000000000001E-3</v>
      </c>
      <c r="V543" s="10">
        <v>4.9719999999999903E-3</v>
      </c>
      <c r="W543" s="10">
        <v>1.502E-2</v>
      </c>
      <c r="X543" s="10">
        <v>2.8210000000000002E-3</v>
      </c>
      <c r="Y543" s="10">
        <v>11.52</v>
      </c>
      <c r="Z543" s="10">
        <v>19.8</v>
      </c>
      <c r="AA543" s="10">
        <v>73.469999999999899</v>
      </c>
      <c r="AB543" s="10">
        <v>395.39999999999901</v>
      </c>
      <c r="AC543" s="10">
        <v>0.1341</v>
      </c>
      <c r="AD543" s="10">
        <v>0.1153</v>
      </c>
      <c r="AE543" s="10">
        <v>2.639E-2</v>
      </c>
      <c r="AF543" s="10">
        <v>4.4639999999999902E-2</v>
      </c>
      <c r="AG543" s="10">
        <v>0.26150000000000001</v>
      </c>
      <c r="AH543">
        <v>8.269E-2</v>
      </c>
    </row>
    <row r="544" spans="3:34">
      <c r="C544" s="11" t="s">
        <v>345</v>
      </c>
      <c r="D544" s="10" t="s">
        <v>0</v>
      </c>
      <c r="E544" s="10">
        <v>13.71</v>
      </c>
      <c r="F544" s="10">
        <v>16.68</v>
      </c>
      <c r="G544" s="10">
        <v>98.78</v>
      </c>
      <c r="H544" s="10">
        <v>716.6</v>
      </c>
      <c r="I544" s="10">
        <v>8.8760000000000006E-2</v>
      </c>
      <c r="J544" s="10">
        <v>9.5880000000000007E-2</v>
      </c>
      <c r="K544" s="10">
        <v>7.5499999999999901E-2</v>
      </c>
      <c r="L544" s="10">
        <v>4.079E-2</v>
      </c>
      <c r="M544" s="10">
        <v>0.15939999999999899</v>
      </c>
      <c r="N544" s="10">
        <v>5.9859999999999899E-2</v>
      </c>
      <c r="O544" s="10">
        <v>0.27110000000000001</v>
      </c>
      <c r="P544" s="10">
        <v>0.36209999999999898</v>
      </c>
      <c r="Q544" s="10">
        <v>1.974</v>
      </c>
      <c r="R544" s="10">
        <v>26.44</v>
      </c>
      <c r="S544" s="10">
        <v>5.4720000000000003E-3</v>
      </c>
      <c r="T544" s="10">
        <v>1.9189999999999902E-2</v>
      </c>
      <c r="U544" s="10">
        <v>2.0389999999999901E-2</v>
      </c>
      <c r="V544" s="10">
        <v>8.26E-3</v>
      </c>
      <c r="W544" s="10">
        <v>1.523E-2</v>
      </c>
      <c r="X544" s="10">
        <v>2.8809999999999899E-3</v>
      </c>
      <c r="Y544" s="10">
        <v>17.77</v>
      </c>
      <c r="Z544" s="10">
        <v>20.239999999999899</v>
      </c>
      <c r="AA544" s="10">
        <v>117.7</v>
      </c>
      <c r="AB544" s="10">
        <v>989.5</v>
      </c>
      <c r="AC544" s="10">
        <v>0.14910000000000001</v>
      </c>
      <c r="AD544" s="10">
        <v>0.33310000000000001</v>
      </c>
      <c r="AE544" s="10">
        <v>0.3327</v>
      </c>
      <c r="AF544" s="10">
        <v>0.12520000000000001</v>
      </c>
      <c r="AG544" s="10">
        <v>0.34150000000000003</v>
      </c>
      <c r="AH544">
        <v>9.74E-2</v>
      </c>
    </row>
    <row r="545" spans="3:34">
      <c r="C545" s="11" t="s">
        <v>291</v>
      </c>
      <c r="D545" s="10" t="s">
        <v>1</v>
      </c>
      <c r="E545" s="10">
        <v>13.71</v>
      </c>
      <c r="F545" s="10">
        <v>20.6999999999999</v>
      </c>
      <c r="G545" s="10">
        <v>53.27</v>
      </c>
      <c r="H545" s="10">
        <v>203.9</v>
      </c>
      <c r="I545" s="10">
        <v>9.4049999999999898E-2</v>
      </c>
      <c r="J545" s="10">
        <v>0.1305</v>
      </c>
      <c r="K545" s="10">
        <v>0.1321</v>
      </c>
      <c r="L545" s="10">
        <v>2.1680000000000001E-2</v>
      </c>
      <c r="M545" s="10">
        <v>0.22220000000000001</v>
      </c>
      <c r="N545" s="10">
        <v>8.2610000000000003E-2</v>
      </c>
      <c r="O545" s="10">
        <v>0.19350000000000001</v>
      </c>
      <c r="P545" s="10">
        <v>1.962</v>
      </c>
      <c r="Q545" s="10">
        <v>1.2430000000000001</v>
      </c>
      <c r="R545" s="10">
        <v>10.210000000000001</v>
      </c>
      <c r="S545" s="10">
        <v>1.243E-2</v>
      </c>
      <c r="T545" s="10">
        <v>5.416E-2</v>
      </c>
      <c r="U545" s="10">
        <v>7.7530000000000002E-2</v>
      </c>
      <c r="V545" s="10">
        <v>1.022E-2</v>
      </c>
      <c r="W545" s="10">
        <v>2.3089999999999899E-2</v>
      </c>
      <c r="X545" s="10">
        <v>1.1780000000000001E-2</v>
      </c>
      <c r="Y545" s="10">
        <v>9.0920000000000005</v>
      </c>
      <c r="Z545" s="10">
        <v>29.719999999999899</v>
      </c>
      <c r="AA545" s="10">
        <v>58.079999999999899</v>
      </c>
      <c r="AB545" s="10">
        <v>249.8</v>
      </c>
      <c r="AC545" s="10">
        <v>0.16300000000000001</v>
      </c>
      <c r="AD545" s="10">
        <v>0.430999999999999</v>
      </c>
      <c r="AE545" s="10">
        <v>0.53810000000000002</v>
      </c>
      <c r="AF545" s="10">
        <v>7.8789999999999902E-2</v>
      </c>
      <c r="AG545" s="10">
        <v>0.3322</v>
      </c>
      <c r="AH545">
        <v>0.14860000000000001</v>
      </c>
    </row>
    <row r="546" spans="3:34">
      <c r="C546" s="11" t="s">
        <v>352</v>
      </c>
      <c r="D546" s="10" t="s">
        <v>0</v>
      </c>
      <c r="E546" s="10">
        <v>13.71</v>
      </c>
      <c r="F546" s="10">
        <v>18.469999999999899</v>
      </c>
      <c r="G546" s="10">
        <v>188.5</v>
      </c>
      <c r="H546" s="10">
        <v>2499</v>
      </c>
      <c r="I546" s="10">
        <v>0.1142</v>
      </c>
      <c r="J546" s="10">
        <v>0.15160000000000001</v>
      </c>
      <c r="K546" s="10">
        <v>0.3201</v>
      </c>
      <c r="L546" s="10">
        <v>0.1595</v>
      </c>
      <c r="M546" s="10">
        <v>0.1648</v>
      </c>
      <c r="N546" s="10">
        <v>5.525E-2</v>
      </c>
      <c r="O546" s="10">
        <v>2.8730000000000002</v>
      </c>
      <c r="P546" s="10">
        <v>1.476</v>
      </c>
      <c r="Q546" s="10">
        <v>21.98</v>
      </c>
      <c r="R546" s="10">
        <v>525.6</v>
      </c>
      <c r="S546" s="10">
        <v>1.345E-2</v>
      </c>
      <c r="T546" s="10">
        <v>2.7720000000000002E-2</v>
      </c>
      <c r="U546" s="10">
        <v>6.3890000000000002E-2</v>
      </c>
      <c r="V546" s="10">
        <v>1.40699999999999E-2</v>
      </c>
      <c r="W546" s="10">
        <v>4.78299999999999E-2</v>
      </c>
      <c r="X546" s="10">
        <v>4.4759999999999904E-3</v>
      </c>
      <c r="Y546" s="10">
        <v>28.1099999999999</v>
      </c>
      <c r="Z546" s="10">
        <v>18.469999999999899</v>
      </c>
      <c r="AA546" s="10">
        <v>188.5</v>
      </c>
      <c r="AB546" s="10">
        <v>2499</v>
      </c>
      <c r="AC546" s="10">
        <v>0.1142</v>
      </c>
      <c r="AD546" s="10">
        <v>0.15160000000000001</v>
      </c>
      <c r="AE546" s="10">
        <v>0.3201</v>
      </c>
      <c r="AF546" s="10">
        <v>0.1595</v>
      </c>
      <c r="AG546" s="10">
        <v>0.1648</v>
      </c>
      <c r="AH546">
        <v>5.525E-2</v>
      </c>
    </row>
    <row r="547" spans="3:34">
      <c r="C547" s="11" t="s">
        <v>534</v>
      </c>
      <c r="D547" s="10" t="s">
        <v>1</v>
      </c>
      <c r="E547" s="10">
        <v>13.71</v>
      </c>
      <c r="F547" s="10">
        <v>17.719999999999899</v>
      </c>
      <c r="G547" s="10">
        <v>78.069999999999894</v>
      </c>
      <c r="H547" s="10">
        <v>446.19999999999902</v>
      </c>
      <c r="I547" s="10">
        <v>0.10290000000000001</v>
      </c>
      <c r="J547" s="10">
        <v>9.758E-2</v>
      </c>
      <c r="K547" s="10">
        <v>4.78299999999999E-2</v>
      </c>
      <c r="L547" s="10">
        <v>3.3259999999999901E-2</v>
      </c>
      <c r="M547" s="10">
        <v>0.19370000000000001</v>
      </c>
      <c r="N547" s="10">
        <v>6.1609999999999901E-2</v>
      </c>
      <c r="O547" s="10">
        <v>0.28410000000000002</v>
      </c>
      <c r="P547" s="10">
        <v>1.6519999999999899</v>
      </c>
      <c r="Q547" s="10">
        <v>1.869</v>
      </c>
      <c r="R547" s="10">
        <v>22.219999999999899</v>
      </c>
      <c r="S547" s="10">
        <v>8.1460000000000005E-3</v>
      </c>
      <c r="T547" s="10">
        <v>1.6310000000000002E-2</v>
      </c>
      <c r="U547" s="10">
        <v>1.8429999999999901E-2</v>
      </c>
      <c r="V547" s="10">
        <v>7.5129999999999902E-3</v>
      </c>
      <c r="W547" s="10">
        <v>2.0150000000000001E-2</v>
      </c>
      <c r="X547" s="10">
        <v>1.7979999999999899E-3</v>
      </c>
      <c r="Y547" s="10">
        <v>13.56</v>
      </c>
      <c r="Z547" s="10">
        <v>25.8</v>
      </c>
      <c r="AA547" s="10">
        <v>88.329999999999899</v>
      </c>
      <c r="AB547" s="10">
        <v>559.5</v>
      </c>
      <c r="AC547" s="10">
        <v>0.14319999999999899</v>
      </c>
      <c r="AD547" s="10">
        <v>0.17730000000000001</v>
      </c>
      <c r="AE547" s="10">
        <v>0.1603</v>
      </c>
      <c r="AF547" s="10">
        <v>6.2659999999999896E-2</v>
      </c>
      <c r="AG547" s="10">
        <v>0.3049</v>
      </c>
      <c r="AH547">
        <v>7.0809999999999901E-2</v>
      </c>
    </row>
    <row r="548" spans="3:34">
      <c r="C548" s="11" t="s">
        <v>185</v>
      </c>
      <c r="D548" s="10" t="s">
        <v>0</v>
      </c>
      <c r="E548" s="10">
        <v>13.71</v>
      </c>
      <c r="F548" s="10">
        <v>17.600000000000001</v>
      </c>
      <c r="G548" s="10">
        <v>123.7</v>
      </c>
      <c r="H548" s="10">
        <v>1076</v>
      </c>
      <c r="I548" s="10">
        <v>0.1099</v>
      </c>
      <c r="J548" s="10">
        <v>0.1686</v>
      </c>
      <c r="K548" s="10">
        <v>0.19739999999999899</v>
      </c>
      <c r="L548" s="10">
        <v>0.1009</v>
      </c>
      <c r="M548" s="10">
        <v>0.19070000000000001</v>
      </c>
      <c r="N548" s="10">
        <v>6.0490000000000002E-2</v>
      </c>
      <c r="O548" s="10">
        <v>0.62890000000000001</v>
      </c>
      <c r="P548" s="10">
        <v>0.6633</v>
      </c>
      <c r="Q548" s="10">
        <v>4.2930000000000001</v>
      </c>
      <c r="R548" s="10">
        <v>71.56</v>
      </c>
      <c r="S548" s="10">
        <v>6.2940000000000001E-3</v>
      </c>
      <c r="T548" s="10">
        <v>3.9940000000000003E-2</v>
      </c>
      <c r="U548" s="10">
        <v>5.5539999999999902E-2</v>
      </c>
      <c r="V548" s="10">
        <v>1.695E-2</v>
      </c>
      <c r="W548" s="10">
        <v>2.4279999999999899E-2</v>
      </c>
      <c r="X548" s="10">
        <v>3.53499999999999E-3</v>
      </c>
      <c r="Y548" s="10">
        <v>22.82</v>
      </c>
      <c r="Z548" s="10">
        <v>21.32</v>
      </c>
      <c r="AA548" s="10">
        <v>150.599999999999</v>
      </c>
      <c r="AB548" s="10">
        <v>1567</v>
      </c>
      <c r="AC548" s="10">
        <v>0.16789999999999899</v>
      </c>
      <c r="AD548" s="10">
        <v>0.50900000000000001</v>
      </c>
      <c r="AE548" s="10">
        <v>0.73450000000000004</v>
      </c>
      <c r="AF548" s="10">
        <v>0.23780000000000001</v>
      </c>
      <c r="AG548" s="10">
        <v>0.37990000000000002</v>
      </c>
      <c r="AH548">
        <v>9.1850000000000001E-2</v>
      </c>
    </row>
    <row r="549" spans="3:34">
      <c r="C549" s="11" t="s">
        <v>556</v>
      </c>
      <c r="D549" s="10" t="s">
        <v>1</v>
      </c>
      <c r="E549" s="10">
        <v>13.71</v>
      </c>
      <c r="F549" s="10">
        <v>21.6999999999999</v>
      </c>
      <c r="G549" s="10">
        <v>59.6</v>
      </c>
      <c r="H549" s="10">
        <v>271.19999999999902</v>
      </c>
      <c r="I549" s="10">
        <v>0.10440000000000001</v>
      </c>
      <c r="J549" s="10">
        <v>6.1589999999999902E-2</v>
      </c>
      <c r="K549" s="10">
        <v>2.0469999999999901E-2</v>
      </c>
      <c r="L549" s="10">
        <v>1.257E-2</v>
      </c>
      <c r="M549" s="10">
        <v>0.20250000000000001</v>
      </c>
      <c r="N549" s="10">
        <v>6.6009999999999902E-2</v>
      </c>
      <c r="O549" s="10">
        <v>0.43020000000000003</v>
      </c>
      <c r="P549" s="10">
        <v>2.8780000000000001</v>
      </c>
      <c r="Q549" s="10">
        <v>2.7589999999999901</v>
      </c>
      <c r="R549" s="10">
        <v>25.17</v>
      </c>
      <c r="S549" s="10">
        <v>1.474E-2</v>
      </c>
      <c r="T549" s="10">
        <v>1.6740000000000001E-2</v>
      </c>
      <c r="U549" s="10">
        <v>1.367E-2</v>
      </c>
      <c r="V549" s="10">
        <v>8.6739999999999907E-3</v>
      </c>
      <c r="W549" s="10">
        <v>3.0439999999999901E-2</v>
      </c>
      <c r="X549" s="10">
        <v>4.5900000000000003E-3</v>
      </c>
      <c r="Y549" s="10">
        <v>10.85</v>
      </c>
      <c r="Z549" s="10">
        <v>31.239999999999899</v>
      </c>
      <c r="AA549" s="10">
        <v>68.73</v>
      </c>
      <c r="AB549" s="10">
        <v>359.39999999999901</v>
      </c>
      <c r="AC549" s="10">
        <v>0.15260000000000001</v>
      </c>
      <c r="AD549" s="10">
        <v>0.1193</v>
      </c>
      <c r="AE549" s="10">
        <v>6.1409999999999902E-2</v>
      </c>
      <c r="AF549" s="10">
        <v>3.76999999999999E-2</v>
      </c>
      <c r="AG549" s="10">
        <v>0.28720000000000001</v>
      </c>
      <c r="AH549">
        <v>8.3040000000000003E-2</v>
      </c>
    </row>
    <row r="550" spans="3:34">
      <c r="C550" s="11" t="s">
        <v>148</v>
      </c>
      <c r="D550" s="10" t="s">
        <v>0</v>
      </c>
      <c r="E550" s="10">
        <v>13.71</v>
      </c>
      <c r="F550" s="10">
        <v>21.82</v>
      </c>
      <c r="G550" s="10">
        <v>87.5</v>
      </c>
      <c r="H550" s="10">
        <v>519.79999999999905</v>
      </c>
      <c r="I550" s="10">
        <v>0.1273</v>
      </c>
      <c r="J550" s="10">
        <v>0.19320000000000001</v>
      </c>
      <c r="K550" s="10">
        <v>0.18590000000000001</v>
      </c>
      <c r="L550" s="10">
        <v>9.3530000000000002E-2</v>
      </c>
      <c r="M550" s="10">
        <v>0.23499999999999899</v>
      </c>
      <c r="N550" s="10">
        <v>7.38899999999999E-2</v>
      </c>
      <c r="O550" s="10">
        <v>0.30630000000000002</v>
      </c>
      <c r="P550" s="10">
        <v>1.002</v>
      </c>
      <c r="Q550" s="10">
        <v>2.4060000000000001</v>
      </c>
      <c r="R550" s="10">
        <v>24.32</v>
      </c>
      <c r="S550" s="10">
        <v>5.731E-3</v>
      </c>
      <c r="T550" s="10">
        <v>3.5020000000000003E-2</v>
      </c>
      <c r="U550" s="10">
        <v>3.5529999999999902E-2</v>
      </c>
      <c r="V550" s="10">
        <v>1.226E-2</v>
      </c>
      <c r="W550" s="10">
        <v>2.1430000000000001E-2</v>
      </c>
      <c r="X550" s="10">
        <v>3.7490000000000002E-3</v>
      </c>
      <c r="Y550" s="10">
        <v>15.49</v>
      </c>
      <c r="Z550" s="10">
        <v>30.73</v>
      </c>
      <c r="AA550" s="10">
        <v>106.2</v>
      </c>
      <c r="AB550" s="10">
        <v>739.29999999999905</v>
      </c>
      <c r="AC550" s="10">
        <v>0.17030000000000001</v>
      </c>
      <c r="AD550" s="10">
        <v>0.54010000000000002</v>
      </c>
      <c r="AE550" s="10">
        <v>0.53900000000000003</v>
      </c>
      <c r="AF550" s="10">
        <v>0.20599999999999899</v>
      </c>
      <c r="AG550" s="10">
        <v>0.43780000000000002</v>
      </c>
      <c r="AH550">
        <v>0.1072</v>
      </c>
    </row>
    <row r="551" spans="3:34">
      <c r="C551" s="11" t="s">
        <v>668</v>
      </c>
      <c r="D551" s="10" t="s">
        <v>1</v>
      </c>
      <c r="E551" s="10">
        <v>13.71</v>
      </c>
      <c r="F551" s="10">
        <v>13.17</v>
      </c>
      <c r="G551" s="10">
        <v>90.31</v>
      </c>
      <c r="H551" s="10">
        <v>594.20000000000005</v>
      </c>
      <c r="I551" s="10">
        <v>0.124799999999999</v>
      </c>
      <c r="J551" s="10">
        <v>9.7549999999999901E-2</v>
      </c>
      <c r="K551" s="10">
        <v>0.10100000000000001</v>
      </c>
      <c r="L551" s="10">
        <v>6.615E-2</v>
      </c>
      <c r="M551" s="10">
        <v>0.1976</v>
      </c>
      <c r="N551" s="10">
        <v>6.4570000000000002E-2</v>
      </c>
      <c r="O551" s="10">
        <v>0.54610000000000003</v>
      </c>
      <c r="P551" s="10">
        <v>2.63499999999999</v>
      </c>
      <c r="Q551" s="10">
        <v>4.0910000000000002</v>
      </c>
      <c r="R551" s="10">
        <v>44.74</v>
      </c>
      <c r="S551" s="10">
        <v>1.004E-2</v>
      </c>
      <c r="T551" s="10">
        <v>3.2469999999999902E-2</v>
      </c>
      <c r="U551" s="10">
        <v>4.7629999999999902E-2</v>
      </c>
      <c r="V551" s="10">
        <v>2.853E-2</v>
      </c>
      <c r="W551" s="10">
        <v>1.7149999999999901E-2</v>
      </c>
      <c r="X551" s="10">
        <v>5.5279999999999904E-3</v>
      </c>
      <c r="Y551" s="10">
        <v>14.6199999999999</v>
      </c>
      <c r="Z551" s="10">
        <v>15.38</v>
      </c>
      <c r="AA551" s="10">
        <v>94.519999999999897</v>
      </c>
      <c r="AB551" s="10">
        <v>653.29999999999905</v>
      </c>
      <c r="AC551" s="10">
        <v>0.1394</v>
      </c>
      <c r="AD551" s="10">
        <v>0.13639999999999899</v>
      </c>
      <c r="AE551" s="10">
        <v>0.15590000000000001</v>
      </c>
      <c r="AF551" s="10">
        <v>0.10150000000000001</v>
      </c>
      <c r="AG551" s="10">
        <v>0.216</v>
      </c>
      <c r="AH551">
        <v>7.25299999999999E-2</v>
      </c>
    </row>
    <row r="552" spans="3:34">
      <c r="C552" s="11" t="s">
        <v>644</v>
      </c>
      <c r="D552" s="10" t="s">
        <v>1</v>
      </c>
      <c r="E552" s="10">
        <v>13.71</v>
      </c>
      <c r="F552" s="10">
        <v>12.8699999999999</v>
      </c>
      <c r="G552" s="10">
        <v>61.49</v>
      </c>
      <c r="H552" s="10">
        <v>248.69999999999899</v>
      </c>
      <c r="I552" s="10">
        <v>0.16339999999999899</v>
      </c>
      <c r="J552" s="10">
        <v>0.22389999999999899</v>
      </c>
      <c r="K552" s="10">
        <v>9.72999999999999E-2</v>
      </c>
      <c r="L552" s="10">
        <v>5.25199999999999E-2</v>
      </c>
      <c r="M552" s="10">
        <v>0.23780000000000001</v>
      </c>
      <c r="N552" s="10">
        <v>9.5019999999999896E-2</v>
      </c>
      <c r="O552" s="10">
        <v>0.40760000000000002</v>
      </c>
      <c r="P552" s="10">
        <v>1.093</v>
      </c>
      <c r="Q552" s="10">
        <v>3.01399999999999</v>
      </c>
      <c r="R552" s="10">
        <v>20.0399999999999</v>
      </c>
      <c r="S552" s="10">
        <v>9.783E-3</v>
      </c>
      <c r="T552" s="10">
        <v>4.5420000000000002E-2</v>
      </c>
      <c r="U552" s="10">
        <v>3.483E-2</v>
      </c>
      <c r="V552" s="10">
        <v>2.188E-2</v>
      </c>
      <c r="W552" s="10">
        <v>2.5420000000000002E-2</v>
      </c>
      <c r="X552" s="10">
        <v>1.04499999999999E-2</v>
      </c>
      <c r="Y552" s="10">
        <v>10.2799999999999</v>
      </c>
      <c r="Z552" s="10">
        <v>16.3799999999999</v>
      </c>
      <c r="AA552" s="10">
        <v>69.049999999999898</v>
      </c>
      <c r="AB552" s="10">
        <v>300.19999999999902</v>
      </c>
      <c r="AC552" s="10">
        <v>0.19020000000000001</v>
      </c>
      <c r="AD552" s="10">
        <v>0.34410000000000002</v>
      </c>
      <c r="AE552" s="10">
        <v>0.2099</v>
      </c>
      <c r="AF552" s="10">
        <v>0.10249999999999899</v>
      </c>
      <c r="AG552" s="10">
        <v>0.30380000000000001</v>
      </c>
      <c r="AH552">
        <v>0.12520000000000001</v>
      </c>
    </row>
    <row r="553" spans="3:34">
      <c r="C553" s="11" t="s">
        <v>610</v>
      </c>
      <c r="D553" s="10" t="s">
        <v>1</v>
      </c>
      <c r="E553" s="10">
        <v>13.71</v>
      </c>
      <c r="F553" s="10">
        <v>18.489999999999899</v>
      </c>
      <c r="G553" s="10">
        <v>61.49</v>
      </c>
      <c r="H553" s="10">
        <v>289.10000000000002</v>
      </c>
      <c r="I553" s="10">
        <v>8.9459999999999901E-2</v>
      </c>
      <c r="J553" s="10">
        <v>6.25799999999999E-2</v>
      </c>
      <c r="K553" s="10">
        <v>2.9479999999999899E-2</v>
      </c>
      <c r="L553" s="10">
        <v>1.5140000000000001E-2</v>
      </c>
      <c r="M553" s="10">
        <v>0.2238</v>
      </c>
      <c r="N553" s="10">
        <v>6.4130000000000006E-2</v>
      </c>
      <c r="O553" s="10">
        <v>0.37759999999999899</v>
      </c>
      <c r="P553" s="10">
        <v>1.35</v>
      </c>
      <c r="Q553" s="10">
        <v>2.569</v>
      </c>
      <c r="R553" s="10">
        <v>22.73</v>
      </c>
      <c r="S553" s="10">
        <v>7.5009999999999903E-3</v>
      </c>
      <c r="T553" s="10">
        <v>1.9890000000000001E-2</v>
      </c>
      <c r="U553" s="10">
        <v>2.7140000000000001E-2</v>
      </c>
      <c r="V553" s="10">
        <v>9.8829999999999908E-3</v>
      </c>
      <c r="W553" s="10">
        <v>1.9599999999999899E-2</v>
      </c>
      <c r="X553" s="10">
        <v>3.9129999999999903E-3</v>
      </c>
      <c r="Y553" s="10">
        <v>11.14</v>
      </c>
      <c r="Z553" s="10">
        <v>25.62</v>
      </c>
      <c r="AA553" s="10">
        <v>70.879999999999896</v>
      </c>
      <c r="AB553" s="10">
        <v>385.19999999999902</v>
      </c>
      <c r="AC553" s="10">
        <v>0.1234</v>
      </c>
      <c r="AD553" s="10">
        <v>0.1542</v>
      </c>
      <c r="AE553" s="10">
        <v>0.12770000000000001</v>
      </c>
      <c r="AF553" s="10">
        <v>6.5600000000000006E-2</v>
      </c>
      <c r="AG553" s="10">
        <v>0.31740000000000002</v>
      </c>
      <c r="AH553">
        <v>8.5239999999999899E-2</v>
      </c>
    </row>
    <row r="554" spans="3:34">
      <c r="C554" s="11" t="s">
        <v>370</v>
      </c>
      <c r="D554" s="10" t="s">
        <v>0</v>
      </c>
      <c r="E554" s="10">
        <v>13.71</v>
      </c>
      <c r="F554" s="10">
        <v>19.079999999999899</v>
      </c>
      <c r="G554" s="10">
        <v>113.4</v>
      </c>
      <c r="H554" s="10">
        <v>895</v>
      </c>
      <c r="I554" s="10">
        <v>0.11409999999999899</v>
      </c>
      <c r="J554" s="10">
        <v>0.15720000000000001</v>
      </c>
      <c r="K554" s="10">
        <v>0.191</v>
      </c>
      <c r="L554" s="10">
        <v>0.109</v>
      </c>
      <c r="M554" s="10">
        <v>0.21310000000000001</v>
      </c>
      <c r="N554" s="10">
        <v>6.3250000000000001E-2</v>
      </c>
      <c r="O554" s="10">
        <v>0.2959</v>
      </c>
      <c r="P554" s="10">
        <v>0.67900000000000005</v>
      </c>
      <c r="Q554" s="10">
        <v>2.153</v>
      </c>
      <c r="R554" s="10">
        <v>31.98</v>
      </c>
      <c r="S554" s="10">
        <v>5.5319999999999901E-3</v>
      </c>
      <c r="T554" s="10">
        <v>2.0080000000000001E-2</v>
      </c>
      <c r="U554" s="10">
        <v>3.0550000000000001E-2</v>
      </c>
      <c r="V554" s="10">
        <v>1.384E-2</v>
      </c>
      <c r="W554" s="10">
        <v>1.17699999999999E-2</v>
      </c>
      <c r="X554" s="10">
        <v>2.336E-3</v>
      </c>
      <c r="Y554" s="10">
        <v>19.59</v>
      </c>
      <c r="Z554" s="10">
        <v>24.89</v>
      </c>
      <c r="AA554" s="10">
        <v>133.5</v>
      </c>
      <c r="AB554" s="10">
        <v>1189</v>
      </c>
      <c r="AC554" s="10">
        <v>0.17030000000000001</v>
      </c>
      <c r="AD554" s="10">
        <v>0.39340000000000003</v>
      </c>
      <c r="AE554" s="10">
        <v>0.50180000000000002</v>
      </c>
      <c r="AF554" s="10">
        <v>0.25430000000000003</v>
      </c>
      <c r="AG554" s="10">
        <v>0.31090000000000001</v>
      </c>
      <c r="AH554">
        <v>9.0609999999999899E-2</v>
      </c>
    </row>
    <row r="555" spans="3:34">
      <c r="C555" s="11" t="s">
        <v>470</v>
      </c>
      <c r="D555" s="10" t="s">
        <v>0</v>
      </c>
      <c r="E555" s="10">
        <v>13.71</v>
      </c>
      <c r="F555" s="10">
        <v>15.51</v>
      </c>
      <c r="G555" s="10">
        <v>105.8</v>
      </c>
      <c r="H555" s="10">
        <v>793.2</v>
      </c>
      <c r="I555" s="10">
        <v>9.4909999999999897E-2</v>
      </c>
      <c r="J555" s="10">
        <v>0.1371</v>
      </c>
      <c r="K555" s="10">
        <v>0.12039999999999899</v>
      </c>
      <c r="L555" s="10">
        <v>7.041E-2</v>
      </c>
      <c r="M555" s="10">
        <v>0.1782</v>
      </c>
      <c r="N555" s="10">
        <v>5.9760000000000001E-2</v>
      </c>
      <c r="O555" s="10">
        <v>0.33710000000000001</v>
      </c>
      <c r="P555" s="10">
        <v>0.74760000000000004</v>
      </c>
      <c r="Q555" s="10">
        <v>2.629</v>
      </c>
      <c r="R555" s="10">
        <v>33.270000000000003</v>
      </c>
      <c r="S555" s="10">
        <v>5.83899999999999E-3</v>
      </c>
      <c r="T555" s="10">
        <v>3.245E-2</v>
      </c>
      <c r="U555" s="10">
        <v>3.7150000000000002E-2</v>
      </c>
      <c r="V555" s="10">
        <v>1.4590000000000001E-2</v>
      </c>
      <c r="W555" s="10">
        <v>1.4670000000000001E-2</v>
      </c>
      <c r="X555" s="10">
        <v>3.1210000000000001E-3</v>
      </c>
      <c r="Y555" s="10">
        <v>18.760000000000002</v>
      </c>
      <c r="Z555" s="10">
        <v>21.98</v>
      </c>
      <c r="AA555" s="10">
        <v>124.3</v>
      </c>
      <c r="AB555" s="10">
        <v>1070</v>
      </c>
      <c r="AC555" s="10">
        <v>0.14349999999999899</v>
      </c>
      <c r="AD555" s="10">
        <v>0.44779999999999898</v>
      </c>
      <c r="AE555" s="10">
        <v>0.49559999999999899</v>
      </c>
      <c r="AF555" s="10">
        <v>0.1981</v>
      </c>
      <c r="AG555" s="10">
        <v>0.3019</v>
      </c>
      <c r="AH555">
        <v>9.1240000000000002E-2</v>
      </c>
    </row>
    <row r="556" spans="3:34">
      <c r="C556" s="11" t="s">
        <v>229</v>
      </c>
      <c r="D556" s="10" t="s">
        <v>1</v>
      </c>
      <c r="E556" s="10">
        <v>13.71</v>
      </c>
      <c r="F556" s="10">
        <v>15.24</v>
      </c>
      <c r="G556" s="10">
        <v>95.769999999999897</v>
      </c>
      <c r="H556" s="10">
        <v>651.89999999999895</v>
      </c>
      <c r="I556" s="10">
        <v>0.1132</v>
      </c>
      <c r="J556" s="10">
        <v>0.13389999999999899</v>
      </c>
      <c r="K556" s="10">
        <v>9.9659999999999901E-2</v>
      </c>
      <c r="L556" s="10">
        <v>7.0639999999999897E-2</v>
      </c>
      <c r="M556" s="10">
        <v>0.21160000000000001</v>
      </c>
      <c r="N556" s="10">
        <v>6.3460000000000003E-2</v>
      </c>
      <c r="O556" s="10">
        <v>0.51149999999999896</v>
      </c>
      <c r="P556" s="10">
        <v>0.73719999999999897</v>
      </c>
      <c r="Q556" s="10">
        <v>3.8140000000000001</v>
      </c>
      <c r="R556" s="10">
        <v>42.759999999999899</v>
      </c>
      <c r="S556" s="10">
        <v>5.5079999999999903E-3</v>
      </c>
      <c r="T556" s="10">
        <v>4.4119999999999902E-2</v>
      </c>
      <c r="U556" s="10">
        <v>4.43599999999999E-2</v>
      </c>
      <c r="V556" s="10">
        <v>1.6230000000000001E-2</v>
      </c>
      <c r="W556" s="10">
        <v>2.427E-2</v>
      </c>
      <c r="X556" s="10">
        <v>4.8409999999999903E-3</v>
      </c>
      <c r="Y556" s="10">
        <v>16.34</v>
      </c>
      <c r="Z556" s="10">
        <v>18.239999999999899</v>
      </c>
      <c r="AA556" s="10">
        <v>109.4</v>
      </c>
      <c r="AB556" s="10">
        <v>803.6</v>
      </c>
      <c r="AC556" s="10">
        <v>0.12770000000000001</v>
      </c>
      <c r="AD556" s="10">
        <v>0.30890000000000001</v>
      </c>
      <c r="AE556" s="10">
        <v>0.26040000000000002</v>
      </c>
      <c r="AF556" s="10">
        <v>0.13969999999999899</v>
      </c>
      <c r="AG556" s="10">
        <v>0.31509999999999899</v>
      </c>
      <c r="AH556">
        <v>8.473E-2</v>
      </c>
    </row>
    <row r="557" spans="3:34">
      <c r="C557" s="11" t="s">
        <v>671</v>
      </c>
      <c r="D557" s="10" t="s">
        <v>1</v>
      </c>
      <c r="E557" s="10">
        <v>13.71</v>
      </c>
      <c r="F557" s="10">
        <v>20.02</v>
      </c>
      <c r="G557" s="10">
        <v>75.209999999999894</v>
      </c>
      <c r="H557" s="10">
        <v>416.19999999999902</v>
      </c>
      <c r="I557" s="10">
        <v>0.1016</v>
      </c>
      <c r="J557" s="10">
        <v>9.4530000000000003E-2</v>
      </c>
      <c r="K557" s="10">
        <v>4.2000000000000003E-2</v>
      </c>
      <c r="L557" s="10">
        <v>2.1569999999999898E-2</v>
      </c>
      <c r="M557" s="10">
        <v>0.18590000000000001</v>
      </c>
      <c r="N557" s="10">
        <v>6.4610000000000001E-2</v>
      </c>
      <c r="O557" s="10">
        <v>0.206699999999999</v>
      </c>
      <c r="P557" s="10">
        <v>0.87450000000000006</v>
      </c>
      <c r="Q557" s="10">
        <v>1.393</v>
      </c>
      <c r="R557" s="10">
        <v>15.34</v>
      </c>
      <c r="S557" s="10">
        <v>5.2509999999999901E-3</v>
      </c>
      <c r="T557" s="10">
        <v>1.7270000000000001E-2</v>
      </c>
      <c r="U557" s="10">
        <v>1.84E-2</v>
      </c>
      <c r="V557" s="10">
        <v>5.2979999999999902E-3</v>
      </c>
      <c r="W557" s="10">
        <v>1.4489999999999901E-2</v>
      </c>
      <c r="X557" s="10">
        <v>2.6710000000000002E-3</v>
      </c>
      <c r="Y557" s="10">
        <v>13.35</v>
      </c>
      <c r="Z557" s="10">
        <v>28.809999999999899</v>
      </c>
      <c r="AA557" s="10">
        <v>87</v>
      </c>
      <c r="AB557" s="10">
        <v>550.6</v>
      </c>
      <c r="AC557" s="10">
        <v>0.155</v>
      </c>
      <c r="AD557" s="10">
        <v>0.2964</v>
      </c>
      <c r="AE557" s="10">
        <v>0.27579999999999899</v>
      </c>
      <c r="AF557" s="10">
        <v>8.1199999999999897E-2</v>
      </c>
      <c r="AG557" s="10">
        <v>0.3206</v>
      </c>
      <c r="AH557">
        <v>8.9499999999999899E-2</v>
      </c>
    </row>
    <row r="558" spans="3:34">
      <c r="C558" s="11" t="s">
        <v>218</v>
      </c>
      <c r="D558" s="10" t="s">
        <v>0</v>
      </c>
      <c r="E558" s="10">
        <v>13.71</v>
      </c>
      <c r="F558" s="10">
        <v>23.969999999999899</v>
      </c>
      <c r="G558" s="10">
        <v>143.69999999999899</v>
      </c>
      <c r="H558" s="10">
        <v>1245</v>
      </c>
      <c r="I558" s="10">
        <v>0.12859999999999899</v>
      </c>
      <c r="J558" s="10">
        <v>0.34539999999999899</v>
      </c>
      <c r="K558" s="10">
        <v>0.37540000000000001</v>
      </c>
      <c r="L558" s="10">
        <v>0.16039999999999899</v>
      </c>
      <c r="M558" s="10">
        <v>0.29060000000000002</v>
      </c>
      <c r="N558" s="10">
        <v>8.1420000000000006E-2</v>
      </c>
      <c r="O558" s="10">
        <v>0.93169999999999897</v>
      </c>
      <c r="P558" s="10">
        <v>1.885</v>
      </c>
      <c r="Q558" s="10">
        <v>8.6489999999999903</v>
      </c>
      <c r="R558" s="10">
        <v>116.4</v>
      </c>
      <c r="S558" s="10">
        <v>1.038E-2</v>
      </c>
      <c r="T558" s="10">
        <v>6.8349999999999897E-2</v>
      </c>
      <c r="U558" s="10">
        <v>0.1091</v>
      </c>
      <c r="V558" s="10">
        <v>2.5930000000000002E-2</v>
      </c>
      <c r="W558" s="10">
        <v>7.8950000000000006E-2</v>
      </c>
      <c r="X558" s="10">
        <v>5.9870000000000001E-3</v>
      </c>
      <c r="Y558" s="10">
        <v>23.37</v>
      </c>
      <c r="Z558" s="10">
        <v>31.719999999999899</v>
      </c>
      <c r="AA558" s="10">
        <v>170.3</v>
      </c>
      <c r="AB558" s="10">
        <v>1623</v>
      </c>
      <c r="AC558" s="10">
        <v>0.16389999999999899</v>
      </c>
      <c r="AD558" s="10">
        <v>0.61639999999999895</v>
      </c>
      <c r="AE558" s="10">
        <v>0.7681</v>
      </c>
      <c r="AF558" s="10">
        <v>0.25080000000000002</v>
      </c>
      <c r="AG558" s="10">
        <v>0.54400000000000004</v>
      </c>
      <c r="AH558">
        <v>9.9640000000000006E-2</v>
      </c>
    </row>
    <row r="559" spans="3:34">
      <c r="C559" s="11" t="s">
        <v>263</v>
      </c>
      <c r="D559" s="10" t="s">
        <v>1</v>
      </c>
      <c r="E559" s="10">
        <v>13.71</v>
      </c>
      <c r="F559" s="10">
        <v>10.89</v>
      </c>
      <c r="G559" s="10">
        <v>94.28</v>
      </c>
      <c r="H559" s="10">
        <v>640.70000000000005</v>
      </c>
      <c r="I559" s="10">
        <v>0.1101</v>
      </c>
      <c r="J559" s="10">
        <v>0.1099</v>
      </c>
      <c r="K559" s="10">
        <v>8.8419999999999901E-2</v>
      </c>
      <c r="L559" s="10">
        <v>5.7779999999999901E-2</v>
      </c>
      <c r="M559" s="10">
        <v>0.18559999999999899</v>
      </c>
      <c r="N559" s="10">
        <v>6.4019999999999896E-2</v>
      </c>
      <c r="O559" s="10">
        <v>0.29289999999999899</v>
      </c>
      <c r="P559" s="10">
        <v>0.85699999999999898</v>
      </c>
      <c r="Q559" s="10">
        <v>1.9279999999999899</v>
      </c>
      <c r="R559" s="10">
        <v>24.19</v>
      </c>
      <c r="S559" s="10">
        <v>3.8180000000000002E-3</v>
      </c>
      <c r="T559" s="10">
        <v>1.2760000000000001E-2</v>
      </c>
      <c r="U559" s="10">
        <v>2.8819999999999901E-2</v>
      </c>
      <c r="V559" s="10">
        <v>1.2E-2</v>
      </c>
      <c r="W559" s="10">
        <v>1.9099999999999898E-2</v>
      </c>
      <c r="X559" s="10">
        <v>2.8080000000000002E-3</v>
      </c>
      <c r="Y559" s="10">
        <v>15.6999999999999</v>
      </c>
      <c r="Z559" s="10">
        <v>15.98</v>
      </c>
      <c r="AA559" s="10">
        <v>102.8</v>
      </c>
      <c r="AB559" s="10">
        <v>745.5</v>
      </c>
      <c r="AC559" s="10">
        <v>0.1313</v>
      </c>
      <c r="AD559" s="10">
        <v>0.17879999999999899</v>
      </c>
      <c r="AE559" s="10">
        <v>0.25600000000000001</v>
      </c>
      <c r="AF559" s="10">
        <v>0.1221</v>
      </c>
      <c r="AG559" s="10">
        <v>0.28889999999999899</v>
      </c>
      <c r="AH559">
        <v>8.0060000000000006E-2</v>
      </c>
    </row>
    <row r="560" spans="3:34">
      <c r="C560" s="11" t="s">
        <v>522</v>
      </c>
      <c r="D560" s="10" t="s">
        <v>1</v>
      </c>
      <c r="E560" s="10">
        <v>13.71</v>
      </c>
      <c r="F560" s="10">
        <v>22.719999999999899</v>
      </c>
      <c r="G560" s="10">
        <v>78.75</v>
      </c>
      <c r="H560" s="10">
        <v>447.8</v>
      </c>
      <c r="I560" s="10">
        <v>6.9349999999999898E-2</v>
      </c>
      <c r="J560" s="10">
        <v>0.10730000000000001</v>
      </c>
      <c r="K560" s="10">
        <v>7.9430000000000001E-2</v>
      </c>
      <c r="L560" s="10">
        <v>2.9780000000000001E-2</v>
      </c>
      <c r="M560" s="10">
        <v>0.1203</v>
      </c>
      <c r="N560" s="10">
        <v>6.6589999999999899E-2</v>
      </c>
      <c r="O560" s="10">
        <v>0.11940000000000001</v>
      </c>
      <c r="P560" s="10">
        <v>1.4339999999999899</v>
      </c>
      <c r="Q560" s="10">
        <v>1.778</v>
      </c>
      <c r="R560" s="10">
        <v>9.5489999999999906</v>
      </c>
      <c r="S560" s="10">
        <v>5.0419999999999901E-3</v>
      </c>
      <c r="T560" s="10">
        <v>4.5600000000000002E-2</v>
      </c>
      <c r="U560" s="10">
        <v>4.3049999999999901E-2</v>
      </c>
      <c r="V560" s="10">
        <v>1.6670000000000001E-2</v>
      </c>
      <c r="W560" s="10">
        <v>2.47E-2</v>
      </c>
      <c r="X560" s="10">
        <v>7.358E-3</v>
      </c>
      <c r="Y560" s="10">
        <v>12.57</v>
      </c>
      <c r="Z560" s="10">
        <v>28.71</v>
      </c>
      <c r="AA560" s="10">
        <v>87.3599999999999</v>
      </c>
      <c r="AB560" s="10">
        <v>488.39999999999901</v>
      </c>
      <c r="AC560" s="10">
        <v>8.7989999999999902E-2</v>
      </c>
      <c r="AD560" s="10">
        <v>0.32140000000000002</v>
      </c>
      <c r="AE560" s="10">
        <v>0.29120000000000001</v>
      </c>
      <c r="AF560" s="10">
        <v>0.10920000000000001</v>
      </c>
      <c r="AG560" s="10">
        <v>0.21909999999999899</v>
      </c>
      <c r="AH560">
        <v>9.3490000000000004E-2</v>
      </c>
    </row>
    <row r="561" spans="3:34">
      <c r="C561" s="11" t="s">
        <v>589</v>
      </c>
      <c r="D561" s="10" t="s">
        <v>0</v>
      </c>
      <c r="E561" s="10">
        <v>13.71</v>
      </c>
      <c r="F561" s="10">
        <v>20.52</v>
      </c>
      <c r="G561" s="10">
        <v>138.099999999999</v>
      </c>
      <c r="H561" s="10">
        <v>1384</v>
      </c>
      <c r="I561" s="10">
        <v>9.6839999999999898E-2</v>
      </c>
      <c r="J561" s="10">
        <v>0.11749999999999899</v>
      </c>
      <c r="K561" s="10">
        <v>0.15720000000000001</v>
      </c>
      <c r="L561" s="10">
        <v>0.11550000000000001</v>
      </c>
      <c r="M561" s="10">
        <v>0.15540000000000001</v>
      </c>
      <c r="N561" s="10">
        <v>5.6610000000000001E-2</v>
      </c>
      <c r="O561" s="10">
        <v>0.6643</v>
      </c>
      <c r="P561" s="10">
        <v>1.361</v>
      </c>
      <c r="Q561" s="10">
        <v>4.54199999999999</v>
      </c>
      <c r="R561" s="10">
        <v>81.89</v>
      </c>
      <c r="S561" s="10">
        <v>5.4669999999999901E-3</v>
      </c>
      <c r="T561" s="10">
        <v>2.0750000000000001E-2</v>
      </c>
      <c r="U561" s="10">
        <v>3.1850000000000003E-2</v>
      </c>
      <c r="V561" s="10">
        <v>1.4659999999999901E-2</v>
      </c>
      <c r="W561" s="10">
        <v>1.0290000000000001E-2</v>
      </c>
      <c r="X561" s="10">
        <v>2.20499999999999E-3</v>
      </c>
      <c r="Y561" s="10">
        <v>25.68</v>
      </c>
      <c r="Z561" s="10">
        <v>32.07</v>
      </c>
      <c r="AA561" s="10">
        <v>168.19999999999899</v>
      </c>
      <c r="AB561" s="10">
        <v>2022</v>
      </c>
      <c r="AC561" s="10">
        <v>0.1368</v>
      </c>
      <c r="AD561" s="10">
        <v>0.31009999999999899</v>
      </c>
      <c r="AE561" s="10">
        <v>0.43990000000000001</v>
      </c>
      <c r="AF561" s="10">
        <v>0.22800000000000001</v>
      </c>
      <c r="AG561" s="10">
        <v>0.2268</v>
      </c>
      <c r="AH561">
        <v>7.4249999999999899E-2</v>
      </c>
    </row>
    <row r="562" spans="3:34">
      <c r="C562" s="11" t="s">
        <v>600</v>
      </c>
      <c r="D562" s="10" t="s">
        <v>0</v>
      </c>
      <c r="E562" s="10">
        <v>13.71</v>
      </c>
      <c r="F562" s="10">
        <v>27.149999999999899</v>
      </c>
      <c r="G562" s="10">
        <v>111.2</v>
      </c>
      <c r="H562" s="10">
        <v>930.89999999999895</v>
      </c>
      <c r="I562" s="10">
        <v>9.8979999999999901E-2</v>
      </c>
      <c r="J562" s="10">
        <v>0.111</v>
      </c>
      <c r="K562" s="10">
        <v>0.1007</v>
      </c>
      <c r="L562" s="10">
        <v>6.4310000000000006E-2</v>
      </c>
      <c r="M562" s="10">
        <v>0.17929999999999899</v>
      </c>
      <c r="N562" s="10">
        <v>6.2810000000000005E-2</v>
      </c>
      <c r="O562" s="10">
        <v>0.92910000000000004</v>
      </c>
      <c r="P562" s="10">
        <v>1.1519999999999899</v>
      </c>
      <c r="Q562" s="10">
        <v>6.0510000000000002</v>
      </c>
      <c r="R562" s="10">
        <v>115.2</v>
      </c>
      <c r="S562" s="10">
        <v>8.7399999999999908E-3</v>
      </c>
      <c r="T562" s="10">
        <v>2.2190000000000001E-2</v>
      </c>
      <c r="U562" s="10">
        <v>2.7210000000000002E-2</v>
      </c>
      <c r="V562" s="10">
        <v>1.45799999999999E-2</v>
      </c>
      <c r="W562" s="10">
        <v>2.0449999999999899E-2</v>
      </c>
      <c r="X562" s="10">
        <v>4.4169999999999904E-3</v>
      </c>
      <c r="Y562" s="10">
        <v>22.96</v>
      </c>
      <c r="Z562" s="10">
        <v>34.49</v>
      </c>
      <c r="AA562" s="10">
        <v>152.099999999999</v>
      </c>
      <c r="AB562" s="10">
        <v>1648</v>
      </c>
      <c r="AC562" s="10">
        <v>0.16</v>
      </c>
      <c r="AD562" s="10">
        <v>0.24440000000000001</v>
      </c>
      <c r="AE562" s="10">
        <v>0.26390000000000002</v>
      </c>
      <c r="AF562" s="10">
        <v>0.1555</v>
      </c>
      <c r="AG562" s="10">
        <v>0.30099999999999899</v>
      </c>
      <c r="AH562">
        <v>9.06E-2</v>
      </c>
    </row>
    <row r="563" spans="3:34">
      <c r="C563" s="11" t="s">
        <v>444</v>
      </c>
      <c r="D563" s="10" t="s">
        <v>1</v>
      </c>
      <c r="E563" s="10">
        <v>13.71</v>
      </c>
      <c r="F563" s="10">
        <v>18.16</v>
      </c>
      <c r="G563" s="10">
        <v>73.59</v>
      </c>
      <c r="H563" s="10">
        <v>403.1</v>
      </c>
      <c r="I563" s="10">
        <v>8.85299999999999E-2</v>
      </c>
      <c r="J563" s="10">
        <v>7.6939999999999897E-2</v>
      </c>
      <c r="K563" s="10">
        <v>3.34399999999999E-2</v>
      </c>
      <c r="L563" s="10">
        <v>1.502E-2</v>
      </c>
      <c r="M563" s="10">
        <v>0.1411</v>
      </c>
      <c r="N563" s="10">
        <v>6.2429999999999902E-2</v>
      </c>
      <c r="O563" s="10">
        <v>0.32779999999999898</v>
      </c>
      <c r="P563" s="10">
        <v>1.0589999999999899</v>
      </c>
      <c r="Q563" s="10">
        <v>2.4750000000000001</v>
      </c>
      <c r="R563" s="10">
        <v>22.93</v>
      </c>
      <c r="S563" s="10">
        <v>6.6519999999999904E-3</v>
      </c>
      <c r="T563" s="10">
        <v>2.6519999999999901E-2</v>
      </c>
      <c r="U563" s="10">
        <v>2.2210000000000001E-2</v>
      </c>
      <c r="V563" s="10">
        <v>7.8069999999999902E-3</v>
      </c>
      <c r="W563" s="10">
        <v>1.8939999999999901E-2</v>
      </c>
      <c r="X563" s="10">
        <v>3.411E-3</v>
      </c>
      <c r="Y563" s="10">
        <v>12.68</v>
      </c>
      <c r="Z563" s="10">
        <v>21.6099999999999</v>
      </c>
      <c r="AA563" s="10">
        <v>82.689999999999898</v>
      </c>
      <c r="AB563" s="10">
        <v>489.8</v>
      </c>
      <c r="AC563" s="10">
        <v>0.1144</v>
      </c>
      <c r="AD563" s="10">
        <v>0.1789</v>
      </c>
      <c r="AE563" s="10">
        <v>0.1226</v>
      </c>
      <c r="AF563" s="10">
        <v>5.509E-2</v>
      </c>
      <c r="AG563" s="10">
        <v>0.2208</v>
      </c>
      <c r="AH563">
        <v>7.6380000000000003E-2</v>
      </c>
    </row>
    <row r="564" spans="3:34">
      <c r="C564" s="11" t="s">
        <v>513</v>
      </c>
      <c r="D564" s="10" t="s">
        <v>0</v>
      </c>
      <c r="E564" s="10">
        <v>13.71</v>
      </c>
      <c r="F564" s="10">
        <v>17.350000000000001</v>
      </c>
      <c r="G564" s="10">
        <v>134.80000000000001</v>
      </c>
      <c r="H564" s="10">
        <v>1335</v>
      </c>
      <c r="I564" s="10">
        <v>9.4460000000000002E-2</v>
      </c>
      <c r="J564" s="10">
        <v>0.1076</v>
      </c>
      <c r="K564" s="10">
        <v>0.1527</v>
      </c>
      <c r="L564" s="10">
        <v>8.9410000000000003E-2</v>
      </c>
      <c r="M564" s="10">
        <v>0.15709999999999899</v>
      </c>
      <c r="N564" s="10">
        <v>5.4780000000000002E-2</v>
      </c>
      <c r="O564" s="10">
        <v>0.61370000000000002</v>
      </c>
      <c r="P564" s="10">
        <v>0.65749999999999897</v>
      </c>
      <c r="Q564" s="10">
        <v>4.11899999999999</v>
      </c>
      <c r="R564" s="10">
        <v>77.019999999999897</v>
      </c>
      <c r="S564" s="10">
        <v>6.2110000000000004E-3</v>
      </c>
      <c r="T564" s="10">
        <v>1.8950000000000002E-2</v>
      </c>
      <c r="U564" s="10">
        <v>2.681E-2</v>
      </c>
      <c r="V564" s="10">
        <v>1.23199999999999E-2</v>
      </c>
      <c r="W564" s="10">
        <v>1.2760000000000001E-2</v>
      </c>
      <c r="X564" s="10">
        <v>1.7110000000000001E-3</v>
      </c>
      <c r="Y564" s="10">
        <v>25.37</v>
      </c>
      <c r="Z564" s="10">
        <v>23.17</v>
      </c>
      <c r="AA564" s="10">
        <v>166.8</v>
      </c>
      <c r="AB564" s="10">
        <v>1946</v>
      </c>
      <c r="AC564" s="10">
        <v>0.15620000000000001</v>
      </c>
      <c r="AD564" s="10">
        <v>0.30549999999999899</v>
      </c>
      <c r="AE564" s="10">
        <v>0.41589999999999899</v>
      </c>
      <c r="AF564" s="10">
        <v>0.2112</v>
      </c>
      <c r="AG564" s="10">
        <v>0.26889999999999897</v>
      </c>
      <c r="AH564">
        <v>7.0550000000000002E-2</v>
      </c>
    </row>
    <row r="565" spans="3:34">
      <c r="C565" s="11" t="s">
        <v>506</v>
      </c>
      <c r="D565" s="10" t="s">
        <v>0</v>
      </c>
      <c r="E565" s="10">
        <v>13.71</v>
      </c>
      <c r="F565" s="10">
        <v>26.829999999999899</v>
      </c>
      <c r="G565" s="10">
        <v>133.69999999999899</v>
      </c>
      <c r="H565" s="10">
        <v>1234</v>
      </c>
      <c r="I565" s="10">
        <v>9.9049999999999902E-2</v>
      </c>
      <c r="J565" s="10">
        <v>0.16689999999999899</v>
      </c>
      <c r="K565" s="10">
        <v>0.1641</v>
      </c>
      <c r="L565" s="10">
        <v>0.1265</v>
      </c>
      <c r="M565" s="10">
        <v>0.1875</v>
      </c>
      <c r="N565" s="10">
        <v>6.0199999999999899E-2</v>
      </c>
      <c r="O565" s="10">
        <v>0.97609999999999897</v>
      </c>
      <c r="P565" s="10">
        <v>1.8919999999999899</v>
      </c>
      <c r="Q565" s="10">
        <v>7.1280000000000001</v>
      </c>
      <c r="R565" s="10">
        <v>103.599999999999</v>
      </c>
      <c r="S565" s="10">
        <v>8.4390000000000003E-3</v>
      </c>
      <c r="T565" s="10">
        <v>4.67399999999999E-2</v>
      </c>
      <c r="U565" s="10">
        <v>5.9040000000000002E-2</v>
      </c>
      <c r="V565" s="10">
        <v>2.5360000000000001E-2</v>
      </c>
      <c r="W565" s="10">
        <v>3.7100000000000001E-2</v>
      </c>
      <c r="X565" s="10">
        <v>4.2859999999999903E-3</v>
      </c>
      <c r="Y565" s="10">
        <v>24.19</v>
      </c>
      <c r="Z565" s="10">
        <v>33.81</v>
      </c>
      <c r="AA565" s="10">
        <v>160</v>
      </c>
      <c r="AB565" s="10">
        <v>1671</v>
      </c>
      <c r="AC565" s="10">
        <v>0.1278</v>
      </c>
      <c r="AD565" s="10">
        <v>0.34160000000000001</v>
      </c>
      <c r="AE565" s="10">
        <v>0.37030000000000002</v>
      </c>
      <c r="AF565" s="10">
        <v>0.2152</v>
      </c>
      <c r="AG565" s="10">
        <v>0.3271</v>
      </c>
      <c r="AH565">
        <v>7.6319999999999902E-2</v>
      </c>
    </row>
    <row r="566" spans="3:34">
      <c r="C566" s="11" t="s">
        <v>299</v>
      </c>
      <c r="D566" s="10" t="s">
        <v>1</v>
      </c>
      <c r="E566" s="10">
        <v>13.71</v>
      </c>
      <c r="F566" s="10">
        <v>12.96</v>
      </c>
      <c r="G566" s="10">
        <v>68.689999999999898</v>
      </c>
      <c r="H566" s="10">
        <v>366.8</v>
      </c>
      <c r="I566" s="10">
        <v>7.5149999999999897E-2</v>
      </c>
      <c r="J566" s="10">
        <v>3.7179999999999901E-2</v>
      </c>
      <c r="K566" s="10">
        <v>3.0899999999999899E-3</v>
      </c>
      <c r="L566" s="10">
        <v>6.5880000000000001E-3</v>
      </c>
      <c r="M566" s="10">
        <v>0.144199999999999</v>
      </c>
      <c r="N566" s="10">
        <v>5.7430000000000002E-2</v>
      </c>
      <c r="O566" s="10">
        <v>0.281799999999999</v>
      </c>
      <c r="P566" s="10">
        <v>0.76139999999999897</v>
      </c>
      <c r="Q566" s="10">
        <v>1.8080000000000001</v>
      </c>
      <c r="R566" s="10">
        <v>18.5399999999999</v>
      </c>
      <c r="S566" s="10">
        <v>6.1419999999999903E-3</v>
      </c>
      <c r="T566" s="10">
        <v>6.1339999999999902E-3</v>
      </c>
      <c r="U566" s="10">
        <v>1.835E-3</v>
      </c>
      <c r="V566" s="10">
        <v>3.5760000000000002E-3</v>
      </c>
      <c r="W566" s="10">
        <v>1.6369999999999899E-2</v>
      </c>
      <c r="X566" s="10">
        <v>2.6649999999999899E-3</v>
      </c>
      <c r="Y566" s="10">
        <v>12.3599999999999</v>
      </c>
      <c r="Z566" s="10">
        <v>18.1999999999999</v>
      </c>
      <c r="AA566" s="10">
        <v>78.069999999999894</v>
      </c>
      <c r="AB566" s="10">
        <v>470</v>
      </c>
      <c r="AC566" s="10">
        <v>0.1171</v>
      </c>
      <c r="AD566" s="10">
        <v>8.294E-2</v>
      </c>
      <c r="AE566" s="10">
        <v>1.8540000000000001E-2</v>
      </c>
      <c r="AF566" s="10">
        <v>3.9530000000000003E-2</v>
      </c>
      <c r="AG566" s="10">
        <v>0.27379999999999899</v>
      </c>
      <c r="AH566">
        <v>7.6850000000000002E-2</v>
      </c>
    </row>
    <row r="567" spans="3:34">
      <c r="C567" s="11" t="s">
        <v>412</v>
      </c>
      <c r="D567" s="10" t="s">
        <v>0</v>
      </c>
      <c r="E567" s="10">
        <v>13.71</v>
      </c>
      <c r="F567" s="10">
        <v>20.989999999999899</v>
      </c>
      <c r="G567" s="10">
        <v>147.30000000000001</v>
      </c>
      <c r="H567" s="10">
        <v>1491</v>
      </c>
      <c r="I567" s="10">
        <v>9.4009999999999899E-2</v>
      </c>
      <c r="J567" s="10">
        <v>0.1961</v>
      </c>
      <c r="K567" s="10">
        <v>0.2195</v>
      </c>
      <c r="L567" s="10">
        <v>0.10879999999999899</v>
      </c>
      <c r="M567" s="10">
        <v>0.1721</v>
      </c>
      <c r="N567" s="10">
        <v>6.1940000000000002E-2</v>
      </c>
      <c r="O567" s="10">
        <v>1.167</v>
      </c>
      <c r="P567" s="10">
        <v>1.3520000000000001</v>
      </c>
      <c r="Q567" s="10">
        <v>8.8670000000000009</v>
      </c>
      <c r="R567" s="10">
        <v>156.80000000000001</v>
      </c>
      <c r="S567" s="10">
        <v>5.6870000000000002E-3</v>
      </c>
      <c r="T567" s="10">
        <v>4.9599999999999901E-2</v>
      </c>
      <c r="U567" s="10">
        <v>6.3289999999999902E-2</v>
      </c>
      <c r="V567" s="10">
        <v>1.5610000000000001E-2</v>
      </c>
      <c r="W567" s="10">
        <v>1.924E-2</v>
      </c>
      <c r="X567" s="10">
        <v>4.614E-3</v>
      </c>
      <c r="Y567" s="10">
        <v>28.19</v>
      </c>
      <c r="Z567" s="10">
        <v>28.18</v>
      </c>
      <c r="AA567" s="10">
        <v>195.9</v>
      </c>
      <c r="AB567" s="10">
        <v>2384</v>
      </c>
      <c r="AC567" s="10">
        <v>0.12720000000000001</v>
      </c>
      <c r="AD567" s="10">
        <v>0.47249999999999898</v>
      </c>
      <c r="AE567" s="10">
        <v>0.58069999999999899</v>
      </c>
      <c r="AF567" s="10">
        <v>0.18410000000000001</v>
      </c>
      <c r="AG567" s="10">
        <v>0.2833</v>
      </c>
      <c r="AH567">
        <v>8.8580000000000006E-2</v>
      </c>
    </row>
    <row r="568" spans="3:34">
      <c r="C568" s="11" t="s">
        <v>682</v>
      </c>
      <c r="D568" s="10" t="s">
        <v>1</v>
      </c>
      <c r="E568" s="10">
        <v>13.71</v>
      </c>
      <c r="F568" s="10">
        <v>25.42</v>
      </c>
      <c r="G568" s="10">
        <v>94.7</v>
      </c>
      <c r="H568" s="10">
        <v>668.6</v>
      </c>
      <c r="I568" s="10">
        <v>8.2750000000000004E-2</v>
      </c>
      <c r="J568" s="10">
        <v>7.2139999999999899E-2</v>
      </c>
      <c r="K568" s="10">
        <v>4.1050000000000003E-2</v>
      </c>
      <c r="L568" s="10">
        <v>3.0269999999999901E-2</v>
      </c>
      <c r="M568" s="10">
        <v>0.184</v>
      </c>
      <c r="N568" s="10">
        <v>5.6800000000000003E-2</v>
      </c>
      <c r="O568" s="10">
        <v>0.30309999999999898</v>
      </c>
      <c r="P568" s="10">
        <v>1.385</v>
      </c>
      <c r="Q568" s="10">
        <v>2.177</v>
      </c>
      <c r="R568" s="10">
        <v>27.41</v>
      </c>
      <c r="S568" s="10">
        <v>4.7749999999999902E-3</v>
      </c>
      <c r="T568" s="10">
        <v>1.172E-2</v>
      </c>
      <c r="U568" s="10">
        <v>1.9470000000000001E-2</v>
      </c>
      <c r="V568" s="10">
        <v>1.269E-2</v>
      </c>
      <c r="W568" s="10">
        <v>1.8700000000000001E-2</v>
      </c>
      <c r="X568" s="10">
        <v>2.6259999999999899E-3</v>
      </c>
      <c r="Y568" s="10">
        <v>16.510000000000002</v>
      </c>
      <c r="Z568" s="10">
        <v>32.2899999999999</v>
      </c>
      <c r="AA568" s="10">
        <v>107.4</v>
      </c>
      <c r="AB568" s="10">
        <v>826.39999999999895</v>
      </c>
      <c r="AC568" s="10">
        <v>0.106</v>
      </c>
      <c r="AD568" s="10">
        <v>0.1376</v>
      </c>
      <c r="AE568" s="10">
        <v>0.16109999999999899</v>
      </c>
      <c r="AF568" s="10">
        <v>0.1095</v>
      </c>
      <c r="AG568" s="10">
        <v>0.2722</v>
      </c>
      <c r="AH568">
        <v>6.95599999999999E-2</v>
      </c>
    </row>
    <row r="569" spans="3:34">
      <c r="C569" s="11" t="s">
        <v>623</v>
      </c>
      <c r="D569" s="10" t="s">
        <v>1</v>
      </c>
      <c r="E569" s="10">
        <v>13.71</v>
      </c>
      <c r="F569" s="10">
        <v>17.64</v>
      </c>
      <c r="G569" s="10">
        <v>87.76</v>
      </c>
      <c r="H569" s="10">
        <v>571.1</v>
      </c>
      <c r="I569" s="10">
        <v>9.9500000000000005E-2</v>
      </c>
      <c r="J569" s="10">
        <v>7.9570000000000002E-2</v>
      </c>
      <c r="K569" s="10">
        <v>4.548E-2</v>
      </c>
      <c r="L569" s="10">
        <v>3.1600000000000003E-2</v>
      </c>
      <c r="M569" s="10">
        <v>0.17319999999999899</v>
      </c>
      <c r="N569" s="10">
        <v>6.0879999999999899E-2</v>
      </c>
      <c r="O569" s="10">
        <v>0.24310000000000001</v>
      </c>
      <c r="P569" s="10">
        <v>0.94620000000000004</v>
      </c>
      <c r="Q569" s="10">
        <v>1.5640000000000001</v>
      </c>
      <c r="R569" s="10">
        <v>20.64</v>
      </c>
      <c r="S569" s="10">
        <v>3.2450000000000001E-3</v>
      </c>
      <c r="T569" s="10">
        <v>8.1860000000000006E-3</v>
      </c>
      <c r="U569" s="10">
        <v>1.6979999999999901E-2</v>
      </c>
      <c r="V569" s="10">
        <v>9.2329999999999895E-3</v>
      </c>
      <c r="W569" s="10">
        <v>1.285E-2</v>
      </c>
      <c r="X569" s="10">
        <v>1.524E-3</v>
      </c>
      <c r="Y569" s="10">
        <v>14.96</v>
      </c>
      <c r="Z569" s="10">
        <v>23.53</v>
      </c>
      <c r="AA569" s="10">
        <v>95.78</v>
      </c>
      <c r="AB569" s="10">
        <v>686.5</v>
      </c>
      <c r="AC569" s="10">
        <v>0.11990000000000001</v>
      </c>
      <c r="AD569" s="10">
        <v>0.1346</v>
      </c>
      <c r="AE569" s="10">
        <v>0.17419999999999899</v>
      </c>
      <c r="AF569" s="10">
        <v>9.0770000000000003E-2</v>
      </c>
      <c r="AG569" s="10">
        <v>0.25180000000000002</v>
      </c>
      <c r="AH569">
        <v>6.9599999999999898E-2</v>
      </c>
    </row>
    <row r="570" spans="3:34">
      <c r="C570" s="11" t="s">
        <v>337</v>
      </c>
      <c r="D570" s="10" t="s">
        <v>0</v>
      </c>
      <c r="E570" s="10">
        <v>13.71</v>
      </c>
      <c r="F570" s="10">
        <v>21.84</v>
      </c>
      <c r="G570" s="10">
        <v>117.4</v>
      </c>
      <c r="H570" s="10">
        <v>1024</v>
      </c>
      <c r="I570" s="10">
        <v>7.3709999999999901E-2</v>
      </c>
      <c r="J570" s="10">
        <v>8.64199999999999E-2</v>
      </c>
      <c r="K570" s="10">
        <v>0.1103</v>
      </c>
      <c r="L570" s="10">
        <v>5.7779999999999901E-2</v>
      </c>
      <c r="M570" s="10">
        <v>0.17699999999999899</v>
      </c>
      <c r="N570" s="10">
        <v>5.3400000000000003E-2</v>
      </c>
      <c r="O570" s="10">
        <v>0.63619999999999899</v>
      </c>
      <c r="P570" s="10">
        <v>1.3049999999999899</v>
      </c>
      <c r="Q570" s="10">
        <v>4.3120000000000003</v>
      </c>
      <c r="R570" s="10">
        <v>76.3599999999999</v>
      </c>
      <c r="S570" s="10">
        <v>5.5300000000000002E-3</v>
      </c>
      <c r="T570" s="10">
        <v>5.296E-2</v>
      </c>
      <c r="U570" s="10">
        <v>6.1100000000000002E-2</v>
      </c>
      <c r="V570" s="10">
        <v>1.444E-2</v>
      </c>
      <c r="W570" s="10">
        <v>2.1399999999999898E-2</v>
      </c>
      <c r="X570" s="10">
        <v>5.0359999999999901E-3</v>
      </c>
      <c r="Y570" s="10">
        <v>19.760000000000002</v>
      </c>
      <c r="Z570" s="10">
        <v>24.6999999999999</v>
      </c>
      <c r="AA570" s="10">
        <v>129.099999999999</v>
      </c>
      <c r="AB570" s="10">
        <v>1228</v>
      </c>
      <c r="AC570" s="10">
        <v>8.8220000000000007E-2</v>
      </c>
      <c r="AD570" s="10">
        <v>0.1963</v>
      </c>
      <c r="AE570" s="10">
        <v>0.2535</v>
      </c>
      <c r="AF570" s="10">
        <v>9.1810000000000003E-2</v>
      </c>
      <c r="AG570" s="10">
        <v>0.2369</v>
      </c>
      <c r="AH570">
        <v>6.5579999999999902E-2</v>
      </c>
    </row>
    <row r="571" spans="3:34">
      <c r="C571" s="11" t="s">
        <v>646</v>
      </c>
      <c r="D571" s="10" t="s">
        <v>1</v>
      </c>
      <c r="E571" s="10">
        <v>13.71</v>
      </c>
      <c r="F571" s="10">
        <v>20.0399999999999</v>
      </c>
      <c r="G571" s="10">
        <v>79.469999999999899</v>
      </c>
      <c r="H571" s="10">
        <v>453.1</v>
      </c>
      <c r="I571" s="10">
        <v>0.1096</v>
      </c>
      <c r="J571" s="10">
        <v>0.1152</v>
      </c>
      <c r="K571" s="10">
        <v>8.1750000000000003E-2</v>
      </c>
      <c r="L571" s="10">
        <v>2.1659999999999902E-2</v>
      </c>
      <c r="M571" s="10">
        <v>0.21240000000000001</v>
      </c>
      <c r="N571" s="10">
        <v>6.8940000000000001E-2</v>
      </c>
      <c r="O571" s="10">
        <v>0.18110000000000001</v>
      </c>
      <c r="P571" s="10">
        <v>0.79590000000000005</v>
      </c>
      <c r="Q571" s="10">
        <v>0.98570000000000002</v>
      </c>
      <c r="R571" s="10">
        <v>12.58</v>
      </c>
      <c r="S571" s="10">
        <v>6.2719999999999903E-3</v>
      </c>
      <c r="T571" s="10">
        <v>2.198E-2</v>
      </c>
      <c r="U571" s="10">
        <v>3.9660000000000001E-2</v>
      </c>
      <c r="V571" s="10">
        <v>9.894E-3</v>
      </c>
      <c r="W571" s="10">
        <v>1.32E-2</v>
      </c>
      <c r="X571" s="10">
        <v>3.813E-3</v>
      </c>
      <c r="Y571" s="10">
        <v>13.16</v>
      </c>
      <c r="Z571" s="10">
        <v>24.17</v>
      </c>
      <c r="AA571" s="10">
        <v>85.129999999999896</v>
      </c>
      <c r="AB571" s="10">
        <v>515.29999999999905</v>
      </c>
      <c r="AC571" s="10">
        <v>0.14019999999999899</v>
      </c>
      <c r="AD571" s="10">
        <v>0.23150000000000001</v>
      </c>
      <c r="AE571" s="10">
        <v>0.35349999999999898</v>
      </c>
      <c r="AF571" s="10">
        <v>8.0879999999999896E-2</v>
      </c>
      <c r="AG571" s="10">
        <v>0.27089999999999897</v>
      </c>
      <c r="AH571">
        <v>8.8389999999999899E-2</v>
      </c>
    </row>
    <row r="572" spans="3:34">
      <c r="C572" s="11" t="s">
        <v>294</v>
      </c>
      <c r="D572" s="10" t="s">
        <v>1</v>
      </c>
      <c r="E572" s="10">
        <v>13.71</v>
      </c>
      <c r="F572" s="10">
        <v>15.34</v>
      </c>
      <c r="G572" s="10">
        <v>85.31</v>
      </c>
      <c r="H572" s="10">
        <v>538.89999999999895</v>
      </c>
      <c r="I572" s="10">
        <v>9.3840000000000007E-2</v>
      </c>
      <c r="J572" s="10">
        <v>8.498E-2</v>
      </c>
      <c r="K572" s="10">
        <v>9.2929999999999902E-2</v>
      </c>
      <c r="L572" s="10">
        <v>3.483E-2</v>
      </c>
      <c r="M572" s="10">
        <v>0.1822</v>
      </c>
      <c r="N572" s="10">
        <v>6.207E-2</v>
      </c>
      <c r="O572" s="10">
        <v>0.27100000000000002</v>
      </c>
      <c r="P572" s="10">
        <v>0.79269999999999896</v>
      </c>
      <c r="Q572" s="10">
        <v>1.819</v>
      </c>
      <c r="R572" s="10">
        <v>22.7899999999999</v>
      </c>
      <c r="S572" s="10">
        <v>8.5839999999999892E-3</v>
      </c>
      <c r="T572" s="10">
        <v>2.017E-2</v>
      </c>
      <c r="U572" s="10">
        <v>3.0470000000000001E-2</v>
      </c>
      <c r="V572" s="10">
        <v>9.5359999999999907E-3</v>
      </c>
      <c r="W572" s="10">
        <v>2.7689999999999899E-2</v>
      </c>
      <c r="X572" s="10">
        <v>3.4789999999999899E-3</v>
      </c>
      <c r="Y572" s="10">
        <v>14.77</v>
      </c>
      <c r="Z572" s="10">
        <v>20.5</v>
      </c>
      <c r="AA572" s="10">
        <v>97.67</v>
      </c>
      <c r="AB572" s="10">
        <v>677.29999999999905</v>
      </c>
      <c r="AC572" s="10">
        <v>0.14779999999999899</v>
      </c>
      <c r="AD572" s="10">
        <v>0.225599999999999</v>
      </c>
      <c r="AE572" s="10">
        <v>0.3009</v>
      </c>
      <c r="AF572" s="10">
        <v>9.7220000000000001E-2</v>
      </c>
      <c r="AG572" s="10">
        <v>0.38490000000000002</v>
      </c>
      <c r="AH572">
        <v>8.6330000000000004E-2</v>
      </c>
    </row>
    <row r="573" spans="3:34">
      <c r="C573" s="11" t="s">
        <v>622</v>
      </c>
      <c r="D573" s="10" t="s">
        <v>1</v>
      </c>
      <c r="E573" s="10">
        <v>13.71</v>
      </c>
      <c r="F573" s="10">
        <v>14.06</v>
      </c>
      <c r="G573" s="10">
        <v>87.319999999999894</v>
      </c>
      <c r="H573" s="10">
        <v>546.29999999999905</v>
      </c>
      <c r="I573" s="10">
        <v>0.1071</v>
      </c>
      <c r="J573" s="10">
        <v>0.11550000000000001</v>
      </c>
      <c r="K573" s="10">
        <v>5.7860000000000002E-2</v>
      </c>
      <c r="L573" s="10">
        <v>5.2659999999999901E-2</v>
      </c>
      <c r="M573" s="10">
        <v>0.1779</v>
      </c>
      <c r="N573" s="10">
        <v>6.6390000000000005E-2</v>
      </c>
      <c r="O573" s="10">
        <v>0.1588</v>
      </c>
      <c r="P573" s="10">
        <v>0.57330000000000003</v>
      </c>
      <c r="Q573" s="10">
        <v>1.1020000000000001</v>
      </c>
      <c r="R573" s="10">
        <v>12.84</v>
      </c>
      <c r="S573" s="10">
        <v>4.45E-3</v>
      </c>
      <c r="T573" s="10">
        <v>1.452E-2</v>
      </c>
      <c r="U573" s="10">
        <v>1.3339999999999901E-2</v>
      </c>
      <c r="V573" s="10">
        <v>8.7910000000000002E-3</v>
      </c>
      <c r="W573" s="10">
        <v>1.6979999999999901E-2</v>
      </c>
      <c r="X573" s="10">
        <v>2.787E-3</v>
      </c>
      <c r="Y573" s="10">
        <v>14.83</v>
      </c>
      <c r="Z573" s="10">
        <v>18.32</v>
      </c>
      <c r="AA573" s="10">
        <v>94.939999999999898</v>
      </c>
      <c r="AB573" s="10">
        <v>660.2</v>
      </c>
      <c r="AC573" s="10">
        <v>0.13930000000000001</v>
      </c>
      <c r="AD573" s="10">
        <v>0.24990000000000001</v>
      </c>
      <c r="AE573" s="10">
        <v>0.18479999999999899</v>
      </c>
      <c r="AF573" s="10">
        <v>0.13350000000000001</v>
      </c>
      <c r="AG573" s="10">
        <v>0.32269999999999899</v>
      </c>
      <c r="AH573">
        <v>9.3259999999999899E-2</v>
      </c>
    </row>
    <row r="574" spans="3:34">
      <c r="C574" s="11" t="s">
        <v>266</v>
      </c>
      <c r="D574" s="10" t="s">
        <v>0</v>
      </c>
      <c r="E574" s="10">
        <v>13.71</v>
      </c>
      <c r="F574" s="10">
        <v>24.69</v>
      </c>
      <c r="G574" s="10">
        <v>87.76</v>
      </c>
      <c r="H574" s="10">
        <v>572.6</v>
      </c>
      <c r="I574" s="10">
        <v>9.2579999999999898E-2</v>
      </c>
      <c r="J574" s="10">
        <v>7.8619999999999898E-2</v>
      </c>
      <c r="K574" s="10">
        <v>5.2850000000000001E-2</v>
      </c>
      <c r="L574" s="10">
        <v>3.0849999999999898E-2</v>
      </c>
      <c r="M574" s="10">
        <v>0.17610000000000001</v>
      </c>
      <c r="N574" s="10">
        <v>6.13E-2</v>
      </c>
      <c r="O574" s="10">
        <v>0.23100000000000001</v>
      </c>
      <c r="P574" s="10">
        <v>1.0049999999999899</v>
      </c>
      <c r="Q574" s="10">
        <v>1.752</v>
      </c>
      <c r="R574" s="10">
        <v>19.829999999999899</v>
      </c>
      <c r="S574" s="10">
        <v>4.0879999999999901E-3</v>
      </c>
      <c r="T574" s="10">
        <v>1.174E-2</v>
      </c>
      <c r="U574" s="10">
        <v>1.796E-2</v>
      </c>
      <c r="V574" s="10">
        <v>6.8799999999999903E-3</v>
      </c>
      <c r="W574" s="10">
        <v>1.323E-2</v>
      </c>
      <c r="X574" s="10">
        <v>1.46499999999999E-3</v>
      </c>
      <c r="Y574" s="10">
        <v>16.89</v>
      </c>
      <c r="Z574" s="10">
        <v>35.64</v>
      </c>
      <c r="AA574" s="10">
        <v>113.2</v>
      </c>
      <c r="AB574" s="10">
        <v>848.7</v>
      </c>
      <c r="AC574" s="10">
        <v>0.14710000000000001</v>
      </c>
      <c r="AD574" s="10">
        <v>0.28839999999999899</v>
      </c>
      <c r="AE574" s="10">
        <v>0.37959999999999899</v>
      </c>
      <c r="AF574" s="10">
        <v>0.13289999999999899</v>
      </c>
      <c r="AG574" s="10">
        <v>0.34699999999999898</v>
      </c>
      <c r="AH574">
        <v>7.9000000000000001E-2</v>
      </c>
    </row>
    <row r="575" spans="3:34">
      <c r="C575" s="11" t="s">
        <v>652</v>
      </c>
      <c r="D575" s="10" t="s">
        <v>0</v>
      </c>
      <c r="E575" s="10">
        <v>13.71</v>
      </c>
      <c r="F575" s="10">
        <v>20.52</v>
      </c>
      <c r="G575" s="10">
        <v>88.64</v>
      </c>
      <c r="H575" s="10">
        <v>556.70000000000005</v>
      </c>
      <c r="I575" s="10">
        <v>0.1106</v>
      </c>
      <c r="J575" s="10">
        <v>0.1469</v>
      </c>
      <c r="K575" s="10">
        <v>0.14449999999999899</v>
      </c>
      <c r="L575" s="10">
        <v>8.1720000000000001E-2</v>
      </c>
      <c r="M575" s="10">
        <v>0.21160000000000001</v>
      </c>
      <c r="N575" s="10">
        <v>7.3249999999999899E-2</v>
      </c>
      <c r="O575" s="10">
        <v>0.3906</v>
      </c>
      <c r="P575" s="10">
        <v>0.93059999999999898</v>
      </c>
      <c r="Q575" s="10">
        <v>3.093</v>
      </c>
      <c r="R575" s="10">
        <v>33.67</v>
      </c>
      <c r="S575" s="10">
        <v>5.4140000000000004E-3</v>
      </c>
      <c r="T575" s="10">
        <v>2.265E-2</v>
      </c>
      <c r="U575" s="10">
        <v>3.4520000000000002E-2</v>
      </c>
      <c r="V575" s="10">
        <v>1.3339999999999901E-2</v>
      </c>
      <c r="W575" s="10">
        <v>1.7049999999999899E-2</v>
      </c>
      <c r="X575" s="10">
        <v>4.0049999999999903E-3</v>
      </c>
      <c r="Y575" s="10">
        <v>16.41</v>
      </c>
      <c r="Z575" s="10">
        <v>29.66</v>
      </c>
      <c r="AA575" s="10">
        <v>113.3</v>
      </c>
      <c r="AB575" s="10">
        <v>844.39999999999895</v>
      </c>
      <c r="AC575" s="10">
        <v>0.15740000000000001</v>
      </c>
      <c r="AD575" s="10">
        <v>0.3856</v>
      </c>
      <c r="AE575" s="10">
        <v>0.51060000000000005</v>
      </c>
      <c r="AF575" s="10">
        <v>0.2051</v>
      </c>
      <c r="AG575" s="10">
        <v>0.35849999999999899</v>
      </c>
      <c r="AH575">
        <v>0.1109</v>
      </c>
    </row>
    <row r="576" spans="3:34">
      <c r="C576" s="11" t="s">
        <v>521</v>
      </c>
      <c r="D576" s="10" t="s">
        <v>1</v>
      </c>
      <c r="E576" s="10">
        <v>13.71</v>
      </c>
      <c r="F576" s="10">
        <v>14.93</v>
      </c>
      <c r="G576" s="10">
        <v>70.67</v>
      </c>
      <c r="H576" s="10">
        <v>372.69999999999902</v>
      </c>
      <c r="I576" s="10">
        <v>7.9869999999999899E-2</v>
      </c>
      <c r="J576" s="10">
        <v>7.0790000000000006E-2</v>
      </c>
      <c r="K576" s="10">
        <v>3.5459999999999901E-2</v>
      </c>
      <c r="L576" s="10">
        <v>2.0740000000000001E-2</v>
      </c>
      <c r="M576" s="10">
        <v>0.20030000000000001</v>
      </c>
      <c r="N576" s="10">
        <v>6.2460000000000002E-2</v>
      </c>
      <c r="O576" s="10">
        <v>0.16420000000000001</v>
      </c>
      <c r="P576" s="10">
        <v>1.0309999999999899</v>
      </c>
      <c r="Q576" s="10">
        <v>1.2809999999999899</v>
      </c>
      <c r="R576" s="10">
        <v>11.68</v>
      </c>
      <c r="S576" s="10">
        <v>5.2960000000000004E-3</v>
      </c>
      <c r="T576" s="10">
        <v>1.9029999999999901E-2</v>
      </c>
      <c r="U576" s="10">
        <v>1.7229999999999902E-2</v>
      </c>
      <c r="V576" s="10">
        <v>6.96E-3</v>
      </c>
      <c r="W576" s="10">
        <v>1.8800000000000001E-2</v>
      </c>
      <c r="X576" s="10">
        <v>1.941E-3</v>
      </c>
      <c r="Y576" s="10">
        <v>12.09</v>
      </c>
      <c r="Z576" s="10">
        <v>20.829999999999899</v>
      </c>
      <c r="AA576" s="10">
        <v>79.73</v>
      </c>
      <c r="AB576" s="10">
        <v>447.1</v>
      </c>
      <c r="AC576" s="10">
        <v>0.1095</v>
      </c>
      <c r="AD576" s="10">
        <v>0.19819999999999899</v>
      </c>
      <c r="AE576" s="10">
        <v>0.15529999999999899</v>
      </c>
      <c r="AF576" s="10">
        <v>6.7540000000000003E-2</v>
      </c>
      <c r="AG576" s="10">
        <v>0.32019999999999899</v>
      </c>
      <c r="AH576">
        <v>7.2870000000000004E-2</v>
      </c>
    </row>
    <row r="577" spans="3:34">
      <c r="C577" s="11" t="s">
        <v>336</v>
      </c>
      <c r="D577" s="10" t="s">
        <v>0</v>
      </c>
      <c r="E577" s="10">
        <v>13.71</v>
      </c>
      <c r="F577" s="10">
        <v>22.2899999999999</v>
      </c>
      <c r="G577" s="10">
        <v>90.629999999999896</v>
      </c>
      <c r="H577" s="10">
        <v>588.89999999999895</v>
      </c>
      <c r="I577" s="10">
        <v>0.12</v>
      </c>
      <c r="J577" s="10">
        <v>0.12670000000000001</v>
      </c>
      <c r="K577" s="10">
        <v>0.13850000000000001</v>
      </c>
      <c r="L577" s="10">
        <v>6.5259999999999901E-2</v>
      </c>
      <c r="M577" s="10">
        <v>0.18340000000000001</v>
      </c>
      <c r="N577" s="10">
        <v>6.8769999999999901E-2</v>
      </c>
      <c r="O577" s="10">
        <v>0.61909999999999898</v>
      </c>
      <c r="P577" s="10">
        <v>2.1120000000000001</v>
      </c>
      <c r="Q577" s="10">
        <v>4.9059999999999899</v>
      </c>
      <c r="R577" s="10">
        <v>49.7</v>
      </c>
      <c r="S577" s="10">
        <v>1.38E-2</v>
      </c>
      <c r="T577" s="10">
        <v>3.3480000000000003E-2</v>
      </c>
      <c r="U577" s="10">
        <v>4.66499999999999E-2</v>
      </c>
      <c r="V577" s="10">
        <v>2.06E-2</v>
      </c>
      <c r="W577" s="10">
        <v>2.6890000000000001E-2</v>
      </c>
      <c r="X577" s="10">
        <v>4.3059999999999904E-3</v>
      </c>
      <c r="Y577" s="10">
        <v>16.39</v>
      </c>
      <c r="Z577" s="10">
        <v>34.009999999999899</v>
      </c>
      <c r="AA577" s="10">
        <v>111.599999999999</v>
      </c>
      <c r="AB577" s="10">
        <v>806.89999999999895</v>
      </c>
      <c r="AC577" s="10">
        <v>0.17369999999999899</v>
      </c>
      <c r="AD577" s="10">
        <v>0.31219999999999898</v>
      </c>
      <c r="AE577" s="10">
        <v>0.38090000000000002</v>
      </c>
      <c r="AF577" s="10">
        <v>0.1673</v>
      </c>
      <c r="AG577" s="10">
        <v>0.308</v>
      </c>
      <c r="AH577">
        <v>9.3329999999999899E-2</v>
      </c>
    </row>
    <row r="578" spans="3:34">
      <c r="C578" s="11" t="s">
        <v>274</v>
      </c>
      <c r="D578" s="10" t="s">
        <v>0</v>
      </c>
      <c r="E578" s="10">
        <v>13.71</v>
      </c>
      <c r="F578" s="10">
        <v>21.91</v>
      </c>
      <c r="G578" s="10">
        <v>120.2</v>
      </c>
      <c r="H578" s="10">
        <v>1075</v>
      </c>
      <c r="I578" s="10">
        <v>9.4299999999999898E-2</v>
      </c>
      <c r="J578" s="10">
        <v>9.7089999999999899E-2</v>
      </c>
      <c r="K578" s="10">
        <v>0.1153</v>
      </c>
      <c r="L578" s="10">
        <v>6.8470000000000003E-2</v>
      </c>
      <c r="M578" s="10">
        <v>0.16919999999999899</v>
      </c>
      <c r="N578" s="10">
        <v>5.7270000000000001E-2</v>
      </c>
      <c r="O578" s="10">
        <v>0.59589999999999899</v>
      </c>
      <c r="P578" s="10">
        <v>1.202</v>
      </c>
      <c r="Q578" s="10">
        <v>3.766</v>
      </c>
      <c r="R578" s="10">
        <v>68.349999999999895</v>
      </c>
      <c r="S578" s="10">
        <v>6.0010000000000003E-3</v>
      </c>
      <c r="T578" s="10">
        <v>1.422E-2</v>
      </c>
      <c r="U578" s="10">
        <v>2.8549999999999898E-2</v>
      </c>
      <c r="V578" s="10">
        <v>9.1479999999999895E-3</v>
      </c>
      <c r="W578" s="10">
        <v>1.49199999999999E-2</v>
      </c>
      <c r="X578" s="10">
        <v>2.20499999999999E-3</v>
      </c>
      <c r="Y578" s="10">
        <v>22.52</v>
      </c>
      <c r="Z578" s="10">
        <v>31.39</v>
      </c>
      <c r="AA578" s="10">
        <v>145.599999999999</v>
      </c>
      <c r="AB578" s="10">
        <v>1590</v>
      </c>
      <c r="AC578" s="10">
        <v>0.14649999999999899</v>
      </c>
      <c r="AD578" s="10">
        <v>0.22750000000000001</v>
      </c>
      <c r="AE578" s="10">
        <v>0.39650000000000002</v>
      </c>
      <c r="AF578" s="10">
        <v>0.137899999999999</v>
      </c>
      <c r="AG578" s="10">
        <v>0.31090000000000001</v>
      </c>
      <c r="AH578">
        <v>7.6100000000000001E-2</v>
      </c>
    </row>
    <row r="579" spans="3:34">
      <c r="C579" s="11" t="s">
        <v>478</v>
      </c>
      <c r="D579" s="10" t="s">
        <v>1</v>
      </c>
      <c r="E579" s="10">
        <v>13.71</v>
      </c>
      <c r="F579" s="10">
        <v>17.53</v>
      </c>
      <c r="G579" s="10">
        <v>64.409999999999897</v>
      </c>
      <c r="H579" s="10">
        <v>310.8</v>
      </c>
      <c r="I579" s="10">
        <v>0.1007</v>
      </c>
      <c r="J579" s="10">
        <v>7.3260000000000006E-2</v>
      </c>
      <c r="K579" s="10">
        <v>2.511E-2</v>
      </c>
      <c r="L579" s="10">
        <v>1.7749999999999901E-2</v>
      </c>
      <c r="M579" s="10">
        <v>0.189</v>
      </c>
      <c r="N579" s="10">
        <v>6.3310000000000005E-2</v>
      </c>
      <c r="O579" s="10">
        <v>0.26190000000000002</v>
      </c>
      <c r="P579" s="10">
        <v>2.0150000000000001</v>
      </c>
      <c r="Q579" s="10">
        <v>1.778</v>
      </c>
      <c r="R579" s="10">
        <v>16.850000000000001</v>
      </c>
      <c r="S579" s="10">
        <v>7.803E-3</v>
      </c>
      <c r="T579" s="10">
        <v>1.4489999999999901E-2</v>
      </c>
      <c r="U579" s="10">
        <v>1.6899999999999901E-2</v>
      </c>
      <c r="V579" s="10">
        <v>8.0429999999999894E-3</v>
      </c>
      <c r="W579" s="10">
        <v>2.1000000000000001E-2</v>
      </c>
      <c r="X579" s="10">
        <v>2.7780000000000001E-3</v>
      </c>
      <c r="Y579" s="10">
        <v>11.16</v>
      </c>
      <c r="Z579" s="10">
        <v>26.84</v>
      </c>
      <c r="AA579" s="10">
        <v>71.98</v>
      </c>
      <c r="AB579" s="10">
        <v>384</v>
      </c>
      <c r="AC579" s="10">
        <v>0.14019999999999899</v>
      </c>
      <c r="AD579" s="10">
        <v>0.14019999999999899</v>
      </c>
      <c r="AE579" s="10">
        <v>0.1055</v>
      </c>
      <c r="AF579" s="10">
        <v>6.4990000000000006E-2</v>
      </c>
      <c r="AG579" s="10">
        <v>0.28939999999999899</v>
      </c>
      <c r="AH579">
        <v>7.664E-2</v>
      </c>
    </row>
    <row r="580" spans="3:34">
      <c r="C580" s="11" t="s">
        <v>319</v>
      </c>
      <c r="D580" s="10" t="s">
        <v>1</v>
      </c>
      <c r="E580" s="10">
        <v>13.71</v>
      </c>
      <c r="F580" s="10">
        <v>13.06</v>
      </c>
      <c r="G580" s="10">
        <v>81.290000000000006</v>
      </c>
      <c r="H580" s="10">
        <v>508.8</v>
      </c>
      <c r="I580" s="10">
        <v>8.7389999999999898E-2</v>
      </c>
      <c r="J580" s="10">
        <v>3.7740000000000003E-2</v>
      </c>
      <c r="K580" s="10">
        <v>9.1929999999999894E-3</v>
      </c>
      <c r="L580" s="10">
        <v>1.32999999999999E-2</v>
      </c>
      <c r="M580" s="10">
        <v>0.14660000000000001</v>
      </c>
      <c r="N580" s="10">
        <v>6.1330000000000003E-2</v>
      </c>
      <c r="O580" s="10">
        <v>0.28889999999999899</v>
      </c>
      <c r="P580" s="10">
        <v>0.9899</v>
      </c>
      <c r="Q580" s="10">
        <v>1.778</v>
      </c>
      <c r="R580" s="10">
        <v>21.7899999999999</v>
      </c>
      <c r="S580" s="10">
        <v>8.5339999999999895E-3</v>
      </c>
      <c r="T580" s="10">
        <v>6.3639999999999903E-3</v>
      </c>
      <c r="U580" s="10">
        <v>6.1799999999999902E-3</v>
      </c>
      <c r="V580" s="10">
        <v>7.4079999999999901E-3</v>
      </c>
      <c r="W580" s="10">
        <v>1.065E-2</v>
      </c>
      <c r="X580" s="10">
        <v>3.3509999999999898E-3</v>
      </c>
      <c r="Y580" s="10">
        <v>13.63</v>
      </c>
      <c r="Z580" s="10">
        <v>16.149999999999899</v>
      </c>
      <c r="AA580" s="10">
        <v>86.7</v>
      </c>
      <c r="AB580" s="10">
        <v>570.70000000000005</v>
      </c>
      <c r="AC580" s="10">
        <v>0.1162</v>
      </c>
      <c r="AD580" s="10">
        <v>5.4449999999999901E-2</v>
      </c>
      <c r="AE580" s="10">
        <v>2.758E-2</v>
      </c>
      <c r="AF580" s="10">
        <v>3.9899999999999901E-2</v>
      </c>
      <c r="AG580" s="10">
        <v>0.17829999999999899</v>
      </c>
      <c r="AH580">
        <v>7.3190000000000005E-2</v>
      </c>
    </row>
    <row r="581" spans="3:34">
      <c r="C581" s="11" t="s">
        <v>689</v>
      </c>
      <c r="D581" s="10" t="s">
        <v>1</v>
      </c>
      <c r="E581" s="10">
        <v>13.71</v>
      </c>
      <c r="F581" s="10">
        <v>24.21</v>
      </c>
      <c r="G581" s="10">
        <v>68.89</v>
      </c>
      <c r="H581" s="10">
        <v>361.6</v>
      </c>
      <c r="I581" s="10">
        <v>8.1920000000000007E-2</v>
      </c>
      <c r="J581" s="10">
        <v>6.6019999999999898E-2</v>
      </c>
      <c r="K581" s="10">
        <v>1.5480000000000001E-2</v>
      </c>
      <c r="L581" s="10">
        <v>8.1600000000000006E-3</v>
      </c>
      <c r="M581" s="10">
        <v>0.1976</v>
      </c>
      <c r="N581" s="10">
        <v>6.3280000000000003E-2</v>
      </c>
      <c r="O581" s="10">
        <v>0.51959999999999895</v>
      </c>
      <c r="P581" s="10">
        <v>1.9179999999999899</v>
      </c>
      <c r="Q581" s="10">
        <v>3.5640000000000001</v>
      </c>
      <c r="R581" s="10">
        <v>33</v>
      </c>
      <c r="S581" s="10">
        <v>8.2629999999999908E-3</v>
      </c>
      <c r="T581" s="10">
        <v>1.8700000000000001E-2</v>
      </c>
      <c r="U581" s="10">
        <v>1.277E-2</v>
      </c>
      <c r="V581" s="10">
        <v>5.9170000000000004E-3</v>
      </c>
      <c r="W581" s="10">
        <v>2.4660000000000001E-2</v>
      </c>
      <c r="X581" s="10">
        <v>2.977E-3</v>
      </c>
      <c r="Y581" s="10">
        <v>13.0299999999999</v>
      </c>
      <c r="Z581" s="10">
        <v>31.4499999999999</v>
      </c>
      <c r="AA581" s="10">
        <v>83.9</v>
      </c>
      <c r="AB581" s="10">
        <v>505.6</v>
      </c>
      <c r="AC581" s="10">
        <v>0.12039999999999899</v>
      </c>
      <c r="AD581" s="10">
        <v>0.1633</v>
      </c>
      <c r="AE581" s="10">
        <v>6.1940000000000002E-2</v>
      </c>
      <c r="AF581" s="10">
        <v>3.2640000000000002E-2</v>
      </c>
      <c r="AG581" s="10">
        <v>0.30590000000000001</v>
      </c>
      <c r="AH581">
        <v>7.6259999999999897E-2</v>
      </c>
    </row>
    <row r="582" spans="3:34">
      <c r="C582" s="11" t="s">
        <v>598</v>
      </c>
      <c r="D582" s="10" t="s">
        <v>1</v>
      </c>
      <c r="E582" s="10">
        <v>13.71</v>
      </c>
      <c r="F582" s="10">
        <v>25.1299999999999</v>
      </c>
      <c r="G582" s="10">
        <v>82.6099999999999</v>
      </c>
      <c r="H582" s="10">
        <v>520.20000000000005</v>
      </c>
      <c r="I582" s="10">
        <v>8.3690000000000001E-2</v>
      </c>
      <c r="J582" s="10">
        <v>5.07299999999999E-2</v>
      </c>
      <c r="K582" s="10">
        <v>1.206E-2</v>
      </c>
      <c r="L582" s="10">
        <v>1.762E-2</v>
      </c>
      <c r="M582" s="10">
        <v>0.16669999999999899</v>
      </c>
      <c r="N582" s="10">
        <v>5.44899999999999E-2</v>
      </c>
      <c r="O582" s="10">
        <v>0.2621</v>
      </c>
      <c r="P582" s="10">
        <v>1.232</v>
      </c>
      <c r="Q582" s="10">
        <v>1.657</v>
      </c>
      <c r="R582" s="10">
        <v>21.19</v>
      </c>
      <c r="S582" s="10">
        <v>6.0540000000000004E-3</v>
      </c>
      <c r="T582" s="10">
        <v>8.9739999999999907E-3</v>
      </c>
      <c r="U582" s="10">
        <v>5.6810000000000003E-3</v>
      </c>
      <c r="V582" s="10">
        <v>6.3359999999999901E-3</v>
      </c>
      <c r="W582" s="10">
        <v>1.21499999999999E-2</v>
      </c>
      <c r="X582" s="10">
        <v>1.51399999999999E-3</v>
      </c>
      <c r="Y582" s="10">
        <v>14.34</v>
      </c>
      <c r="Z582" s="10">
        <v>31.8799999999999</v>
      </c>
      <c r="AA582" s="10">
        <v>91.06</v>
      </c>
      <c r="AB582" s="10">
        <v>628.5</v>
      </c>
      <c r="AC582" s="10">
        <v>0.12180000000000001</v>
      </c>
      <c r="AD582" s="10">
        <v>0.109299999999999</v>
      </c>
      <c r="AE582" s="10">
        <v>4.462E-2</v>
      </c>
      <c r="AF582" s="10">
        <v>5.9209999999999902E-2</v>
      </c>
      <c r="AG582" s="10">
        <v>0.2306</v>
      </c>
      <c r="AH582">
        <v>6.2909999999999897E-2</v>
      </c>
    </row>
    <row r="583" spans="3:34">
      <c r="C583" s="11" t="s">
        <v>290</v>
      </c>
      <c r="D583" s="10" t="s">
        <v>1</v>
      </c>
      <c r="E583" s="10">
        <v>13.71</v>
      </c>
      <c r="F583" s="10">
        <v>20.78</v>
      </c>
      <c r="G583" s="10">
        <v>83.51</v>
      </c>
      <c r="H583" s="10">
        <v>519.39999999999895</v>
      </c>
      <c r="I583" s="10">
        <v>0.1135</v>
      </c>
      <c r="J583" s="10">
        <v>7.5889999999999902E-2</v>
      </c>
      <c r="K583" s="10">
        <v>3.1359999999999902E-2</v>
      </c>
      <c r="L583" s="10">
        <v>2.6450000000000001E-2</v>
      </c>
      <c r="M583" s="10">
        <v>0.254</v>
      </c>
      <c r="N583" s="10">
        <v>6.087E-2</v>
      </c>
      <c r="O583" s="10">
        <v>0.42020000000000002</v>
      </c>
      <c r="P583" s="10">
        <v>1.3220000000000001</v>
      </c>
      <c r="Q583" s="10">
        <v>2.8730000000000002</v>
      </c>
      <c r="R583" s="10">
        <v>34.78</v>
      </c>
      <c r="S583" s="10">
        <v>7.0169999999999903E-3</v>
      </c>
      <c r="T583" s="10">
        <v>1.142E-2</v>
      </c>
      <c r="U583" s="10">
        <v>1.949E-2</v>
      </c>
      <c r="V583" s="10">
        <v>1.153E-2</v>
      </c>
      <c r="W583" s="10">
        <v>2.9510000000000002E-2</v>
      </c>
      <c r="X583" s="10">
        <v>1.5330000000000001E-3</v>
      </c>
      <c r="Y583" s="10">
        <v>14.16</v>
      </c>
      <c r="Z583" s="10">
        <v>24.1099999999999</v>
      </c>
      <c r="AA583" s="10">
        <v>90.819999999999894</v>
      </c>
      <c r="AB583" s="10">
        <v>616.70000000000005</v>
      </c>
      <c r="AC583" s="10">
        <v>0.12970000000000001</v>
      </c>
      <c r="AD583" s="10">
        <v>0.1105</v>
      </c>
      <c r="AE583" s="10">
        <v>8.1119999999999901E-2</v>
      </c>
      <c r="AF583" s="10">
        <v>6.2960000000000002E-2</v>
      </c>
      <c r="AG583" s="10">
        <v>0.3196</v>
      </c>
      <c r="AH583">
        <v>6.4350000000000004E-2</v>
      </c>
    </row>
    <row r="584" spans="3:34">
      <c r="C584" s="11" t="s">
        <v>311</v>
      </c>
      <c r="D584" s="10" t="s">
        <v>0</v>
      </c>
      <c r="E584" s="10">
        <v>13.71</v>
      </c>
      <c r="F584" s="10">
        <v>19.6299999999999</v>
      </c>
      <c r="G584" s="10">
        <v>85.84</v>
      </c>
      <c r="H584" s="10">
        <v>565.39999999999895</v>
      </c>
      <c r="I584" s="10">
        <v>9.0480000000000005E-2</v>
      </c>
      <c r="J584" s="10">
        <v>6.2880000000000005E-2</v>
      </c>
      <c r="K584" s="10">
        <v>5.858E-2</v>
      </c>
      <c r="L584" s="10">
        <v>3.4380000000000001E-2</v>
      </c>
      <c r="M584" s="10">
        <v>0.1598</v>
      </c>
      <c r="N584" s="10">
        <v>5.6710000000000003E-2</v>
      </c>
      <c r="O584" s="10">
        <v>0.46970000000000001</v>
      </c>
      <c r="P584" s="10">
        <v>1.147</v>
      </c>
      <c r="Q584" s="10">
        <v>3.1419999999999901</v>
      </c>
      <c r="R584" s="10">
        <v>43.399999999999899</v>
      </c>
      <c r="S584" s="10">
        <v>6.0029999999999901E-3</v>
      </c>
      <c r="T584" s="10">
        <v>1.0630000000000001E-2</v>
      </c>
      <c r="U584" s="10">
        <v>2.1510000000000001E-2</v>
      </c>
      <c r="V584" s="10">
        <v>9.443E-3</v>
      </c>
      <c r="W584" s="10">
        <v>1.52E-2</v>
      </c>
      <c r="X584" s="10">
        <v>1.8680000000000001E-3</v>
      </c>
      <c r="Y584" s="10">
        <v>17.98</v>
      </c>
      <c r="Z584" s="10">
        <v>29.87</v>
      </c>
      <c r="AA584" s="10">
        <v>116.599999999999</v>
      </c>
      <c r="AB584" s="10">
        <v>993.6</v>
      </c>
      <c r="AC584" s="10">
        <v>0.1401</v>
      </c>
      <c r="AD584" s="10">
        <v>0.15459999999999899</v>
      </c>
      <c r="AE584" s="10">
        <v>0.26440000000000002</v>
      </c>
      <c r="AF584" s="10">
        <v>0.11600000000000001</v>
      </c>
      <c r="AG584" s="10">
        <v>0.28839999999999899</v>
      </c>
      <c r="AH584">
        <v>7.3709999999999901E-2</v>
      </c>
    </row>
    <row r="585" spans="3:34">
      <c r="C585" s="11" t="s">
        <v>562</v>
      </c>
      <c r="D585" s="10" t="s">
        <v>1</v>
      </c>
      <c r="E585" s="10">
        <v>13.71</v>
      </c>
      <c r="F585" s="10">
        <v>16.02</v>
      </c>
      <c r="G585" s="10">
        <v>75.459999999999894</v>
      </c>
      <c r="H585" s="10">
        <v>408.19999999999902</v>
      </c>
      <c r="I585" s="10">
        <v>0.10879999999999899</v>
      </c>
      <c r="J585" s="10">
        <v>0.1168</v>
      </c>
      <c r="K585" s="10">
        <v>7.0970000000000005E-2</v>
      </c>
      <c r="L585" s="10">
        <v>4.4970000000000003E-2</v>
      </c>
      <c r="M585" s="10">
        <v>0.18859999999999899</v>
      </c>
      <c r="N585" s="10">
        <v>6.3200000000000006E-2</v>
      </c>
      <c r="O585" s="10">
        <v>0.24560000000000001</v>
      </c>
      <c r="P585" s="10">
        <v>0.7339</v>
      </c>
      <c r="Q585" s="10">
        <v>1.667</v>
      </c>
      <c r="R585" s="10">
        <v>15.89</v>
      </c>
      <c r="S585" s="10">
        <v>5.8840000000000003E-3</v>
      </c>
      <c r="T585" s="10">
        <v>2.0049999999999901E-2</v>
      </c>
      <c r="U585" s="10">
        <v>2.631E-2</v>
      </c>
      <c r="V585" s="10">
        <v>1.304E-2</v>
      </c>
      <c r="W585" s="10">
        <v>1.848E-2</v>
      </c>
      <c r="X585" s="10">
        <v>1.9819999999999898E-3</v>
      </c>
      <c r="Y585" s="10">
        <v>12.64</v>
      </c>
      <c r="Z585" s="10">
        <v>19.670000000000002</v>
      </c>
      <c r="AA585" s="10">
        <v>81.93</v>
      </c>
      <c r="AB585" s="10">
        <v>475.69999999999902</v>
      </c>
      <c r="AC585" s="10">
        <v>0.14149999999999899</v>
      </c>
      <c r="AD585" s="10">
        <v>0.217</v>
      </c>
      <c r="AE585" s="10">
        <v>0.23019999999999899</v>
      </c>
      <c r="AF585" s="10">
        <v>0.1105</v>
      </c>
      <c r="AG585" s="10">
        <v>0.2787</v>
      </c>
      <c r="AH585">
        <v>7.4270000000000003E-2</v>
      </c>
    </row>
    <row r="586" spans="3:34">
      <c r="C586" s="11" t="s">
        <v>260</v>
      </c>
      <c r="D586" s="10" t="s">
        <v>1</v>
      </c>
      <c r="E586" s="10">
        <v>13.71</v>
      </c>
      <c r="F586" s="10">
        <v>10.82</v>
      </c>
      <c r="G586" s="10">
        <v>73.34</v>
      </c>
      <c r="H586" s="10">
        <v>403.3</v>
      </c>
      <c r="I586" s="10">
        <v>9.3729999999999897E-2</v>
      </c>
      <c r="J586" s="10">
        <v>6.6850000000000007E-2</v>
      </c>
      <c r="K586" s="10">
        <v>3.5119999999999901E-2</v>
      </c>
      <c r="L586" s="10">
        <v>2.623E-2</v>
      </c>
      <c r="M586" s="10">
        <v>0.16669999999999899</v>
      </c>
      <c r="N586" s="10">
        <v>6.11299999999999E-2</v>
      </c>
      <c r="O586" s="10">
        <v>0.14080000000000001</v>
      </c>
      <c r="P586" s="10">
        <v>0.4607</v>
      </c>
      <c r="Q586" s="10">
        <v>1.103</v>
      </c>
      <c r="R586" s="10">
        <v>10.5</v>
      </c>
      <c r="S586" s="10">
        <v>6.0400000000000002E-3</v>
      </c>
      <c r="T586" s="10">
        <v>1.529E-2</v>
      </c>
      <c r="U586" s="10">
        <v>1.5140000000000001E-2</v>
      </c>
      <c r="V586" s="10">
        <v>6.4599999999999901E-3</v>
      </c>
      <c r="W586" s="10">
        <v>1.3440000000000001E-2</v>
      </c>
      <c r="X586" s="10">
        <v>2.2060000000000001E-3</v>
      </c>
      <c r="Y586" s="10">
        <v>12.82</v>
      </c>
      <c r="Z586" s="10">
        <v>15.97</v>
      </c>
      <c r="AA586" s="10">
        <v>83.739999999999895</v>
      </c>
      <c r="AB586" s="10">
        <v>510.5</v>
      </c>
      <c r="AC586" s="10">
        <v>0.15479999999999899</v>
      </c>
      <c r="AD586" s="10">
        <v>0.23899999999999899</v>
      </c>
      <c r="AE586" s="10">
        <v>0.2102</v>
      </c>
      <c r="AF586" s="10">
        <v>8.9580000000000007E-2</v>
      </c>
      <c r="AG586" s="10">
        <v>0.30159999999999898</v>
      </c>
      <c r="AH586">
        <v>8.523E-2</v>
      </c>
    </row>
    <row r="587" spans="3:34">
      <c r="C587" s="11" t="s">
        <v>317</v>
      </c>
      <c r="D587" s="10" t="s">
        <v>0</v>
      </c>
      <c r="E587" s="10">
        <v>13.71</v>
      </c>
      <c r="F587" s="10">
        <v>20.1099999999999</v>
      </c>
      <c r="G587" s="10">
        <v>109.3</v>
      </c>
      <c r="H587" s="10">
        <v>832.89999999999895</v>
      </c>
      <c r="I587" s="10">
        <v>9.8309999999999897E-2</v>
      </c>
      <c r="J587" s="10">
        <v>0.15559999999999899</v>
      </c>
      <c r="K587" s="10">
        <v>0.17929999999999899</v>
      </c>
      <c r="L587" s="10">
        <v>8.8660000000000003E-2</v>
      </c>
      <c r="M587" s="10">
        <v>0.1794</v>
      </c>
      <c r="N587" s="10">
        <v>6.3229999999999897E-2</v>
      </c>
      <c r="O587" s="10">
        <v>0.30370000000000003</v>
      </c>
      <c r="P587" s="10">
        <v>1.284</v>
      </c>
      <c r="Q587" s="10">
        <v>2.4820000000000002</v>
      </c>
      <c r="R587" s="10">
        <v>31.59</v>
      </c>
      <c r="S587" s="10">
        <v>6.6270000000000001E-3</v>
      </c>
      <c r="T587" s="10">
        <v>4.09399999999999E-2</v>
      </c>
      <c r="U587" s="10">
        <v>5.3710000000000001E-2</v>
      </c>
      <c r="V587" s="10">
        <v>1.813E-2</v>
      </c>
      <c r="W587" s="10">
        <v>1.6820000000000002E-2</v>
      </c>
      <c r="X587" s="10">
        <v>4.5840000000000004E-3</v>
      </c>
      <c r="Y587" s="10">
        <v>17.7899999999999</v>
      </c>
      <c r="Z587" s="10">
        <v>28.4499999999999</v>
      </c>
      <c r="AA587" s="10">
        <v>123.5</v>
      </c>
      <c r="AB587" s="10">
        <v>981.2</v>
      </c>
      <c r="AC587" s="10">
        <v>0.14149999999999899</v>
      </c>
      <c r="AD587" s="10">
        <v>0.4667</v>
      </c>
      <c r="AE587" s="10">
        <v>0.58620000000000005</v>
      </c>
      <c r="AF587" s="10">
        <v>0.20349999999999899</v>
      </c>
      <c r="AG587" s="10">
        <v>0.3054</v>
      </c>
      <c r="AH587">
        <v>9.51899999999999E-2</v>
      </c>
    </row>
    <row r="588" spans="3:34">
      <c r="C588" s="11" t="s">
        <v>415</v>
      </c>
      <c r="D588" s="10" t="s">
        <v>1</v>
      </c>
      <c r="E588" s="10">
        <v>13.71</v>
      </c>
      <c r="F588" s="10">
        <v>17.3599999999999</v>
      </c>
      <c r="G588" s="10">
        <v>76.2</v>
      </c>
      <c r="H588" s="10">
        <v>435.6</v>
      </c>
      <c r="I588" s="10">
        <v>0.1225</v>
      </c>
      <c r="J588" s="10">
        <v>7.20999999999999E-2</v>
      </c>
      <c r="K588" s="10">
        <v>5.9290000000000002E-2</v>
      </c>
      <c r="L588" s="10">
        <v>7.4039999999999898E-2</v>
      </c>
      <c r="M588" s="10">
        <v>0.20150000000000001</v>
      </c>
      <c r="N588" s="10">
        <v>5.87499999999999E-2</v>
      </c>
      <c r="O588" s="10">
        <v>0.64119999999999899</v>
      </c>
      <c r="P588" s="10">
        <v>2.2930000000000001</v>
      </c>
      <c r="Q588" s="10">
        <v>4.0209999999999901</v>
      </c>
      <c r="R588" s="10">
        <v>48.84</v>
      </c>
      <c r="S588" s="10">
        <v>1.418E-2</v>
      </c>
      <c r="T588" s="10">
        <v>1.489E-2</v>
      </c>
      <c r="U588" s="10">
        <v>1.2670000000000001E-2</v>
      </c>
      <c r="V588" s="10">
        <v>1.9099999999999898E-2</v>
      </c>
      <c r="W588" s="10">
        <v>2.6780000000000002E-2</v>
      </c>
      <c r="X588" s="10">
        <v>3.0019999999999899E-3</v>
      </c>
      <c r="Y588" s="10">
        <v>12.4</v>
      </c>
      <c r="Z588" s="10">
        <v>18.989999999999899</v>
      </c>
      <c r="AA588" s="10">
        <v>79.459999999999894</v>
      </c>
      <c r="AB588" s="10">
        <v>472.39999999999901</v>
      </c>
      <c r="AC588" s="10">
        <v>0.13589999999999899</v>
      </c>
      <c r="AD588" s="10">
        <v>8.3680000000000004E-2</v>
      </c>
      <c r="AE588" s="10">
        <v>7.1529999999999899E-2</v>
      </c>
      <c r="AF588" s="10">
        <v>8.9459999999999901E-2</v>
      </c>
      <c r="AG588" s="10">
        <v>0.222</v>
      </c>
      <c r="AH588">
        <v>6.0330000000000002E-2</v>
      </c>
    </row>
    <row r="589" spans="3:34">
      <c r="C589" s="11" t="s">
        <v>173</v>
      </c>
      <c r="D589" s="10" t="s">
        <v>0</v>
      </c>
      <c r="E589" s="10">
        <v>13.71</v>
      </c>
      <c r="F589" s="10">
        <v>26.469999999999899</v>
      </c>
      <c r="G589" s="10">
        <v>127.9</v>
      </c>
      <c r="H589" s="10">
        <v>1162</v>
      </c>
      <c r="I589" s="10">
        <v>9.4009999999999899E-2</v>
      </c>
      <c r="J589" s="10">
        <v>0.1719</v>
      </c>
      <c r="K589" s="10">
        <v>0.16569999999999899</v>
      </c>
      <c r="L589" s="10">
        <v>7.59299999999999E-2</v>
      </c>
      <c r="M589" s="10">
        <v>0.18529999999999899</v>
      </c>
      <c r="N589" s="10">
        <v>6.2609999999999902E-2</v>
      </c>
      <c r="O589" s="10">
        <v>0.55579999999999896</v>
      </c>
      <c r="P589" s="10">
        <v>0.60619999999999896</v>
      </c>
      <c r="Q589" s="10">
        <v>3.528</v>
      </c>
      <c r="R589" s="10">
        <v>68.17</v>
      </c>
      <c r="S589" s="10">
        <v>5.0150000000000004E-3</v>
      </c>
      <c r="T589" s="10">
        <v>3.3180000000000001E-2</v>
      </c>
      <c r="U589" s="10">
        <v>3.4970000000000001E-2</v>
      </c>
      <c r="V589" s="10">
        <v>9.6430000000000005E-3</v>
      </c>
      <c r="W589" s="10">
        <v>1.54299999999999E-2</v>
      </c>
      <c r="X589" s="10">
        <v>3.8960000000000002E-3</v>
      </c>
      <c r="Y589" s="10">
        <v>24.149999999999899</v>
      </c>
      <c r="Z589" s="10">
        <v>30.899999999999899</v>
      </c>
      <c r="AA589" s="10">
        <v>161.4</v>
      </c>
      <c r="AB589" s="10">
        <v>1813</v>
      </c>
      <c r="AC589" s="10">
        <v>0.15090000000000001</v>
      </c>
      <c r="AD589" s="10">
        <v>0.65900000000000003</v>
      </c>
      <c r="AE589" s="10">
        <v>0.60909999999999898</v>
      </c>
      <c r="AF589" s="10">
        <v>0.17849999999999899</v>
      </c>
      <c r="AG589" s="10">
        <v>0.36720000000000003</v>
      </c>
      <c r="AH589">
        <v>0.1123</v>
      </c>
    </row>
    <row r="590" spans="3:34">
      <c r="C590" s="11" t="s">
        <v>504</v>
      </c>
      <c r="D590" s="10" t="s">
        <v>1</v>
      </c>
      <c r="E590" s="10">
        <v>13.71</v>
      </c>
      <c r="F590" s="10">
        <v>16.9499999999999</v>
      </c>
      <c r="G590" s="10">
        <v>85.48</v>
      </c>
      <c r="H590" s="10">
        <v>552.39999999999895</v>
      </c>
      <c r="I590" s="10">
        <v>7.9369999999999899E-2</v>
      </c>
      <c r="J590" s="10">
        <v>5.69599999999999E-2</v>
      </c>
      <c r="K590" s="10">
        <v>2.181E-2</v>
      </c>
      <c r="L590" s="10">
        <v>1.473E-2</v>
      </c>
      <c r="M590" s="10">
        <v>0.16500000000000001</v>
      </c>
      <c r="N590" s="10">
        <v>5.7009999999999901E-2</v>
      </c>
      <c r="O590" s="10">
        <v>0.15840000000000001</v>
      </c>
      <c r="P590" s="10">
        <v>0.61240000000000006</v>
      </c>
      <c r="Q590" s="10">
        <v>1.036</v>
      </c>
      <c r="R590" s="10">
        <v>13.22</v>
      </c>
      <c r="S590" s="10">
        <v>4.3940000000000003E-3</v>
      </c>
      <c r="T590" s="10">
        <v>1.2500000000000001E-2</v>
      </c>
      <c r="U590" s="10">
        <v>1.451E-2</v>
      </c>
      <c r="V590" s="10">
        <v>5.4840000000000002E-3</v>
      </c>
      <c r="W590" s="10">
        <v>1.291E-2</v>
      </c>
      <c r="X590" s="10">
        <v>2.0739999999999899E-3</v>
      </c>
      <c r="Y590" s="10">
        <v>14.73</v>
      </c>
      <c r="Z590" s="10">
        <v>21.6999999999999</v>
      </c>
      <c r="AA590" s="10">
        <v>93.76</v>
      </c>
      <c r="AB590" s="10">
        <v>663.5</v>
      </c>
      <c r="AC590" s="10">
        <v>0.12130000000000001</v>
      </c>
      <c r="AD590" s="10">
        <v>0.1676</v>
      </c>
      <c r="AE590" s="10">
        <v>0.13639999999999899</v>
      </c>
      <c r="AF590" s="10">
        <v>6.9870000000000002E-2</v>
      </c>
      <c r="AG590" s="10">
        <v>0.27410000000000001</v>
      </c>
      <c r="AH590">
        <v>7.5819999999999901E-2</v>
      </c>
    </row>
    <row r="591" spans="3:34">
      <c r="C591" s="11" t="s">
        <v>647</v>
      </c>
      <c r="D591" s="10" t="s">
        <v>1</v>
      </c>
      <c r="E591" s="10">
        <v>13.71</v>
      </c>
      <c r="F591" s="10">
        <v>17.12</v>
      </c>
      <c r="G591" s="10">
        <v>71.25</v>
      </c>
      <c r="H591" s="10">
        <v>366.5</v>
      </c>
      <c r="I591" s="10">
        <v>0.11940000000000001</v>
      </c>
      <c r="J591" s="10">
        <v>0.1071</v>
      </c>
      <c r="K591" s="10">
        <v>4.0629999999999902E-2</v>
      </c>
      <c r="L591" s="10">
        <v>4.2680000000000003E-2</v>
      </c>
      <c r="M591" s="10">
        <v>0.19539999999999899</v>
      </c>
      <c r="N591" s="10">
        <v>7.97599999999999E-2</v>
      </c>
      <c r="O591" s="10">
        <v>0.1779</v>
      </c>
      <c r="P591" s="10">
        <v>1.03</v>
      </c>
      <c r="Q591" s="10">
        <v>1.3180000000000001</v>
      </c>
      <c r="R591" s="10">
        <v>12.3</v>
      </c>
      <c r="S591" s="10">
        <v>1.26199999999999E-2</v>
      </c>
      <c r="T591" s="10">
        <v>2.3480000000000001E-2</v>
      </c>
      <c r="U591" s="10">
        <v>1.7999999999999901E-2</v>
      </c>
      <c r="V591" s="10">
        <v>1.285E-2</v>
      </c>
      <c r="W591" s="10">
        <v>2.2200000000000001E-2</v>
      </c>
      <c r="X591" s="10">
        <v>8.3129999999999905E-3</v>
      </c>
      <c r="Y591" s="10">
        <v>11.69</v>
      </c>
      <c r="Z591" s="10">
        <v>20.739999999999899</v>
      </c>
      <c r="AA591" s="10">
        <v>76.079999999999899</v>
      </c>
      <c r="AB591" s="10">
        <v>411.1</v>
      </c>
      <c r="AC591" s="10">
        <v>0.16619999999999899</v>
      </c>
      <c r="AD591" s="10">
        <v>0.2031</v>
      </c>
      <c r="AE591" s="10">
        <v>0.12559999999999899</v>
      </c>
      <c r="AF591" s="10">
        <v>9.5140000000000002E-2</v>
      </c>
      <c r="AG591" s="10">
        <v>0.27800000000000002</v>
      </c>
      <c r="AH591">
        <v>0.1168</v>
      </c>
    </row>
    <row r="592" spans="3:34">
      <c r="C592" s="11" t="s">
        <v>235</v>
      </c>
      <c r="D592" s="10" t="s">
        <v>0</v>
      </c>
      <c r="E592" s="10">
        <v>13.71</v>
      </c>
      <c r="F592" s="10">
        <v>23.03</v>
      </c>
      <c r="G592" s="10">
        <v>132.4</v>
      </c>
      <c r="H592" s="10">
        <v>1264</v>
      </c>
      <c r="I592" s="10">
        <v>9.078E-2</v>
      </c>
      <c r="J592" s="10">
        <v>0.1313</v>
      </c>
      <c r="K592" s="10">
        <v>0.14649999999999899</v>
      </c>
      <c r="L592" s="10">
        <v>8.6830000000000004E-2</v>
      </c>
      <c r="M592" s="10">
        <v>0.20949999999999899</v>
      </c>
      <c r="N592" s="10">
        <v>5.6489999999999901E-2</v>
      </c>
      <c r="O592" s="10">
        <v>0.75760000000000005</v>
      </c>
      <c r="P592" s="10">
        <v>1.5089999999999899</v>
      </c>
      <c r="Q592" s="10">
        <v>4.5540000000000003</v>
      </c>
      <c r="R592" s="10">
        <v>87.87</v>
      </c>
      <c r="S592" s="10">
        <v>6.0159999999999901E-3</v>
      </c>
      <c r="T592" s="10">
        <v>3.48199999999999E-2</v>
      </c>
      <c r="U592" s="10">
        <v>4.2320000000000003E-2</v>
      </c>
      <c r="V592" s="10">
        <v>1.269E-2</v>
      </c>
      <c r="W592" s="10">
        <v>2.657E-2</v>
      </c>
      <c r="X592" s="10">
        <v>4.411E-3</v>
      </c>
      <c r="Y592" s="10">
        <v>24.219999999999899</v>
      </c>
      <c r="Z592" s="10">
        <v>31.59</v>
      </c>
      <c r="AA592" s="10">
        <v>156.099999999999</v>
      </c>
      <c r="AB592" s="10">
        <v>1750</v>
      </c>
      <c r="AC592" s="10">
        <v>0.118999999999999</v>
      </c>
      <c r="AD592" s="10">
        <v>0.35389999999999899</v>
      </c>
      <c r="AE592" s="10">
        <v>0.4098</v>
      </c>
      <c r="AF592" s="10">
        <v>0.1573</v>
      </c>
      <c r="AG592" s="10">
        <v>0.36890000000000001</v>
      </c>
      <c r="AH592">
        <v>8.3680000000000004E-2</v>
      </c>
    </row>
    <row r="593" spans="3:34">
      <c r="C593" s="11" t="s">
        <v>619</v>
      </c>
      <c r="D593" s="10" t="s">
        <v>0</v>
      </c>
      <c r="E593" s="10">
        <v>13.71</v>
      </c>
      <c r="F593" s="10">
        <v>19.510000000000002</v>
      </c>
      <c r="G593" s="10">
        <v>109.8</v>
      </c>
      <c r="H593" s="10">
        <v>815.79999999999905</v>
      </c>
      <c r="I593" s="10">
        <v>0.1026</v>
      </c>
      <c r="J593" s="10">
        <v>0.1893</v>
      </c>
      <c r="K593" s="10">
        <v>0.22359999999999899</v>
      </c>
      <c r="L593" s="10">
        <v>9.1939999999999897E-2</v>
      </c>
      <c r="M593" s="10">
        <v>0.21510000000000001</v>
      </c>
      <c r="N593" s="10">
        <v>6.5780000000000005E-2</v>
      </c>
      <c r="O593" s="10">
        <v>0.31469999999999898</v>
      </c>
      <c r="P593" s="10">
        <v>0.98570000000000002</v>
      </c>
      <c r="Q593" s="10">
        <v>3.0699999999999901</v>
      </c>
      <c r="R593" s="10">
        <v>33.119999999999898</v>
      </c>
      <c r="S593" s="10">
        <v>9.1970000000000003E-3</v>
      </c>
      <c r="T593" s="10">
        <v>5.4699999999999901E-2</v>
      </c>
      <c r="U593" s="10">
        <v>8.0790000000000001E-2</v>
      </c>
      <c r="V593" s="10">
        <v>2.215E-2</v>
      </c>
      <c r="W593" s="10">
        <v>2.7730000000000001E-2</v>
      </c>
      <c r="X593" s="10">
        <v>6.3550000000000004E-3</v>
      </c>
      <c r="Y593" s="10">
        <v>17.39</v>
      </c>
      <c r="Z593" s="10">
        <v>23.05</v>
      </c>
      <c r="AA593" s="10">
        <v>122.099999999999</v>
      </c>
      <c r="AB593" s="10">
        <v>939.7</v>
      </c>
      <c r="AC593" s="10">
        <v>0.13769999999999899</v>
      </c>
      <c r="AD593" s="10">
        <v>0.44619999999999899</v>
      </c>
      <c r="AE593" s="10">
        <v>0.5897</v>
      </c>
      <c r="AF593" s="10">
        <v>0.17749999999999899</v>
      </c>
      <c r="AG593" s="10">
        <v>0.33179999999999898</v>
      </c>
      <c r="AH593">
        <v>9.13599999999999E-2</v>
      </c>
    </row>
    <row r="594" spans="3:34">
      <c r="C594" s="11" t="s">
        <v>427</v>
      </c>
      <c r="D594" s="10" t="s">
        <v>1</v>
      </c>
      <c r="E594" s="10">
        <v>13.71</v>
      </c>
      <c r="F594" s="10">
        <v>13.1199999999999</v>
      </c>
      <c r="G594" s="10">
        <v>81.89</v>
      </c>
      <c r="H594" s="10">
        <v>515.89999999999895</v>
      </c>
      <c r="I594" s="10">
        <v>6.9550000000000001E-2</v>
      </c>
      <c r="J594" s="10">
        <v>3.72899999999999E-2</v>
      </c>
      <c r="K594" s="10">
        <v>2.2599999999999901E-2</v>
      </c>
      <c r="L594" s="10">
        <v>1.171E-2</v>
      </c>
      <c r="M594" s="10">
        <v>0.13370000000000001</v>
      </c>
      <c r="N594" s="10">
        <v>5.5809999999999901E-2</v>
      </c>
      <c r="O594" s="10">
        <v>0.1532</v>
      </c>
      <c r="P594" s="10">
        <v>0.46899999999999897</v>
      </c>
      <c r="Q594" s="10">
        <v>1.115</v>
      </c>
      <c r="R594" s="10">
        <v>12.68</v>
      </c>
      <c r="S594" s="10">
        <v>4.731E-3</v>
      </c>
      <c r="T594" s="10">
        <v>1.345E-2</v>
      </c>
      <c r="U594" s="10">
        <v>1.652E-2</v>
      </c>
      <c r="V594" s="10">
        <v>5.9049999999999901E-3</v>
      </c>
      <c r="W594" s="10">
        <v>1.619E-2</v>
      </c>
      <c r="X594" s="10">
        <v>2.081E-3</v>
      </c>
      <c r="Y594" s="10">
        <v>13.6199999999999</v>
      </c>
      <c r="Z594" s="10">
        <v>15.5399999999999</v>
      </c>
      <c r="AA594" s="10">
        <v>87.4</v>
      </c>
      <c r="AB594" s="10">
        <v>577</v>
      </c>
      <c r="AC594" s="10">
        <v>9.6159999999999898E-2</v>
      </c>
      <c r="AD594" s="10">
        <v>0.1147</v>
      </c>
      <c r="AE594" s="10">
        <v>0.1186</v>
      </c>
      <c r="AF594" s="10">
        <v>5.3659999999999902E-2</v>
      </c>
      <c r="AG594" s="10">
        <v>0.23089999999999899</v>
      </c>
      <c r="AH594">
        <v>6.9150000000000003E-2</v>
      </c>
    </row>
    <row r="595" spans="3:34">
      <c r="C595" s="11" t="s">
        <v>394</v>
      </c>
      <c r="D595" s="10" t="s">
        <v>0</v>
      </c>
      <c r="E595" s="10">
        <v>13.71</v>
      </c>
      <c r="F595" s="10">
        <v>19.329999999999899</v>
      </c>
      <c r="G595" s="10">
        <v>126.5</v>
      </c>
      <c r="H595" s="10">
        <v>1169</v>
      </c>
      <c r="I595" s="10">
        <v>0.103499999999999</v>
      </c>
      <c r="J595" s="10">
        <v>0.1188</v>
      </c>
      <c r="K595" s="10">
        <v>0.137899999999999</v>
      </c>
      <c r="L595" s="10">
        <v>8.591E-2</v>
      </c>
      <c r="M595" s="10">
        <v>0.17760000000000001</v>
      </c>
      <c r="N595" s="10">
        <v>5.6469999999999902E-2</v>
      </c>
      <c r="O595" s="10">
        <v>0.59589999999999899</v>
      </c>
      <c r="P595" s="10">
        <v>0.63419999999999899</v>
      </c>
      <c r="Q595" s="10">
        <v>3.7970000000000002</v>
      </c>
      <c r="R595" s="10">
        <v>71</v>
      </c>
      <c r="S595" s="10">
        <v>4.6490000000000004E-3</v>
      </c>
      <c r="T595" s="10">
        <v>1.7999999999999901E-2</v>
      </c>
      <c r="U595" s="10">
        <v>2.7490000000000001E-2</v>
      </c>
      <c r="V595" s="10">
        <v>1.2670000000000001E-2</v>
      </c>
      <c r="W595" s="10">
        <v>1.3650000000000001E-2</v>
      </c>
      <c r="X595" s="10">
        <v>2.5500000000000002E-3</v>
      </c>
      <c r="Y595" s="10">
        <v>25.6999999999999</v>
      </c>
      <c r="Z595" s="10">
        <v>24.57</v>
      </c>
      <c r="AA595" s="10">
        <v>163.099999999999</v>
      </c>
      <c r="AB595" s="10">
        <v>1972</v>
      </c>
      <c r="AC595" s="10">
        <v>0.1497</v>
      </c>
      <c r="AD595" s="10">
        <v>0.31609999999999899</v>
      </c>
      <c r="AE595" s="10">
        <v>0.43169999999999897</v>
      </c>
      <c r="AF595" s="10">
        <v>0.199899999999999</v>
      </c>
      <c r="AG595" s="10">
        <v>0.33789999999999898</v>
      </c>
      <c r="AH595">
        <v>8.9499999999999899E-2</v>
      </c>
    </row>
    <row r="596" spans="3:34">
      <c r="C596" s="11" t="s">
        <v>629</v>
      </c>
      <c r="D596" s="10" t="s">
        <v>0</v>
      </c>
      <c r="E596" s="10">
        <v>13.71</v>
      </c>
      <c r="F596" s="10">
        <v>20.1999999999999</v>
      </c>
      <c r="G596" s="10">
        <v>107.099999999999</v>
      </c>
      <c r="H596" s="10">
        <v>857.6</v>
      </c>
      <c r="I596" s="10">
        <v>7.4969999999999898E-2</v>
      </c>
      <c r="J596" s="10">
        <v>7.1120000000000003E-2</v>
      </c>
      <c r="K596" s="10">
        <v>3.6490000000000002E-2</v>
      </c>
      <c r="L596" s="10">
        <v>2.307E-2</v>
      </c>
      <c r="M596" s="10">
        <v>0.18459999999999899</v>
      </c>
      <c r="N596" s="10">
        <v>5.3249999999999902E-2</v>
      </c>
      <c r="O596" s="10">
        <v>0.24729999999999899</v>
      </c>
      <c r="P596" s="10">
        <v>0.56789999999999896</v>
      </c>
      <c r="Q596" s="10">
        <v>1.7749999999999899</v>
      </c>
      <c r="R596" s="10">
        <v>22.9499999999999</v>
      </c>
      <c r="S596" s="10">
        <v>2.6670000000000001E-3</v>
      </c>
      <c r="T596" s="10">
        <v>1.4460000000000001E-2</v>
      </c>
      <c r="U596" s="10">
        <v>1.423E-2</v>
      </c>
      <c r="V596" s="10">
        <v>5.2969999999999901E-3</v>
      </c>
      <c r="W596" s="10">
        <v>1.9609999999999898E-2</v>
      </c>
      <c r="X596" s="10">
        <v>1.6999999999999899E-3</v>
      </c>
      <c r="Y596" s="10">
        <v>19.18</v>
      </c>
      <c r="Z596" s="10">
        <v>26.559999999999899</v>
      </c>
      <c r="AA596" s="10">
        <v>127.3</v>
      </c>
      <c r="AB596" s="10">
        <v>1084</v>
      </c>
      <c r="AC596" s="10">
        <v>0.1009</v>
      </c>
      <c r="AD596" s="10">
        <v>0.29199999999999898</v>
      </c>
      <c r="AE596" s="10">
        <v>0.2477</v>
      </c>
      <c r="AF596" s="10">
        <v>8.7370000000000003E-2</v>
      </c>
      <c r="AG596" s="10">
        <v>0.4677</v>
      </c>
      <c r="AH596">
        <v>7.6230000000000006E-2</v>
      </c>
    </row>
    <row r="597" spans="3:34">
      <c r="C597" s="11" t="s">
        <v>377</v>
      </c>
      <c r="D597" s="10" t="s">
        <v>0</v>
      </c>
      <c r="E597" s="10">
        <v>13.71</v>
      </c>
      <c r="F597" s="10">
        <v>21.46</v>
      </c>
      <c r="G597" s="10">
        <v>132.5</v>
      </c>
      <c r="H597" s="10">
        <v>1306</v>
      </c>
      <c r="I597" s="10">
        <v>8.3549999999999902E-2</v>
      </c>
      <c r="J597" s="10">
        <v>8.3479999999999902E-2</v>
      </c>
      <c r="K597" s="10">
        <v>9.042E-2</v>
      </c>
      <c r="L597" s="10">
        <v>6.0220000000000003E-2</v>
      </c>
      <c r="M597" s="10">
        <v>0.1467</v>
      </c>
      <c r="N597" s="10">
        <v>5.1769999999999899E-2</v>
      </c>
      <c r="O597" s="10">
        <v>0.68740000000000001</v>
      </c>
      <c r="P597" s="10">
        <v>1.0409999999999899</v>
      </c>
      <c r="Q597" s="10">
        <v>5.1440000000000001</v>
      </c>
      <c r="R597" s="10">
        <v>83.5</v>
      </c>
      <c r="S597" s="10">
        <v>7.9590000000000008E-3</v>
      </c>
      <c r="T597" s="10">
        <v>3.13299999999999E-2</v>
      </c>
      <c r="U597" s="10">
        <v>4.25699999999999E-2</v>
      </c>
      <c r="V597" s="10">
        <v>1.6709999999999899E-2</v>
      </c>
      <c r="W597" s="10">
        <v>1.341E-2</v>
      </c>
      <c r="X597" s="10">
        <v>3.9329999999999903E-3</v>
      </c>
      <c r="Y597" s="10">
        <v>24.219999999999899</v>
      </c>
      <c r="Z597" s="10">
        <v>26.17</v>
      </c>
      <c r="AA597" s="10">
        <v>161.69999999999899</v>
      </c>
      <c r="AB597" s="10">
        <v>1750</v>
      </c>
      <c r="AC597" s="10">
        <v>0.12280000000000001</v>
      </c>
      <c r="AD597" s="10">
        <v>0.2311</v>
      </c>
      <c r="AE597" s="10">
        <v>0.31580000000000003</v>
      </c>
      <c r="AF597" s="10">
        <v>0.14449999999999899</v>
      </c>
      <c r="AG597" s="10">
        <v>0.2238</v>
      </c>
      <c r="AH597">
        <v>7.127E-2</v>
      </c>
    </row>
    <row r="598" spans="3:34">
      <c r="C598" s="11" t="s">
        <v>342</v>
      </c>
      <c r="D598" s="10" t="s">
        <v>0</v>
      </c>
      <c r="E598" s="10">
        <v>13.71</v>
      </c>
      <c r="F598" s="10">
        <v>26.67</v>
      </c>
      <c r="G598" s="10">
        <v>158.9</v>
      </c>
      <c r="H598" s="10">
        <v>1685</v>
      </c>
      <c r="I598" s="10">
        <v>0.11409999999999899</v>
      </c>
      <c r="J598" s="10">
        <v>0.2084</v>
      </c>
      <c r="K598" s="10">
        <v>0.3523</v>
      </c>
      <c r="L598" s="10">
        <v>0.16200000000000001</v>
      </c>
      <c r="M598" s="10">
        <v>0.22</v>
      </c>
      <c r="N598" s="10">
        <v>6.2289999999999901E-2</v>
      </c>
      <c r="O598" s="10">
        <v>0.55389999999999895</v>
      </c>
      <c r="P598" s="10">
        <v>1.56</v>
      </c>
      <c r="Q598" s="10">
        <v>4.66699999999999</v>
      </c>
      <c r="R598" s="10">
        <v>83.159999999999897</v>
      </c>
      <c r="S598" s="10">
        <v>9.3270000000000002E-3</v>
      </c>
      <c r="T598" s="10">
        <v>5.1209999999999901E-2</v>
      </c>
      <c r="U598" s="10">
        <v>8.9580000000000007E-2</v>
      </c>
      <c r="V598" s="10">
        <v>2.4649999999999901E-2</v>
      </c>
      <c r="W598" s="10">
        <v>2.1749999999999901E-2</v>
      </c>
      <c r="X598" s="10">
        <v>5.195E-3</v>
      </c>
      <c r="Y598" s="10">
        <v>25.12</v>
      </c>
      <c r="Z598" s="10">
        <v>32.68</v>
      </c>
      <c r="AA598" s="10">
        <v>177</v>
      </c>
      <c r="AB598" s="10">
        <v>1986</v>
      </c>
      <c r="AC598" s="10">
        <v>0.15359999999999899</v>
      </c>
      <c r="AD598" s="10">
        <v>0.41670000000000001</v>
      </c>
      <c r="AE598" s="10">
        <v>0.78920000000000001</v>
      </c>
      <c r="AF598" s="10">
        <v>0.27329999999999899</v>
      </c>
      <c r="AG598" s="10">
        <v>0.31979999999999897</v>
      </c>
      <c r="AH598">
        <v>8.7620000000000003E-2</v>
      </c>
    </row>
    <row r="599" spans="3:34">
      <c r="C599" s="11" t="s">
        <v>445</v>
      </c>
      <c r="D599" s="10" t="s">
        <v>1</v>
      </c>
      <c r="E599" s="10">
        <v>13.71</v>
      </c>
      <c r="F599" s="10">
        <v>24.489999999999899</v>
      </c>
      <c r="G599" s="10">
        <v>74.23</v>
      </c>
      <c r="H599" s="10">
        <v>417.19999999999902</v>
      </c>
      <c r="I599" s="10">
        <v>7.4740000000000001E-2</v>
      </c>
      <c r="J599" s="10">
        <v>5.688E-2</v>
      </c>
      <c r="K599" s="10">
        <v>1.9740000000000001E-2</v>
      </c>
      <c r="L599" s="10">
        <v>1.31299999999999E-2</v>
      </c>
      <c r="M599" s="10">
        <v>0.19350000000000001</v>
      </c>
      <c r="N599" s="10">
        <v>5.8779999999999902E-2</v>
      </c>
      <c r="O599" s="10">
        <v>0.25119999999999898</v>
      </c>
      <c r="P599" s="10">
        <v>1.786</v>
      </c>
      <c r="Q599" s="10">
        <v>1.9610000000000001</v>
      </c>
      <c r="R599" s="10">
        <v>18.21</v>
      </c>
      <c r="S599" s="10">
        <v>6.1219999999999903E-3</v>
      </c>
      <c r="T599" s="10">
        <v>2.3369999999999901E-2</v>
      </c>
      <c r="U599" s="10">
        <v>1.5959999999999901E-2</v>
      </c>
      <c r="V599" s="10">
        <v>6.9979999999999903E-3</v>
      </c>
      <c r="W599" s="10">
        <v>3.1940000000000003E-2</v>
      </c>
      <c r="X599" s="10">
        <v>2.2109999999999899E-3</v>
      </c>
      <c r="Y599" s="10">
        <v>12.44</v>
      </c>
      <c r="Z599" s="10">
        <v>31.62</v>
      </c>
      <c r="AA599" s="10">
        <v>81.39</v>
      </c>
      <c r="AB599" s="10">
        <v>476.5</v>
      </c>
      <c r="AC599" s="10">
        <v>9.5449999999999896E-2</v>
      </c>
      <c r="AD599" s="10">
        <v>0.1361</v>
      </c>
      <c r="AE599" s="10">
        <v>7.2389999999999899E-2</v>
      </c>
      <c r="AF599" s="10">
        <v>4.8149999999999901E-2</v>
      </c>
      <c r="AG599" s="10">
        <v>0.32440000000000002</v>
      </c>
      <c r="AH599">
        <v>6.7449999999999899E-2</v>
      </c>
    </row>
    <row r="600" spans="3:34">
      <c r="C600" s="11" t="s">
        <v>683</v>
      </c>
      <c r="D600" s="10" t="s">
        <v>1</v>
      </c>
      <c r="E600" s="10">
        <v>13.71</v>
      </c>
      <c r="F600" s="10">
        <v>28.059999999999899</v>
      </c>
      <c r="G600" s="10">
        <v>84.879999999999896</v>
      </c>
      <c r="H600" s="10">
        <v>538.39999999999895</v>
      </c>
      <c r="I600" s="10">
        <v>8.6709999999999898E-2</v>
      </c>
      <c r="J600" s="10">
        <v>6.8769999999999901E-2</v>
      </c>
      <c r="K600" s="10">
        <v>2.9870000000000001E-2</v>
      </c>
      <c r="L600" s="10">
        <v>3.2750000000000001E-2</v>
      </c>
      <c r="M600" s="10">
        <v>0.1628</v>
      </c>
      <c r="N600" s="10">
        <v>5.781E-2</v>
      </c>
      <c r="O600" s="10">
        <v>0.2351</v>
      </c>
      <c r="P600" s="10">
        <v>1.597</v>
      </c>
      <c r="Q600" s="10">
        <v>1.5389999999999899</v>
      </c>
      <c r="R600" s="10">
        <v>17.850000000000001</v>
      </c>
      <c r="S600" s="10">
        <v>4.973E-3</v>
      </c>
      <c r="T600" s="10">
        <v>1.372E-2</v>
      </c>
      <c r="U600" s="10">
        <v>1.498E-2</v>
      </c>
      <c r="V600" s="10">
        <v>9.1170000000000001E-3</v>
      </c>
      <c r="W600" s="10">
        <v>1.7239999999999901E-2</v>
      </c>
      <c r="X600" s="10">
        <v>1.343E-3</v>
      </c>
      <c r="Y600" s="10">
        <v>14.3699999999999</v>
      </c>
      <c r="Z600" s="10">
        <v>37.17</v>
      </c>
      <c r="AA600" s="10">
        <v>92.48</v>
      </c>
      <c r="AB600" s="10">
        <v>629.6</v>
      </c>
      <c r="AC600" s="10">
        <v>0.1072</v>
      </c>
      <c r="AD600" s="10">
        <v>0.1381</v>
      </c>
      <c r="AE600" s="10">
        <v>0.1062</v>
      </c>
      <c r="AF600" s="10">
        <v>7.9579999999999901E-2</v>
      </c>
      <c r="AG600" s="10">
        <v>0.24729999999999899</v>
      </c>
      <c r="AH600">
        <v>6.4430000000000001E-2</v>
      </c>
    </row>
    <row r="601" spans="3:34">
      <c r="C601" s="11" t="s">
        <v>435</v>
      </c>
      <c r="D601" s="10" t="s">
        <v>1</v>
      </c>
      <c r="E601" s="10">
        <v>13.71</v>
      </c>
      <c r="F601" s="10">
        <v>13.27</v>
      </c>
      <c r="G601" s="10">
        <v>88.06</v>
      </c>
      <c r="H601" s="10">
        <v>582.70000000000005</v>
      </c>
      <c r="I601" s="10">
        <v>9.1980000000000006E-2</v>
      </c>
      <c r="J601" s="10">
        <v>6.2210000000000001E-2</v>
      </c>
      <c r="K601" s="10">
        <v>1.0630000000000001E-2</v>
      </c>
      <c r="L601" s="10">
        <v>1.917E-2</v>
      </c>
      <c r="M601" s="10">
        <v>0.15920000000000001</v>
      </c>
      <c r="N601" s="10">
        <v>5.9119999999999902E-2</v>
      </c>
      <c r="O601" s="10">
        <v>0.21909999999999899</v>
      </c>
      <c r="P601" s="10">
        <v>0.6946</v>
      </c>
      <c r="Q601" s="10">
        <v>1.4790000000000001</v>
      </c>
      <c r="R601" s="10">
        <v>17.739999999999899</v>
      </c>
      <c r="S601" s="10">
        <v>4.3480000000000003E-3</v>
      </c>
      <c r="T601" s="10">
        <v>8.1530000000000005E-3</v>
      </c>
      <c r="U601" s="10">
        <v>4.2719999999999902E-3</v>
      </c>
      <c r="V601" s="10">
        <v>6.829E-3</v>
      </c>
      <c r="W601" s="10">
        <v>2.154E-2</v>
      </c>
      <c r="X601" s="10">
        <v>1.802E-3</v>
      </c>
      <c r="Y601" s="10">
        <v>14.67</v>
      </c>
      <c r="Z601" s="10">
        <v>16.93</v>
      </c>
      <c r="AA601" s="10">
        <v>94.17</v>
      </c>
      <c r="AB601" s="10">
        <v>661.1</v>
      </c>
      <c r="AC601" s="10">
        <v>0.11700000000000001</v>
      </c>
      <c r="AD601" s="10">
        <v>0.1072</v>
      </c>
      <c r="AE601" s="10">
        <v>3.7319999999999902E-2</v>
      </c>
      <c r="AF601" s="10">
        <v>5.8020000000000002E-2</v>
      </c>
      <c r="AG601" s="10">
        <v>0.2823</v>
      </c>
      <c r="AH601">
        <v>6.794E-2</v>
      </c>
    </row>
    <row r="602" spans="3:34">
      <c r="C602" s="11" t="s">
        <v>563</v>
      </c>
      <c r="D602" s="10" t="s">
        <v>1</v>
      </c>
      <c r="E602" s="10">
        <v>13.71</v>
      </c>
      <c r="F602" s="10">
        <v>19.1299999999999</v>
      </c>
      <c r="G602" s="10">
        <v>89.459999999999894</v>
      </c>
      <c r="H602" s="10">
        <v>575.29999999999905</v>
      </c>
      <c r="I602" s="10">
        <v>9.0569999999999901E-2</v>
      </c>
      <c r="J602" s="10">
        <v>0.1147</v>
      </c>
      <c r="K602" s="10">
        <v>9.6570000000000003E-2</v>
      </c>
      <c r="L602" s="10">
        <v>4.8120000000000003E-2</v>
      </c>
      <c r="M602" s="10">
        <v>0.18479999999999899</v>
      </c>
      <c r="N602" s="10">
        <v>6.18099999999999E-2</v>
      </c>
      <c r="O602" s="10">
        <v>0.22439999999999899</v>
      </c>
      <c r="P602" s="10">
        <v>0.89500000000000002</v>
      </c>
      <c r="Q602" s="10">
        <v>1.804</v>
      </c>
      <c r="R602" s="10">
        <v>19.3599999999999</v>
      </c>
      <c r="S602" s="10">
        <v>3.98E-3</v>
      </c>
      <c r="T602" s="10">
        <v>2.809E-2</v>
      </c>
      <c r="U602" s="10">
        <v>3.669E-2</v>
      </c>
      <c r="V602" s="10">
        <v>1.274E-2</v>
      </c>
      <c r="W602" s="10">
        <v>1.5810000000000001E-2</v>
      </c>
      <c r="X602" s="10">
        <v>3.9560000000000003E-3</v>
      </c>
      <c r="Y602" s="10">
        <v>15.14</v>
      </c>
      <c r="Z602" s="10">
        <v>25.5</v>
      </c>
      <c r="AA602" s="10">
        <v>101.4</v>
      </c>
      <c r="AB602" s="10">
        <v>708.79999999999905</v>
      </c>
      <c r="AC602" s="10">
        <v>0.1147</v>
      </c>
      <c r="AD602" s="10">
        <v>0.31669999999999898</v>
      </c>
      <c r="AE602" s="10">
        <v>0.36599999999999899</v>
      </c>
      <c r="AF602" s="10">
        <v>0.14069999999999899</v>
      </c>
      <c r="AG602" s="10">
        <v>0.27439999999999898</v>
      </c>
      <c r="AH602">
        <v>8.8389999999999899E-2</v>
      </c>
    </row>
    <row r="603" spans="3:34">
      <c r="C603" s="11" t="s">
        <v>288</v>
      </c>
      <c r="D603" s="10" t="s">
        <v>1</v>
      </c>
      <c r="E603" s="10">
        <v>13.71</v>
      </c>
      <c r="F603" s="10">
        <v>15.18</v>
      </c>
      <c r="G603" s="10">
        <v>93.969999999999899</v>
      </c>
      <c r="H603" s="10">
        <v>640.1</v>
      </c>
      <c r="I603" s="10">
        <v>9.96999999999999E-2</v>
      </c>
      <c r="J603" s="10">
        <v>0.1021</v>
      </c>
      <c r="K603" s="10">
        <v>8.4870000000000001E-2</v>
      </c>
      <c r="L603" s="10">
        <v>5.5320000000000001E-2</v>
      </c>
      <c r="M603" s="10">
        <v>0.1724</v>
      </c>
      <c r="N603" s="10">
        <v>6.0810000000000003E-2</v>
      </c>
      <c r="O603" s="10">
        <v>0.24060000000000001</v>
      </c>
      <c r="P603" s="10">
        <v>0.73939999999999895</v>
      </c>
      <c r="Q603" s="10">
        <v>2.12</v>
      </c>
      <c r="R603" s="10">
        <v>21.1999999999999</v>
      </c>
      <c r="S603" s="10">
        <v>5.7060000000000001E-3</v>
      </c>
      <c r="T603" s="10">
        <v>2.2970000000000001E-2</v>
      </c>
      <c r="U603" s="10">
        <v>3.1140000000000001E-2</v>
      </c>
      <c r="V603" s="10">
        <v>1.4930000000000001E-2</v>
      </c>
      <c r="W603" s="10">
        <v>1.4540000000000001E-2</v>
      </c>
      <c r="X603" s="10">
        <v>2.5279999999999899E-3</v>
      </c>
      <c r="Y603" s="10">
        <v>15.85</v>
      </c>
      <c r="Z603" s="10">
        <v>19.850000000000001</v>
      </c>
      <c r="AA603" s="10">
        <v>108.599999999999</v>
      </c>
      <c r="AB603" s="10">
        <v>766.89999999999895</v>
      </c>
      <c r="AC603" s="10">
        <v>0.131599999999999</v>
      </c>
      <c r="AD603" s="10">
        <v>0.27350000000000002</v>
      </c>
      <c r="AE603" s="10">
        <v>0.31030000000000002</v>
      </c>
      <c r="AF603" s="10">
        <v>0.15989999999999899</v>
      </c>
      <c r="AG603" s="10">
        <v>0.26910000000000001</v>
      </c>
      <c r="AH603">
        <v>7.6829999999999898E-2</v>
      </c>
    </row>
    <row r="604" spans="3:34">
      <c r="C604" s="11" t="s">
        <v>545</v>
      </c>
      <c r="D604" s="10" t="s">
        <v>1</v>
      </c>
      <c r="E604" s="10">
        <v>13.71</v>
      </c>
      <c r="F604" s="10">
        <v>18.59</v>
      </c>
      <c r="G604" s="10">
        <v>70.39</v>
      </c>
      <c r="H604" s="10">
        <v>370</v>
      </c>
      <c r="I604" s="10">
        <v>0.1004</v>
      </c>
      <c r="J604" s="10">
        <v>7.46E-2</v>
      </c>
      <c r="K604" s="10">
        <v>4.9439999999999901E-2</v>
      </c>
      <c r="L604" s="10">
        <v>2.9319999999999902E-2</v>
      </c>
      <c r="M604" s="10">
        <v>0.14860000000000001</v>
      </c>
      <c r="N604" s="10">
        <v>6.615E-2</v>
      </c>
      <c r="O604" s="10">
        <v>0.37959999999999899</v>
      </c>
      <c r="P604" s="10">
        <v>1.7430000000000001</v>
      </c>
      <c r="Q604" s="10">
        <v>3.01799999999999</v>
      </c>
      <c r="R604" s="10">
        <v>25.78</v>
      </c>
      <c r="S604" s="10">
        <v>9.5189999999999893E-3</v>
      </c>
      <c r="T604" s="10">
        <v>2.1340000000000001E-2</v>
      </c>
      <c r="U604" s="10">
        <v>1.9900000000000001E-2</v>
      </c>
      <c r="V604" s="10">
        <v>1.155E-2</v>
      </c>
      <c r="W604" s="10">
        <v>2.0789999999999899E-2</v>
      </c>
      <c r="X604" s="10">
        <v>2.7009999999999899E-3</v>
      </c>
      <c r="Y604" s="10">
        <v>12.4</v>
      </c>
      <c r="Z604" s="10">
        <v>25.579999999999899</v>
      </c>
      <c r="AA604" s="10">
        <v>82.76</v>
      </c>
      <c r="AB604" s="10">
        <v>472.39999999999901</v>
      </c>
      <c r="AC604" s="10">
        <v>0.1363</v>
      </c>
      <c r="AD604" s="10">
        <v>0.16439999999999899</v>
      </c>
      <c r="AE604" s="10">
        <v>0.14119999999999899</v>
      </c>
      <c r="AF604" s="10">
        <v>7.8869999999999899E-2</v>
      </c>
      <c r="AG604" s="10">
        <v>0.225099999999999</v>
      </c>
      <c r="AH604">
        <v>7.732E-2</v>
      </c>
    </row>
    <row r="605" spans="3:34">
      <c r="C605" s="11" t="s">
        <v>449</v>
      </c>
      <c r="D605" s="10" t="s">
        <v>1</v>
      </c>
      <c r="E605" s="10">
        <v>13.71</v>
      </c>
      <c r="F605" s="10">
        <v>13.84</v>
      </c>
      <c r="G605" s="10">
        <v>82.709999999999894</v>
      </c>
      <c r="H605" s="10">
        <v>530.6</v>
      </c>
      <c r="I605" s="10">
        <v>8.35199999999999E-2</v>
      </c>
      <c r="J605" s="10">
        <v>3.7350000000000001E-2</v>
      </c>
      <c r="K605" s="10">
        <v>4.5589999999999901E-3</v>
      </c>
      <c r="L605" s="10">
        <v>8.829E-3</v>
      </c>
      <c r="M605" s="10">
        <v>0.14530000000000001</v>
      </c>
      <c r="N605" s="10">
        <v>5.518E-2</v>
      </c>
      <c r="O605" s="10">
        <v>0.39750000000000002</v>
      </c>
      <c r="P605" s="10">
        <v>0.82850000000000001</v>
      </c>
      <c r="Q605" s="10">
        <v>2.5670000000000002</v>
      </c>
      <c r="R605" s="10">
        <v>33.009999999999899</v>
      </c>
      <c r="S605" s="10">
        <v>4.1479999999999902E-3</v>
      </c>
      <c r="T605" s="10">
        <v>4.7109999999999904E-3</v>
      </c>
      <c r="U605" s="10">
        <v>2.8310000000000002E-3</v>
      </c>
      <c r="V605" s="10">
        <v>4.8209999999999902E-3</v>
      </c>
      <c r="W605" s="10">
        <v>1.422E-2</v>
      </c>
      <c r="X605" s="10">
        <v>2.2729999999999899E-3</v>
      </c>
      <c r="Y605" s="10">
        <v>14.73</v>
      </c>
      <c r="Z605" s="10">
        <v>17.399999999999899</v>
      </c>
      <c r="AA605" s="10">
        <v>93.959999999999894</v>
      </c>
      <c r="AB605" s="10">
        <v>672.39999999999895</v>
      </c>
      <c r="AC605" s="10">
        <v>0.1016</v>
      </c>
      <c r="AD605" s="10">
        <v>5.8470000000000001E-2</v>
      </c>
      <c r="AE605" s="10">
        <v>1.8239999999999899E-2</v>
      </c>
      <c r="AF605" s="10">
        <v>3.53199999999999E-2</v>
      </c>
      <c r="AG605" s="10">
        <v>0.2107</v>
      </c>
      <c r="AH605">
        <v>6.57999999999999E-2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AJ18"/>
    <mergeCell ref="C19:E19"/>
    <mergeCell ref="C20:E20"/>
    <mergeCell ref="F19:AJ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1'!$B$10:$B$10" display="Inputs" xr:uid="{CD0BC6D8-342D-4B54-BB69-03AD17A4DA52}"/>
    <hyperlink ref="D4" location="'STDPartition1'!$B$28:$B$28" display="Partition Summary" xr:uid="{1CFFFF60-A91D-4074-8122-CED48D5ED786}"/>
    <hyperlink ref="F4" location="'STDPartition1'!$B$34:$B$34" display="Partitioned Data" xr:uid="{11786D85-DC27-4AAB-A94A-409D45C1BE04}"/>
  </hyperlink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EE4BB-3C2E-477D-9F6C-C14A49985E1C}">
  <dimension ref="B1:CV64"/>
  <sheetViews>
    <sheetView showGridLines="0" topLeftCell="A12" workbookViewId="0"/>
  </sheetViews>
  <sheetFormatPr defaultRowHeight="14.4"/>
  <cols>
    <col min="14" max="14" width="29.109375" bestFit="1" customWidth="1"/>
  </cols>
  <sheetData>
    <row r="1" spans="2:100" ht="18">
      <c r="B1" s="8" t="s">
        <v>1178</v>
      </c>
      <c r="N1" t="s">
        <v>1997</v>
      </c>
      <c r="CV1" s="15" t="s">
        <v>2428</v>
      </c>
    </row>
    <row r="3" spans="2:100" ht="15.6">
      <c r="B3" s="17" t="s">
        <v>80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103</v>
      </c>
      <c r="O3" s="18"/>
      <c r="P3" s="18"/>
      <c r="Q3" s="19"/>
    </row>
    <row r="4" spans="2:100">
      <c r="B4" s="25" t="s">
        <v>81</v>
      </c>
      <c r="C4" s="26"/>
      <c r="D4" s="25" t="s">
        <v>729</v>
      </c>
      <c r="E4" s="26"/>
      <c r="F4" s="25" t="s">
        <v>1120</v>
      </c>
      <c r="G4" s="26"/>
      <c r="H4" s="25" t="s">
        <v>1121</v>
      </c>
      <c r="I4" s="26"/>
      <c r="J4" s="25" t="s">
        <v>1122</v>
      </c>
      <c r="K4" s="2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00">
      <c r="N5" s="12">
        <v>548</v>
      </c>
      <c r="O5" s="12">
        <v>54</v>
      </c>
      <c r="P5" s="12">
        <v>17</v>
      </c>
      <c r="Q5" s="12">
        <v>619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  <c r="J12" s="22"/>
      <c r="K12" s="22"/>
    </row>
    <row r="13" spans="2:100">
      <c r="C13" s="20" t="s">
        <v>84</v>
      </c>
      <c r="D13" s="20"/>
      <c r="E13" s="20"/>
      <c r="F13" s="21"/>
      <c r="G13" s="23" t="s">
        <v>98</v>
      </c>
      <c r="H13" s="23"/>
      <c r="I13" s="23"/>
      <c r="J13" s="23"/>
      <c r="K13" s="23"/>
    </row>
    <row r="14" spans="2:100">
      <c r="C14" s="20" t="s">
        <v>85</v>
      </c>
      <c r="D14" s="20"/>
      <c r="E14" s="20"/>
      <c r="F14" s="21"/>
      <c r="G14" s="23" t="s">
        <v>1230</v>
      </c>
      <c r="H14" s="23"/>
      <c r="I14" s="23"/>
      <c r="J14" s="23"/>
      <c r="K14" s="23"/>
    </row>
    <row r="15" spans="2:100">
      <c r="C15" s="20" t="s">
        <v>1179</v>
      </c>
      <c r="D15" s="20"/>
      <c r="E15" s="20"/>
      <c r="F15" s="21"/>
      <c r="G15" s="23" t="s">
        <v>1231</v>
      </c>
      <c r="H15" s="23"/>
      <c r="I15" s="23"/>
      <c r="J15" s="23"/>
      <c r="K15" s="23"/>
    </row>
    <row r="16" spans="2:100">
      <c r="C16" s="20" t="s">
        <v>1180</v>
      </c>
      <c r="D16" s="20"/>
      <c r="E16" s="20"/>
      <c r="F16" s="21"/>
      <c r="G16" s="23">
        <v>455</v>
      </c>
      <c r="H16" s="23"/>
      <c r="I16" s="23"/>
      <c r="J16" s="23"/>
      <c r="K16" s="23"/>
    </row>
    <row r="17" spans="3:34">
      <c r="C17" s="20" t="s">
        <v>1181</v>
      </c>
      <c r="D17" s="20"/>
      <c r="E17" s="20"/>
      <c r="F17" s="21"/>
      <c r="G17" s="23" t="s">
        <v>1232</v>
      </c>
      <c r="H17" s="23"/>
      <c r="I17" s="23"/>
      <c r="J17" s="23"/>
      <c r="K17" s="23"/>
    </row>
    <row r="18" spans="3:34">
      <c r="C18" s="20" t="s">
        <v>1182</v>
      </c>
      <c r="D18" s="20"/>
      <c r="E18" s="20"/>
      <c r="F18" s="21"/>
      <c r="G18" s="23">
        <v>114</v>
      </c>
      <c r="H18" s="23"/>
      <c r="I18" s="23"/>
      <c r="J18" s="23"/>
      <c r="K18" s="23"/>
    </row>
    <row r="20" spans="3:34" ht="15.6">
      <c r="C20" s="22" t="s">
        <v>88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3:34">
      <c r="C21" s="20" t="s">
        <v>1183</v>
      </c>
      <c r="D21" s="21"/>
      <c r="E21" s="23">
        <v>30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3:34">
      <c r="C22" s="20" t="s">
        <v>1184</v>
      </c>
      <c r="D22" s="21"/>
      <c r="E22" s="12" t="s">
        <v>110</v>
      </c>
      <c r="F22" s="12" t="s">
        <v>111</v>
      </c>
      <c r="G22" s="12" t="s">
        <v>112</v>
      </c>
      <c r="H22" s="12" t="s">
        <v>113</v>
      </c>
      <c r="I22" s="12" t="s">
        <v>114</v>
      </c>
      <c r="J22" s="12" t="s">
        <v>115</v>
      </c>
      <c r="K22" s="12" t="s">
        <v>116</v>
      </c>
      <c r="L22" s="12" t="s">
        <v>117</v>
      </c>
      <c r="M22" s="12" t="s">
        <v>118</v>
      </c>
      <c r="N22" s="12" t="s">
        <v>119</v>
      </c>
      <c r="O22" s="12" t="s">
        <v>120</v>
      </c>
      <c r="P22" s="12" t="s">
        <v>121</v>
      </c>
      <c r="Q22" s="12" t="s">
        <v>122</v>
      </c>
      <c r="R22" s="12" t="s">
        <v>123</v>
      </c>
      <c r="S22" s="12" t="s">
        <v>124</v>
      </c>
      <c r="T22" s="12" t="s">
        <v>125</v>
      </c>
      <c r="U22" s="12" t="s">
        <v>126</v>
      </c>
      <c r="V22" s="12" t="s">
        <v>127</v>
      </c>
      <c r="W22" s="12" t="s">
        <v>128</v>
      </c>
      <c r="X22" s="12" t="s">
        <v>129</v>
      </c>
      <c r="Y22" s="12" t="s">
        <v>130</v>
      </c>
      <c r="Z22" s="12" t="s">
        <v>131</v>
      </c>
      <c r="AA22" s="12" t="s">
        <v>132</v>
      </c>
      <c r="AB22" s="12" t="s">
        <v>133</v>
      </c>
      <c r="AC22" s="12" t="s">
        <v>134</v>
      </c>
      <c r="AD22" s="12" t="s">
        <v>135</v>
      </c>
      <c r="AE22" s="12" t="s">
        <v>136</v>
      </c>
      <c r="AF22" s="12" t="s">
        <v>137</v>
      </c>
      <c r="AG22" s="12" t="s">
        <v>138</v>
      </c>
      <c r="AH22" s="12" t="s">
        <v>139</v>
      </c>
    </row>
    <row r="23" spans="3:34">
      <c r="C23" s="20" t="s">
        <v>1185</v>
      </c>
      <c r="D23" s="2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3:34">
      <c r="C24" s="20" t="s">
        <v>1186</v>
      </c>
      <c r="D24" s="21"/>
      <c r="E24" s="24" t="s">
        <v>718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6" spans="3:34" ht="15.6">
      <c r="C26" s="22" t="s">
        <v>1187</v>
      </c>
      <c r="D26" s="22"/>
      <c r="E26" s="22"/>
      <c r="F26" s="22"/>
      <c r="G26" s="22"/>
      <c r="H26" s="22"/>
      <c r="I26" s="22"/>
    </row>
    <row r="27" spans="3:34">
      <c r="C27" s="20" t="s">
        <v>1188</v>
      </c>
      <c r="D27" s="20"/>
      <c r="E27" s="21"/>
      <c r="F27" s="23" t="b">
        <v>1</v>
      </c>
      <c r="G27" s="23"/>
      <c r="H27" s="23"/>
      <c r="I27" s="23"/>
    </row>
    <row r="28" spans="3:34">
      <c r="C28" s="20" t="s">
        <v>1189</v>
      </c>
      <c r="D28" s="20"/>
      <c r="E28" s="21"/>
      <c r="F28" s="23" t="s">
        <v>1193</v>
      </c>
      <c r="G28" s="23"/>
      <c r="H28" s="23"/>
      <c r="I28" s="23"/>
    </row>
    <row r="30" spans="3:34" ht="15.6">
      <c r="C30" s="17" t="s">
        <v>1190</v>
      </c>
      <c r="D30" s="18"/>
      <c r="E30" s="18"/>
      <c r="F30" s="18"/>
      <c r="G30" s="18"/>
      <c r="H30" s="18"/>
      <c r="I30" s="19"/>
    </row>
    <row r="31" spans="3:34">
      <c r="C31" s="21" t="s">
        <v>1191</v>
      </c>
      <c r="D31" s="30"/>
      <c r="E31" s="31"/>
      <c r="F31" s="32">
        <v>12345</v>
      </c>
      <c r="G31" s="33"/>
      <c r="H31" s="33"/>
      <c r="I31" s="34"/>
    </row>
    <row r="32" spans="3:34">
      <c r="C32" s="21" t="s">
        <v>1192</v>
      </c>
      <c r="D32" s="30"/>
      <c r="E32" s="31"/>
      <c r="F32" s="32">
        <v>1</v>
      </c>
      <c r="G32" s="33"/>
      <c r="H32" s="33"/>
      <c r="I32" s="34"/>
    </row>
    <row r="33" spans="3:9">
      <c r="C33" s="21" t="s">
        <v>1198</v>
      </c>
      <c r="D33" s="30"/>
      <c r="E33" s="31"/>
      <c r="F33" s="32">
        <v>11</v>
      </c>
      <c r="G33" s="33"/>
      <c r="H33" s="33"/>
      <c r="I33" s="34"/>
    </row>
    <row r="34" spans="3:9">
      <c r="C34" s="21" t="s">
        <v>1199</v>
      </c>
      <c r="D34" s="30"/>
      <c r="E34" s="31"/>
      <c r="F34" s="32">
        <v>0.1</v>
      </c>
      <c r="G34" s="33"/>
      <c r="H34" s="33"/>
      <c r="I34" s="34"/>
    </row>
    <row r="35" spans="3:9">
      <c r="C35" s="21" t="s">
        <v>1200</v>
      </c>
      <c r="D35" s="30"/>
      <c r="E35" s="31"/>
      <c r="F35" s="32">
        <v>0.6</v>
      </c>
      <c r="G35" s="33"/>
      <c r="H35" s="33"/>
      <c r="I35" s="34"/>
    </row>
    <row r="36" spans="3:9">
      <c r="C36" s="21" t="s">
        <v>1201</v>
      </c>
      <c r="D36" s="30"/>
      <c r="E36" s="31"/>
      <c r="F36" s="32">
        <v>0.01</v>
      </c>
      <c r="G36" s="33"/>
      <c r="H36" s="33"/>
      <c r="I36" s="34"/>
    </row>
    <row r="37" spans="3:9">
      <c r="C37" s="21" t="s">
        <v>1202</v>
      </c>
      <c r="D37" s="30"/>
      <c r="E37" s="31"/>
      <c r="F37" s="32">
        <v>0</v>
      </c>
      <c r="G37" s="33"/>
      <c r="H37" s="33"/>
      <c r="I37" s="34"/>
    </row>
    <row r="38" spans="3:9">
      <c r="C38" s="21" t="s">
        <v>1203</v>
      </c>
      <c r="D38" s="30"/>
      <c r="E38" s="31"/>
      <c r="F38" s="32" t="s">
        <v>1224</v>
      </c>
      <c r="G38" s="33"/>
      <c r="H38" s="33"/>
      <c r="I38" s="34"/>
    </row>
    <row r="39" spans="3:9">
      <c r="C39" s="21" t="s">
        <v>1204</v>
      </c>
      <c r="D39" s="30"/>
      <c r="E39" s="31"/>
      <c r="F39" s="32" t="s">
        <v>1225</v>
      </c>
      <c r="G39" s="33"/>
      <c r="H39" s="33"/>
      <c r="I39" s="34"/>
    </row>
    <row r="40" spans="3:9">
      <c r="C40" s="21" t="s">
        <v>1205</v>
      </c>
      <c r="D40" s="30"/>
      <c r="E40" s="31"/>
      <c r="F40" s="32" t="s">
        <v>1225</v>
      </c>
      <c r="G40" s="33"/>
      <c r="H40" s="33"/>
      <c r="I40" s="34"/>
    </row>
    <row r="41" spans="3:9">
      <c r="C41" s="21" t="s">
        <v>1206</v>
      </c>
      <c r="D41" s="30"/>
      <c r="E41" s="31"/>
      <c r="F41" s="32" t="s">
        <v>1226</v>
      </c>
      <c r="G41" s="33"/>
      <c r="H41" s="33"/>
      <c r="I41" s="34"/>
    </row>
    <row r="42" spans="3:9">
      <c r="C42" s="21" t="s">
        <v>1207</v>
      </c>
      <c r="D42" s="30"/>
      <c r="E42" s="31"/>
      <c r="F42" s="32">
        <v>0.01</v>
      </c>
      <c r="G42" s="33"/>
      <c r="H42" s="33"/>
      <c r="I42" s="34"/>
    </row>
    <row r="43" spans="3:9">
      <c r="C43" s="21" t="s">
        <v>1208</v>
      </c>
      <c r="D43" s="30"/>
      <c r="E43" s="31"/>
      <c r="F43" s="32" t="s">
        <v>1227</v>
      </c>
      <c r="G43" s="33"/>
      <c r="H43" s="33"/>
      <c r="I43" s="34"/>
    </row>
    <row r="44" spans="3:9">
      <c r="C44" s="21" t="s">
        <v>1209</v>
      </c>
      <c r="D44" s="30"/>
      <c r="E44" s="31"/>
      <c r="F44" s="32">
        <v>25</v>
      </c>
      <c r="G44" s="33"/>
      <c r="H44" s="33"/>
      <c r="I44" s="34"/>
    </row>
    <row r="45" spans="3:9">
      <c r="C45" s="21" t="s">
        <v>1210</v>
      </c>
      <c r="D45" s="30"/>
      <c r="E45" s="31"/>
      <c r="F45" s="32">
        <v>5</v>
      </c>
      <c r="G45" s="33"/>
      <c r="H45" s="33"/>
      <c r="I45" s="34"/>
    </row>
    <row r="46" spans="3:9">
      <c r="C46" s="21" t="s">
        <v>1211</v>
      </c>
      <c r="D46" s="30"/>
      <c r="E46" s="31"/>
      <c r="F46" s="32">
        <v>3600</v>
      </c>
      <c r="G46" s="33"/>
      <c r="H46" s="33"/>
      <c r="I46" s="34"/>
    </row>
    <row r="47" spans="3:9">
      <c r="C47" s="21" t="s">
        <v>1212</v>
      </c>
      <c r="D47" s="30"/>
      <c r="E47" s="31"/>
      <c r="F47" s="32">
        <v>1E-4</v>
      </c>
      <c r="G47" s="33"/>
      <c r="H47" s="33"/>
      <c r="I47" s="34"/>
    </row>
    <row r="48" spans="3:9">
      <c r="C48" s="21" t="s">
        <v>1213</v>
      </c>
      <c r="D48" s="30"/>
      <c r="E48" s="31"/>
      <c r="F48" s="32">
        <v>1E-3</v>
      </c>
      <c r="G48" s="33"/>
      <c r="H48" s="33"/>
      <c r="I48" s="34"/>
    </row>
    <row r="50" spans="3:9" ht="15.6">
      <c r="C50" s="17" t="s">
        <v>1214</v>
      </c>
      <c r="D50" s="18"/>
      <c r="E50" s="18"/>
      <c r="F50" s="18"/>
      <c r="G50" s="18"/>
      <c r="H50" s="18"/>
      <c r="I50" s="19"/>
    </row>
    <row r="51" spans="3:9">
      <c r="C51" s="21" t="s">
        <v>1215</v>
      </c>
      <c r="D51" s="30"/>
      <c r="E51" s="31"/>
      <c r="F51" s="32" t="s">
        <v>1228</v>
      </c>
      <c r="G51" s="33"/>
      <c r="H51" s="33"/>
      <c r="I51" s="34"/>
    </row>
    <row r="53" spans="3:9" ht="15.6">
      <c r="C53" s="17" t="s">
        <v>1216</v>
      </c>
      <c r="D53" s="18"/>
      <c r="E53" s="18"/>
      <c r="F53" s="18"/>
      <c r="G53" s="18"/>
      <c r="H53" s="18"/>
      <c r="I53" s="19"/>
    </row>
    <row r="54" spans="3:9">
      <c r="C54" s="21" t="s">
        <v>1217</v>
      </c>
      <c r="D54" s="30"/>
      <c r="E54" s="31"/>
      <c r="F54" s="32">
        <v>2</v>
      </c>
      <c r="G54" s="33"/>
      <c r="H54" s="33"/>
      <c r="I54" s="34"/>
    </row>
    <row r="55" spans="3:9">
      <c r="C55" s="21" t="s">
        <v>1136</v>
      </c>
      <c r="D55" s="30"/>
      <c r="E55" s="31"/>
      <c r="F55" s="32" t="s">
        <v>0</v>
      </c>
      <c r="G55" s="33"/>
      <c r="H55" s="33"/>
      <c r="I55" s="34"/>
    </row>
    <row r="56" spans="3:9">
      <c r="C56" s="21" t="s">
        <v>1137</v>
      </c>
      <c r="D56" s="30"/>
      <c r="E56" s="31"/>
      <c r="F56" s="32">
        <v>0.5</v>
      </c>
      <c r="G56" s="33"/>
      <c r="H56" s="33"/>
      <c r="I56" s="34"/>
    </row>
    <row r="58" spans="3:9" ht="15.6">
      <c r="C58" s="17" t="s">
        <v>1218</v>
      </c>
      <c r="D58" s="18"/>
      <c r="E58" s="18"/>
      <c r="F58" s="18"/>
      <c r="G58" s="18"/>
      <c r="H58" s="18"/>
      <c r="I58" s="19"/>
    </row>
    <row r="59" spans="3:9">
      <c r="C59" s="21" t="s">
        <v>1219</v>
      </c>
      <c r="D59" s="30"/>
      <c r="E59" s="31"/>
      <c r="F59" s="32" t="b">
        <v>0</v>
      </c>
      <c r="G59" s="33"/>
      <c r="H59" s="33"/>
      <c r="I59" s="34"/>
    </row>
    <row r="60" spans="3:9">
      <c r="C60" s="21" t="s">
        <v>1220</v>
      </c>
      <c r="D60" s="30"/>
      <c r="E60" s="31"/>
      <c r="F60" s="32" t="b">
        <v>0</v>
      </c>
      <c r="G60" s="33"/>
      <c r="H60" s="33"/>
      <c r="I60" s="34"/>
    </row>
    <row r="62" spans="3:9" ht="15.6">
      <c r="C62" s="17" t="s">
        <v>1221</v>
      </c>
      <c r="D62" s="18"/>
      <c r="E62" s="18"/>
      <c r="F62" s="18"/>
      <c r="G62" s="19"/>
    </row>
    <row r="63" spans="3:9">
      <c r="C63" s="27" t="s">
        <v>1222</v>
      </c>
      <c r="D63" s="28"/>
      <c r="E63" s="28"/>
      <c r="F63" s="28"/>
      <c r="G63" s="29"/>
    </row>
    <row r="64" spans="3:9">
      <c r="C64" s="27" t="s">
        <v>1223</v>
      </c>
      <c r="D64" s="28"/>
      <c r="E64" s="28"/>
      <c r="F64" s="28"/>
      <c r="G64" s="29"/>
    </row>
  </sheetData>
  <mergeCells count="87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30:I30"/>
    <mergeCell ref="C20:AH20"/>
    <mergeCell ref="C21:D21"/>
    <mergeCell ref="C22:D22"/>
    <mergeCell ref="C23:D23"/>
    <mergeCell ref="C24:D24"/>
    <mergeCell ref="E21:AH21"/>
    <mergeCell ref="E24:AH24"/>
    <mergeCell ref="C26:I26"/>
    <mergeCell ref="C27:E27"/>
    <mergeCell ref="C28:E28"/>
    <mergeCell ref="F27:I27"/>
    <mergeCell ref="F28:I28"/>
    <mergeCell ref="C31:E31"/>
    <mergeCell ref="C32:E32"/>
    <mergeCell ref="C33:E33"/>
    <mergeCell ref="C34:E34"/>
    <mergeCell ref="C35:E35"/>
    <mergeCell ref="C47:E47"/>
    <mergeCell ref="C48:E48"/>
    <mergeCell ref="C37:E37"/>
    <mergeCell ref="C38:E38"/>
    <mergeCell ref="C39:E39"/>
    <mergeCell ref="C40:E40"/>
    <mergeCell ref="C41:E41"/>
    <mergeCell ref="C42:E42"/>
    <mergeCell ref="F36:I36"/>
    <mergeCell ref="C43:E43"/>
    <mergeCell ref="C44:E44"/>
    <mergeCell ref="C45:E45"/>
    <mergeCell ref="C46:E46"/>
    <mergeCell ref="C36:E36"/>
    <mergeCell ref="F31:I31"/>
    <mergeCell ref="F32:I32"/>
    <mergeCell ref="F33:I33"/>
    <mergeCell ref="F34:I34"/>
    <mergeCell ref="F35:I35"/>
    <mergeCell ref="F48:I48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C50:I50"/>
    <mergeCell ref="C51:E51"/>
    <mergeCell ref="F51:I51"/>
    <mergeCell ref="C53:I53"/>
    <mergeCell ref="C54:E54"/>
    <mergeCell ref="C64:G64"/>
    <mergeCell ref="C56:E56"/>
    <mergeCell ref="F54:I54"/>
    <mergeCell ref="F55:I55"/>
    <mergeCell ref="F56:I56"/>
    <mergeCell ref="C58:I58"/>
    <mergeCell ref="C59:E59"/>
    <mergeCell ref="C55:E55"/>
    <mergeCell ref="C60:E60"/>
    <mergeCell ref="F59:I59"/>
    <mergeCell ref="F60:I60"/>
    <mergeCell ref="C62:G62"/>
    <mergeCell ref="C63:G63"/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3'!$B$10:$B$10" display="Inputs" xr:uid="{FBFC1D27-0039-4DFD-B2D8-AC90AA590A5C}"/>
    <hyperlink ref="D4" location="'NNC_Stored3'!$B$10:$B$10" display="PMML Model" xr:uid="{60C4C3E7-76E7-4F73-9391-63A1D45B9D3A}"/>
    <hyperlink ref="F4" location="'NNC_TrainLog3'!$B$10:$B$10" display="Training Log" xr:uid="{5C4051A2-A891-4DBB-B5BF-E342437205C9}"/>
    <hyperlink ref="H4" location="'NNC_TrainingScore3'!$B$10:$B$10" display="Training: Classification Summary" xr:uid="{84E3B505-E46C-484A-8620-87DBED79D216}"/>
    <hyperlink ref="J4" location="'NNC_ValidationScore3'!$B$10:$B$10" display="Validation: Classification Summary" xr:uid="{9852E54A-C20F-4692-8E1F-5AB501E9A8DA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35D4-36F6-499C-801F-7936C99698CF}">
  <dimension ref="B1:Q37"/>
  <sheetViews>
    <sheetView showGridLines="0" workbookViewId="0"/>
  </sheetViews>
  <sheetFormatPr defaultRowHeight="14.4"/>
  <cols>
    <col min="4" max="4" width="37.33203125" customWidth="1"/>
    <col min="5" max="5" width="34.5546875" customWidth="1"/>
    <col min="14" max="14" width="24.44140625" bestFit="1" customWidth="1"/>
  </cols>
  <sheetData>
    <row r="1" spans="2:17" ht="18">
      <c r="B1" s="8" t="s">
        <v>1144</v>
      </c>
      <c r="N1" t="s">
        <v>1997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548</v>
      </c>
      <c r="O5" s="12">
        <v>54</v>
      </c>
      <c r="P5" s="12">
        <v>17</v>
      </c>
      <c r="Q5" s="12">
        <v>619</v>
      </c>
    </row>
    <row r="10" spans="2:17" ht="18">
      <c r="B10" s="9" t="s">
        <v>1120</v>
      </c>
    </row>
    <row r="12" spans="2:17">
      <c r="C12" s="11" t="s">
        <v>1145</v>
      </c>
      <c r="D12" t="s">
        <v>1146</v>
      </c>
      <c r="E12" t="s">
        <v>1147</v>
      </c>
    </row>
    <row r="13" spans="2:17">
      <c r="C13" s="11" t="s">
        <v>1148</v>
      </c>
      <c r="D13" s="10">
        <v>0.38426598717720378</v>
      </c>
      <c r="E13">
        <v>0.1912087912087912</v>
      </c>
    </row>
    <row r="14" spans="2:17">
      <c r="C14" s="11" t="s">
        <v>1149</v>
      </c>
      <c r="D14" s="10">
        <v>0.31856412887083657</v>
      </c>
      <c r="E14">
        <v>0.14725274725274726</v>
      </c>
    </row>
    <row r="15" spans="2:17">
      <c r="C15" s="11" t="s">
        <v>1150</v>
      </c>
      <c r="D15" s="10">
        <v>0.26793002683525557</v>
      </c>
      <c r="E15">
        <v>0.10989010989010987</v>
      </c>
    </row>
    <row r="16" spans="2:17">
      <c r="C16" s="11" t="s">
        <v>1151</v>
      </c>
      <c r="D16" s="10">
        <v>0.23288949401224601</v>
      </c>
      <c r="E16">
        <v>8.5714285714285715E-2</v>
      </c>
    </row>
    <row r="17" spans="3:5">
      <c r="C17" s="11" t="s">
        <v>1152</v>
      </c>
      <c r="D17" s="10">
        <v>0.20771835282028439</v>
      </c>
      <c r="E17">
        <v>8.1318681318681321E-2</v>
      </c>
    </row>
    <row r="18" spans="3:5">
      <c r="C18" s="11" t="s">
        <v>1153</v>
      </c>
      <c r="D18" s="10">
        <v>0.18793015940381039</v>
      </c>
      <c r="E18">
        <v>7.032967032967033E-2</v>
      </c>
    </row>
    <row r="19" spans="3:5">
      <c r="C19" s="11" t="s">
        <v>1154</v>
      </c>
      <c r="D19" s="10">
        <v>0.17115494029514031</v>
      </c>
      <c r="E19">
        <v>6.1538461538461542E-2</v>
      </c>
    </row>
    <row r="20" spans="3:5">
      <c r="C20" s="11" t="s">
        <v>1155</v>
      </c>
      <c r="D20" s="10">
        <v>0.15640398337717906</v>
      </c>
      <c r="E20">
        <v>6.1538461538461542E-2</v>
      </c>
    </row>
    <row r="21" spans="3:5">
      <c r="C21" s="11" t="s">
        <v>1156</v>
      </c>
      <c r="D21" s="10">
        <v>0.14338630115370482</v>
      </c>
      <c r="E21">
        <v>6.1538461538461542E-2</v>
      </c>
    </row>
    <row r="22" spans="3:5">
      <c r="C22" s="11" t="s">
        <v>1157</v>
      </c>
      <c r="D22" s="10">
        <v>0.13208416682133628</v>
      </c>
      <c r="E22">
        <v>5.9340659340659338E-2</v>
      </c>
    </row>
    <row r="23" spans="3:5">
      <c r="C23" s="11" t="s">
        <v>1158</v>
      </c>
      <c r="D23" s="10">
        <v>0.12251018242935265</v>
      </c>
      <c r="E23">
        <v>5.9340659340659338E-2</v>
      </c>
    </row>
    <row r="24" spans="3:5">
      <c r="C24" s="11" t="s">
        <v>1159</v>
      </c>
      <c r="D24" s="10">
        <v>0.11458372590068938</v>
      </c>
      <c r="E24">
        <v>5.4945054945054944E-2</v>
      </c>
    </row>
    <row r="25" spans="3:5">
      <c r="C25" s="11" t="s">
        <v>1160</v>
      </c>
      <c r="D25" s="10">
        <v>0.10810184154990796</v>
      </c>
      <c r="E25">
        <v>5.4945054945054944E-2</v>
      </c>
    </row>
    <row r="26" spans="3:5">
      <c r="C26" s="11" t="s">
        <v>1161</v>
      </c>
      <c r="D26" s="10">
        <v>0.102783136505636</v>
      </c>
      <c r="E26">
        <v>5.4945054945054944E-2</v>
      </c>
    </row>
    <row r="27" spans="3:5">
      <c r="C27" s="11" t="s">
        <v>1162</v>
      </c>
      <c r="D27" s="10">
        <v>9.8344028798170044E-2</v>
      </c>
      <c r="E27">
        <v>5.4945054945054944E-2</v>
      </c>
    </row>
    <row r="28" spans="3:5">
      <c r="C28" s="11" t="s">
        <v>1163</v>
      </c>
      <c r="D28" s="10">
        <v>9.4556891506195159E-2</v>
      </c>
      <c r="E28">
        <v>5.4945054945054944E-2</v>
      </c>
    </row>
    <row r="29" spans="3:5">
      <c r="C29" s="11" t="s">
        <v>1164</v>
      </c>
      <c r="D29" s="10">
        <v>9.1265750222283684E-2</v>
      </c>
      <c r="E29">
        <v>4.8351648351648353E-2</v>
      </c>
    </row>
    <row r="30" spans="3:5">
      <c r="C30" s="11" t="s">
        <v>1165</v>
      </c>
      <c r="D30" s="10">
        <v>8.83715172247653E-2</v>
      </c>
      <c r="E30">
        <v>4.6153846153846163E-2</v>
      </c>
    </row>
    <row r="31" spans="3:5">
      <c r="C31" s="11" t="s">
        <v>1166</v>
      </c>
      <c r="D31" s="10">
        <v>8.5809419495107245E-2</v>
      </c>
      <c r="E31">
        <v>4.1758241758241763E-2</v>
      </c>
    </row>
    <row r="32" spans="3:5">
      <c r="C32" s="11" t="s">
        <v>1167</v>
      </c>
      <c r="D32" s="10">
        <v>8.3531909173243282E-2</v>
      </c>
      <c r="E32">
        <v>3.9560439560439559E-2</v>
      </c>
    </row>
    <row r="33" spans="3:5">
      <c r="C33" s="11" t="s">
        <v>1168</v>
      </c>
      <c r="D33" s="10">
        <v>8.1499681903993676E-2</v>
      </c>
      <c r="E33">
        <v>3.9560439560439559E-2</v>
      </c>
    </row>
    <row r="34" spans="3:5">
      <c r="C34" s="11" t="s">
        <v>1169</v>
      </c>
      <c r="D34" s="10">
        <v>7.9678400629497062E-2</v>
      </c>
      <c r="E34">
        <v>3.7362637362637362E-2</v>
      </c>
    </row>
    <row r="35" spans="3:5">
      <c r="C35" s="11" t="s">
        <v>1170</v>
      </c>
      <c r="D35" s="10">
        <v>7.8038058534985549E-2</v>
      </c>
      <c r="E35">
        <v>3.2967032967032968E-2</v>
      </c>
    </row>
    <row r="36" spans="3:5">
      <c r="C36" s="11" t="s">
        <v>1171</v>
      </c>
      <c r="D36" s="10">
        <v>7.6552981962322381E-2</v>
      </c>
      <c r="E36">
        <v>3.5164835164835165E-2</v>
      </c>
    </row>
    <row r="37" spans="3:5">
      <c r="C37" s="11" t="s">
        <v>1172</v>
      </c>
      <c r="D37" s="10">
        <v>7.5201646927417903E-2</v>
      </c>
      <c r="E37">
        <v>3.5164835164835165E-2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3'!$B$10:$B$10" display="Inputs" xr:uid="{A6C78E1F-DB86-47F1-8463-E392083BFE95}"/>
    <hyperlink ref="D4" location="'NNC_Stored3'!$B$10:$B$10" display="PMML Model" xr:uid="{81F2E574-F6F4-40E7-AC76-039EC26AE1FB}"/>
    <hyperlink ref="F4" location="'NNC_TrainLog3'!$B$10:$B$10" display="Training Log" xr:uid="{6A2AFF3A-9531-4B13-B643-E910C2CA9F0C}"/>
    <hyperlink ref="H4" location="'NNC_TrainingScore3'!$B$10:$B$10" display="Training: Classification Summary" xr:uid="{DC36CB1B-C768-44FB-A53F-072780C1B612}"/>
    <hyperlink ref="J4" location="'NNC_ValidationScore3'!$B$10:$B$10" display="Validation: Classification Summary" xr:uid="{B25FB841-0DC9-401B-8D8A-4B0D61483989}"/>
  </hyperlink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4FAEC-E8BA-4013-A814-EBC53E5499F8}">
  <dimension ref="B1:Q32"/>
  <sheetViews>
    <sheetView showGridLines="0" topLeftCell="A6" workbookViewId="0">
      <selection activeCell="F21" sqref="F21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1143</v>
      </c>
      <c r="N1" t="s">
        <v>1997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548</v>
      </c>
      <c r="O5" s="12">
        <v>54</v>
      </c>
      <c r="P5" s="12">
        <v>17</v>
      </c>
      <c r="Q5" s="12">
        <v>619</v>
      </c>
    </row>
    <row r="10" spans="2:17" ht="18">
      <c r="B10" s="9" t="s">
        <v>1121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286</v>
      </c>
      <c r="E14">
        <v>2</v>
      </c>
    </row>
    <row r="15" spans="2:17">
      <c r="C15" s="11" t="s">
        <v>0</v>
      </c>
      <c r="D15" s="10">
        <v>14</v>
      </c>
      <c r="E15">
        <v>153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288</v>
      </c>
      <c r="E19">
        <f>SUM($D$14:$E$14) - $D$14</f>
        <v>2</v>
      </c>
      <c r="F19">
        <f>IF($D$19=0,"Undefined",$E$19*100 / $D$19)</f>
        <v>0.69444444444444442</v>
      </c>
    </row>
    <row r="20" spans="3:6">
      <c r="C20" s="11" t="s">
        <v>0</v>
      </c>
      <c r="D20">
        <f>SUM($D$15:$E$15)</f>
        <v>167</v>
      </c>
      <c r="E20">
        <f>SUM($D$15:$E$15) - $E$15</f>
        <v>14</v>
      </c>
      <c r="F20">
        <f>IF($D$20=0,"Undefined",$E$20*100 / $D$20)</f>
        <v>8.3832335329341312</v>
      </c>
    </row>
    <row r="21" spans="3:6">
      <c r="C21" s="11" t="s">
        <v>1127</v>
      </c>
      <c r="D21">
        <f>SUM($D$19:$D$20)</f>
        <v>455</v>
      </c>
      <c r="E21">
        <f>SUM($E$19:$E$20)</f>
        <v>16</v>
      </c>
      <c r="F21">
        <f>IF($D$21=0,"Undefined",$E$21*100 / $D$21)</f>
        <v>3.5164835164835164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439</v>
      </c>
    </row>
    <row r="26" spans="3:6">
      <c r="C26" t="s">
        <v>1131</v>
      </c>
      <c r="D26">
        <v>96.483516483516482</v>
      </c>
    </row>
    <row r="27" spans="3:6">
      <c r="C27" t="s">
        <v>1132</v>
      </c>
      <c r="D27">
        <v>0.99305555555555558</v>
      </c>
    </row>
    <row r="28" spans="3:6">
      <c r="C28" t="s">
        <v>1133</v>
      </c>
      <c r="D28">
        <v>0.9161676646706588</v>
      </c>
    </row>
    <row r="29" spans="3:6">
      <c r="C29" t="s">
        <v>1134</v>
      </c>
      <c r="D29">
        <v>0.98709677419354835</v>
      </c>
    </row>
    <row r="30" spans="3:6">
      <c r="C30" t="s">
        <v>1135</v>
      </c>
      <c r="D30">
        <v>0.9503105590062112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3'!$B$10:$B$10" display="Inputs" xr:uid="{A7B9BE82-6FD1-4030-9907-EED3F047298C}"/>
    <hyperlink ref="D4" location="'NNC_Stored3'!$B$10:$B$10" display="PMML Model" xr:uid="{9E6440CC-0653-4568-BD68-F83571C11732}"/>
    <hyperlink ref="F4" location="'NNC_TrainLog3'!$B$10:$B$10" display="Training Log" xr:uid="{33765B3A-BB0A-4F6C-A97F-0E9B54409291}"/>
    <hyperlink ref="H4" location="'NNC_TrainingScore3'!$B$10:$B$10" display="Training: Classification Summary" xr:uid="{2E855964-BE1C-4BDF-B811-6B2AF011CDE1}"/>
    <hyperlink ref="J4" location="'NNC_ValidationScore3'!$B$10:$B$10" display="Validation: Classification Summary" xr:uid="{889D6FA8-CDDC-4B0A-9A2C-954321B13C5C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523C8-37F7-4026-844D-15346DAB9268}">
  <dimension ref="B1:Q32"/>
  <sheetViews>
    <sheetView showGridLines="0" workbookViewId="0">
      <selection activeCell="D26" sqref="D26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1123</v>
      </c>
      <c r="N1" t="s">
        <v>1997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548</v>
      </c>
      <c r="O5" s="12">
        <v>54</v>
      </c>
      <c r="P5" s="12">
        <v>17</v>
      </c>
      <c r="Q5" s="12">
        <v>619</v>
      </c>
    </row>
    <row r="10" spans="2:17" ht="18">
      <c r="B10" s="9" t="s">
        <v>1122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68</v>
      </c>
      <c r="E14">
        <v>1</v>
      </c>
    </row>
    <row r="15" spans="2:17">
      <c r="C15" s="11" t="s">
        <v>0</v>
      </c>
      <c r="D15" s="10">
        <v>2</v>
      </c>
      <c r="E15">
        <v>43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69</v>
      </c>
      <c r="E19">
        <f>SUM($D$14:$E$14) - $D$14</f>
        <v>1</v>
      </c>
      <c r="F19">
        <f>IF($D$19=0,"Undefined",$E$19*100 / $D$19)</f>
        <v>1.4492753623188406</v>
      </c>
    </row>
    <row r="20" spans="3:6">
      <c r="C20" s="11" t="s">
        <v>0</v>
      </c>
      <c r="D20">
        <f>SUM($D$15:$E$15)</f>
        <v>45</v>
      </c>
      <c r="E20">
        <f>SUM($D$15:$E$15) - $E$15</f>
        <v>2</v>
      </c>
      <c r="F20">
        <f>IF($D$20=0,"Undefined",$E$20*100 / $D$20)</f>
        <v>4.4444444444444446</v>
      </c>
    </row>
    <row r="21" spans="3:6">
      <c r="C21" s="11" t="s">
        <v>1127</v>
      </c>
      <c r="D21">
        <f>SUM($D$19:$D$20)</f>
        <v>114</v>
      </c>
      <c r="E21">
        <f>SUM($E$19:$E$20)</f>
        <v>3</v>
      </c>
      <c r="F21">
        <f>IF($D$21=0,"Undefined",$E$21*100 / $D$21)</f>
        <v>2.6315789473684212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111</v>
      </c>
    </row>
    <row r="26" spans="3:6">
      <c r="C26" t="s">
        <v>1131</v>
      </c>
      <c r="D26">
        <v>97.368421052631575</v>
      </c>
    </row>
    <row r="27" spans="3:6">
      <c r="C27" t="s">
        <v>1132</v>
      </c>
      <c r="D27">
        <v>0.98550724637681164</v>
      </c>
    </row>
    <row r="28" spans="3:6">
      <c r="C28" t="s">
        <v>1133</v>
      </c>
      <c r="D28">
        <v>0.9555555555555556</v>
      </c>
    </row>
    <row r="29" spans="3:6">
      <c r="C29" t="s">
        <v>1134</v>
      </c>
      <c r="D29">
        <v>0.97727272727272718</v>
      </c>
    </row>
    <row r="30" spans="3:6">
      <c r="C30" t="s">
        <v>1135</v>
      </c>
      <c r="D30">
        <v>0.96629213483146081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3'!$B$10:$B$10" display="Inputs" xr:uid="{446036CD-E545-4B01-BAFE-8E498D4818D5}"/>
    <hyperlink ref="D4" location="'NNC_Stored3'!$B$10:$B$10" display="PMML Model" xr:uid="{EE9EEE3A-0F31-4C65-8A12-549DC51EFFC0}"/>
    <hyperlink ref="F4" location="'NNC_TrainLog3'!$B$10:$B$10" display="Training Log" xr:uid="{82AF732B-F1D4-4767-A345-14E222B18167}"/>
    <hyperlink ref="H4" location="'NNC_TrainingScore3'!$B$10:$B$10" display="Training: Classification Summary" xr:uid="{9BCD5CCB-38F7-439E-94DB-555DDCB5DE28}"/>
    <hyperlink ref="J4" location="'NNC_ValidationScore3'!$B$10:$B$10" display="Validation: Classification Summary" xr:uid="{6C014FA1-6E21-4E10-9330-2965058326AB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DF0A-C15F-4C58-9678-F6064E08C107}">
  <dimension ref="B1:Q827"/>
  <sheetViews>
    <sheetView showGridLines="0" workbookViewId="0"/>
  </sheetViews>
  <sheetFormatPr defaultRowHeight="14.4"/>
  <cols>
    <col min="14" max="14" width="24.44140625" bestFit="1" customWidth="1"/>
  </cols>
  <sheetData>
    <row r="1" spans="2:17" ht="18">
      <c r="B1" s="8" t="s">
        <v>728</v>
      </c>
      <c r="N1" t="s">
        <v>1997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548</v>
      </c>
      <c r="O5" s="12">
        <v>54</v>
      </c>
      <c r="P5" s="12">
        <v>17</v>
      </c>
      <c r="Q5" s="12">
        <v>619</v>
      </c>
    </row>
    <row r="10" spans="2:17" ht="18">
      <c r="B10" s="9" t="s">
        <v>729</v>
      </c>
    </row>
    <row r="12" spans="2:17">
      <c r="B12" t="s">
        <v>730</v>
      </c>
    </row>
    <row r="13" spans="2:17">
      <c r="B13" t="s">
        <v>731</v>
      </c>
    </row>
    <row r="14" spans="2:17">
      <c r="B14" t="s">
        <v>732</v>
      </c>
    </row>
    <row r="15" spans="2:17">
      <c r="B15" t="s">
        <v>733</v>
      </c>
    </row>
    <row r="16" spans="2:17">
      <c r="B16" t="s">
        <v>1996</v>
      </c>
    </row>
    <row r="17" spans="2:2">
      <c r="B17" t="s">
        <v>735</v>
      </c>
    </row>
    <row r="18" spans="2:2">
      <c r="B18" t="s">
        <v>736</v>
      </c>
    </row>
    <row r="19" spans="2:2">
      <c r="B19" t="s">
        <v>737</v>
      </c>
    </row>
    <row r="20" spans="2:2">
      <c r="B20" t="s">
        <v>738</v>
      </c>
    </row>
    <row r="21" spans="2:2">
      <c r="B21" t="s">
        <v>739</v>
      </c>
    </row>
    <row r="22" spans="2:2">
      <c r="B22" t="s">
        <v>740</v>
      </c>
    </row>
    <row r="23" spans="2:2">
      <c r="B23" t="s">
        <v>741</v>
      </c>
    </row>
    <row r="24" spans="2:2">
      <c r="B24" t="s">
        <v>742</v>
      </c>
    </row>
    <row r="25" spans="2:2">
      <c r="B25" t="s">
        <v>743</v>
      </c>
    </row>
    <row r="26" spans="2:2">
      <c r="B26" t="s">
        <v>744</v>
      </c>
    </row>
    <row r="27" spans="2:2">
      <c r="B27" t="s">
        <v>745</v>
      </c>
    </row>
    <row r="28" spans="2:2">
      <c r="B28" t="s">
        <v>746</v>
      </c>
    </row>
    <row r="29" spans="2:2">
      <c r="B29" t="s">
        <v>747</v>
      </c>
    </row>
    <row r="30" spans="2:2">
      <c r="B30" t="s">
        <v>748</v>
      </c>
    </row>
    <row r="31" spans="2:2">
      <c r="B31" t="s">
        <v>749</v>
      </c>
    </row>
    <row r="32" spans="2:2">
      <c r="B32" t="s">
        <v>750</v>
      </c>
    </row>
    <row r="33" spans="2:2">
      <c r="B33" t="s">
        <v>752</v>
      </c>
    </row>
    <row r="34" spans="2:2">
      <c r="B34" t="s">
        <v>753</v>
      </c>
    </row>
    <row r="35" spans="2:2">
      <c r="B35" t="s">
        <v>754</v>
      </c>
    </row>
    <row r="36" spans="2:2">
      <c r="B36" t="s">
        <v>755</v>
      </c>
    </row>
    <row r="37" spans="2:2">
      <c r="B37" t="s">
        <v>756</v>
      </c>
    </row>
    <row r="38" spans="2:2">
      <c r="B38" t="s">
        <v>757</v>
      </c>
    </row>
    <row r="39" spans="2:2">
      <c r="B39" t="s">
        <v>758</v>
      </c>
    </row>
    <row r="40" spans="2:2">
      <c r="B40" t="s">
        <v>759</v>
      </c>
    </row>
    <row r="41" spans="2:2">
      <c r="B41" t="s">
        <v>760</v>
      </c>
    </row>
    <row r="42" spans="2:2">
      <c r="B42" t="s">
        <v>761</v>
      </c>
    </row>
    <row r="43" spans="2:2">
      <c r="B43" t="s">
        <v>762</v>
      </c>
    </row>
    <row r="44" spans="2:2">
      <c r="B44" t="s">
        <v>763</v>
      </c>
    </row>
    <row r="45" spans="2:2">
      <c r="B45" t="s">
        <v>764</v>
      </c>
    </row>
    <row r="46" spans="2:2">
      <c r="B46" t="s">
        <v>765</v>
      </c>
    </row>
    <row r="47" spans="2:2">
      <c r="B47" t="s">
        <v>766</v>
      </c>
    </row>
    <row r="48" spans="2:2">
      <c r="B48" t="s">
        <v>767</v>
      </c>
    </row>
    <row r="49" spans="2:2">
      <c r="B49" t="s">
        <v>768</v>
      </c>
    </row>
    <row r="50" spans="2:2">
      <c r="B50" t="s">
        <v>769</v>
      </c>
    </row>
    <row r="51" spans="2:2">
      <c r="B51" t="s">
        <v>770</v>
      </c>
    </row>
    <row r="52" spans="2:2">
      <c r="B52" t="s">
        <v>771</v>
      </c>
    </row>
    <row r="53" spans="2:2">
      <c r="B53" t="s">
        <v>772</v>
      </c>
    </row>
    <row r="54" spans="2:2">
      <c r="B54" t="s">
        <v>773</v>
      </c>
    </row>
    <row r="55" spans="2:2">
      <c r="B55" t="s">
        <v>774</v>
      </c>
    </row>
    <row r="56" spans="2:2">
      <c r="B56" t="s">
        <v>775</v>
      </c>
    </row>
    <row r="57" spans="2:2">
      <c r="B57" t="s">
        <v>776</v>
      </c>
    </row>
    <row r="58" spans="2:2">
      <c r="B58" t="s">
        <v>777</v>
      </c>
    </row>
    <row r="59" spans="2:2">
      <c r="B59" t="s">
        <v>778</v>
      </c>
    </row>
    <row r="60" spans="2:2">
      <c r="B60" t="s">
        <v>779</v>
      </c>
    </row>
    <row r="61" spans="2:2">
      <c r="B61" t="s">
        <v>780</v>
      </c>
    </row>
    <row r="62" spans="2:2">
      <c r="B62" t="s">
        <v>781</v>
      </c>
    </row>
    <row r="63" spans="2:2">
      <c r="B63" t="s">
        <v>782</v>
      </c>
    </row>
    <row r="64" spans="2:2">
      <c r="B64" t="s">
        <v>783</v>
      </c>
    </row>
    <row r="65" spans="2:2">
      <c r="B65" t="s">
        <v>784</v>
      </c>
    </row>
    <row r="66" spans="2:2">
      <c r="B66" t="s">
        <v>785</v>
      </c>
    </row>
    <row r="67" spans="2:2">
      <c r="B67" t="s">
        <v>786</v>
      </c>
    </row>
    <row r="68" spans="2:2">
      <c r="B68" t="s">
        <v>787</v>
      </c>
    </row>
    <row r="69" spans="2:2">
      <c r="B69" t="s">
        <v>788</v>
      </c>
    </row>
    <row r="70" spans="2:2">
      <c r="B70" t="s">
        <v>789</v>
      </c>
    </row>
    <row r="71" spans="2:2">
      <c r="B71" t="s">
        <v>790</v>
      </c>
    </row>
    <row r="72" spans="2:2">
      <c r="B72" t="s">
        <v>791</v>
      </c>
    </row>
    <row r="73" spans="2:2">
      <c r="B73" t="s">
        <v>792</v>
      </c>
    </row>
    <row r="74" spans="2:2">
      <c r="B74" t="s">
        <v>793</v>
      </c>
    </row>
    <row r="75" spans="2:2">
      <c r="B75" t="s">
        <v>794</v>
      </c>
    </row>
    <row r="76" spans="2:2">
      <c r="B76" t="s">
        <v>795</v>
      </c>
    </row>
    <row r="77" spans="2:2">
      <c r="B77" t="s">
        <v>796</v>
      </c>
    </row>
    <row r="78" spans="2:2">
      <c r="B78" t="s">
        <v>797</v>
      </c>
    </row>
    <row r="79" spans="2:2">
      <c r="B79" t="s">
        <v>798</v>
      </c>
    </row>
    <row r="80" spans="2:2">
      <c r="B80" t="s">
        <v>799</v>
      </c>
    </row>
    <row r="81" spans="2:2">
      <c r="B81" t="s">
        <v>800</v>
      </c>
    </row>
    <row r="82" spans="2:2">
      <c r="B82" t="s">
        <v>801</v>
      </c>
    </row>
    <row r="83" spans="2:2">
      <c r="B83" t="s">
        <v>802</v>
      </c>
    </row>
    <row r="84" spans="2:2">
      <c r="B84" t="s">
        <v>803</v>
      </c>
    </row>
    <row r="85" spans="2:2">
      <c r="B85" t="s">
        <v>804</v>
      </c>
    </row>
    <row r="86" spans="2:2">
      <c r="B86" t="s">
        <v>805</v>
      </c>
    </row>
    <row r="87" spans="2:2">
      <c r="B87" t="s">
        <v>806</v>
      </c>
    </row>
    <row r="88" spans="2:2">
      <c r="B88" t="s">
        <v>807</v>
      </c>
    </row>
    <row r="89" spans="2:2">
      <c r="B89" t="s">
        <v>808</v>
      </c>
    </row>
    <row r="90" spans="2:2">
      <c r="B90" t="s">
        <v>809</v>
      </c>
    </row>
    <row r="91" spans="2:2">
      <c r="B91" t="s">
        <v>810</v>
      </c>
    </row>
    <row r="92" spans="2:2">
      <c r="B92" t="s">
        <v>811</v>
      </c>
    </row>
    <row r="93" spans="2:2">
      <c r="B93" t="s">
        <v>812</v>
      </c>
    </row>
    <row r="94" spans="2:2">
      <c r="B94" t="s">
        <v>1998</v>
      </c>
    </row>
    <row r="95" spans="2:2">
      <c r="B95" t="s">
        <v>1999</v>
      </c>
    </row>
    <row r="96" spans="2:2">
      <c r="B96" t="s">
        <v>815</v>
      </c>
    </row>
    <row r="97" spans="2:2">
      <c r="B97" t="s">
        <v>816</v>
      </c>
    </row>
    <row r="98" spans="2:2">
      <c r="B98" t="s">
        <v>817</v>
      </c>
    </row>
    <row r="99" spans="2:2">
      <c r="B99" t="s">
        <v>818</v>
      </c>
    </row>
    <row r="100" spans="2:2">
      <c r="B100" t="s">
        <v>819</v>
      </c>
    </row>
    <row r="101" spans="2:2">
      <c r="B101" t="s">
        <v>2000</v>
      </c>
    </row>
    <row r="102" spans="2:2">
      <c r="B102" t="s">
        <v>2001</v>
      </c>
    </row>
    <row r="103" spans="2:2">
      <c r="B103" t="s">
        <v>822</v>
      </c>
    </row>
    <row r="104" spans="2:2">
      <c r="B104" t="s">
        <v>823</v>
      </c>
    </row>
    <row r="105" spans="2:2">
      <c r="B105" t="s">
        <v>824</v>
      </c>
    </row>
    <row r="106" spans="2:2">
      <c r="B106" t="s">
        <v>825</v>
      </c>
    </row>
    <row r="107" spans="2:2">
      <c r="B107" t="s">
        <v>2002</v>
      </c>
    </row>
    <row r="108" spans="2:2">
      <c r="B108" t="s">
        <v>2003</v>
      </c>
    </row>
    <row r="109" spans="2:2">
      <c r="B109" t="s">
        <v>822</v>
      </c>
    </row>
    <row r="110" spans="2:2">
      <c r="B110" t="s">
        <v>823</v>
      </c>
    </row>
    <row r="111" spans="2:2">
      <c r="B111" t="s">
        <v>828</v>
      </c>
    </row>
    <row r="112" spans="2:2">
      <c r="B112" t="s">
        <v>829</v>
      </c>
    </row>
    <row r="113" spans="2:2">
      <c r="B113" t="s">
        <v>2004</v>
      </c>
    </row>
    <row r="114" spans="2:2">
      <c r="B114" t="s">
        <v>2005</v>
      </c>
    </row>
    <row r="115" spans="2:2">
      <c r="B115" t="s">
        <v>822</v>
      </c>
    </row>
    <row r="116" spans="2:2">
      <c r="B116" t="s">
        <v>823</v>
      </c>
    </row>
    <row r="117" spans="2:2">
      <c r="B117" t="s">
        <v>832</v>
      </c>
    </row>
    <row r="118" spans="2:2">
      <c r="B118" t="s">
        <v>833</v>
      </c>
    </row>
    <row r="119" spans="2:2">
      <c r="B119" t="s">
        <v>2006</v>
      </c>
    </row>
    <row r="120" spans="2:2">
      <c r="B120" t="s">
        <v>2007</v>
      </c>
    </row>
    <row r="121" spans="2:2">
      <c r="B121" t="s">
        <v>822</v>
      </c>
    </row>
    <row r="122" spans="2:2">
      <c r="B122" t="s">
        <v>823</v>
      </c>
    </row>
    <row r="123" spans="2:2">
      <c r="B123" t="s">
        <v>836</v>
      </c>
    </row>
    <row r="124" spans="2:2">
      <c r="B124" t="s">
        <v>837</v>
      </c>
    </row>
    <row r="125" spans="2:2">
      <c r="B125" t="s">
        <v>2008</v>
      </c>
    </row>
    <row r="126" spans="2:2">
      <c r="B126" t="s">
        <v>2009</v>
      </c>
    </row>
    <row r="127" spans="2:2">
      <c r="B127" t="s">
        <v>822</v>
      </c>
    </row>
    <row r="128" spans="2:2">
      <c r="B128" t="s">
        <v>823</v>
      </c>
    </row>
    <row r="129" spans="2:2">
      <c r="B129" t="s">
        <v>840</v>
      </c>
    </row>
    <row r="130" spans="2:2">
      <c r="B130" t="s">
        <v>841</v>
      </c>
    </row>
    <row r="131" spans="2:2">
      <c r="B131" t="s">
        <v>2010</v>
      </c>
    </row>
    <row r="132" spans="2:2">
      <c r="B132" t="s">
        <v>2011</v>
      </c>
    </row>
    <row r="133" spans="2:2">
      <c r="B133" t="s">
        <v>822</v>
      </c>
    </row>
    <row r="134" spans="2:2">
      <c r="B134" t="s">
        <v>823</v>
      </c>
    </row>
    <row r="135" spans="2:2">
      <c r="B135" t="s">
        <v>844</v>
      </c>
    </row>
    <row r="136" spans="2:2">
      <c r="B136" t="s">
        <v>845</v>
      </c>
    </row>
    <row r="137" spans="2:2">
      <c r="B137" t="s">
        <v>2012</v>
      </c>
    </row>
    <row r="138" spans="2:2">
      <c r="B138" t="s">
        <v>2013</v>
      </c>
    </row>
    <row r="139" spans="2:2">
      <c r="B139" t="s">
        <v>822</v>
      </c>
    </row>
    <row r="140" spans="2:2">
      <c r="B140" t="s">
        <v>823</v>
      </c>
    </row>
    <row r="141" spans="2:2">
      <c r="B141" t="s">
        <v>848</v>
      </c>
    </row>
    <row r="142" spans="2:2">
      <c r="B142" t="s">
        <v>849</v>
      </c>
    </row>
    <row r="143" spans="2:2">
      <c r="B143" t="s">
        <v>2014</v>
      </c>
    </row>
    <row r="144" spans="2:2">
      <c r="B144" t="s">
        <v>2015</v>
      </c>
    </row>
    <row r="145" spans="2:2">
      <c r="B145" t="s">
        <v>822</v>
      </c>
    </row>
    <row r="146" spans="2:2">
      <c r="B146" t="s">
        <v>823</v>
      </c>
    </row>
    <row r="147" spans="2:2">
      <c r="B147" t="s">
        <v>852</v>
      </c>
    </row>
    <row r="148" spans="2:2">
      <c r="B148" t="s">
        <v>853</v>
      </c>
    </row>
    <row r="149" spans="2:2">
      <c r="B149" t="s">
        <v>2016</v>
      </c>
    </row>
    <row r="150" spans="2:2">
      <c r="B150" t="s">
        <v>2017</v>
      </c>
    </row>
    <row r="151" spans="2:2">
      <c r="B151" t="s">
        <v>822</v>
      </c>
    </row>
    <row r="152" spans="2:2">
      <c r="B152" t="s">
        <v>823</v>
      </c>
    </row>
    <row r="153" spans="2:2">
      <c r="B153" t="s">
        <v>856</v>
      </c>
    </row>
    <row r="154" spans="2:2">
      <c r="B154" t="s">
        <v>857</v>
      </c>
    </row>
    <row r="155" spans="2:2">
      <c r="B155" t="s">
        <v>2018</v>
      </c>
    </row>
    <row r="156" spans="2:2">
      <c r="B156" t="s">
        <v>2019</v>
      </c>
    </row>
    <row r="157" spans="2:2">
      <c r="B157" t="s">
        <v>822</v>
      </c>
    </row>
    <row r="158" spans="2:2">
      <c r="B158" t="s">
        <v>823</v>
      </c>
    </row>
    <row r="159" spans="2:2">
      <c r="B159" t="s">
        <v>860</v>
      </c>
    </row>
    <row r="160" spans="2:2">
      <c r="B160" t="s">
        <v>861</v>
      </c>
    </row>
    <row r="161" spans="2:2">
      <c r="B161" t="s">
        <v>2020</v>
      </c>
    </row>
    <row r="162" spans="2:2">
      <c r="B162" t="s">
        <v>2021</v>
      </c>
    </row>
    <row r="163" spans="2:2">
      <c r="B163" t="s">
        <v>822</v>
      </c>
    </row>
    <row r="164" spans="2:2">
      <c r="B164" t="s">
        <v>823</v>
      </c>
    </row>
    <row r="165" spans="2:2">
      <c r="B165" t="s">
        <v>864</v>
      </c>
    </row>
    <row r="166" spans="2:2">
      <c r="B166" t="s">
        <v>865</v>
      </c>
    </row>
    <row r="167" spans="2:2">
      <c r="B167" t="s">
        <v>2022</v>
      </c>
    </row>
    <row r="168" spans="2:2">
      <c r="B168" t="s">
        <v>2023</v>
      </c>
    </row>
    <row r="169" spans="2:2">
      <c r="B169" t="s">
        <v>822</v>
      </c>
    </row>
    <row r="170" spans="2:2">
      <c r="B170" t="s">
        <v>823</v>
      </c>
    </row>
    <row r="171" spans="2:2">
      <c r="B171" t="s">
        <v>868</v>
      </c>
    </row>
    <row r="172" spans="2:2">
      <c r="B172" t="s">
        <v>869</v>
      </c>
    </row>
    <row r="173" spans="2:2">
      <c r="B173" t="s">
        <v>2024</v>
      </c>
    </row>
    <row r="174" spans="2:2">
      <c r="B174" t="s">
        <v>2025</v>
      </c>
    </row>
    <row r="175" spans="2:2">
      <c r="B175" t="s">
        <v>822</v>
      </c>
    </row>
    <row r="176" spans="2:2">
      <c r="B176" t="s">
        <v>823</v>
      </c>
    </row>
    <row r="177" spans="2:2">
      <c r="B177" t="s">
        <v>872</v>
      </c>
    </row>
    <row r="178" spans="2:2">
      <c r="B178" t="s">
        <v>873</v>
      </c>
    </row>
    <row r="179" spans="2:2">
      <c r="B179" t="s">
        <v>2026</v>
      </c>
    </row>
    <row r="180" spans="2:2">
      <c r="B180" t="s">
        <v>2027</v>
      </c>
    </row>
    <row r="181" spans="2:2">
      <c r="B181" t="s">
        <v>822</v>
      </c>
    </row>
    <row r="182" spans="2:2">
      <c r="B182" t="s">
        <v>823</v>
      </c>
    </row>
    <row r="183" spans="2:2">
      <c r="B183" t="s">
        <v>876</v>
      </c>
    </row>
    <row r="184" spans="2:2">
      <c r="B184" t="s">
        <v>877</v>
      </c>
    </row>
    <row r="185" spans="2:2">
      <c r="B185" t="s">
        <v>2028</v>
      </c>
    </row>
    <row r="186" spans="2:2">
      <c r="B186" t="s">
        <v>2029</v>
      </c>
    </row>
    <row r="187" spans="2:2">
      <c r="B187" t="s">
        <v>822</v>
      </c>
    </row>
    <row r="188" spans="2:2">
      <c r="B188" t="s">
        <v>823</v>
      </c>
    </row>
    <row r="189" spans="2:2">
      <c r="B189" t="s">
        <v>880</v>
      </c>
    </row>
    <row r="190" spans="2:2">
      <c r="B190" t="s">
        <v>881</v>
      </c>
    </row>
    <row r="191" spans="2:2">
      <c r="B191" t="s">
        <v>2030</v>
      </c>
    </row>
    <row r="192" spans="2:2">
      <c r="B192" t="s">
        <v>2031</v>
      </c>
    </row>
    <row r="193" spans="2:2">
      <c r="B193" t="s">
        <v>822</v>
      </c>
    </row>
    <row r="194" spans="2:2">
      <c r="B194" t="s">
        <v>823</v>
      </c>
    </row>
    <row r="195" spans="2:2">
      <c r="B195" t="s">
        <v>884</v>
      </c>
    </row>
    <row r="196" spans="2:2">
      <c r="B196" t="s">
        <v>885</v>
      </c>
    </row>
    <row r="197" spans="2:2">
      <c r="B197" t="s">
        <v>2032</v>
      </c>
    </row>
    <row r="198" spans="2:2">
      <c r="B198" t="s">
        <v>2033</v>
      </c>
    </row>
    <row r="199" spans="2:2">
      <c r="B199" t="s">
        <v>822</v>
      </c>
    </row>
    <row r="200" spans="2:2">
      <c r="B200" t="s">
        <v>823</v>
      </c>
    </row>
    <row r="201" spans="2:2">
      <c r="B201" t="s">
        <v>888</v>
      </c>
    </row>
    <row r="202" spans="2:2">
      <c r="B202" t="s">
        <v>889</v>
      </c>
    </row>
    <row r="203" spans="2:2">
      <c r="B203" t="s">
        <v>2034</v>
      </c>
    </row>
    <row r="204" spans="2:2">
      <c r="B204" t="s">
        <v>2035</v>
      </c>
    </row>
    <row r="205" spans="2:2">
      <c r="B205" t="s">
        <v>822</v>
      </c>
    </row>
    <row r="206" spans="2:2">
      <c r="B206" t="s">
        <v>823</v>
      </c>
    </row>
    <row r="207" spans="2:2">
      <c r="B207" t="s">
        <v>892</v>
      </c>
    </row>
    <row r="208" spans="2:2">
      <c r="B208" t="s">
        <v>893</v>
      </c>
    </row>
    <row r="209" spans="2:2">
      <c r="B209" t="s">
        <v>2036</v>
      </c>
    </row>
    <row r="210" spans="2:2">
      <c r="B210" t="s">
        <v>2037</v>
      </c>
    </row>
    <row r="211" spans="2:2">
      <c r="B211" t="s">
        <v>822</v>
      </c>
    </row>
    <row r="212" spans="2:2">
      <c r="B212" t="s">
        <v>823</v>
      </c>
    </row>
    <row r="213" spans="2:2">
      <c r="B213" t="s">
        <v>896</v>
      </c>
    </row>
    <row r="214" spans="2:2">
      <c r="B214" t="s">
        <v>897</v>
      </c>
    </row>
    <row r="215" spans="2:2">
      <c r="B215" t="s">
        <v>2038</v>
      </c>
    </row>
    <row r="216" spans="2:2">
      <c r="B216" t="s">
        <v>2039</v>
      </c>
    </row>
    <row r="217" spans="2:2">
      <c r="B217" t="s">
        <v>822</v>
      </c>
    </row>
    <row r="218" spans="2:2">
      <c r="B218" t="s">
        <v>823</v>
      </c>
    </row>
    <row r="219" spans="2:2">
      <c r="B219" t="s">
        <v>900</v>
      </c>
    </row>
    <row r="220" spans="2:2">
      <c r="B220" t="s">
        <v>901</v>
      </c>
    </row>
    <row r="221" spans="2:2">
      <c r="B221" t="s">
        <v>2040</v>
      </c>
    </row>
    <row r="222" spans="2:2">
      <c r="B222" t="s">
        <v>2041</v>
      </c>
    </row>
    <row r="223" spans="2:2">
      <c r="B223" t="s">
        <v>822</v>
      </c>
    </row>
    <row r="224" spans="2:2">
      <c r="B224" t="s">
        <v>823</v>
      </c>
    </row>
    <row r="225" spans="2:2">
      <c r="B225" t="s">
        <v>904</v>
      </c>
    </row>
    <row r="226" spans="2:2">
      <c r="B226" t="s">
        <v>905</v>
      </c>
    </row>
    <row r="227" spans="2:2">
      <c r="B227" t="s">
        <v>2042</v>
      </c>
    </row>
    <row r="228" spans="2:2">
      <c r="B228" t="s">
        <v>2043</v>
      </c>
    </row>
    <row r="229" spans="2:2">
      <c r="B229" t="s">
        <v>822</v>
      </c>
    </row>
    <row r="230" spans="2:2">
      <c r="B230" t="s">
        <v>823</v>
      </c>
    </row>
    <row r="231" spans="2:2">
      <c r="B231" t="s">
        <v>908</v>
      </c>
    </row>
    <row r="232" spans="2:2">
      <c r="B232" t="s">
        <v>909</v>
      </c>
    </row>
    <row r="233" spans="2:2">
      <c r="B233" t="s">
        <v>2044</v>
      </c>
    </row>
    <row r="234" spans="2:2">
      <c r="B234" t="s">
        <v>2045</v>
      </c>
    </row>
    <row r="235" spans="2:2">
      <c r="B235" t="s">
        <v>822</v>
      </c>
    </row>
    <row r="236" spans="2:2">
      <c r="B236" t="s">
        <v>823</v>
      </c>
    </row>
    <row r="237" spans="2:2">
      <c r="B237" t="s">
        <v>912</v>
      </c>
    </row>
    <row r="238" spans="2:2">
      <c r="B238" t="s">
        <v>913</v>
      </c>
    </row>
    <row r="239" spans="2:2">
      <c r="B239" t="s">
        <v>2046</v>
      </c>
    </row>
    <row r="240" spans="2:2">
      <c r="B240" t="s">
        <v>2047</v>
      </c>
    </row>
    <row r="241" spans="2:2">
      <c r="B241" t="s">
        <v>822</v>
      </c>
    </row>
    <row r="242" spans="2:2">
      <c r="B242" t="s">
        <v>823</v>
      </c>
    </row>
    <row r="243" spans="2:2">
      <c r="B243" t="s">
        <v>916</v>
      </c>
    </row>
    <row r="244" spans="2:2">
      <c r="B244" t="s">
        <v>917</v>
      </c>
    </row>
    <row r="245" spans="2:2">
      <c r="B245" t="s">
        <v>2048</v>
      </c>
    </row>
    <row r="246" spans="2:2">
      <c r="B246" t="s">
        <v>2049</v>
      </c>
    </row>
    <row r="247" spans="2:2">
      <c r="B247" t="s">
        <v>822</v>
      </c>
    </row>
    <row r="248" spans="2:2">
      <c r="B248" t="s">
        <v>823</v>
      </c>
    </row>
    <row r="249" spans="2:2">
      <c r="B249" t="s">
        <v>920</v>
      </c>
    </row>
    <row r="250" spans="2:2">
      <c r="B250" t="s">
        <v>921</v>
      </c>
    </row>
    <row r="251" spans="2:2">
      <c r="B251" t="s">
        <v>2050</v>
      </c>
    </row>
    <row r="252" spans="2:2">
      <c r="B252" t="s">
        <v>2051</v>
      </c>
    </row>
    <row r="253" spans="2:2">
      <c r="B253" t="s">
        <v>822</v>
      </c>
    </row>
    <row r="254" spans="2:2">
      <c r="B254" t="s">
        <v>823</v>
      </c>
    </row>
    <row r="255" spans="2:2">
      <c r="B255" t="s">
        <v>924</v>
      </c>
    </row>
    <row r="256" spans="2:2">
      <c r="B256" t="s">
        <v>925</v>
      </c>
    </row>
    <row r="257" spans="2:2">
      <c r="B257" t="s">
        <v>2052</v>
      </c>
    </row>
    <row r="258" spans="2:2">
      <c r="B258" t="s">
        <v>2053</v>
      </c>
    </row>
    <row r="259" spans="2:2">
      <c r="B259" t="s">
        <v>822</v>
      </c>
    </row>
    <row r="260" spans="2:2">
      <c r="B260" t="s">
        <v>823</v>
      </c>
    </row>
    <row r="261" spans="2:2">
      <c r="B261" t="s">
        <v>928</v>
      </c>
    </row>
    <row r="262" spans="2:2">
      <c r="B262" t="s">
        <v>929</v>
      </c>
    </row>
    <row r="263" spans="2:2">
      <c r="B263" t="s">
        <v>2054</v>
      </c>
    </row>
    <row r="264" spans="2:2">
      <c r="B264" t="s">
        <v>2055</v>
      </c>
    </row>
    <row r="265" spans="2:2">
      <c r="B265" t="s">
        <v>822</v>
      </c>
    </row>
    <row r="266" spans="2:2">
      <c r="B266" t="s">
        <v>823</v>
      </c>
    </row>
    <row r="267" spans="2:2">
      <c r="B267" t="s">
        <v>932</v>
      </c>
    </row>
    <row r="268" spans="2:2">
      <c r="B268" t="s">
        <v>933</v>
      </c>
    </row>
    <row r="269" spans="2:2">
      <c r="B269" t="s">
        <v>2056</v>
      </c>
    </row>
    <row r="270" spans="2:2">
      <c r="B270" t="s">
        <v>2057</v>
      </c>
    </row>
    <row r="271" spans="2:2">
      <c r="B271" t="s">
        <v>822</v>
      </c>
    </row>
    <row r="272" spans="2:2">
      <c r="B272" t="s">
        <v>823</v>
      </c>
    </row>
    <row r="273" spans="2:2">
      <c r="B273" t="s">
        <v>936</v>
      </c>
    </row>
    <row r="274" spans="2:2">
      <c r="B274" t="s">
        <v>937</v>
      </c>
    </row>
    <row r="275" spans="2:2">
      <c r="B275" t="s">
        <v>2058</v>
      </c>
    </row>
    <row r="276" spans="2:2">
      <c r="B276" t="s">
        <v>2059</v>
      </c>
    </row>
    <row r="277" spans="2:2">
      <c r="B277" t="s">
        <v>822</v>
      </c>
    </row>
    <row r="278" spans="2:2">
      <c r="B278" t="s">
        <v>823</v>
      </c>
    </row>
    <row r="279" spans="2:2">
      <c r="B279" t="s">
        <v>940</v>
      </c>
    </row>
    <row r="280" spans="2:2">
      <c r="B280" t="s">
        <v>941</v>
      </c>
    </row>
    <row r="281" spans="2:2">
      <c r="B281" t="s">
        <v>942</v>
      </c>
    </row>
    <row r="282" spans="2:2">
      <c r="B282" t="s">
        <v>943</v>
      </c>
    </row>
    <row r="283" spans="2:2">
      <c r="B283" t="s">
        <v>944</v>
      </c>
    </row>
    <row r="284" spans="2:2">
      <c r="B284" t="s">
        <v>823</v>
      </c>
    </row>
    <row r="285" spans="2:2">
      <c r="B285" t="s">
        <v>945</v>
      </c>
    </row>
    <row r="286" spans="2:2">
      <c r="B286" t="s">
        <v>946</v>
      </c>
    </row>
    <row r="287" spans="2:2">
      <c r="B287" t="s">
        <v>943</v>
      </c>
    </row>
    <row r="288" spans="2:2">
      <c r="B288" t="s">
        <v>947</v>
      </c>
    </row>
    <row r="289" spans="2:2">
      <c r="B289" t="s">
        <v>823</v>
      </c>
    </row>
    <row r="290" spans="2:2">
      <c r="B290" t="s">
        <v>945</v>
      </c>
    </row>
    <row r="291" spans="2:2">
      <c r="B291" t="s">
        <v>948</v>
      </c>
    </row>
    <row r="292" spans="2:2">
      <c r="B292" t="s">
        <v>943</v>
      </c>
    </row>
    <row r="293" spans="2:2">
      <c r="B293" t="s">
        <v>949</v>
      </c>
    </row>
    <row r="294" spans="2:2">
      <c r="B294" t="s">
        <v>823</v>
      </c>
    </row>
    <row r="295" spans="2:2">
      <c r="B295" t="s">
        <v>945</v>
      </c>
    </row>
    <row r="296" spans="2:2">
      <c r="B296" t="s">
        <v>950</v>
      </c>
    </row>
    <row r="297" spans="2:2">
      <c r="B297" t="s">
        <v>943</v>
      </c>
    </row>
    <row r="298" spans="2:2">
      <c r="B298" t="s">
        <v>951</v>
      </c>
    </row>
    <row r="299" spans="2:2">
      <c r="B299" t="s">
        <v>823</v>
      </c>
    </row>
    <row r="300" spans="2:2">
      <c r="B300" t="s">
        <v>945</v>
      </c>
    </row>
    <row r="301" spans="2:2">
      <c r="B301" t="s">
        <v>952</v>
      </c>
    </row>
    <row r="302" spans="2:2">
      <c r="B302" t="s">
        <v>943</v>
      </c>
    </row>
    <row r="303" spans="2:2">
      <c r="B303" t="s">
        <v>953</v>
      </c>
    </row>
    <row r="304" spans="2:2">
      <c r="B304" t="s">
        <v>823</v>
      </c>
    </row>
    <row r="305" spans="2:2">
      <c r="B305" t="s">
        <v>945</v>
      </c>
    </row>
    <row r="306" spans="2:2">
      <c r="B306" t="s">
        <v>954</v>
      </c>
    </row>
    <row r="307" spans="2:2">
      <c r="B307" t="s">
        <v>943</v>
      </c>
    </row>
    <row r="308" spans="2:2">
      <c r="B308" t="s">
        <v>955</v>
      </c>
    </row>
    <row r="309" spans="2:2">
      <c r="B309" t="s">
        <v>823</v>
      </c>
    </row>
    <row r="310" spans="2:2">
      <c r="B310" t="s">
        <v>945</v>
      </c>
    </row>
    <row r="311" spans="2:2">
      <c r="B311" t="s">
        <v>956</v>
      </c>
    </row>
    <row r="312" spans="2:2">
      <c r="B312" t="s">
        <v>943</v>
      </c>
    </row>
    <row r="313" spans="2:2">
      <c r="B313" t="s">
        <v>957</v>
      </c>
    </row>
    <row r="314" spans="2:2">
      <c r="B314" t="s">
        <v>823</v>
      </c>
    </row>
    <row r="315" spans="2:2">
      <c r="B315" t="s">
        <v>945</v>
      </c>
    </row>
    <row r="316" spans="2:2">
      <c r="B316" t="s">
        <v>958</v>
      </c>
    </row>
    <row r="317" spans="2:2">
      <c r="B317" t="s">
        <v>943</v>
      </c>
    </row>
    <row r="318" spans="2:2">
      <c r="B318" t="s">
        <v>959</v>
      </c>
    </row>
    <row r="319" spans="2:2">
      <c r="B319" t="s">
        <v>823</v>
      </c>
    </row>
    <row r="320" spans="2:2">
      <c r="B320" t="s">
        <v>945</v>
      </c>
    </row>
    <row r="321" spans="2:2">
      <c r="B321" t="s">
        <v>960</v>
      </c>
    </row>
    <row r="322" spans="2:2">
      <c r="B322" t="s">
        <v>943</v>
      </c>
    </row>
    <row r="323" spans="2:2">
      <c r="B323" t="s">
        <v>961</v>
      </c>
    </row>
    <row r="324" spans="2:2">
      <c r="B324" t="s">
        <v>823</v>
      </c>
    </row>
    <row r="325" spans="2:2">
      <c r="B325" t="s">
        <v>945</v>
      </c>
    </row>
    <row r="326" spans="2:2">
      <c r="B326" t="s">
        <v>962</v>
      </c>
    </row>
    <row r="327" spans="2:2">
      <c r="B327" t="s">
        <v>943</v>
      </c>
    </row>
    <row r="328" spans="2:2">
      <c r="B328" t="s">
        <v>963</v>
      </c>
    </row>
    <row r="329" spans="2:2">
      <c r="B329" t="s">
        <v>823</v>
      </c>
    </row>
    <row r="330" spans="2:2">
      <c r="B330" t="s">
        <v>945</v>
      </c>
    </row>
    <row r="331" spans="2:2">
      <c r="B331" t="s">
        <v>964</v>
      </c>
    </row>
    <row r="332" spans="2:2">
      <c r="B332" t="s">
        <v>943</v>
      </c>
    </row>
    <row r="333" spans="2:2">
      <c r="B333" t="s">
        <v>965</v>
      </c>
    </row>
    <row r="334" spans="2:2">
      <c r="B334" t="s">
        <v>823</v>
      </c>
    </row>
    <row r="335" spans="2:2">
      <c r="B335" t="s">
        <v>945</v>
      </c>
    </row>
    <row r="336" spans="2:2">
      <c r="B336" t="s">
        <v>966</v>
      </c>
    </row>
    <row r="337" spans="2:2">
      <c r="B337" t="s">
        <v>943</v>
      </c>
    </row>
    <row r="338" spans="2:2">
      <c r="B338" t="s">
        <v>967</v>
      </c>
    </row>
    <row r="339" spans="2:2">
      <c r="B339" t="s">
        <v>823</v>
      </c>
    </row>
    <row r="340" spans="2:2">
      <c r="B340" t="s">
        <v>945</v>
      </c>
    </row>
    <row r="341" spans="2:2">
      <c r="B341" t="s">
        <v>968</v>
      </c>
    </row>
    <row r="342" spans="2:2">
      <c r="B342" t="s">
        <v>943</v>
      </c>
    </row>
    <row r="343" spans="2:2">
      <c r="B343" t="s">
        <v>969</v>
      </c>
    </row>
    <row r="344" spans="2:2">
      <c r="B344" t="s">
        <v>823</v>
      </c>
    </row>
    <row r="345" spans="2:2">
      <c r="B345" t="s">
        <v>945</v>
      </c>
    </row>
    <row r="346" spans="2:2">
      <c r="B346" t="s">
        <v>970</v>
      </c>
    </row>
    <row r="347" spans="2:2">
      <c r="B347" t="s">
        <v>943</v>
      </c>
    </row>
    <row r="348" spans="2:2">
      <c r="B348" t="s">
        <v>971</v>
      </c>
    </row>
    <row r="349" spans="2:2">
      <c r="B349" t="s">
        <v>823</v>
      </c>
    </row>
    <row r="350" spans="2:2">
      <c r="B350" t="s">
        <v>945</v>
      </c>
    </row>
    <row r="351" spans="2:2">
      <c r="B351" t="s">
        <v>972</v>
      </c>
    </row>
    <row r="352" spans="2:2">
      <c r="B352" t="s">
        <v>943</v>
      </c>
    </row>
    <row r="353" spans="2:2">
      <c r="B353" t="s">
        <v>973</v>
      </c>
    </row>
    <row r="354" spans="2:2">
      <c r="B354" t="s">
        <v>823</v>
      </c>
    </row>
    <row r="355" spans="2:2">
      <c r="B355" t="s">
        <v>945</v>
      </c>
    </row>
    <row r="356" spans="2:2">
      <c r="B356" t="s">
        <v>974</v>
      </c>
    </row>
    <row r="357" spans="2:2">
      <c r="B357" t="s">
        <v>943</v>
      </c>
    </row>
    <row r="358" spans="2:2">
      <c r="B358" t="s">
        <v>975</v>
      </c>
    </row>
    <row r="359" spans="2:2">
      <c r="B359" t="s">
        <v>823</v>
      </c>
    </row>
    <row r="360" spans="2:2">
      <c r="B360" t="s">
        <v>945</v>
      </c>
    </row>
    <row r="361" spans="2:2">
      <c r="B361" t="s">
        <v>976</v>
      </c>
    </row>
    <row r="362" spans="2:2">
      <c r="B362" t="s">
        <v>943</v>
      </c>
    </row>
    <row r="363" spans="2:2">
      <c r="B363" t="s">
        <v>977</v>
      </c>
    </row>
    <row r="364" spans="2:2">
      <c r="B364" t="s">
        <v>823</v>
      </c>
    </row>
    <row r="365" spans="2:2">
      <c r="B365" t="s">
        <v>945</v>
      </c>
    </row>
    <row r="366" spans="2:2">
      <c r="B366" t="s">
        <v>978</v>
      </c>
    </row>
    <row r="367" spans="2:2">
      <c r="B367" t="s">
        <v>943</v>
      </c>
    </row>
    <row r="368" spans="2:2">
      <c r="B368" t="s">
        <v>979</v>
      </c>
    </row>
    <row r="369" spans="2:2">
      <c r="B369" t="s">
        <v>823</v>
      </c>
    </row>
    <row r="370" spans="2:2">
      <c r="B370" t="s">
        <v>945</v>
      </c>
    </row>
    <row r="371" spans="2:2">
      <c r="B371" t="s">
        <v>980</v>
      </c>
    </row>
    <row r="372" spans="2:2">
      <c r="B372" t="s">
        <v>943</v>
      </c>
    </row>
    <row r="373" spans="2:2">
      <c r="B373" t="s">
        <v>981</v>
      </c>
    </row>
    <row r="374" spans="2:2">
      <c r="B374" t="s">
        <v>823</v>
      </c>
    </row>
    <row r="375" spans="2:2">
      <c r="B375" t="s">
        <v>945</v>
      </c>
    </row>
    <row r="376" spans="2:2">
      <c r="B376" t="s">
        <v>982</v>
      </c>
    </row>
    <row r="377" spans="2:2">
      <c r="B377" t="s">
        <v>943</v>
      </c>
    </row>
    <row r="378" spans="2:2">
      <c r="B378" t="s">
        <v>983</v>
      </c>
    </row>
    <row r="379" spans="2:2">
      <c r="B379" t="s">
        <v>823</v>
      </c>
    </row>
    <row r="380" spans="2:2">
      <c r="B380" t="s">
        <v>945</v>
      </c>
    </row>
    <row r="381" spans="2:2">
      <c r="B381" t="s">
        <v>984</v>
      </c>
    </row>
    <row r="382" spans="2:2">
      <c r="B382" t="s">
        <v>943</v>
      </c>
    </row>
    <row r="383" spans="2:2">
      <c r="B383" t="s">
        <v>985</v>
      </c>
    </row>
    <row r="384" spans="2:2">
      <c r="B384" t="s">
        <v>823</v>
      </c>
    </row>
    <row r="385" spans="2:2">
      <c r="B385" t="s">
        <v>945</v>
      </c>
    </row>
    <row r="386" spans="2:2">
      <c r="B386" t="s">
        <v>986</v>
      </c>
    </row>
    <row r="387" spans="2:2">
      <c r="B387" t="s">
        <v>943</v>
      </c>
    </row>
    <row r="388" spans="2:2">
      <c r="B388" t="s">
        <v>987</v>
      </c>
    </row>
    <row r="389" spans="2:2">
      <c r="B389" t="s">
        <v>823</v>
      </c>
    </row>
    <row r="390" spans="2:2">
      <c r="B390" t="s">
        <v>945</v>
      </c>
    </row>
    <row r="391" spans="2:2">
      <c r="B391" t="s">
        <v>988</v>
      </c>
    </row>
    <row r="392" spans="2:2">
      <c r="B392" t="s">
        <v>943</v>
      </c>
    </row>
    <row r="393" spans="2:2">
      <c r="B393" t="s">
        <v>989</v>
      </c>
    </row>
    <row r="394" spans="2:2">
      <c r="B394" t="s">
        <v>823</v>
      </c>
    </row>
    <row r="395" spans="2:2">
      <c r="B395" t="s">
        <v>945</v>
      </c>
    </row>
    <row r="396" spans="2:2">
      <c r="B396" t="s">
        <v>990</v>
      </c>
    </row>
    <row r="397" spans="2:2">
      <c r="B397" t="s">
        <v>943</v>
      </c>
    </row>
    <row r="398" spans="2:2">
      <c r="B398" t="s">
        <v>991</v>
      </c>
    </row>
    <row r="399" spans="2:2">
      <c r="B399" t="s">
        <v>823</v>
      </c>
    </row>
    <row r="400" spans="2:2">
      <c r="B400" t="s">
        <v>945</v>
      </c>
    </row>
    <row r="401" spans="2:2">
      <c r="B401" t="s">
        <v>992</v>
      </c>
    </row>
    <row r="402" spans="2:2">
      <c r="B402" t="s">
        <v>943</v>
      </c>
    </row>
    <row r="403" spans="2:2">
      <c r="B403" t="s">
        <v>993</v>
      </c>
    </row>
    <row r="404" spans="2:2">
      <c r="B404" t="s">
        <v>823</v>
      </c>
    </row>
    <row r="405" spans="2:2">
      <c r="B405" t="s">
        <v>945</v>
      </c>
    </row>
    <row r="406" spans="2:2">
      <c r="B406" t="s">
        <v>994</v>
      </c>
    </row>
    <row r="407" spans="2:2">
      <c r="B407" t="s">
        <v>943</v>
      </c>
    </row>
    <row r="408" spans="2:2">
      <c r="B408" t="s">
        <v>995</v>
      </c>
    </row>
    <row r="409" spans="2:2">
      <c r="B409" t="s">
        <v>823</v>
      </c>
    </row>
    <row r="410" spans="2:2">
      <c r="B410" t="s">
        <v>945</v>
      </c>
    </row>
    <row r="411" spans="2:2">
      <c r="B411" t="s">
        <v>996</v>
      </c>
    </row>
    <row r="412" spans="2:2">
      <c r="B412" t="s">
        <v>943</v>
      </c>
    </row>
    <row r="413" spans="2:2">
      <c r="B413" t="s">
        <v>997</v>
      </c>
    </row>
    <row r="414" spans="2:2">
      <c r="B414" t="s">
        <v>823</v>
      </c>
    </row>
    <row r="415" spans="2:2">
      <c r="B415" t="s">
        <v>945</v>
      </c>
    </row>
    <row r="416" spans="2:2">
      <c r="B416" t="s">
        <v>998</v>
      </c>
    </row>
    <row r="417" spans="2:2">
      <c r="B417" t="s">
        <v>943</v>
      </c>
    </row>
    <row r="418" spans="2:2">
      <c r="B418" t="s">
        <v>999</v>
      </c>
    </row>
    <row r="419" spans="2:2">
      <c r="B419" t="s">
        <v>823</v>
      </c>
    </row>
    <row r="420" spans="2:2">
      <c r="B420" t="s">
        <v>945</v>
      </c>
    </row>
    <row r="421" spans="2:2">
      <c r="B421" t="s">
        <v>1000</v>
      </c>
    </row>
    <row r="422" spans="2:2">
      <c r="B422" t="s">
        <v>943</v>
      </c>
    </row>
    <row r="423" spans="2:2">
      <c r="B423" t="s">
        <v>1001</v>
      </c>
    </row>
    <row r="424" spans="2:2">
      <c r="B424" t="s">
        <v>823</v>
      </c>
    </row>
    <row r="425" spans="2:2">
      <c r="B425" t="s">
        <v>945</v>
      </c>
    </row>
    <row r="426" spans="2:2">
      <c r="B426" t="s">
        <v>1002</v>
      </c>
    </row>
    <row r="427" spans="2:2">
      <c r="B427" t="s">
        <v>943</v>
      </c>
    </row>
    <row r="428" spans="2:2">
      <c r="B428" t="s">
        <v>1003</v>
      </c>
    </row>
    <row r="429" spans="2:2">
      <c r="B429" t="s">
        <v>823</v>
      </c>
    </row>
    <row r="430" spans="2:2">
      <c r="B430" t="s">
        <v>945</v>
      </c>
    </row>
    <row r="431" spans="2:2">
      <c r="B431" t="s">
        <v>1004</v>
      </c>
    </row>
    <row r="432" spans="2:2">
      <c r="B432" t="s">
        <v>2060</v>
      </c>
    </row>
    <row r="433" spans="2:2">
      <c r="B433" t="s">
        <v>2061</v>
      </c>
    </row>
    <row r="434" spans="2:2">
      <c r="B434" t="s">
        <v>2062</v>
      </c>
    </row>
    <row r="435" spans="2:2">
      <c r="B435" t="s">
        <v>2063</v>
      </c>
    </row>
    <row r="436" spans="2:2">
      <c r="B436" t="s">
        <v>2064</v>
      </c>
    </row>
    <row r="437" spans="2:2">
      <c r="B437" t="s">
        <v>2065</v>
      </c>
    </row>
    <row r="438" spans="2:2">
      <c r="B438" t="s">
        <v>2066</v>
      </c>
    </row>
    <row r="439" spans="2:2">
      <c r="B439" t="s">
        <v>2067</v>
      </c>
    </row>
    <row r="440" spans="2:2">
      <c r="B440" t="s">
        <v>2068</v>
      </c>
    </row>
    <row r="441" spans="2:2">
      <c r="B441" t="s">
        <v>2069</v>
      </c>
    </row>
    <row r="442" spans="2:2">
      <c r="B442" t="s">
        <v>2070</v>
      </c>
    </row>
    <row r="443" spans="2:2">
      <c r="B443" t="s">
        <v>2071</v>
      </c>
    </row>
    <row r="444" spans="2:2">
      <c r="B444" t="s">
        <v>2072</v>
      </c>
    </row>
    <row r="445" spans="2:2">
      <c r="B445" t="s">
        <v>2073</v>
      </c>
    </row>
    <row r="446" spans="2:2">
      <c r="B446" t="s">
        <v>2074</v>
      </c>
    </row>
    <row r="447" spans="2:2">
      <c r="B447" t="s">
        <v>2075</v>
      </c>
    </row>
    <row r="448" spans="2:2">
      <c r="B448" t="s">
        <v>2076</v>
      </c>
    </row>
    <row r="449" spans="2:2">
      <c r="B449" t="s">
        <v>2077</v>
      </c>
    </row>
    <row r="450" spans="2:2">
      <c r="B450" t="s">
        <v>2078</v>
      </c>
    </row>
    <row r="451" spans="2:2">
      <c r="B451" t="s">
        <v>2079</v>
      </c>
    </row>
    <row r="452" spans="2:2">
      <c r="B452" t="s">
        <v>2080</v>
      </c>
    </row>
    <row r="453" spans="2:2">
      <c r="B453" t="s">
        <v>2081</v>
      </c>
    </row>
    <row r="454" spans="2:2">
      <c r="B454" t="s">
        <v>2082</v>
      </c>
    </row>
    <row r="455" spans="2:2">
      <c r="B455" t="s">
        <v>2083</v>
      </c>
    </row>
    <row r="456" spans="2:2">
      <c r="B456" t="s">
        <v>2084</v>
      </c>
    </row>
    <row r="457" spans="2:2">
      <c r="B457" t="s">
        <v>2085</v>
      </c>
    </row>
    <row r="458" spans="2:2">
      <c r="B458" t="s">
        <v>2086</v>
      </c>
    </row>
    <row r="459" spans="2:2">
      <c r="B459" t="s">
        <v>2087</v>
      </c>
    </row>
    <row r="460" spans="2:2">
      <c r="B460" t="s">
        <v>2088</v>
      </c>
    </row>
    <row r="461" spans="2:2">
      <c r="B461" t="s">
        <v>2089</v>
      </c>
    </row>
    <row r="462" spans="2:2">
      <c r="B462" t="s">
        <v>2090</v>
      </c>
    </row>
    <row r="463" spans="2:2">
      <c r="B463" t="s">
        <v>2091</v>
      </c>
    </row>
    <row r="464" spans="2:2">
      <c r="B464" t="s">
        <v>1037</v>
      </c>
    </row>
    <row r="465" spans="2:2">
      <c r="B465" t="s">
        <v>2092</v>
      </c>
    </row>
    <row r="466" spans="2:2">
      <c r="B466" t="s">
        <v>2093</v>
      </c>
    </row>
    <row r="467" spans="2:2">
      <c r="B467" t="s">
        <v>2094</v>
      </c>
    </row>
    <row r="468" spans="2:2">
      <c r="B468" t="s">
        <v>2095</v>
      </c>
    </row>
    <row r="469" spans="2:2">
      <c r="B469" t="s">
        <v>2096</v>
      </c>
    </row>
    <row r="470" spans="2:2">
      <c r="B470" t="s">
        <v>2097</v>
      </c>
    </row>
    <row r="471" spans="2:2">
      <c r="B471" t="s">
        <v>2098</v>
      </c>
    </row>
    <row r="472" spans="2:2">
      <c r="B472" t="s">
        <v>2099</v>
      </c>
    </row>
    <row r="473" spans="2:2">
      <c r="B473" t="s">
        <v>2100</v>
      </c>
    </row>
    <row r="474" spans="2:2">
      <c r="B474" t="s">
        <v>2101</v>
      </c>
    </row>
    <row r="475" spans="2:2">
      <c r="B475" t="s">
        <v>2102</v>
      </c>
    </row>
    <row r="476" spans="2:2">
      <c r="B476" t="s">
        <v>2103</v>
      </c>
    </row>
    <row r="477" spans="2:2">
      <c r="B477" t="s">
        <v>2104</v>
      </c>
    </row>
    <row r="478" spans="2:2">
      <c r="B478" t="s">
        <v>2105</v>
      </c>
    </row>
    <row r="479" spans="2:2">
      <c r="B479" t="s">
        <v>2106</v>
      </c>
    </row>
    <row r="480" spans="2:2">
      <c r="B480" t="s">
        <v>2107</v>
      </c>
    </row>
    <row r="481" spans="2:2">
      <c r="B481" t="s">
        <v>2108</v>
      </c>
    </row>
    <row r="482" spans="2:2">
      <c r="B482" t="s">
        <v>2109</v>
      </c>
    </row>
    <row r="483" spans="2:2">
      <c r="B483" t="s">
        <v>2110</v>
      </c>
    </row>
    <row r="484" spans="2:2">
      <c r="B484" t="s">
        <v>2111</v>
      </c>
    </row>
    <row r="485" spans="2:2">
      <c r="B485" t="s">
        <v>2112</v>
      </c>
    </row>
    <row r="486" spans="2:2">
      <c r="B486" t="s">
        <v>2113</v>
      </c>
    </row>
    <row r="487" spans="2:2">
      <c r="B487" t="s">
        <v>2114</v>
      </c>
    </row>
    <row r="488" spans="2:2">
      <c r="B488" t="s">
        <v>2115</v>
      </c>
    </row>
    <row r="489" spans="2:2">
      <c r="B489" t="s">
        <v>2116</v>
      </c>
    </row>
    <row r="490" spans="2:2">
      <c r="B490" t="s">
        <v>2117</v>
      </c>
    </row>
    <row r="491" spans="2:2">
      <c r="B491" t="s">
        <v>2118</v>
      </c>
    </row>
    <row r="492" spans="2:2">
      <c r="B492" t="s">
        <v>2119</v>
      </c>
    </row>
    <row r="493" spans="2:2">
      <c r="B493" t="s">
        <v>2120</v>
      </c>
    </row>
    <row r="494" spans="2:2">
      <c r="B494" t="s">
        <v>2121</v>
      </c>
    </row>
    <row r="495" spans="2:2">
      <c r="B495" t="s">
        <v>2122</v>
      </c>
    </row>
    <row r="496" spans="2:2">
      <c r="B496" t="s">
        <v>1037</v>
      </c>
    </row>
    <row r="497" spans="2:2">
      <c r="B497" t="s">
        <v>2123</v>
      </c>
    </row>
    <row r="498" spans="2:2">
      <c r="B498" t="s">
        <v>2124</v>
      </c>
    </row>
    <row r="499" spans="2:2">
      <c r="B499" t="s">
        <v>2125</v>
      </c>
    </row>
    <row r="500" spans="2:2">
      <c r="B500" t="s">
        <v>2126</v>
      </c>
    </row>
    <row r="501" spans="2:2">
      <c r="B501" t="s">
        <v>2127</v>
      </c>
    </row>
    <row r="502" spans="2:2">
      <c r="B502" t="s">
        <v>2128</v>
      </c>
    </row>
    <row r="503" spans="2:2">
      <c r="B503" t="s">
        <v>2129</v>
      </c>
    </row>
    <row r="504" spans="2:2">
      <c r="B504" t="s">
        <v>2130</v>
      </c>
    </row>
    <row r="505" spans="2:2">
      <c r="B505" t="s">
        <v>2131</v>
      </c>
    </row>
    <row r="506" spans="2:2">
      <c r="B506" t="s">
        <v>2132</v>
      </c>
    </row>
    <row r="507" spans="2:2">
      <c r="B507" t="s">
        <v>2133</v>
      </c>
    </row>
    <row r="508" spans="2:2">
      <c r="B508" t="s">
        <v>2134</v>
      </c>
    </row>
    <row r="509" spans="2:2">
      <c r="B509" t="s">
        <v>2135</v>
      </c>
    </row>
    <row r="510" spans="2:2">
      <c r="B510" t="s">
        <v>2136</v>
      </c>
    </row>
    <row r="511" spans="2:2">
      <c r="B511" t="s">
        <v>2137</v>
      </c>
    </row>
    <row r="512" spans="2:2">
      <c r="B512" t="s">
        <v>2138</v>
      </c>
    </row>
    <row r="513" spans="2:2">
      <c r="B513" t="s">
        <v>2139</v>
      </c>
    </row>
    <row r="514" spans="2:2">
      <c r="B514" t="s">
        <v>2140</v>
      </c>
    </row>
    <row r="515" spans="2:2">
      <c r="B515" t="s">
        <v>2141</v>
      </c>
    </row>
    <row r="516" spans="2:2">
      <c r="B516" t="s">
        <v>2142</v>
      </c>
    </row>
    <row r="517" spans="2:2">
      <c r="B517" t="s">
        <v>2143</v>
      </c>
    </row>
    <row r="518" spans="2:2">
      <c r="B518" t="s">
        <v>2144</v>
      </c>
    </row>
    <row r="519" spans="2:2">
      <c r="B519" t="s">
        <v>2145</v>
      </c>
    </row>
    <row r="520" spans="2:2">
      <c r="B520" t="s">
        <v>2146</v>
      </c>
    </row>
    <row r="521" spans="2:2">
      <c r="B521" t="s">
        <v>2147</v>
      </c>
    </row>
    <row r="522" spans="2:2">
      <c r="B522" t="s">
        <v>2148</v>
      </c>
    </row>
    <row r="523" spans="2:2">
      <c r="B523" t="s">
        <v>2149</v>
      </c>
    </row>
    <row r="524" spans="2:2">
      <c r="B524" t="s">
        <v>2150</v>
      </c>
    </row>
    <row r="525" spans="2:2">
      <c r="B525" t="s">
        <v>2151</v>
      </c>
    </row>
    <row r="526" spans="2:2">
      <c r="B526" t="s">
        <v>2152</v>
      </c>
    </row>
    <row r="527" spans="2:2">
      <c r="B527" t="s">
        <v>2153</v>
      </c>
    </row>
    <row r="528" spans="2:2">
      <c r="B528" t="s">
        <v>1037</v>
      </c>
    </row>
    <row r="529" spans="2:2">
      <c r="B529" t="s">
        <v>2154</v>
      </c>
    </row>
    <row r="530" spans="2:2">
      <c r="B530" t="s">
        <v>2155</v>
      </c>
    </row>
    <row r="531" spans="2:2">
      <c r="B531" t="s">
        <v>2156</v>
      </c>
    </row>
    <row r="532" spans="2:2">
      <c r="B532" t="s">
        <v>2157</v>
      </c>
    </row>
    <row r="533" spans="2:2">
      <c r="B533" t="s">
        <v>2158</v>
      </c>
    </row>
    <row r="534" spans="2:2">
      <c r="B534" t="s">
        <v>2159</v>
      </c>
    </row>
    <row r="535" spans="2:2">
      <c r="B535" t="s">
        <v>2160</v>
      </c>
    </row>
    <row r="536" spans="2:2">
      <c r="B536" t="s">
        <v>2161</v>
      </c>
    </row>
    <row r="537" spans="2:2">
      <c r="B537" t="s">
        <v>2162</v>
      </c>
    </row>
    <row r="538" spans="2:2">
      <c r="B538" t="s">
        <v>2163</v>
      </c>
    </row>
    <row r="539" spans="2:2">
      <c r="B539" t="s">
        <v>2164</v>
      </c>
    </row>
    <row r="540" spans="2:2">
      <c r="B540" t="s">
        <v>2165</v>
      </c>
    </row>
    <row r="541" spans="2:2">
      <c r="B541" t="s">
        <v>2166</v>
      </c>
    </row>
    <row r="542" spans="2:2">
      <c r="B542" t="s">
        <v>2167</v>
      </c>
    </row>
    <row r="543" spans="2:2">
      <c r="B543" t="s">
        <v>2168</v>
      </c>
    </row>
    <row r="544" spans="2:2">
      <c r="B544" t="s">
        <v>2169</v>
      </c>
    </row>
    <row r="545" spans="2:2">
      <c r="B545" t="s">
        <v>2170</v>
      </c>
    </row>
    <row r="546" spans="2:2">
      <c r="B546" t="s">
        <v>2171</v>
      </c>
    </row>
    <row r="547" spans="2:2">
      <c r="B547" t="s">
        <v>2172</v>
      </c>
    </row>
    <row r="548" spans="2:2">
      <c r="B548" t="s">
        <v>2173</v>
      </c>
    </row>
    <row r="549" spans="2:2">
      <c r="B549" t="s">
        <v>2174</v>
      </c>
    </row>
    <row r="550" spans="2:2">
      <c r="B550" t="s">
        <v>2175</v>
      </c>
    </row>
    <row r="551" spans="2:2">
      <c r="B551" t="s">
        <v>2176</v>
      </c>
    </row>
    <row r="552" spans="2:2">
      <c r="B552" t="s">
        <v>2177</v>
      </c>
    </row>
    <row r="553" spans="2:2">
      <c r="B553" t="s">
        <v>2178</v>
      </c>
    </row>
    <row r="554" spans="2:2">
      <c r="B554" t="s">
        <v>2179</v>
      </c>
    </row>
    <row r="555" spans="2:2">
      <c r="B555" t="s">
        <v>2180</v>
      </c>
    </row>
    <row r="556" spans="2:2">
      <c r="B556" t="s">
        <v>2181</v>
      </c>
    </row>
    <row r="557" spans="2:2">
      <c r="B557" t="s">
        <v>2182</v>
      </c>
    </row>
    <row r="558" spans="2:2">
      <c r="B558" t="s">
        <v>2183</v>
      </c>
    </row>
    <row r="559" spans="2:2">
      <c r="B559" t="s">
        <v>2184</v>
      </c>
    </row>
    <row r="560" spans="2:2">
      <c r="B560" t="s">
        <v>1037</v>
      </c>
    </row>
    <row r="561" spans="2:2">
      <c r="B561" t="s">
        <v>2185</v>
      </c>
    </row>
    <row r="562" spans="2:2">
      <c r="B562" t="s">
        <v>2186</v>
      </c>
    </row>
    <row r="563" spans="2:2">
      <c r="B563" t="s">
        <v>2187</v>
      </c>
    </row>
    <row r="564" spans="2:2">
      <c r="B564" t="s">
        <v>2188</v>
      </c>
    </row>
    <row r="565" spans="2:2">
      <c r="B565" t="s">
        <v>2189</v>
      </c>
    </row>
    <row r="566" spans="2:2">
      <c r="B566" t="s">
        <v>2190</v>
      </c>
    </row>
    <row r="567" spans="2:2">
      <c r="B567" t="s">
        <v>2191</v>
      </c>
    </row>
    <row r="568" spans="2:2">
      <c r="B568" t="s">
        <v>2192</v>
      </c>
    </row>
    <row r="569" spans="2:2">
      <c r="B569" t="s">
        <v>2193</v>
      </c>
    </row>
    <row r="570" spans="2:2">
      <c r="B570" t="s">
        <v>2194</v>
      </c>
    </row>
    <row r="571" spans="2:2">
      <c r="B571" t="s">
        <v>2195</v>
      </c>
    </row>
    <row r="572" spans="2:2">
      <c r="B572" t="s">
        <v>2196</v>
      </c>
    </row>
    <row r="573" spans="2:2">
      <c r="B573" t="s">
        <v>2197</v>
      </c>
    </row>
    <row r="574" spans="2:2">
      <c r="B574" t="s">
        <v>2198</v>
      </c>
    </row>
    <row r="575" spans="2:2">
      <c r="B575" t="s">
        <v>2199</v>
      </c>
    </row>
    <row r="576" spans="2:2">
      <c r="B576" t="s">
        <v>2200</v>
      </c>
    </row>
    <row r="577" spans="2:2">
      <c r="B577" t="s">
        <v>2201</v>
      </c>
    </row>
    <row r="578" spans="2:2">
      <c r="B578" t="s">
        <v>2202</v>
      </c>
    </row>
    <row r="579" spans="2:2">
      <c r="B579" t="s">
        <v>2203</v>
      </c>
    </row>
    <row r="580" spans="2:2">
      <c r="B580" t="s">
        <v>2204</v>
      </c>
    </row>
    <row r="581" spans="2:2">
      <c r="B581" t="s">
        <v>2205</v>
      </c>
    </row>
    <row r="582" spans="2:2">
      <c r="B582" t="s">
        <v>2206</v>
      </c>
    </row>
    <row r="583" spans="2:2">
      <c r="B583" t="s">
        <v>2207</v>
      </c>
    </row>
    <row r="584" spans="2:2">
      <c r="B584" t="s">
        <v>2208</v>
      </c>
    </row>
    <row r="585" spans="2:2">
      <c r="B585" t="s">
        <v>2209</v>
      </c>
    </row>
    <row r="586" spans="2:2">
      <c r="B586" t="s">
        <v>2210</v>
      </c>
    </row>
    <row r="587" spans="2:2">
      <c r="B587" t="s">
        <v>2211</v>
      </c>
    </row>
    <row r="588" spans="2:2">
      <c r="B588" t="s">
        <v>2212</v>
      </c>
    </row>
    <row r="589" spans="2:2">
      <c r="B589" t="s">
        <v>2213</v>
      </c>
    </row>
    <row r="590" spans="2:2">
      <c r="B590" t="s">
        <v>2214</v>
      </c>
    </row>
    <row r="591" spans="2:2">
      <c r="B591" t="s">
        <v>2215</v>
      </c>
    </row>
    <row r="592" spans="2:2">
      <c r="B592" t="s">
        <v>1037</v>
      </c>
    </row>
    <row r="593" spans="2:2">
      <c r="B593" t="s">
        <v>2216</v>
      </c>
    </row>
    <row r="594" spans="2:2">
      <c r="B594" t="s">
        <v>2217</v>
      </c>
    </row>
    <row r="595" spans="2:2">
      <c r="B595" t="s">
        <v>2218</v>
      </c>
    </row>
    <row r="596" spans="2:2">
      <c r="B596" t="s">
        <v>2219</v>
      </c>
    </row>
    <row r="597" spans="2:2">
      <c r="B597" t="s">
        <v>2220</v>
      </c>
    </row>
    <row r="598" spans="2:2">
      <c r="B598" t="s">
        <v>2221</v>
      </c>
    </row>
    <row r="599" spans="2:2">
      <c r="B599" t="s">
        <v>2222</v>
      </c>
    </row>
    <row r="600" spans="2:2">
      <c r="B600" t="s">
        <v>2223</v>
      </c>
    </row>
    <row r="601" spans="2:2">
      <c r="B601" t="s">
        <v>2224</v>
      </c>
    </row>
    <row r="602" spans="2:2">
      <c r="B602" t="s">
        <v>2225</v>
      </c>
    </row>
    <row r="603" spans="2:2">
      <c r="B603" t="s">
        <v>2226</v>
      </c>
    </row>
    <row r="604" spans="2:2">
      <c r="B604" t="s">
        <v>2227</v>
      </c>
    </row>
    <row r="605" spans="2:2">
      <c r="B605" t="s">
        <v>2228</v>
      </c>
    </row>
    <row r="606" spans="2:2">
      <c r="B606" t="s">
        <v>2229</v>
      </c>
    </row>
    <row r="607" spans="2:2">
      <c r="B607" t="s">
        <v>2230</v>
      </c>
    </row>
    <row r="608" spans="2:2">
      <c r="B608" t="s">
        <v>2231</v>
      </c>
    </row>
    <row r="609" spans="2:2">
      <c r="B609" t="s">
        <v>2232</v>
      </c>
    </row>
    <row r="610" spans="2:2">
      <c r="B610" t="s">
        <v>2233</v>
      </c>
    </row>
    <row r="611" spans="2:2">
      <c r="B611" t="s">
        <v>2234</v>
      </c>
    </row>
    <row r="612" spans="2:2">
      <c r="B612" t="s">
        <v>2235</v>
      </c>
    </row>
    <row r="613" spans="2:2">
      <c r="B613" t="s">
        <v>2236</v>
      </c>
    </row>
    <row r="614" spans="2:2">
      <c r="B614" t="s">
        <v>2237</v>
      </c>
    </row>
    <row r="615" spans="2:2">
      <c r="B615" t="s">
        <v>2238</v>
      </c>
    </row>
    <row r="616" spans="2:2">
      <c r="B616" t="s">
        <v>2239</v>
      </c>
    </row>
    <row r="617" spans="2:2">
      <c r="B617" t="s">
        <v>2240</v>
      </c>
    </row>
    <row r="618" spans="2:2">
      <c r="B618" t="s">
        <v>2241</v>
      </c>
    </row>
    <row r="619" spans="2:2">
      <c r="B619" t="s">
        <v>2242</v>
      </c>
    </row>
    <row r="620" spans="2:2">
      <c r="B620" t="s">
        <v>2243</v>
      </c>
    </row>
    <row r="621" spans="2:2">
      <c r="B621" t="s">
        <v>2244</v>
      </c>
    </row>
    <row r="622" spans="2:2">
      <c r="B622" t="s">
        <v>2245</v>
      </c>
    </row>
    <row r="623" spans="2:2">
      <c r="B623" t="s">
        <v>2246</v>
      </c>
    </row>
    <row r="624" spans="2:2">
      <c r="B624" t="s">
        <v>1037</v>
      </c>
    </row>
    <row r="625" spans="2:2">
      <c r="B625" t="s">
        <v>2247</v>
      </c>
    </row>
    <row r="626" spans="2:2">
      <c r="B626" t="s">
        <v>2248</v>
      </c>
    </row>
    <row r="627" spans="2:2">
      <c r="B627" t="s">
        <v>2249</v>
      </c>
    </row>
    <row r="628" spans="2:2">
      <c r="B628" t="s">
        <v>2250</v>
      </c>
    </row>
    <row r="629" spans="2:2">
      <c r="B629" t="s">
        <v>2251</v>
      </c>
    </row>
    <row r="630" spans="2:2">
      <c r="B630" t="s">
        <v>2252</v>
      </c>
    </row>
    <row r="631" spans="2:2">
      <c r="B631" t="s">
        <v>2253</v>
      </c>
    </row>
    <row r="632" spans="2:2">
      <c r="B632" t="s">
        <v>2254</v>
      </c>
    </row>
    <row r="633" spans="2:2">
      <c r="B633" t="s">
        <v>2255</v>
      </c>
    </row>
    <row r="634" spans="2:2">
      <c r="B634" t="s">
        <v>2256</v>
      </c>
    </row>
    <row r="635" spans="2:2">
      <c r="B635" t="s">
        <v>2257</v>
      </c>
    </row>
    <row r="636" spans="2:2">
      <c r="B636" t="s">
        <v>2258</v>
      </c>
    </row>
    <row r="637" spans="2:2">
      <c r="B637" t="s">
        <v>2259</v>
      </c>
    </row>
    <row r="638" spans="2:2">
      <c r="B638" t="s">
        <v>2260</v>
      </c>
    </row>
    <row r="639" spans="2:2">
      <c r="B639" t="s">
        <v>2261</v>
      </c>
    </row>
    <row r="640" spans="2:2">
      <c r="B640" t="s">
        <v>2262</v>
      </c>
    </row>
    <row r="641" spans="2:2">
      <c r="B641" t="s">
        <v>2263</v>
      </c>
    </row>
    <row r="642" spans="2:2">
      <c r="B642" t="s">
        <v>2264</v>
      </c>
    </row>
    <row r="643" spans="2:2">
      <c r="B643" t="s">
        <v>2265</v>
      </c>
    </row>
    <row r="644" spans="2:2">
      <c r="B644" t="s">
        <v>2266</v>
      </c>
    </row>
    <row r="645" spans="2:2">
      <c r="B645" t="s">
        <v>2267</v>
      </c>
    </row>
    <row r="646" spans="2:2">
      <c r="B646" t="s">
        <v>2268</v>
      </c>
    </row>
    <row r="647" spans="2:2">
      <c r="B647" t="s">
        <v>2269</v>
      </c>
    </row>
    <row r="648" spans="2:2">
      <c r="B648" t="s">
        <v>2270</v>
      </c>
    </row>
    <row r="649" spans="2:2">
      <c r="B649" t="s">
        <v>2271</v>
      </c>
    </row>
    <row r="650" spans="2:2">
      <c r="B650" t="s">
        <v>2272</v>
      </c>
    </row>
    <row r="651" spans="2:2">
      <c r="B651" t="s">
        <v>2273</v>
      </c>
    </row>
    <row r="652" spans="2:2">
      <c r="B652" t="s">
        <v>2274</v>
      </c>
    </row>
    <row r="653" spans="2:2">
      <c r="B653" t="s">
        <v>2275</v>
      </c>
    </row>
    <row r="654" spans="2:2">
      <c r="B654" t="s">
        <v>2276</v>
      </c>
    </row>
    <row r="655" spans="2:2">
      <c r="B655" t="s">
        <v>2277</v>
      </c>
    </row>
    <row r="656" spans="2:2">
      <c r="B656" t="s">
        <v>1037</v>
      </c>
    </row>
    <row r="657" spans="2:2">
      <c r="B657" t="s">
        <v>2278</v>
      </c>
    </row>
    <row r="658" spans="2:2">
      <c r="B658" t="s">
        <v>2279</v>
      </c>
    </row>
    <row r="659" spans="2:2">
      <c r="B659" t="s">
        <v>2280</v>
      </c>
    </row>
    <row r="660" spans="2:2">
      <c r="B660" t="s">
        <v>2281</v>
      </c>
    </row>
    <row r="661" spans="2:2">
      <c r="B661" t="s">
        <v>2282</v>
      </c>
    </row>
    <row r="662" spans="2:2">
      <c r="B662" t="s">
        <v>2283</v>
      </c>
    </row>
    <row r="663" spans="2:2">
      <c r="B663" t="s">
        <v>2284</v>
      </c>
    </row>
    <row r="664" spans="2:2">
      <c r="B664" t="s">
        <v>2285</v>
      </c>
    </row>
    <row r="665" spans="2:2">
      <c r="B665" t="s">
        <v>2286</v>
      </c>
    </row>
    <row r="666" spans="2:2">
      <c r="B666" t="s">
        <v>2287</v>
      </c>
    </row>
    <row r="667" spans="2:2">
      <c r="B667" t="s">
        <v>2288</v>
      </c>
    </row>
    <row r="668" spans="2:2">
      <c r="B668" t="s">
        <v>2289</v>
      </c>
    </row>
    <row r="669" spans="2:2">
      <c r="B669" t="s">
        <v>2290</v>
      </c>
    </row>
    <row r="670" spans="2:2">
      <c r="B670" t="s">
        <v>2291</v>
      </c>
    </row>
    <row r="671" spans="2:2">
      <c r="B671" t="s">
        <v>2292</v>
      </c>
    </row>
    <row r="672" spans="2:2">
      <c r="B672" t="s">
        <v>2293</v>
      </c>
    </row>
    <row r="673" spans="2:2">
      <c r="B673" t="s">
        <v>2294</v>
      </c>
    </row>
    <row r="674" spans="2:2">
      <c r="B674" t="s">
        <v>2295</v>
      </c>
    </row>
    <row r="675" spans="2:2">
      <c r="B675" t="s">
        <v>2296</v>
      </c>
    </row>
    <row r="676" spans="2:2">
      <c r="B676" t="s">
        <v>2297</v>
      </c>
    </row>
    <row r="677" spans="2:2">
      <c r="B677" t="s">
        <v>2298</v>
      </c>
    </row>
    <row r="678" spans="2:2">
      <c r="B678" t="s">
        <v>2299</v>
      </c>
    </row>
    <row r="679" spans="2:2">
      <c r="B679" t="s">
        <v>2300</v>
      </c>
    </row>
    <row r="680" spans="2:2">
      <c r="B680" t="s">
        <v>2301</v>
      </c>
    </row>
    <row r="681" spans="2:2">
      <c r="B681" t="s">
        <v>2302</v>
      </c>
    </row>
    <row r="682" spans="2:2">
      <c r="B682" t="s">
        <v>2303</v>
      </c>
    </row>
    <row r="683" spans="2:2">
      <c r="B683" t="s">
        <v>2304</v>
      </c>
    </row>
    <row r="684" spans="2:2">
      <c r="B684" t="s">
        <v>2305</v>
      </c>
    </row>
    <row r="685" spans="2:2">
      <c r="B685" t="s">
        <v>2306</v>
      </c>
    </row>
    <row r="686" spans="2:2">
      <c r="B686" t="s">
        <v>2307</v>
      </c>
    </row>
    <row r="687" spans="2:2">
      <c r="B687" t="s">
        <v>2308</v>
      </c>
    </row>
    <row r="688" spans="2:2">
      <c r="B688" t="s">
        <v>1037</v>
      </c>
    </row>
    <row r="689" spans="2:2">
      <c r="B689" t="s">
        <v>2309</v>
      </c>
    </row>
    <row r="690" spans="2:2">
      <c r="B690" t="s">
        <v>2310</v>
      </c>
    </row>
    <row r="691" spans="2:2">
      <c r="B691" t="s">
        <v>2311</v>
      </c>
    </row>
    <row r="692" spans="2:2">
      <c r="B692" t="s">
        <v>2312</v>
      </c>
    </row>
    <row r="693" spans="2:2">
      <c r="B693" t="s">
        <v>2313</v>
      </c>
    </row>
    <row r="694" spans="2:2">
      <c r="B694" t="s">
        <v>2314</v>
      </c>
    </row>
    <row r="695" spans="2:2">
      <c r="B695" t="s">
        <v>2315</v>
      </c>
    </row>
    <row r="696" spans="2:2">
      <c r="B696" t="s">
        <v>2316</v>
      </c>
    </row>
    <row r="697" spans="2:2">
      <c r="B697" t="s">
        <v>2317</v>
      </c>
    </row>
    <row r="698" spans="2:2">
      <c r="B698" t="s">
        <v>2318</v>
      </c>
    </row>
    <row r="699" spans="2:2">
      <c r="B699" t="s">
        <v>2319</v>
      </c>
    </row>
    <row r="700" spans="2:2">
      <c r="B700" t="s">
        <v>2320</v>
      </c>
    </row>
    <row r="701" spans="2:2">
      <c r="B701" t="s">
        <v>2321</v>
      </c>
    </row>
    <row r="702" spans="2:2">
      <c r="B702" t="s">
        <v>2322</v>
      </c>
    </row>
    <row r="703" spans="2:2">
      <c r="B703" t="s">
        <v>2323</v>
      </c>
    </row>
    <row r="704" spans="2:2">
      <c r="B704" t="s">
        <v>2324</v>
      </c>
    </row>
    <row r="705" spans="2:2">
      <c r="B705" t="s">
        <v>2325</v>
      </c>
    </row>
    <row r="706" spans="2:2">
      <c r="B706" t="s">
        <v>2326</v>
      </c>
    </row>
    <row r="707" spans="2:2">
      <c r="B707" t="s">
        <v>2327</v>
      </c>
    </row>
    <row r="708" spans="2:2">
      <c r="B708" t="s">
        <v>2328</v>
      </c>
    </row>
    <row r="709" spans="2:2">
      <c r="B709" t="s">
        <v>2329</v>
      </c>
    </row>
    <row r="710" spans="2:2">
      <c r="B710" t="s">
        <v>2330</v>
      </c>
    </row>
    <row r="711" spans="2:2">
      <c r="B711" t="s">
        <v>2331</v>
      </c>
    </row>
    <row r="712" spans="2:2">
      <c r="B712" t="s">
        <v>2332</v>
      </c>
    </row>
    <row r="713" spans="2:2">
      <c r="B713" t="s">
        <v>2333</v>
      </c>
    </row>
    <row r="714" spans="2:2">
      <c r="B714" t="s">
        <v>2334</v>
      </c>
    </row>
    <row r="715" spans="2:2">
      <c r="B715" t="s">
        <v>2335</v>
      </c>
    </row>
    <row r="716" spans="2:2">
      <c r="B716" t="s">
        <v>2336</v>
      </c>
    </row>
    <row r="717" spans="2:2">
      <c r="B717" t="s">
        <v>2337</v>
      </c>
    </row>
    <row r="718" spans="2:2">
      <c r="B718" t="s">
        <v>2338</v>
      </c>
    </row>
    <row r="719" spans="2:2">
      <c r="B719" t="s">
        <v>2339</v>
      </c>
    </row>
    <row r="720" spans="2:2">
      <c r="B720" t="s">
        <v>1037</v>
      </c>
    </row>
    <row r="721" spans="2:2">
      <c r="B721" t="s">
        <v>2340</v>
      </c>
    </row>
    <row r="722" spans="2:2">
      <c r="B722" t="s">
        <v>2341</v>
      </c>
    </row>
    <row r="723" spans="2:2">
      <c r="B723" t="s">
        <v>2342</v>
      </c>
    </row>
    <row r="724" spans="2:2">
      <c r="B724" t="s">
        <v>2343</v>
      </c>
    </row>
    <row r="725" spans="2:2">
      <c r="B725" t="s">
        <v>2344</v>
      </c>
    </row>
    <row r="726" spans="2:2">
      <c r="B726" t="s">
        <v>2345</v>
      </c>
    </row>
    <row r="727" spans="2:2">
      <c r="B727" t="s">
        <v>2346</v>
      </c>
    </row>
    <row r="728" spans="2:2">
      <c r="B728" t="s">
        <v>2347</v>
      </c>
    </row>
    <row r="729" spans="2:2">
      <c r="B729" t="s">
        <v>2348</v>
      </c>
    </row>
    <row r="730" spans="2:2">
      <c r="B730" t="s">
        <v>2349</v>
      </c>
    </row>
    <row r="731" spans="2:2">
      <c r="B731" t="s">
        <v>2350</v>
      </c>
    </row>
    <row r="732" spans="2:2">
      <c r="B732" t="s">
        <v>2351</v>
      </c>
    </row>
    <row r="733" spans="2:2">
      <c r="B733" t="s">
        <v>2352</v>
      </c>
    </row>
    <row r="734" spans="2:2">
      <c r="B734" t="s">
        <v>2353</v>
      </c>
    </row>
    <row r="735" spans="2:2">
      <c r="B735" t="s">
        <v>2354</v>
      </c>
    </row>
    <row r="736" spans="2:2">
      <c r="B736" t="s">
        <v>2355</v>
      </c>
    </row>
    <row r="737" spans="2:2">
      <c r="B737" t="s">
        <v>2356</v>
      </c>
    </row>
    <row r="738" spans="2:2">
      <c r="B738" t="s">
        <v>2357</v>
      </c>
    </row>
    <row r="739" spans="2:2">
      <c r="B739" t="s">
        <v>2358</v>
      </c>
    </row>
    <row r="740" spans="2:2">
      <c r="B740" t="s">
        <v>2359</v>
      </c>
    </row>
    <row r="741" spans="2:2">
      <c r="B741" t="s">
        <v>2360</v>
      </c>
    </row>
    <row r="742" spans="2:2">
      <c r="B742" t="s">
        <v>2361</v>
      </c>
    </row>
    <row r="743" spans="2:2">
      <c r="B743" t="s">
        <v>2362</v>
      </c>
    </row>
    <row r="744" spans="2:2">
      <c r="B744" t="s">
        <v>2363</v>
      </c>
    </row>
    <row r="745" spans="2:2">
      <c r="B745" t="s">
        <v>2364</v>
      </c>
    </row>
    <row r="746" spans="2:2">
      <c r="B746" t="s">
        <v>2365</v>
      </c>
    </row>
    <row r="747" spans="2:2">
      <c r="B747" t="s">
        <v>2366</v>
      </c>
    </row>
    <row r="748" spans="2:2">
      <c r="B748" t="s">
        <v>2367</v>
      </c>
    </row>
    <row r="749" spans="2:2">
      <c r="B749" t="s">
        <v>2368</v>
      </c>
    </row>
    <row r="750" spans="2:2">
      <c r="B750" t="s">
        <v>2369</v>
      </c>
    </row>
    <row r="751" spans="2:2">
      <c r="B751" t="s">
        <v>2370</v>
      </c>
    </row>
    <row r="752" spans="2:2">
      <c r="B752" t="s">
        <v>1037</v>
      </c>
    </row>
    <row r="753" spans="2:2">
      <c r="B753" t="s">
        <v>2371</v>
      </c>
    </row>
    <row r="754" spans="2:2">
      <c r="B754" t="s">
        <v>2372</v>
      </c>
    </row>
    <row r="755" spans="2:2">
      <c r="B755" t="s">
        <v>2373</v>
      </c>
    </row>
    <row r="756" spans="2:2">
      <c r="B756" t="s">
        <v>2374</v>
      </c>
    </row>
    <row r="757" spans="2:2">
      <c r="B757" t="s">
        <v>2375</v>
      </c>
    </row>
    <row r="758" spans="2:2">
      <c r="B758" t="s">
        <v>2376</v>
      </c>
    </row>
    <row r="759" spans="2:2">
      <c r="B759" t="s">
        <v>2377</v>
      </c>
    </row>
    <row r="760" spans="2:2">
      <c r="B760" t="s">
        <v>2378</v>
      </c>
    </row>
    <row r="761" spans="2:2">
      <c r="B761" t="s">
        <v>2379</v>
      </c>
    </row>
    <row r="762" spans="2:2">
      <c r="B762" t="s">
        <v>2380</v>
      </c>
    </row>
    <row r="763" spans="2:2">
      <c r="B763" t="s">
        <v>2381</v>
      </c>
    </row>
    <row r="764" spans="2:2">
      <c r="B764" t="s">
        <v>2382</v>
      </c>
    </row>
    <row r="765" spans="2:2">
      <c r="B765" t="s">
        <v>2383</v>
      </c>
    </row>
    <row r="766" spans="2:2">
      <c r="B766" t="s">
        <v>2384</v>
      </c>
    </row>
    <row r="767" spans="2:2">
      <c r="B767" t="s">
        <v>2385</v>
      </c>
    </row>
    <row r="768" spans="2:2">
      <c r="B768" t="s">
        <v>2386</v>
      </c>
    </row>
    <row r="769" spans="2:2">
      <c r="B769" t="s">
        <v>2387</v>
      </c>
    </row>
    <row r="770" spans="2:2">
      <c r="B770" t="s">
        <v>2388</v>
      </c>
    </row>
    <row r="771" spans="2:2">
      <c r="B771" t="s">
        <v>2389</v>
      </c>
    </row>
    <row r="772" spans="2:2">
      <c r="B772" t="s">
        <v>2390</v>
      </c>
    </row>
    <row r="773" spans="2:2">
      <c r="B773" t="s">
        <v>2391</v>
      </c>
    </row>
    <row r="774" spans="2:2">
      <c r="B774" t="s">
        <v>2392</v>
      </c>
    </row>
    <row r="775" spans="2:2">
      <c r="B775" t="s">
        <v>2393</v>
      </c>
    </row>
    <row r="776" spans="2:2">
      <c r="B776" t="s">
        <v>2394</v>
      </c>
    </row>
    <row r="777" spans="2:2">
      <c r="B777" t="s">
        <v>2395</v>
      </c>
    </row>
    <row r="778" spans="2:2">
      <c r="B778" t="s">
        <v>2396</v>
      </c>
    </row>
    <row r="779" spans="2:2">
      <c r="B779" t="s">
        <v>2397</v>
      </c>
    </row>
    <row r="780" spans="2:2">
      <c r="B780" t="s">
        <v>2398</v>
      </c>
    </row>
    <row r="781" spans="2:2">
      <c r="B781" t="s">
        <v>2399</v>
      </c>
    </row>
    <row r="782" spans="2:2">
      <c r="B782" t="s">
        <v>2400</v>
      </c>
    </row>
    <row r="783" spans="2:2">
      <c r="B783" t="s">
        <v>2401</v>
      </c>
    </row>
    <row r="784" spans="2:2">
      <c r="B784" t="s">
        <v>1037</v>
      </c>
    </row>
    <row r="785" spans="2:2">
      <c r="B785" t="s">
        <v>1100</v>
      </c>
    </row>
    <row r="786" spans="2:2">
      <c r="B786" t="s">
        <v>1101</v>
      </c>
    </row>
    <row r="787" spans="2:2">
      <c r="B787" t="s">
        <v>2402</v>
      </c>
    </row>
    <row r="788" spans="2:2">
      <c r="B788" t="s">
        <v>2403</v>
      </c>
    </row>
    <row r="789" spans="2:2">
      <c r="B789" t="s">
        <v>2404</v>
      </c>
    </row>
    <row r="790" spans="2:2">
      <c r="B790" t="s">
        <v>2405</v>
      </c>
    </row>
    <row r="791" spans="2:2">
      <c r="B791" t="s">
        <v>2406</v>
      </c>
    </row>
    <row r="792" spans="2:2">
      <c r="B792" t="s">
        <v>2407</v>
      </c>
    </row>
    <row r="793" spans="2:2">
      <c r="B793" t="s">
        <v>2408</v>
      </c>
    </row>
    <row r="794" spans="2:2">
      <c r="B794" t="s">
        <v>2409</v>
      </c>
    </row>
    <row r="795" spans="2:2">
      <c r="B795" t="s">
        <v>2410</v>
      </c>
    </row>
    <row r="796" spans="2:2">
      <c r="B796" t="s">
        <v>2411</v>
      </c>
    </row>
    <row r="797" spans="2:2">
      <c r="B797" t="s">
        <v>2412</v>
      </c>
    </row>
    <row r="798" spans="2:2">
      <c r="B798" t="s">
        <v>2413</v>
      </c>
    </row>
    <row r="799" spans="2:2">
      <c r="B799" t="s">
        <v>1037</v>
      </c>
    </row>
    <row r="800" spans="2:2">
      <c r="B800" t="s">
        <v>2414</v>
      </c>
    </row>
    <row r="801" spans="2:2">
      <c r="B801" t="s">
        <v>2415</v>
      </c>
    </row>
    <row r="802" spans="2:2">
      <c r="B802" t="s">
        <v>2416</v>
      </c>
    </row>
    <row r="803" spans="2:2">
      <c r="B803" t="s">
        <v>2417</v>
      </c>
    </row>
    <row r="804" spans="2:2">
      <c r="B804" t="s">
        <v>2418</v>
      </c>
    </row>
    <row r="805" spans="2:2">
      <c r="B805" t="s">
        <v>2419</v>
      </c>
    </row>
    <row r="806" spans="2:2">
      <c r="B806" t="s">
        <v>2420</v>
      </c>
    </row>
    <row r="807" spans="2:2">
      <c r="B807" t="s">
        <v>2421</v>
      </c>
    </row>
    <row r="808" spans="2:2">
      <c r="B808" t="s">
        <v>2422</v>
      </c>
    </row>
    <row r="809" spans="2:2">
      <c r="B809" t="s">
        <v>2423</v>
      </c>
    </row>
    <row r="810" spans="2:2">
      <c r="B810" t="s">
        <v>2424</v>
      </c>
    </row>
    <row r="811" spans="2:2">
      <c r="B811" t="s">
        <v>2425</v>
      </c>
    </row>
    <row r="812" spans="2:2">
      <c r="B812" t="s">
        <v>1037</v>
      </c>
    </row>
    <row r="813" spans="2:2">
      <c r="B813" t="s">
        <v>1100</v>
      </c>
    </row>
    <row r="814" spans="2:2">
      <c r="B814" t="s">
        <v>1110</v>
      </c>
    </row>
    <row r="815" spans="2:2">
      <c r="B815" t="s">
        <v>2426</v>
      </c>
    </row>
    <row r="816" spans="2:2">
      <c r="B816" t="s">
        <v>1112</v>
      </c>
    </row>
    <row r="817" spans="2:2">
      <c r="B817" t="s">
        <v>1113</v>
      </c>
    </row>
    <row r="818" spans="2:2">
      <c r="B818" t="s">
        <v>823</v>
      </c>
    </row>
    <row r="819" spans="2:2">
      <c r="B819" t="s">
        <v>1114</v>
      </c>
    </row>
    <row r="820" spans="2:2">
      <c r="B820" t="s">
        <v>2427</v>
      </c>
    </row>
    <row r="821" spans="2:2">
      <c r="B821" t="s">
        <v>1112</v>
      </c>
    </row>
    <row r="822" spans="2:2">
      <c r="B822" t="s">
        <v>1116</v>
      </c>
    </row>
    <row r="823" spans="2:2">
      <c r="B823" t="s">
        <v>823</v>
      </c>
    </row>
    <row r="824" spans="2:2">
      <c r="B824" t="s">
        <v>1114</v>
      </c>
    </row>
    <row r="825" spans="2:2">
      <c r="B825" t="s">
        <v>1117</v>
      </c>
    </row>
    <row r="826" spans="2:2">
      <c r="B826" t="s">
        <v>1118</v>
      </c>
    </row>
    <row r="827" spans="2:2">
      <c r="B827" t="s">
        <v>1119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3'!$B$10:$B$10" display="Inputs" xr:uid="{CAB1D315-91F5-4B10-81A4-7AD378FFE9DB}"/>
    <hyperlink ref="D4" location="'NNC_Stored3'!$B$10:$B$10" display="PMML Model" xr:uid="{FC46C5F5-4440-4DA8-8C15-452B79DAF081}"/>
    <hyperlink ref="F4" location="'NNC_TrainLog3'!$B$10:$B$10" display="Training Log" xr:uid="{6F84B8B3-81D9-46C3-A2FD-62431142E295}"/>
    <hyperlink ref="H4" location="'NNC_TrainingScore3'!$B$10:$B$10" display="Training: Classification Summary" xr:uid="{BAB0633E-2A8C-4CCB-9800-77147CA8F685}"/>
    <hyperlink ref="J4" location="'NNC_ValidationScore3'!$B$10:$B$10" display="Validation: Classification Summary" xr:uid="{2B305535-7097-4785-BD79-551094C6528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7B28-36E9-403D-A8E6-AC8FE76BF272}">
  <dimension ref="B1:CV605"/>
  <sheetViews>
    <sheetView showGridLines="0" topLeftCell="A32" workbookViewId="0">
      <selection activeCell="G50" sqref="G50"/>
    </sheetView>
  </sheetViews>
  <sheetFormatPr defaultRowHeight="14.4"/>
  <cols>
    <col min="3" max="4" width="11" customWidth="1"/>
    <col min="5" max="9" width="18.109375" customWidth="1"/>
    <col min="10" max="10" width="29.109375" bestFit="1" customWidth="1"/>
    <col min="11" max="13" width="18.109375" customWidth="1"/>
    <col min="14" max="34" width="19.109375" customWidth="1"/>
  </cols>
  <sheetData>
    <row r="1" spans="2:100" ht="18">
      <c r="B1" s="8" t="s">
        <v>709</v>
      </c>
      <c r="N1" t="s">
        <v>727</v>
      </c>
      <c r="CV1" s="15" t="s">
        <v>720</v>
      </c>
    </row>
    <row r="3" spans="2:100" ht="15.6">
      <c r="B3" s="17" t="s">
        <v>80</v>
      </c>
      <c r="C3" s="18"/>
      <c r="D3" s="18"/>
      <c r="E3" s="18"/>
      <c r="F3" s="18"/>
      <c r="G3" s="19"/>
      <c r="J3" s="17" t="s">
        <v>103</v>
      </c>
      <c r="K3" s="18"/>
      <c r="L3" s="18"/>
      <c r="M3" s="19"/>
    </row>
    <row r="4" spans="2:100">
      <c r="B4" s="16" t="s">
        <v>81</v>
      </c>
      <c r="C4" s="16"/>
      <c r="D4" s="16" t="s">
        <v>710</v>
      </c>
      <c r="E4" s="16"/>
      <c r="F4" s="16" t="s">
        <v>721</v>
      </c>
      <c r="G4" s="16"/>
      <c r="J4" s="14" t="s">
        <v>104</v>
      </c>
      <c r="K4" s="14" t="s">
        <v>105</v>
      </c>
      <c r="L4" s="14" t="s">
        <v>106</v>
      </c>
      <c r="M4" s="14" t="s">
        <v>107</v>
      </c>
    </row>
    <row r="5" spans="2:100">
      <c r="J5" s="12">
        <v>202</v>
      </c>
      <c r="K5" s="12">
        <v>15</v>
      </c>
      <c r="L5" s="12">
        <v>27</v>
      </c>
      <c r="M5" s="12">
        <v>244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</row>
    <row r="13" spans="2:100">
      <c r="C13" s="20" t="s">
        <v>84</v>
      </c>
      <c r="D13" s="20"/>
      <c r="E13" s="21"/>
      <c r="F13" s="24" t="s">
        <v>98</v>
      </c>
      <c r="G13" s="24"/>
      <c r="H13" s="24"/>
      <c r="I13" s="24"/>
    </row>
    <row r="14" spans="2:100">
      <c r="C14" s="20" t="s">
        <v>85</v>
      </c>
      <c r="D14" s="20"/>
      <c r="E14" s="21"/>
      <c r="F14" s="24" t="s">
        <v>716</v>
      </c>
      <c r="G14" s="24"/>
      <c r="H14" s="24"/>
      <c r="I14" s="24"/>
    </row>
    <row r="15" spans="2:100">
      <c r="C15" s="20" t="s">
        <v>86</v>
      </c>
      <c r="D15" s="20"/>
      <c r="E15" s="21"/>
      <c r="F15" s="24" t="s">
        <v>717</v>
      </c>
      <c r="G15" s="24"/>
      <c r="H15" s="24"/>
      <c r="I15" s="24"/>
    </row>
    <row r="16" spans="2:100">
      <c r="C16" s="20" t="s">
        <v>87</v>
      </c>
      <c r="D16" s="20"/>
      <c r="E16" s="21"/>
      <c r="F16" s="23">
        <v>569</v>
      </c>
      <c r="G16" s="23"/>
      <c r="H16" s="23"/>
      <c r="I16" s="23"/>
    </row>
    <row r="18" spans="2:36" ht="15.6">
      <c r="C18" s="22" t="s">
        <v>88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</row>
    <row r="19" spans="2:36">
      <c r="C19" s="20" t="s">
        <v>89</v>
      </c>
      <c r="D19" s="20"/>
      <c r="E19" s="21"/>
      <c r="F19" s="23">
        <v>31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</row>
    <row r="20" spans="2:36">
      <c r="C20" s="20" t="s">
        <v>90</v>
      </c>
      <c r="D20" s="20"/>
      <c r="E20" s="21"/>
      <c r="F20" s="12" t="s">
        <v>718</v>
      </c>
      <c r="G20" s="12" t="s">
        <v>110</v>
      </c>
      <c r="H20" s="12" t="s">
        <v>111</v>
      </c>
      <c r="I20" s="12" t="s">
        <v>112</v>
      </c>
      <c r="J20" s="12" t="s">
        <v>113</v>
      </c>
      <c r="K20" s="12" t="s">
        <v>114</v>
      </c>
      <c r="L20" s="12" t="s">
        <v>115</v>
      </c>
      <c r="M20" s="12" t="s">
        <v>116</v>
      </c>
      <c r="N20" s="12" t="s">
        <v>117</v>
      </c>
      <c r="O20" s="12" t="s">
        <v>118</v>
      </c>
      <c r="P20" s="12" t="s">
        <v>119</v>
      </c>
      <c r="Q20" s="12" t="s">
        <v>120</v>
      </c>
      <c r="R20" s="12" t="s">
        <v>121</v>
      </c>
      <c r="S20" s="12" t="s">
        <v>122</v>
      </c>
      <c r="T20" s="12" t="s">
        <v>123</v>
      </c>
      <c r="U20" s="12" t="s">
        <v>124</v>
      </c>
      <c r="V20" s="12" t="s">
        <v>125</v>
      </c>
      <c r="W20" s="12" t="s">
        <v>126</v>
      </c>
      <c r="X20" s="12" t="s">
        <v>127</v>
      </c>
      <c r="Y20" s="12" t="s">
        <v>128</v>
      </c>
      <c r="Z20" s="12" t="s">
        <v>129</v>
      </c>
      <c r="AA20" s="12" t="s">
        <v>130</v>
      </c>
      <c r="AB20" s="12" t="s">
        <v>131</v>
      </c>
      <c r="AC20" s="12" t="s">
        <v>132</v>
      </c>
      <c r="AD20" s="12" t="s">
        <v>133</v>
      </c>
      <c r="AE20" s="12" t="s">
        <v>134</v>
      </c>
      <c r="AF20" s="12" t="s">
        <v>135</v>
      </c>
      <c r="AG20" s="12" t="s">
        <v>136</v>
      </c>
      <c r="AH20" s="12" t="s">
        <v>137</v>
      </c>
      <c r="AI20" s="12" t="s">
        <v>138</v>
      </c>
      <c r="AJ20" s="12" t="s">
        <v>139</v>
      </c>
    </row>
    <row r="22" spans="2:36" ht="15.6">
      <c r="C22" s="22" t="s">
        <v>711</v>
      </c>
      <c r="D22" s="22"/>
      <c r="E22" s="22"/>
      <c r="F22" s="22"/>
      <c r="G22" s="22"/>
      <c r="H22" s="22"/>
      <c r="I22" s="22"/>
    </row>
    <row r="23" spans="2:36">
      <c r="C23" s="20" t="s">
        <v>712</v>
      </c>
      <c r="D23" s="20"/>
      <c r="E23" s="21"/>
      <c r="F23" s="23" t="s">
        <v>719</v>
      </c>
      <c r="G23" s="23"/>
      <c r="H23" s="23"/>
      <c r="I23" s="23"/>
    </row>
    <row r="24" spans="2:36">
      <c r="C24" s="20" t="s">
        <v>713</v>
      </c>
      <c r="D24" s="20"/>
      <c r="E24" s="21"/>
      <c r="F24" s="23">
        <v>12345</v>
      </c>
      <c r="G24" s="23"/>
      <c r="H24" s="23"/>
      <c r="I24" s="23"/>
    </row>
    <row r="25" spans="2:36">
      <c r="C25" s="20" t="s">
        <v>714</v>
      </c>
      <c r="D25" s="20"/>
      <c r="E25" s="21"/>
      <c r="F25" s="23">
        <v>0.6</v>
      </c>
      <c r="G25" s="23"/>
      <c r="H25" s="23"/>
      <c r="I25" s="23"/>
    </row>
    <row r="26" spans="2:36">
      <c r="C26" s="20" t="s">
        <v>715</v>
      </c>
      <c r="D26" s="20"/>
      <c r="E26" s="21"/>
      <c r="F26" s="23">
        <v>0.4</v>
      </c>
      <c r="G26" s="23"/>
      <c r="H26" s="23"/>
      <c r="I26" s="23"/>
    </row>
    <row r="28" spans="2:36" ht="18">
      <c r="B28" s="9" t="s">
        <v>710</v>
      </c>
    </row>
    <row r="30" spans="2:36">
      <c r="C30" s="11" t="s">
        <v>722</v>
      </c>
      <c r="D30" t="s">
        <v>723</v>
      </c>
    </row>
    <row r="31" spans="2:36">
      <c r="C31" s="11" t="s">
        <v>724</v>
      </c>
      <c r="D31">
        <v>341</v>
      </c>
    </row>
    <row r="32" spans="2:36">
      <c r="C32" s="11" t="s">
        <v>725</v>
      </c>
      <c r="D32">
        <v>228</v>
      </c>
    </row>
    <row r="34" spans="2:34" ht="18">
      <c r="B34" s="9" t="s">
        <v>721</v>
      </c>
    </row>
    <row r="36" spans="2:34">
      <c r="C36" s="11" t="s">
        <v>109</v>
      </c>
      <c r="D36" t="s">
        <v>718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115</v>
      </c>
      <c r="K36" t="s">
        <v>116</v>
      </c>
      <c r="L36" t="s">
        <v>117</v>
      </c>
      <c r="M36" t="s">
        <v>118</v>
      </c>
      <c r="N36" t="s">
        <v>119</v>
      </c>
      <c r="O36" t="s">
        <v>120</v>
      </c>
      <c r="P36" t="s">
        <v>121</v>
      </c>
      <c r="Q36" t="s">
        <v>122</v>
      </c>
      <c r="R36" t="s">
        <v>123</v>
      </c>
      <c r="S36" t="s">
        <v>124</v>
      </c>
      <c r="T36" t="s">
        <v>125</v>
      </c>
      <c r="U36" t="s">
        <v>126</v>
      </c>
      <c r="V36" t="s">
        <v>127</v>
      </c>
      <c r="W36" t="s">
        <v>128</v>
      </c>
      <c r="X36" t="s">
        <v>129</v>
      </c>
      <c r="Y36" t="s">
        <v>130</v>
      </c>
      <c r="Z36" t="s">
        <v>131</v>
      </c>
      <c r="AA36" t="s">
        <v>132</v>
      </c>
      <c r="AB36" t="s">
        <v>133</v>
      </c>
      <c r="AC36" t="s">
        <v>134</v>
      </c>
      <c r="AD36" t="s">
        <v>135</v>
      </c>
      <c r="AE36" t="s">
        <v>136</v>
      </c>
      <c r="AF36" t="s">
        <v>137</v>
      </c>
      <c r="AG36" t="s">
        <v>138</v>
      </c>
      <c r="AH36" t="s">
        <v>139</v>
      </c>
    </row>
    <row r="37" spans="2:34">
      <c r="C37" s="11" t="s">
        <v>140</v>
      </c>
      <c r="D37" s="10" t="s">
        <v>0</v>
      </c>
      <c r="E37" s="10">
        <v>17.989999999999899</v>
      </c>
      <c r="F37" s="10">
        <v>10.38</v>
      </c>
      <c r="G37" s="10">
        <v>122.8</v>
      </c>
      <c r="H37" s="10">
        <v>1001</v>
      </c>
      <c r="I37" s="10">
        <v>0.11840000000000001</v>
      </c>
      <c r="J37" s="10">
        <v>0.27760000000000001</v>
      </c>
      <c r="K37" s="10">
        <v>0.30009999999999898</v>
      </c>
      <c r="L37" s="10">
        <v>0.14710000000000001</v>
      </c>
      <c r="M37" s="10">
        <v>0.2419</v>
      </c>
      <c r="N37" s="10">
        <v>7.8710000000000002E-2</v>
      </c>
      <c r="O37" s="10">
        <v>1.095</v>
      </c>
      <c r="P37" s="10">
        <v>0.90529999999999899</v>
      </c>
      <c r="Q37" s="10">
        <v>8.5890000000000004</v>
      </c>
      <c r="R37" s="10">
        <v>153.4</v>
      </c>
      <c r="S37" s="10">
        <v>6.3990000000000002E-3</v>
      </c>
      <c r="T37" s="10">
        <v>4.904E-2</v>
      </c>
      <c r="U37" s="10">
        <v>5.373E-2</v>
      </c>
      <c r="V37" s="10">
        <v>1.5869999999999902E-2</v>
      </c>
      <c r="W37" s="10">
        <v>3.0030000000000001E-2</v>
      </c>
      <c r="X37" s="10">
        <v>6.1929999999999902E-3</v>
      </c>
      <c r="Y37" s="10">
        <v>25.3799999999999</v>
      </c>
      <c r="Z37" s="10">
        <v>17.329999999999899</v>
      </c>
      <c r="AA37" s="10">
        <v>184.599999999999</v>
      </c>
      <c r="AB37" s="10">
        <v>2019</v>
      </c>
      <c r="AC37" s="10">
        <v>0.16220000000000001</v>
      </c>
      <c r="AD37" s="10">
        <v>0.66559999999999897</v>
      </c>
      <c r="AE37" s="10">
        <v>0.71189999999999898</v>
      </c>
      <c r="AF37" s="10">
        <v>0.26540000000000002</v>
      </c>
      <c r="AG37" s="10">
        <v>0.46010000000000001</v>
      </c>
      <c r="AH37">
        <v>0.11890000000000001</v>
      </c>
    </row>
    <row r="38" spans="2:34">
      <c r="C38" s="11" t="s">
        <v>144</v>
      </c>
      <c r="D38" s="10" t="s">
        <v>0</v>
      </c>
      <c r="E38" s="10">
        <v>20.2899999999999</v>
      </c>
      <c r="F38" s="10">
        <v>14.34</v>
      </c>
      <c r="G38" s="10">
        <v>135.099999999999</v>
      </c>
      <c r="H38" s="10">
        <v>1297</v>
      </c>
      <c r="I38" s="10">
        <v>0.1003</v>
      </c>
      <c r="J38" s="10">
        <v>0.1328</v>
      </c>
      <c r="K38" s="10">
        <v>0.19800000000000001</v>
      </c>
      <c r="L38" s="10">
        <v>0.1043</v>
      </c>
      <c r="M38" s="10">
        <v>0.18090000000000001</v>
      </c>
      <c r="N38" s="10">
        <v>5.883E-2</v>
      </c>
      <c r="O38" s="10">
        <v>0.75719999999999898</v>
      </c>
      <c r="P38" s="10">
        <v>0.781299999999999</v>
      </c>
      <c r="Q38" s="10">
        <v>5.43799999999999</v>
      </c>
      <c r="R38" s="10">
        <v>94.439999999999898</v>
      </c>
      <c r="S38" s="10">
        <v>1.149E-2</v>
      </c>
      <c r="T38" s="10">
        <v>2.461E-2</v>
      </c>
      <c r="U38" s="10">
        <v>5.688E-2</v>
      </c>
      <c r="V38" s="10">
        <v>1.8849999999999902E-2</v>
      </c>
      <c r="W38" s="10">
        <v>1.7559999999999899E-2</v>
      </c>
      <c r="X38" s="10">
        <v>5.1149999999999902E-3</v>
      </c>
      <c r="Y38" s="10">
        <v>22.5399999999999</v>
      </c>
      <c r="Z38" s="10">
        <v>16.670000000000002</v>
      </c>
      <c r="AA38" s="10">
        <v>152.19999999999899</v>
      </c>
      <c r="AB38" s="10">
        <v>1575</v>
      </c>
      <c r="AC38" s="10">
        <v>0.137399999999999</v>
      </c>
      <c r="AD38" s="10">
        <v>0.20499999999999899</v>
      </c>
      <c r="AE38" s="10">
        <v>0.4</v>
      </c>
      <c r="AF38" s="10">
        <v>0.16250000000000001</v>
      </c>
      <c r="AG38" s="10">
        <v>0.2364</v>
      </c>
      <c r="AH38">
        <v>7.6780000000000001E-2</v>
      </c>
    </row>
    <row r="39" spans="2:34">
      <c r="C39" s="11" t="s">
        <v>147</v>
      </c>
      <c r="D39" s="10" t="s">
        <v>0</v>
      </c>
      <c r="E39" s="10">
        <v>13.71</v>
      </c>
      <c r="F39" s="10">
        <v>20.829999999999899</v>
      </c>
      <c r="G39" s="10">
        <v>90.2</v>
      </c>
      <c r="H39" s="10">
        <v>577.89999999999895</v>
      </c>
      <c r="I39" s="10">
        <v>0.11890000000000001</v>
      </c>
      <c r="J39" s="10">
        <v>0.16450000000000001</v>
      </c>
      <c r="K39" s="10">
        <v>9.3659999999999896E-2</v>
      </c>
      <c r="L39" s="10">
        <v>5.985E-2</v>
      </c>
      <c r="M39" s="10">
        <v>0.21959999999999899</v>
      </c>
      <c r="N39" s="10">
        <v>7.4510000000000007E-2</v>
      </c>
      <c r="O39" s="10">
        <v>0.58350000000000002</v>
      </c>
      <c r="P39" s="10">
        <v>1.377</v>
      </c>
      <c r="Q39" s="10">
        <v>3.8559999999999901</v>
      </c>
      <c r="R39" s="10">
        <v>50.96</v>
      </c>
      <c r="S39" s="10">
        <v>8.8050000000000003E-3</v>
      </c>
      <c r="T39" s="10">
        <v>3.0290000000000001E-2</v>
      </c>
      <c r="U39" s="10">
        <v>2.4879999999999899E-2</v>
      </c>
      <c r="V39" s="10">
        <v>1.448E-2</v>
      </c>
      <c r="W39" s="10">
        <v>1.486E-2</v>
      </c>
      <c r="X39" s="10">
        <v>5.4120000000000001E-3</v>
      </c>
      <c r="Y39" s="10">
        <v>17.059999999999899</v>
      </c>
      <c r="Z39" s="10">
        <v>28.14</v>
      </c>
      <c r="AA39" s="10">
        <v>110.599999999999</v>
      </c>
      <c r="AB39" s="10">
        <v>897</v>
      </c>
      <c r="AC39" s="10">
        <v>0.16539999999999899</v>
      </c>
      <c r="AD39" s="10">
        <v>0.36820000000000003</v>
      </c>
      <c r="AE39" s="10">
        <v>0.26779999999999898</v>
      </c>
      <c r="AF39" s="10">
        <v>0.15559999999999899</v>
      </c>
      <c r="AG39" s="10">
        <v>0.3196</v>
      </c>
      <c r="AH39">
        <v>0.11509999999999899</v>
      </c>
    </row>
    <row r="40" spans="2:34">
      <c r="C40" s="11" t="s">
        <v>150</v>
      </c>
      <c r="D40" s="10" t="s">
        <v>0</v>
      </c>
      <c r="E40" s="10">
        <v>13.71</v>
      </c>
      <c r="F40" s="10">
        <v>23.239999999999899</v>
      </c>
      <c r="G40" s="10">
        <v>102.7</v>
      </c>
      <c r="H40" s="10">
        <v>797.79999999999905</v>
      </c>
      <c r="I40" s="10">
        <v>8.2059999999999897E-2</v>
      </c>
      <c r="J40" s="10">
        <v>6.6689999999999902E-2</v>
      </c>
      <c r="K40" s="10">
        <v>3.2989999999999901E-2</v>
      </c>
      <c r="L40" s="10">
        <v>3.3230000000000003E-2</v>
      </c>
      <c r="M40" s="10">
        <v>0.15279999999999899</v>
      </c>
      <c r="N40" s="10">
        <v>5.697E-2</v>
      </c>
      <c r="O40" s="10">
        <v>0.3795</v>
      </c>
      <c r="P40" s="10">
        <v>1.1870000000000001</v>
      </c>
      <c r="Q40" s="10">
        <v>2.4660000000000002</v>
      </c>
      <c r="R40" s="10">
        <v>40.509999999999899</v>
      </c>
      <c r="S40" s="10">
        <v>4.0289999999999901E-3</v>
      </c>
      <c r="T40" s="10">
        <v>9.2689999999999908E-3</v>
      </c>
      <c r="U40" s="10">
        <v>1.1010000000000001E-2</v>
      </c>
      <c r="V40" s="10">
        <v>7.5909999999999901E-3</v>
      </c>
      <c r="W40" s="10">
        <v>1.46E-2</v>
      </c>
      <c r="X40" s="10">
        <v>3.042E-3</v>
      </c>
      <c r="Y40" s="10">
        <v>19.190000000000001</v>
      </c>
      <c r="Z40" s="10">
        <v>33.880000000000003</v>
      </c>
      <c r="AA40" s="10">
        <v>123.8</v>
      </c>
      <c r="AB40" s="10">
        <v>1150</v>
      </c>
      <c r="AC40" s="10">
        <v>0.1181</v>
      </c>
      <c r="AD40" s="10">
        <v>0.15509999999999899</v>
      </c>
      <c r="AE40" s="10">
        <v>0.1459</v>
      </c>
      <c r="AF40" s="10">
        <v>9.9750000000000005E-2</v>
      </c>
      <c r="AG40" s="10">
        <v>0.29480000000000001</v>
      </c>
      <c r="AH40">
        <v>8.4519999999999901E-2</v>
      </c>
    </row>
    <row r="41" spans="2:34">
      <c r="C41" s="11" t="s">
        <v>151</v>
      </c>
      <c r="D41" s="10" t="s">
        <v>0</v>
      </c>
      <c r="E41" s="10">
        <v>13.71</v>
      </c>
      <c r="F41" s="10">
        <v>17.89</v>
      </c>
      <c r="G41" s="10">
        <v>103.599999999999</v>
      </c>
      <c r="H41" s="10">
        <v>781</v>
      </c>
      <c r="I41" s="10">
        <v>9.7100000000000006E-2</v>
      </c>
      <c r="J41" s="10">
        <v>0.12920000000000001</v>
      </c>
      <c r="K41" s="10">
        <v>9.9540000000000003E-2</v>
      </c>
      <c r="L41" s="10">
        <v>6.6059999999999897E-2</v>
      </c>
      <c r="M41" s="10">
        <v>0.1842</v>
      </c>
      <c r="N41" s="10">
        <v>6.0819999999999902E-2</v>
      </c>
      <c r="O41" s="10">
        <v>0.50580000000000003</v>
      </c>
      <c r="P41" s="10">
        <v>0.9849</v>
      </c>
      <c r="Q41" s="10">
        <v>3.5640000000000001</v>
      </c>
      <c r="R41" s="10">
        <v>54.159999999999897</v>
      </c>
      <c r="S41" s="10">
        <v>5.7710000000000001E-3</v>
      </c>
      <c r="T41" s="10">
        <v>4.061E-2</v>
      </c>
      <c r="U41" s="10">
        <v>2.7910000000000001E-2</v>
      </c>
      <c r="V41" s="10">
        <v>1.282E-2</v>
      </c>
      <c r="W41" s="10">
        <v>2.0080000000000001E-2</v>
      </c>
      <c r="X41" s="10">
        <v>4.1440000000000001E-3</v>
      </c>
      <c r="Y41" s="10">
        <v>20.420000000000002</v>
      </c>
      <c r="Z41" s="10">
        <v>27.28</v>
      </c>
      <c r="AA41" s="10">
        <v>136.5</v>
      </c>
      <c r="AB41" s="10">
        <v>1299</v>
      </c>
      <c r="AC41" s="10">
        <v>0.1396</v>
      </c>
      <c r="AD41" s="10">
        <v>0.56089999999999895</v>
      </c>
      <c r="AE41" s="10">
        <v>0.39650000000000002</v>
      </c>
      <c r="AF41" s="10">
        <v>0.180999999999999</v>
      </c>
      <c r="AG41" s="10">
        <v>0.37919999999999898</v>
      </c>
      <c r="AH41">
        <v>0.1048</v>
      </c>
    </row>
    <row r="42" spans="2:34">
      <c r="C42" s="11" t="s">
        <v>154</v>
      </c>
      <c r="D42" s="10" t="s">
        <v>0</v>
      </c>
      <c r="E42" s="10">
        <v>13.71</v>
      </c>
      <c r="F42" s="10">
        <v>22.6099999999999</v>
      </c>
      <c r="G42" s="10">
        <v>93.599999999999895</v>
      </c>
      <c r="H42" s="10">
        <v>578.29999999999905</v>
      </c>
      <c r="I42" s="10">
        <v>0.11310000000000001</v>
      </c>
      <c r="J42" s="10">
        <v>0.2293</v>
      </c>
      <c r="K42" s="10">
        <v>0.21279999999999899</v>
      </c>
      <c r="L42" s="10">
        <v>8.0250000000000002E-2</v>
      </c>
      <c r="M42" s="10">
        <v>0.2069</v>
      </c>
      <c r="N42" s="10">
        <v>7.6819999999999902E-2</v>
      </c>
      <c r="O42" s="10">
        <v>0.21210000000000001</v>
      </c>
      <c r="P42" s="10">
        <v>1.169</v>
      </c>
      <c r="Q42" s="10">
        <v>2.0609999999999902</v>
      </c>
      <c r="R42" s="10">
        <v>19.21</v>
      </c>
      <c r="S42" s="10">
        <v>6.4289999999999903E-3</v>
      </c>
      <c r="T42" s="10">
        <v>5.9360000000000003E-2</v>
      </c>
      <c r="U42" s="10">
        <v>5.5010000000000003E-2</v>
      </c>
      <c r="V42" s="10">
        <v>1.6279999999999899E-2</v>
      </c>
      <c r="W42" s="10">
        <v>1.9609999999999898E-2</v>
      </c>
      <c r="X42" s="10">
        <v>8.0929999999999908E-3</v>
      </c>
      <c r="Y42" s="10">
        <v>15.0299999999999</v>
      </c>
      <c r="Z42" s="10">
        <v>32.009999999999899</v>
      </c>
      <c r="AA42" s="10">
        <v>108.8</v>
      </c>
      <c r="AB42" s="10">
        <v>697.7</v>
      </c>
      <c r="AC42" s="10">
        <v>0.1651</v>
      </c>
      <c r="AD42" s="10">
        <v>0.77249999999999897</v>
      </c>
      <c r="AE42" s="10">
        <v>0.69430000000000003</v>
      </c>
      <c r="AF42" s="10">
        <v>0.2208</v>
      </c>
      <c r="AG42" s="10">
        <v>0.35959999999999898</v>
      </c>
      <c r="AH42">
        <v>0.1431</v>
      </c>
    </row>
    <row r="43" spans="2:34">
      <c r="C43" s="11" t="s">
        <v>155</v>
      </c>
      <c r="D43" s="10" t="s">
        <v>0</v>
      </c>
      <c r="E43" s="10">
        <v>13.71</v>
      </c>
      <c r="F43" s="10">
        <v>27.5399999999999</v>
      </c>
      <c r="G43" s="10">
        <v>96.73</v>
      </c>
      <c r="H43" s="10">
        <v>658.79999999999905</v>
      </c>
      <c r="I43" s="10">
        <v>0.1139</v>
      </c>
      <c r="J43" s="10">
        <v>0.1595</v>
      </c>
      <c r="K43" s="10">
        <v>0.16389999999999899</v>
      </c>
      <c r="L43" s="10">
        <v>7.36399999999999E-2</v>
      </c>
      <c r="M43" s="10">
        <v>0.2303</v>
      </c>
      <c r="N43" s="10">
        <v>7.077E-2</v>
      </c>
      <c r="O43" s="10">
        <v>0.37</v>
      </c>
      <c r="P43" s="10">
        <v>1.0329999999999899</v>
      </c>
      <c r="Q43" s="10">
        <v>2.879</v>
      </c>
      <c r="R43" s="10">
        <v>32.549999999999898</v>
      </c>
      <c r="S43" s="10">
        <v>5.607E-3</v>
      </c>
      <c r="T43" s="10">
        <v>4.24E-2</v>
      </c>
      <c r="U43" s="10">
        <v>4.7410000000000001E-2</v>
      </c>
      <c r="V43" s="10">
        <v>1.09E-2</v>
      </c>
      <c r="W43" s="10">
        <v>1.857E-2</v>
      </c>
      <c r="X43" s="10">
        <v>5.4660000000000004E-3</v>
      </c>
      <c r="Y43" s="10">
        <v>17.46</v>
      </c>
      <c r="Z43" s="10">
        <v>37.130000000000003</v>
      </c>
      <c r="AA43" s="10">
        <v>124.099999999999</v>
      </c>
      <c r="AB43" s="10">
        <v>943.2</v>
      </c>
      <c r="AC43" s="10">
        <v>0.1678</v>
      </c>
      <c r="AD43" s="10">
        <v>0.65769999999999895</v>
      </c>
      <c r="AE43" s="10">
        <v>0.7026</v>
      </c>
      <c r="AF43" s="10">
        <v>0.17119999999999899</v>
      </c>
      <c r="AG43" s="10">
        <v>0.42180000000000001</v>
      </c>
      <c r="AH43">
        <v>0.1341</v>
      </c>
    </row>
    <row r="44" spans="2:34">
      <c r="C44" s="11" t="s">
        <v>157</v>
      </c>
      <c r="D44" s="10" t="s">
        <v>0</v>
      </c>
      <c r="E44" s="10">
        <v>13.71</v>
      </c>
      <c r="F44" s="10">
        <v>20.68</v>
      </c>
      <c r="G44" s="10">
        <v>108.099999999999</v>
      </c>
      <c r="H44" s="10">
        <v>798.79999999999905</v>
      </c>
      <c r="I44" s="10">
        <v>0.11700000000000001</v>
      </c>
      <c r="J44" s="10">
        <v>0.20219999999999899</v>
      </c>
      <c r="K44" s="10">
        <v>0.17219999999999899</v>
      </c>
      <c r="L44" s="10">
        <v>0.1028</v>
      </c>
      <c r="M44" s="10">
        <v>0.21640000000000001</v>
      </c>
      <c r="N44" s="10">
        <v>7.356E-2</v>
      </c>
      <c r="O44" s="10">
        <v>0.56920000000000004</v>
      </c>
      <c r="P44" s="10">
        <v>1.073</v>
      </c>
      <c r="Q44" s="10">
        <v>3.8540000000000001</v>
      </c>
      <c r="R44" s="10">
        <v>54.18</v>
      </c>
      <c r="S44" s="10">
        <v>7.0260000000000001E-3</v>
      </c>
      <c r="T44" s="10">
        <v>2.5010000000000001E-2</v>
      </c>
      <c r="U44" s="10">
        <v>3.1879999999999901E-2</v>
      </c>
      <c r="V44" s="10">
        <v>1.2970000000000001E-2</v>
      </c>
      <c r="W44" s="10">
        <v>1.6889999999999902E-2</v>
      </c>
      <c r="X44" s="10">
        <v>4.1419999999999903E-3</v>
      </c>
      <c r="Y44" s="10">
        <v>20.96</v>
      </c>
      <c r="Z44" s="10">
        <v>31.48</v>
      </c>
      <c r="AA44" s="10">
        <v>136.80000000000001</v>
      </c>
      <c r="AB44" s="10">
        <v>1315</v>
      </c>
      <c r="AC44" s="10">
        <v>0.1789</v>
      </c>
      <c r="AD44" s="10">
        <v>0.42330000000000001</v>
      </c>
      <c r="AE44" s="10">
        <v>0.47839999999999899</v>
      </c>
      <c r="AF44" s="10">
        <v>0.20730000000000001</v>
      </c>
      <c r="AG44" s="10">
        <v>0.37059999999999899</v>
      </c>
      <c r="AH44">
        <v>0.1142</v>
      </c>
    </row>
    <row r="45" spans="2:34">
      <c r="C45" s="11" t="s">
        <v>159</v>
      </c>
      <c r="D45" s="10" t="s">
        <v>1</v>
      </c>
      <c r="E45" s="10">
        <v>13.71</v>
      </c>
      <c r="F45" s="10">
        <v>14.3599999999999</v>
      </c>
      <c r="G45" s="10">
        <v>87.459999999999894</v>
      </c>
      <c r="H45" s="10">
        <v>566.29999999999905</v>
      </c>
      <c r="I45" s="10">
        <v>9.7790000000000002E-2</v>
      </c>
      <c r="J45" s="10">
        <v>8.1290000000000001E-2</v>
      </c>
      <c r="K45" s="10">
        <v>6.6640000000000005E-2</v>
      </c>
      <c r="L45" s="10">
        <v>4.7809999999999901E-2</v>
      </c>
      <c r="M45" s="10">
        <v>0.1885</v>
      </c>
      <c r="N45" s="10">
        <v>5.7660000000000003E-2</v>
      </c>
      <c r="O45" s="10">
        <v>0.26989999999999897</v>
      </c>
      <c r="P45" s="10">
        <v>0.78859999999999897</v>
      </c>
      <c r="Q45" s="10">
        <v>2.0579999999999901</v>
      </c>
      <c r="R45" s="10">
        <v>23.559999999999899</v>
      </c>
      <c r="S45" s="10">
        <v>8.4620000000000008E-3</v>
      </c>
      <c r="T45" s="10">
        <v>1.46E-2</v>
      </c>
      <c r="U45" s="10">
        <v>2.3869999999999902E-2</v>
      </c>
      <c r="V45" s="10">
        <v>1.315E-2</v>
      </c>
      <c r="W45" s="10">
        <v>1.9800000000000002E-2</v>
      </c>
      <c r="X45" s="10">
        <v>2.3E-3</v>
      </c>
      <c r="Y45" s="10">
        <v>15.1099999999999</v>
      </c>
      <c r="Z45" s="10">
        <v>19.260000000000002</v>
      </c>
      <c r="AA45" s="10">
        <v>99.7</v>
      </c>
      <c r="AB45" s="10">
        <v>711.2</v>
      </c>
      <c r="AC45" s="10">
        <v>0.14399999999999899</v>
      </c>
      <c r="AD45" s="10">
        <v>0.17730000000000001</v>
      </c>
      <c r="AE45" s="10">
        <v>0.23899999999999899</v>
      </c>
      <c r="AF45" s="10">
        <v>0.1288</v>
      </c>
      <c r="AG45" s="10">
        <v>0.29770000000000002</v>
      </c>
      <c r="AH45">
        <v>7.2590000000000002E-2</v>
      </c>
    </row>
    <row r="46" spans="2:34">
      <c r="C46" s="11" t="s">
        <v>160</v>
      </c>
      <c r="D46" s="10" t="s">
        <v>1</v>
      </c>
      <c r="E46" s="10">
        <v>13.71</v>
      </c>
      <c r="F46" s="10">
        <v>15.71</v>
      </c>
      <c r="G46" s="10">
        <v>85.629999999999896</v>
      </c>
      <c r="H46" s="10">
        <v>520</v>
      </c>
      <c r="I46" s="10">
        <v>0.1075</v>
      </c>
      <c r="J46" s="10">
        <v>0.127</v>
      </c>
      <c r="K46" s="10">
        <v>4.5679999999999901E-2</v>
      </c>
      <c r="L46" s="10">
        <v>3.1099999999999899E-2</v>
      </c>
      <c r="M46" s="10">
        <v>0.19670000000000001</v>
      </c>
      <c r="N46" s="10">
        <v>6.8110000000000004E-2</v>
      </c>
      <c r="O46" s="10">
        <v>0.1852</v>
      </c>
      <c r="P46" s="10">
        <v>0.74770000000000003</v>
      </c>
      <c r="Q46" s="10">
        <v>1.383</v>
      </c>
      <c r="R46" s="10">
        <v>14.67</v>
      </c>
      <c r="S46" s="10">
        <v>4.0969999999999904E-3</v>
      </c>
      <c r="T46" s="10">
        <v>1.898E-2</v>
      </c>
      <c r="U46" s="10">
        <v>1.6979999999999901E-2</v>
      </c>
      <c r="V46" s="10">
        <v>6.4900000000000001E-3</v>
      </c>
      <c r="W46" s="10">
        <v>1.678E-2</v>
      </c>
      <c r="X46" s="10">
        <v>2.4250000000000001E-3</v>
      </c>
      <c r="Y46" s="10">
        <v>14.5</v>
      </c>
      <c r="Z46" s="10">
        <v>20.489999999999899</v>
      </c>
      <c r="AA46" s="10">
        <v>96.09</v>
      </c>
      <c r="AB46" s="10">
        <v>630.5</v>
      </c>
      <c r="AC46" s="10">
        <v>0.13120000000000001</v>
      </c>
      <c r="AD46" s="10">
        <v>0.27760000000000001</v>
      </c>
      <c r="AE46" s="10">
        <v>0.189</v>
      </c>
      <c r="AF46" s="10">
        <v>7.2830000000000006E-2</v>
      </c>
      <c r="AG46" s="10">
        <v>0.31840000000000002</v>
      </c>
      <c r="AH46">
        <v>8.183E-2</v>
      </c>
    </row>
    <row r="47" spans="2:34">
      <c r="C47" s="11" t="s">
        <v>161</v>
      </c>
      <c r="D47" s="10" t="s">
        <v>1</v>
      </c>
      <c r="E47" s="10">
        <v>13.71</v>
      </c>
      <c r="F47" s="10">
        <v>12.44</v>
      </c>
      <c r="G47" s="10">
        <v>60.34</v>
      </c>
      <c r="H47" s="10">
        <v>273.89999999999901</v>
      </c>
      <c r="I47" s="10">
        <v>0.1024</v>
      </c>
      <c r="J47" s="10">
        <v>6.4920000000000005E-2</v>
      </c>
      <c r="K47" s="10">
        <v>2.9559999999999899E-2</v>
      </c>
      <c r="L47" s="10">
        <v>2.0760000000000001E-2</v>
      </c>
      <c r="M47" s="10">
        <v>0.181499999999999</v>
      </c>
      <c r="N47" s="10">
        <v>6.905E-2</v>
      </c>
      <c r="O47" s="10">
        <v>0.27729999999999899</v>
      </c>
      <c r="P47" s="10">
        <v>0.9768</v>
      </c>
      <c r="Q47" s="10">
        <v>1.909</v>
      </c>
      <c r="R47" s="10">
        <v>15.6999999999999</v>
      </c>
      <c r="S47" s="10">
        <v>9.606E-3</v>
      </c>
      <c r="T47" s="10">
        <v>1.4319999999999901E-2</v>
      </c>
      <c r="U47" s="10">
        <v>1.985E-2</v>
      </c>
      <c r="V47" s="10">
        <v>1.421E-2</v>
      </c>
      <c r="W47" s="10">
        <v>2.027E-2</v>
      </c>
      <c r="X47" s="10">
        <v>2.9680000000000002E-3</v>
      </c>
      <c r="Y47" s="10">
        <v>10.23</v>
      </c>
      <c r="Z47" s="10">
        <v>15.66</v>
      </c>
      <c r="AA47" s="10">
        <v>65.129999999999896</v>
      </c>
      <c r="AB47" s="10">
        <v>314.89999999999901</v>
      </c>
      <c r="AC47" s="10">
        <v>0.13239999999999899</v>
      </c>
      <c r="AD47" s="10">
        <v>0.1148</v>
      </c>
      <c r="AE47" s="10">
        <v>8.8669999999999902E-2</v>
      </c>
      <c r="AF47" s="10">
        <v>6.2269999999999902E-2</v>
      </c>
      <c r="AG47" s="10">
        <v>0.245</v>
      </c>
      <c r="AH47">
        <v>7.7729999999999896E-2</v>
      </c>
    </row>
    <row r="48" spans="2:34">
      <c r="C48" s="11" t="s">
        <v>162</v>
      </c>
      <c r="D48" s="10" t="s">
        <v>0</v>
      </c>
      <c r="E48" s="10">
        <v>13.71</v>
      </c>
      <c r="F48" s="10">
        <v>14.26</v>
      </c>
      <c r="G48" s="10">
        <v>102.5</v>
      </c>
      <c r="H48" s="10">
        <v>704.39999999999895</v>
      </c>
      <c r="I48" s="10">
        <v>0.10730000000000001</v>
      </c>
      <c r="J48" s="10">
        <v>0.2135</v>
      </c>
      <c r="K48" s="10">
        <v>0.2077</v>
      </c>
      <c r="L48" s="10">
        <v>9.7559999999999897E-2</v>
      </c>
      <c r="M48" s="10">
        <v>0.25209999999999899</v>
      </c>
      <c r="N48" s="10">
        <v>7.0319999999999896E-2</v>
      </c>
      <c r="O48" s="10">
        <v>0.43880000000000002</v>
      </c>
      <c r="P48" s="10">
        <v>0.70960000000000001</v>
      </c>
      <c r="Q48" s="10">
        <v>3.3839999999999901</v>
      </c>
      <c r="R48" s="10">
        <v>44.909999999999897</v>
      </c>
      <c r="S48" s="10">
        <v>6.7889999999999904E-3</v>
      </c>
      <c r="T48" s="10">
        <v>5.3280000000000001E-2</v>
      </c>
      <c r="U48" s="10">
        <v>6.4460000000000003E-2</v>
      </c>
      <c r="V48" s="10">
        <v>2.2519999999999901E-2</v>
      </c>
      <c r="W48" s="10">
        <v>3.6720000000000003E-2</v>
      </c>
      <c r="X48" s="10">
        <v>4.3940000000000003E-3</v>
      </c>
      <c r="Y48" s="10">
        <v>18.07</v>
      </c>
      <c r="Z48" s="10">
        <v>19.079999999999899</v>
      </c>
      <c r="AA48" s="10">
        <v>125.099999999999</v>
      </c>
      <c r="AB48" s="10">
        <v>980.89999999999895</v>
      </c>
      <c r="AC48" s="10">
        <v>0.13900000000000001</v>
      </c>
      <c r="AD48" s="10">
        <v>0.59540000000000004</v>
      </c>
      <c r="AE48" s="10">
        <v>0.63049999999999895</v>
      </c>
      <c r="AF48" s="10">
        <v>0.23930000000000001</v>
      </c>
      <c r="AG48" s="10">
        <v>0.4667</v>
      </c>
      <c r="AH48">
        <v>9.9460000000000007E-2</v>
      </c>
    </row>
    <row r="49" spans="3:34">
      <c r="C49" s="11" t="s">
        <v>163</v>
      </c>
      <c r="D49" s="10" t="s">
        <v>0</v>
      </c>
      <c r="E49" s="10">
        <v>13.71</v>
      </c>
      <c r="F49" s="10">
        <v>23.0399999999999</v>
      </c>
      <c r="G49" s="10">
        <v>137.19999999999899</v>
      </c>
      <c r="H49" s="10">
        <v>1404</v>
      </c>
      <c r="I49" s="10">
        <v>9.4280000000000003E-2</v>
      </c>
      <c r="J49" s="10">
        <v>0.1022</v>
      </c>
      <c r="K49" s="10">
        <v>0.10970000000000001</v>
      </c>
      <c r="L49" s="10">
        <v>8.6319999999999897E-2</v>
      </c>
      <c r="M49" s="10">
        <v>0.1769</v>
      </c>
      <c r="N49" s="10">
        <v>5.2780000000000001E-2</v>
      </c>
      <c r="O49" s="10">
        <v>0.69169999999999898</v>
      </c>
      <c r="P49" s="10">
        <v>1.127</v>
      </c>
      <c r="Q49" s="10">
        <v>4.3029999999999902</v>
      </c>
      <c r="R49" s="10">
        <v>93.989999999999895</v>
      </c>
      <c r="S49" s="10">
        <v>4.7280000000000004E-3</v>
      </c>
      <c r="T49" s="10">
        <v>1.259E-2</v>
      </c>
      <c r="U49" s="10">
        <v>1.7149999999999901E-2</v>
      </c>
      <c r="V49" s="10">
        <v>1.038E-2</v>
      </c>
      <c r="W49" s="10">
        <v>1.08299999999999E-2</v>
      </c>
      <c r="X49" s="10">
        <v>1.9870000000000001E-3</v>
      </c>
      <c r="Y49" s="10">
        <v>29.17</v>
      </c>
      <c r="Z49" s="10">
        <v>35.590000000000003</v>
      </c>
      <c r="AA49" s="10">
        <v>188</v>
      </c>
      <c r="AB49" s="10">
        <v>2615</v>
      </c>
      <c r="AC49" s="10">
        <v>0.1401</v>
      </c>
      <c r="AD49" s="10">
        <v>0.26</v>
      </c>
      <c r="AE49" s="10">
        <v>0.3155</v>
      </c>
      <c r="AF49" s="10">
        <v>0.2009</v>
      </c>
      <c r="AG49" s="10">
        <v>0.28220000000000001</v>
      </c>
      <c r="AH49">
        <v>7.5259999999999896E-2</v>
      </c>
    </row>
    <row r="50" spans="3:34">
      <c r="C50" s="11" t="s">
        <v>164</v>
      </c>
      <c r="D50" s="10" t="s">
        <v>0</v>
      </c>
      <c r="E50" s="10">
        <v>13.71</v>
      </c>
      <c r="F50" s="10">
        <v>21.3799999999999</v>
      </c>
      <c r="G50" s="10">
        <v>110</v>
      </c>
      <c r="H50" s="10">
        <v>904.6</v>
      </c>
      <c r="I50" s="10">
        <v>0.11210000000000001</v>
      </c>
      <c r="J50" s="10">
        <v>0.1457</v>
      </c>
      <c r="K50" s="10">
        <v>0.1525</v>
      </c>
      <c r="L50" s="10">
        <v>9.1700000000000004E-2</v>
      </c>
      <c r="M50" s="10">
        <v>0.19950000000000001</v>
      </c>
      <c r="N50" s="10">
        <v>6.3299999999999898E-2</v>
      </c>
      <c r="O50" s="10">
        <v>0.80679999999999896</v>
      </c>
      <c r="P50" s="10">
        <v>0.90169999999999895</v>
      </c>
      <c r="Q50" s="10">
        <v>5.4550000000000001</v>
      </c>
      <c r="R50" s="10">
        <v>102.599999999999</v>
      </c>
      <c r="S50" s="10">
        <v>6.0480000000000004E-3</v>
      </c>
      <c r="T50" s="10">
        <v>1.882E-2</v>
      </c>
      <c r="U50" s="10">
        <v>2.741E-2</v>
      </c>
      <c r="V50" s="10">
        <v>1.12999999999999E-2</v>
      </c>
      <c r="W50" s="10">
        <v>1.468E-2</v>
      </c>
      <c r="X50" s="10">
        <v>2.8010000000000001E-3</v>
      </c>
      <c r="Y50" s="10">
        <v>26.46</v>
      </c>
      <c r="Z50" s="10">
        <v>31.559999999999899</v>
      </c>
      <c r="AA50" s="10">
        <v>177</v>
      </c>
      <c r="AB50" s="10">
        <v>2215</v>
      </c>
      <c r="AC50" s="10">
        <v>0.18049999999999899</v>
      </c>
      <c r="AD50" s="10">
        <v>0.35780000000000001</v>
      </c>
      <c r="AE50" s="10">
        <v>0.46949999999999897</v>
      </c>
      <c r="AF50" s="10">
        <v>0.20949999999999899</v>
      </c>
      <c r="AG50" s="10">
        <v>0.36130000000000001</v>
      </c>
      <c r="AH50">
        <v>9.5640000000000003E-2</v>
      </c>
    </row>
    <row r="51" spans="3:34">
      <c r="C51" s="11" t="s">
        <v>165</v>
      </c>
      <c r="D51" s="10" t="s">
        <v>0</v>
      </c>
      <c r="E51" s="10">
        <v>13.71</v>
      </c>
      <c r="F51" s="10">
        <v>16.399999999999899</v>
      </c>
      <c r="G51" s="10">
        <v>116</v>
      </c>
      <c r="H51" s="10">
        <v>912.7</v>
      </c>
      <c r="I51" s="10">
        <v>0.1186</v>
      </c>
      <c r="J51" s="10">
        <v>0.2276</v>
      </c>
      <c r="K51" s="10">
        <v>0.22289999999999899</v>
      </c>
      <c r="L51" s="10">
        <v>0.1401</v>
      </c>
      <c r="M51" s="10">
        <v>0.30399999999999899</v>
      </c>
      <c r="N51" s="10">
        <v>7.4130000000000001E-2</v>
      </c>
      <c r="O51" s="10">
        <v>1.046</v>
      </c>
      <c r="P51" s="10">
        <v>0.97599999999999898</v>
      </c>
      <c r="Q51" s="10">
        <v>7.27599999999999</v>
      </c>
      <c r="R51" s="10">
        <v>111.4</v>
      </c>
      <c r="S51" s="10">
        <v>8.0289999999999893E-3</v>
      </c>
      <c r="T51" s="10">
        <v>3.7990000000000003E-2</v>
      </c>
      <c r="U51" s="10">
        <v>3.7319999999999902E-2</v>
      </c>
      <c r="V51" s="10">
        <v>2.3970000000000002E-2</v>
      </c>
      <c r="W51" s="10">
        <v>2.308E-2</v>
      </c>
      <c r="X51" s="10">
        <v>7.4440000000000001E-3</v>
      </c>
      <c r="Y51" s="10">
        <v>22.25</v>
      </c>
      <c r="Z51" s="10">
        <v>21.399999999999899</v>
      </c>
      <c r="AA51" s="10">
        <v>152.4</v>
      </c>
      <c r="AB51" s="10">
        <v>1461</v>
      </c>
      <c r="AC51" s="10">
        <v>0.1545</v>
      </c>
      <c r="AD51" s="10">
        <v>0.39489999999999897</v>
      </c>
      <c r="AE51" s="10">
        <v>0.38529999999999898</v>
      </c>
      <c r="AF51" s="10">
        <v>0.255</v>
      </c>
      <c r="AG51" s="10">
        <v>0.40660000000000002</v>
      </c>
      <c r="AH51">
        <v>0.10589999999999899</v>
      </c>
    </row>
    <row r="52" spans="3:34">
      <c r="C52" s="11" t="s">
        <v>167</v>
      </c>
      <c r="D52" s="10" t="s">
        <v>0</v>
      </c>
      <c r="E52" s="10">
        <v>13.71</v>
      </c>
      <c r="F52" s="10">
        <v>20.25</v>
      </c>
      <c r="G52" s="10">
        <v>122.099999999999</v>
      </c>
      <c r="H52" s="10">
        <v>1094</v>
      </c>
      <c r="I52" s="10">
        <v>9.4399999999999901E-2</v>
      </c>
      <c r="J52" s="10">
        <v>0.1066</v>
      </c>
      <c r="K52" s="10">
        <v>0.14899999999999899</v>
      </c>
      <c r="L52" s="10">
        <v>7.7310000000000004E-2</v>
      </c>
      <c r="M52" s="10">
        <v>0.16969999999999899</v>
      </c>
      <c r="N52" s="10">
        <v>5.6989999999999902E-2</v>
      </c>
      <c r="O52" s="10">
        <v>0.85289999999999899</v>
      </c>
      <c r="P52" s="10">
        <v>1.849</v>
      </c>
      <c r="Q52" s="10">
        <v>5.6319999999999899</v>
      </c>
      <c r="R52" s="10">
        <v>93.54</v>
      </c>
      <c r="S52" s="10">
        <v>1.07499999999999E-2</v>
      </c>
      <c r="T52" s="10">
        <v>2.7220000000000001E-2</v>
      </c>
      <c r="U52" s="10">
        <v>5.0810000000000001E-2</v>
      </c>
      <c r="V52" s="10">
        <v>1.9109999999999901E-2</v>
      </c>
      <c r="W52" s="10">
        <v>2.2929999999999898E-2</v>
      </c>
      <c r="X52" s="10">
        <v>4.2170000000000003E-3</v>
      </c>
      <c r="Y52" s="10">
        <v>21.309999999999899</v>
      </c>
      <c r="Z52" s="10">
        <v>27.26</v>
      </c>
      <c r="AA52" s="10">
        <v>139.9</v>
      </c>
      <c r="AB52" s="10">
        <v>1403</v>
      </c>
      <c r="AC52" s="10">
        <v>0.1338</v>
      </c>
      <c r="AD52" s="10">
        <v>0.2117</v>
      </c>
      <c r="AE52" s="10">
        <v>0.34460000000000002</v>
      </c>
      <c r="AF52" s="10">
        <v>0.14899999999999899</v>
      </c>
      <c r="AG52" s="10">
        <v>0.2341</v>
      </c>
      <c r="AH52">
        <v>7.4209999999999901E-2</v>
      </c>
    </row>
    <row r="53" spans="3:34">
      <c r="C53" s="11" t="s">
        <v>168</v>
      </c>
      <c r="D53" s="10" t="s">
        <v>0</v>
      </c>
      <c r="E53" s="10">
        <v>13.71</v>
      </c>
      <c r="F53" s="10">
        <v>25.27</v>
      </c>
      <c r="G53" s="10">
        <v>102.4</v>
      </c>
      <c r="H53" s="10">
        <v>732.39999999999895</v>
      </c>
      <c r="I53" s="10">
        <v>0.1082</v>
      </c>
      <c r="J53" s="10">
        <v>0.16969999999999899</v>
      </c>
      <c r="K53" s="10">
        <v>0.16830000000000001</v>
      </c>
      <c r="L53" s="10">
        <v>8.7510000000000004E-2</v>
      </c>
      <c r="M53" s="10">
        <v>0.19259999999999899</v>
      </c>
      <c r="N53" s="10">
        <v>6.54E-2</v>
      </c>
      <c r="O53" s="10">
        <v>0.439</v>
      </c>
      <c r="P53" s="10">
        <v>1.012</v>
      </c>
      <c r="Q53" s="10">
        <v>3.4980000000000002</v>
      </c>
      <c r="R53" s="10">
        <v>43.5</v>
      </c>
      <c r="S53" s="10">
        <v>5.2329999999999903E-3</v>
      </c>
      <c r="T53" s="10">
        <v>3.057E-2</v>
      </c>
      <c r="U53" s="10">
        <v>3.576E-2</v>
      </c>
      <c r="V53" s="10">
        <v>1.08299999999999E-2</v>
      </c>
      <c r="W53" s="10">
        <v>1.7680000000000001E-2</v>
      </c>
      <c r="X53" s="10">
        <v>2.967E-3</v>
      </c>
      <c r="Y53" s="10">
        <v>20.27</v>
      </c>
      <c r="Z53" s="10">
        <v>36.71</v>
      </c>
      <c r="AA53" s="10">
        <v>149.30000000000001</v>
      </c>
      <c r="AB53" s="10">
        <v>1269</v>
      </c>
      <c r="AC53" s="10">
        <v>0.1641</v>
      </c>
      <c r="AD53" s="10">
        <v>0.61099999999999899</v>
      </c>
      <c r="AE53" s="10">
        <v>0.63349999999999895</v>
      </c>
      <c r="AF53" s="10">
        <v>0.2024</v>
      </c>
      <c r="AG53" s="10">
        <v>0.4027</v>
      </c>
      <c r="AH53">
        <v>9.8760000000000001E-2</v>
      </c>
    </row>
    <row r="54" spans="3:34">
      <c r="C54" s="11" t="s">
        <v>171</v>
      </c>
      <c r="D54" s="10" t="s">
        <v>0</v>
      </c>
      <c r="E54" s="10">
        <v>13.71</v>
      </c>
      <c r="F54" s="10">
        <v>18.6999999999999</v>
      </c>
      <c r="G54" s="10">
        <v>77.930000000000007</v>
      </c>
      <c r="H54" s="10">
        <v>440.6</v>
      </c>
      <c r="I54" s="10">
        <v>0.1109</v>
      </c>
      <c r="J54" s="10">
        <v>0.15160000000000001</v>
      </c>
      <c r="K54" s="10">
        <v>0.12180000000000001</v>
      </c>
      <c r="L54" s="10">
        <v>5.1819999999999901E-2</v>
      </c>
      <c r="M54" s="10">
        <v>0.2301</v>
      </c>
      <c r="N54" s="10">
        <v>7.7990000000000004E-2</v>
      </c>
      <c r="O54" s="10">
        <v>0.48249999999999899</v>
      </c>
      <c r="P54" s="10">
        <v>1.03</v>
      </c>
      <c r="Q54" s="10">
        <v>3.4750000000000001</v>
      </c>
      <c r="R54" s="10">
        <v>41</v>
      </c>
      <c r="S54" s="10">
        <v>5.5510000000000004E-3</v>
      </c>
      <c r="T54" s="10">
        <v>3.41399999999999E-2</v>
      </c>
      <c r="U54" s="10">
        <v>4.20499999999999E-2</v>
      </c>
      <c r="V54" s="10">
        <v>1.044E-2</v>
      </c>
      <c r="W54" s="10">
        <v>2.273E-2</v>
      </c>
      <c r="X54" s="10">
        <v>5.6670000000000002E-3</v>
      </c>
      <c r="Y54" s="10">
        <v>16.82</v>
      </c>
      <c r="Z54" s="10">
        <v>28.12</v>
      </c>
      <c r="AA54" s="10">
        <v>119.4</v>
      </c>
      <c r="AB54" s="10">
        <v>888.7</v>
      </c>
      <c r="AC54" s="10">
        <v>0.16370000000000001</v>
      </c>
      <c r="AD54" s="10">
        <v>0.57750000000000001</v>
      </c>
      <c r="AE54" s="10">
        <v>0.6956</v>
      </c>
      <c r="AF54" s="10">
        <v>0.15459999999999899</v>
      </c>
      <c r="AG54" s="10">
        <v>0.47610000000000002</v>
      </c>
      <c r="AH54">
        <v>0.14019999999999899</v>
      </c>
    </row>
    <row r="55" spans="3:34">
      <c r="C55" s="11" t="s">
        <v>172</v>
      </c>
      <c r="D55" s="10" t="s">
        <v>0</v>
      </c>
      <c r="E55" s="10">
        <v>13.71</v>
      </c>
      <c r="F55" s="10">
        <v>23.98</v>
      </c>
      <c r="G55" s="10">
        <v>112.8</v>
      </c>
      <c r="H55" s="10">
        <v>899.29999999999905</v>
      </c>
      <c r="I55" s="10">
        <v>0.1197</v>
      </c>
      <c r="J55" s="10">
        <v>0.14960000000000001</v>
      </c>
      <c r="K55" s="10">
        <v>0.2417</v>
      </c>
      <c r="L55" s="10">
        <v>0.1203</v>
      </c>
      <c r="M55" s="10">
        <v>0.2248</v>
      </c>
      <c r="N55" s="10">
        <v>6.3820000000000002E-2</v>
      </c>
      <c r="O55" s="10">
        <v>0.60089999999999899</v>
      </c>
      <c r="P55" s="10">
        <v>1.3979999999999899</v>
      </c>
      <c r="Q55" s="10">
        <v>3.9990000000000001</v>
      </c>
      <c r="R55" s="10">
        <v>67.78</v>
      </c>
      <c r="S55" s="10">
        <v>8.2679999999999906E-3</v>
      </c>
      <c r="T55" s="10">
        <v>3.082E-2</v>
      </c>
      <c r="U55" s="10">
        <v>5.042E-2</v>
      </c>
      <c r="V55" s="10">
        <v>1.112E-2</v>
      </c>
      <c r="W55" s="10">
        <v>2.102E-2</v>
      </c>
      <c r="X55" s="10">
        <v>3.8539999999999898E-3</v>
      </c>
      <c r="Y55" s="10">
        <v>20.8799999999999</v>
      </c>
      <c r="Z55" s="10">
        <v>32.090000000000003</v>
      </c>
      <c r="AA55" s="10">
        <v>136.099999999999</v>
      </c>
      <c r="AB55" s="10">
        <v>1344</v>
      </c>
      <c r="AC55" s="10">
        <v>0.16339999999999899</v>
      </c>
      <c r="AD55" s="10">
        <v>0.35589999999999899</v>
      </c>
      <c r="AE55" s="10">
        <v>0.55879999999999896</v>
      </c>
      <c r="AF55" s="10">
        <v>0.1847</v>
      </c>
      <c r="AG55" s="10">
        <v>0.35299999999999898</v>
      </c>
      <c r="AH55">
        <v>8.4820000000000007E-2</v>
      </c>
    </row>
    <row r="56" spans="3:34">
      <c r="C56" s="11" t="s">
        <v>174</v>
      </c>
      <c r="D56" s="10" t="s">
        <v>0</v>
      </c>
      <c r="E56" s="10">
        <v>13.71</v>
      </c>
      <c r="F56" s="10">
        <v>17.8799999999999</v>
      </c>
      <c r="G56" s="10">
        <v>107</v>
      </c>
      <c r="H56" s="10">
        <v>807.2</v>
      </c>
      <c r="I56" s="10">
        <v>0.104</v>
      </c>
      <c r="J56" s="10">
        <v>0.15590000000000001</v>
      </c>
      <c r="K56" s="10">
        <v>0.13539999999999899</v>
      </c>
      <c r="L56" s="10">
        <v>7.7520000000000006E-2</v>
      </c>
      <c r="M56" s="10">
        <v>0.19980000000000001</v>
      </c>
      <c r="N56" s="10">
        <v>6.515E-2</v>
      </c>
      <c r="O56" s="10">
        <v>0.33400000000000002</v>
      </c>
      <c r="P56" s="10">
        <v>0.68569999999999898</v>
      </c>
      <c r="Q56" s="10">
        <v>2.1829999999999901</v>
      </c>
      <c r="R56" s="10">
        <v>35.03</v>
      </c>
      <c r="S56" s="10">
        <v>4.1850000000000004E-3</v>
      </c>
      <c r="T56" s="10">
        <v>2.8680000000000001E-2</v>
      </c>
      <c r="U56" s="10">
        <v>2.664E-2</v>
      </c>
      <c r="V56" s="10">
        <v>9.0670000000000004E-3</v>
      </c>
      <c r="W56" s="10">
        <v>1.703E-2</v>
      </c>
      <c r="X56" s="10">
        <v>3.8170000000000001E-3</v>
      </c>
      <c r="Y56" s="10">
        <v>20.21</v>
      </c>
      <c r="Z56" s="10">
        <v>27.26</v>
      </c>
      <c r="AA56" s="10">
        <v>132.69999999999899</v>
      </c>
      <c r="AB56" s="10">
        <v>1261</v>
      </c>
      <c r="AC56" s="10">
        <v>0.14460000000000001</v>
      </c>
      <c r="AD56" s="10">
        <v>0.58040000000000003</v>
      </c>
      <c r="AE56" s="10">
        <v>0.52739999999999898</v>
      </c>
      <c r="AF56" s="10">
        <v>0.18640000000000001</v>
      </c>
      <c r="AG56" s="10">
        <v>0.42699999999999899</v>
      </c>
      <c r="AH56">
        <v>0.12330000000000001</v>
      </c>
    </row>
    <row r="57" spans="3:34">
      <c r="C57" s="11" t="s">
        <v>176</v>
      </c>
      <c r="D57" s="10" t="s">
        <v>0</v>
      </c>
      <c r="E57" s="10">
        <v>13.71</v>
      </c>
      <c r="F57" s="10">
        <v>21.719999999999899</v>
      </c>
      <c r="G57" s="10">
        <v>93.629999999999896</v>
      </c>
      <c r="H57" s="10">
        <v>633</v>
      </c>
      <c r="I57" s="10">
        <v>9.8229999999999901E-2</v>
      </c>
      <c r="J57" s="10">
        <v>0.109799999999999</v>
      </c>
      <c r="K57" s="10">
        <v>0.13189999999999899</v>
      </c>
      <c r="L57" s="10">
        <v>5.5980000000000002E-2</v>
      </c>
      <c r="M57" s="10">
        <v>0.1885</v>
      </c>
      <c r="N57" s="10">
        <v>6.1249999999999902E-2</v>
      </c>
      <c r="O57" s="10">
        <v>0.28599999999999898</v>
      </c>
      <c r="P57" s="10">
        <v>1.0189999999999899</v>
      </c>
      <c r="Q57" s="10">
        <v>2.657</v>
      </c>
      <c r="R57" s="10">
        <v>24.91</v>
      </c>
      <c r="S57" s="10">
        <v>5.8780000000000004E-3</v>
      </c>
      <c r="T57" s="10">
        <v>2.9950000000000001E-2</v>
      </c>
      <c r="U57" s="10">
        <v>4.8149999999999901E-2</v>
      </c>
      <c r="V57" s="10">
        <v>1.1610000000000001E-2</v>
      </c>
      <c r="W57" s="10">
        <v>2.0279999999999899E-2</v>
      </c>
      <c r="X57" s="10">
        <v>4.0220000000000004E-3</v>
      </c>
      <c r="Y57" s="10">
        <v>15.89</v>
      </c>
      <c r="Z57" s="10">
        <v>30.3599999999999</v>
      </c>
      <c r="AA57" s="10">
        <v>116.2</v>
      </c>
      <c r="AB57" s="10">
        <v>799.6</v>
      </c>
      <c r="AC57" s="10">
        <v>0.14460000000000001</v>
      </c>
      <c r="AD57" s="10">
        <v>0.42380000000000001</v>
      </c>
      <c r="AE57" s="10">
        <v>0.51859999999999895</v>
      </c>
      <c r="AF57" s="10">
        <v>0.1447</v>
      </c>
      <c r="AG57" s="10">
        <v>0.35909999999999898</v>
      </c>
      <c r="AH57">
        <v>0.1014</v>
      </c>
    </row>
    <row r="58" spans="3:34">
      <c r="C58" s="11" t="s">
        <v>180</v>
      </c>
      <c r="D58" s="10" t="s">
        <v>0</v>
      </c>
      <c r="E58" s="10">
        <v>13.71</v>
      </c>
      <c r="F58" s="10">
        <v>21.579999999999899</v>
      </c>
      <c r="G58" s="10">
        <v>86.18</v>
      </c>
      <c r="H58" s="10">
        <v>563</v>
      </c>
      <c r="I58" s="10">
        <v>8.1619999999999901E-2</v>
      </c>
      <c r="J58" s="10">
        <v>6.0310000000000002E-2</v>
      </c>
      <c r="K58" s="10">
        <v>3.1099999999999899E-2</v>
      </c>
      <c r="L58" s="10">
        <v>2.0310000000000002E-2</v>
      </c>
      <c r="M58" s="10">
        <v>0.1784</v>
      </c>
      <c r="N58" s="10">
        <v>5.5870000000000003E-2</v>
      </c>
      <c r="O58" s="10">
        <v>0.23849999999999899</v>
      </c>
      <c r="P58" s="10">
        <v>0.82650000000000001</v>
      </c>
      <c r="Q58" s="10">
        <v>1.5720000000000001</v>
      </c>
      <c r="R58" s="10">
        <v>20.53</v>
      </c>
      <c r="S58" s="10">
        <v>3.27999999999999E-3</v>
      </c>
      <c r="T58" s="10">
        <v>1.102E-2</v>
      </c>
      <c r="U58" s="10">
        <v>1.38999999999999E-2</v>
      </c>
      <c r="V58" s="10">
        <v>6.881E-3</v>
      </c>
      <c r="W58" s="10">
        <v>1.38E-2</v>
      </c>
      <c r="X58" s="10">
        <v>1.286E-3</v>
      </c>
      <c r="Y58" s="10">
        <v>15.93</v>
      </c>
      <c r="Z58" s="10">
        <v>30.25</v>
      </c>
      <c r="AA58" s="10">
        <v>102.5</v>
      </c>
      <c r="AB58" s="10">
        <v>787.89999999999895</v>
      </c>
      <c r="AC58" s="10">
        <v>0.1094</v>
      </c>
      <c r="AD58" s="10">
        <v>0.20430000000000001</v>
      </c>
      <c r="AE58" s="10">
        <v>0.20849999999999899</v>
      </c>
      <c r="AF58" s="10">
        <v>0.11119999999999899</v>
      </c>
      <c r="AG58" s="10">
        <v>0.2994</v>
      </c>
      <c r="AH58">
        <v>7.1459999999999899E-2</v>
      </c>
    </row>
    <row r="59" spans="3:34">
      <c r="C59" s="11" t="s">
        <v>181</v>
      </c>
      <c r="D59" s="10" t="s">
        <v>0</v>
      </c>
      <c r="E59" s="10">
        <v>13.71</v>
      </c>
      <c r="F59" s="10">
        <v>21.35</v>
      </c>
      <c r="G59" s="10">
        <v>71.900000000000006</v>
      </c>
      <c r="H59" s="10">
        <v>371.1</v>
      </c>
      <c r="I59" s="10">
        <v>0.1227</v>
      </c>
      <c r="J59" s="10">
        <v>0.12180000000000001</v>
      </c>
      <c r="K59" s="10">
        <v>0.10440000000000001</v>
      </c>
      <c r="L59" s="10">
        <v>5.66899999999999E-2</v>
      </c>
      <c r="M59" s="10">
        <v>0.1895</v>
      </c>
      <c r="N59" s="10">
        <v>6.86999999999999E-2</v>
      </c>
      <c r="O59" s="10">
        <v>0.2366</v>
      </c>
      <c r="P59" s="10">
        <v>1.4279999999999899</v>
      </c>
      <c r="Q59" s="10">
        <v>1.8220000000000001</v>
      </c>
      <c r="R59" s="10">
        <v>16.969999999999899</v>
      </c>
      <c r="S59" s="10">
        <v>8.064E-3</v>
      </c>
      <c r="T59" s="10">
        <v>1.7639999999999899E-2</v>
      </c>
      <c r="U59" s="10">
        <v>2.5950000000000001E-2</v>
      </c>
      <c r="V59" s="10">
        <v>1.0370000000000001E-2</v>
      </c>
      <c r="W59" s="10">
        <v>1.357E-2</v>
      </c>
      <c r="X59" s="10">
        <v>3.0400000000000002E-3</v>
      </c>
      <c r="Y59" s="10">
        <v>12.84</v>
      </c>
      <c r="Z59" s="10">
        <v>35.340000000000003</v>
      </c>
      <c r="AA59" s="10">
        <v>87.219999999999899</v>
      </c>
      <c r="AB59" s="10">
        <v>514</v>
      </c>
      <c r="AC59" s="10">
        <v>0.19089999999999899</v>
      </c>
      <c r="AD59" s="10">
        <v>0.26979999999999899</v>
      </c>
      <c r="AE59" s="10">
        <v>0.40229999999999899</v>
      </c>
      <c r="AF59" s="10">
        <v>0.1424</v>
      </c>
      <c r="AG59" s="10">
        <v>0.2964</v>
      </c>
      <c r="AH59">
        <v>9.6060000000000006E-2</v>
      </c>
    </row>
    <row r="60" spans="3:34">
      <c r="C60" s="11" t="s">
        <v>184</v>
      </c>
      <c r="D60" s="10" t="s">
        <v>0</v>
      </c>
      <c r="E60" s="10">
        <v>13.71</v>
      </c>
      <c r="F60" s="10">
        <v>21.809999999999899</v>
      </c>
      <c r="G60" s="10">
        <v>85.42</v>
      </c>
      <c r="H60" s="10">
        <v>531.5</v>
      </c>
      <c r="I60" s="10">
        <v>9.7140000000000004E-2</v>
      </c>
      <c r="J60" s="10">
        <v>0.1047</v>
      </c>
      <c r="K60" s="10">
        <v>8.25899999999999E-2</v>
      </c>
      <c r="L60" s="10">
        <v>5.25199999999999E-2</v>
      </c>
      <c r="M60" s="10">
        <v>0.17460000000000001</v>
      </c>
      <c r="N60" s="10">
        <v>6.1769999999999901E-2</v>
      </c>
      <c r="O60" s="10">
        <v>0.1938</v>
      </c>
      <c r="P60" s="10">
        <v>0.61229999999999896</v>
      </c>
      <c r="Q60" s="10">
        <v>1.3340000000000001</v>
      </c>
      <c r="R60" s="10">
        <v>14.49</v>
      </c>
      <c r="S60" s="10">
        <v>3.3500000000000001E-3</v>
      </c>
      <c r="T60" s="10">
        <v>1.384E-2</v>
      </c>
      <c r="U60" s="10">
        <v>1.452E-2</v>
      </c>
      <c r="V60" s="10">
        <v>6.8529999999999902E-3</v>
      </c>
      <c r="W60" s="10">
        <v>1.11299999999999E-2</v>
      </c>
      <c r="X60" s="10">
        <v>1.72E-3</v>
      </c>
      <c r="Y60" s="10">
        <v>16.23</v>
      </c>
      <c r="Z60" s="10">
        <v>29.89</v>
      </c>
      <c r="AA60" s="10">
        <v>105.5</v>
      </c>
      <c r="AB60" s="10">
        <v>740.7</v>
      </c>
      <c r="AC60" s="10">
        <v>0.15029999999999899</v>
      </c>
      <c r="AD60" s="10">
        <v>0.39040000000000002</v>
      </c>
      <c r="AE60" s="10">
        <v>0.37280000000000002</v>
      </c>
      <c r="AF60" s="10">
        <v>0.16070000000000001</v>
      </c>
      <c r="AG60" s="10">
        <v>0.36930000000000002</v>
      </c>
      <c r="AH60">
        <v>9.6180000000000002E-2</v>
      </c>
    </row>
    <row r="61" spans="3:34">
      <c r="C61" s="11" t="s">
        <v>186</v>
      </c>
      <c r="D61" s="10" t="s">
        <v>1</v>
      </c>
      <c r="E61" s="10">
        <v>13.71</v>
      </c>
      <c r="F61" s="10">
        <v>16.84</v>
      </c>
      <c r="G61" s="10">
        <v>51.71</v>
      </c>
      <c r="H61" s="10">
        <v>201.9</v>
      </c>
      <c r="I61" s="10">
        <v>8.5999999999999896E-2</v>
      </c>
      <c r="J61" s="10">
        <v>5.94299999999999E-2</v>
      </c>
      <c r="K61" s="10">
        <v>1.5879999999999901E-2</v>
      </c>
      <c r="L61" s="10">
        <v>5.9170000000000004E-3</v>
      </c>
      <c r="M61" s="10">
        <v>0.1769</v>
      </c>
      <c r="N61" s="10">
        <v>6.5030000000000004E-2</v>
      </c>
      <c r="O61" s="10">
        <v>0.156299999999999</v>
      </c>
      <c r="P61" s="10">
        <v>0.956699999999999</v>
      </c>
      <c r="Q61" s="10">
        <v>1.0940000000000001</v>
      </c>
      <c r="R61" s="10">
        <v>8.2050000000000001</v>
      </c>
      <c r="S61" s="10">
        <v>8.9680000000000003E-3</v>
      </c>
      <c r="T61" s="10">
        <v>1.6459999999999898E-2</v>
      </c>
      <c r="U61" s="10">
        <v>1.5879999999999901E-2</v>
      </c>
      <c r="V61" s="10">
        <v>5.9170000000000004E-3</v>
      </c>
      <c r="W61" s="10">
        <v>2.5739999999999898E-2</v>
      </c>
      <c r="X61" s="10">
        <v>2.5820000000000001E-3</v>
      </c>
      <c r="Y61" s="10">
        <v>8.9640000000000004</v>
      </c>
      <c r="Z61" s="10">
        <v>21.96</v>
      </c>
      <c r="AA61" s="10">
        <v>57.259999999999899</v>
      </c>
      <c r="AB61" s="10">
        <v>242.19999999999899</v>
      </c>
      <c r="AC61" s="10">
        <v>0.12970000000000001</v>
      </c>
      <c r="AD61" s="10">
        <v>0.13569999999999899</v>
      </c>
      <c r="AE61" s="10">
        <v>6.88E-2</v>
      </c>
      <c r="AF61" s="10">
        <v>2.564E-2</v>
      </c>
      <c r="AG61" s="10">
        <v>0.3105</v>
      </c>
      <c r="AH61">
        <v>7.4090000000000003E-2</v>
      </c>
    </row>
    <row r="62" spans="3:34">
      <c r="C62" s="11" t="s">
        <v>187</v>
      </c>
      <c r="D62" s="10" t="s">
        <v>0</v>
      </c>
      <c r="E62" s="10">
        <v>13.71</v>
      </c>
      <c r="F62" s="10">
        <v>18.66</v>
      </c>
      <c r="G62" s="10">
        <v>85.98</v>
      </c>
      <c r="H62" s="10">
        <v>534.6</v>
      </c>
      <c r="I62" s="10">
        <v>0.1158</v>
      </c>
      <c r="J62" s="10">
        <v>0.1231</v>
      </c>
      <c r="K62" s="10">
        <v>0.1226</v>
      </c>
      <c r="L62" s="10">
        <v>7.3400000000000007E-2</v>
      </c>
      <c r="M62" s="10">
        <v>0.21279999999999899</v>
      </c>
      <c r="N62" s="10">
        <v>6.77699999999999E-2</v>
      </c>
      <c r="O62" s="10">
        <v>0.28710000000000002</v>
      </c>
      <c r="P62" s="10">
        <v>0.89370000000000005</v>
      </c>
      <c r="Q62" s="10">
        <v>1.897</v>
      </c>
      <c r="R62" s="10">
        <v>24.25</v>
      </c>
      <c r="S62" s="10">
        <v>6.5319999999999901E-3</v>
      </c>
      <c r="T62" s="10">
        <v>2.3359999999999902E-2</v>
      </c>
      <c r="U62" s="10">
        <v>2.9049999999999899E-2</v>
      </c>
      <c r="V62" s="10">
        <v>1.21499999999999E-2</v>
      </c>
      <c r="W62" s="10">
        <v>1.7430000000000001E-2</v>
      </c>
      <c r="X62" s="10">
        <v>3.643E-3</v>
      </c>
      <c r="Y62" s="10">
        <v>15.67</v>
      </c>
      <c r="Z62" s="10">
        <v>27.9499999999999</v>
      </c>
      <c r="AA62" s="10">
        <v>102.8</v>
      </c>
      <c r="AB62" s="10">
        <v>759.39999999999895</v>
      </c>
      <c r="AC62" s="10">
        <v>0.17860000000000001</v>
      </c>
      <c r="AD62" s="10">
        <v>0.41660000000000003</v>
      </c>
      <c r="AE62" s="10">
        <v>0.50060000000000004</v>
      </c>
      <c r="AF62" s="10">
        <v>0.20880000000000001</v>
      </c>
      <c r="AG62" s="10">
        <v>0.39</v>
      </c>
      <c r="AH62">
        <v>0.1179</v>
      </c>
    </row>
    <row r="63" spans="3:34">
      <c r="C63" s="11" t="s">
        <v>188</v>
      </c>
      <c r="D63" s="10" t="s">
        <v>1</v>
      </c>
      <c r="E63" s="10">
        <v>13.71</v>
      </c>
      <c r="F63" s="10">
        <v>14.63</v>
      </c>
      <c r="G63" s="10">
        <v>78.040000000000006</v>
      </c>
      <c r="H63" s="10">
        <v>449.3</v>
      </c>
      <c r="I63" s="10">
        <v>0.1031</v>
      </c>
      <c r="J63" s="10">
        <v>9.0920000000000001E-2</v>
      </c>
      <c r="K63" s="10">
        <v>6.5920000000000006E-2</v>
      </c>
      <c r="L63" s="10">
        <v>2.7490000000000001E-2</v>
      </c>
      <c r="M63" s="10">
        <v>0.16750000000000001</v>
      </c>
      <c r="N63" s="10">
        <v>6.04299999999999E-2</v>
      </c>
      <c r="O63" s="10">
        <v>0.2636</v>
      </c>
      <c r="P63" s="10">
        <v>0.72940000000000005</v>
      </c>
      <c r="Q63" s="10">
        <v>1.8480000000000001</v>
      </c>
      <c r="R63" s="10">
        <v>19.87</v>
      </c>
      <c r="S63" s="10">
        <v>5.4879999999999903E-3</v>
      </c>
      <c r="T63" s="10">
        <v>1.427E-2</v>
      </c>
      <c r="U63" s="10">
        <v>2.3220000000000001E-2</v>
      </c>
      <c r="V63" s="10">
        <v>5.6600000000000001E-3</v>
      </c>
      <c r="W63" s="10">
        <v>1.42799999999999E-2</v>
      </c>
      <c r="X63" s="10">
        <v>2.4220000000000001E-3</v>
      </c>
      <c r="Y63" s="10">
        <v>13.76</v>
      </c>
      <c r="Z63" s="10">
        <v>20.6999999999999</v>
      </c>
      <c r="AA63" s="10">
        <v>89.879999999999896</v>
      </c>
      <c r="AB63" s="10">
        <v>582.6</v>
      </c>
      <c r="AC63" s="10">
        <v>0.14940000000000001</v>
      </c>
      <c r="AD63" s="10">
        <v>0.21560000000000001</v>
      </c>
      <c r="AE63" s="10">
        <v>0.30499999999999899</v>
      </c>
      <c r="AF63" s="10">
        <v>6.5479999999999899E-2</v>
      </c>
      <c r="AG63" s="10">
        <v>0.2747</v>
      </c>
      <c r="AH63">
        <v>8.301E-2</v>
      </c>
    </row>
    <row r="64" spans="3:34">
      <c r="C64" s="11" t="s">
        <v>193</v>
      </c>
      <c r="D64" s="10" t="s">
        <v>0</v>
      </c>
      <c r="E64" s="10">
        <v>13.71</v>
      </c>
      <c r="F64" s="10">
        <v>18.6999999999999</v>
      </c>
      <c r="G64" s="10">
        <v>120.3</v>
      </c>
      <c r="H64" s="10">
        <v>1033</v>
      </c>
      <c r="I64" s="10">
        <v>0.1148</v>
      </c>
      <c r="J64" s="10">
        <v>0.14849999999999899</v>
      </c>
      <c r="K64" s="10">
        <v>0.1772</v>
      </c>
      <c r="L64" s="10">
        <v>0.106</v>
      </c>
      <c r="M64" s="10">
        <v>0.2092</v>
      </c>
      <c r="N64" s="10">
        <v>6.3100000000000003E-2</v>
      </c>
      <c r="O64" s="10">
        <v>0.8337</v>
      </c>
      <c r="P64" s="10">
        <v>1.593</v>
      </c>
      <c r="Q64" s="10">
        <v>4.87699999999999</v>
      </c>
      <c r="R64" s="10">
        <v>98.81</v>
      </c>
      <c r="S64" s="10">
        <v>3.8990000000000001E-3</v>
      </c>
      <c r="T64" s="10">
        <v>2.9610000000000001E-2</v>
      </c>
      <c r="U64" s="10">
        <v>2.8170000000000001E-2</v>
      </c>
      <c r="V64" s="10">
        <v>9.2219999999999906E-3</v>
      </c>
      <c r="W64" s="10">
        <v>2.674E-2</v>
      </c>
      <c r="X64" s="10">
        <v>5.1260000000000003E-3</v>
      </c>
      <c r="Y64" s="10">
        <v>20.6</v>
      </c>
      <c r="Z64" s="10">
        <v>24.1299999999999</v>
      </c>
      <c r="AA64" s="10">
        <v>135.099999999999</v>
      </c>
      <c r="AB64" s="10">
        <v>1321</v>
      </c>
      <c r="AC64" s="10">
        <v>0.128</v>
      </c>
      <c r="AD64" s="10">
        <v>0.22969999999999899</v>
      </c>
      <c r="AE64" s="10">
        <v>0.26229999999999898</v>
      </c>
      <c r="AF64" s="10">
        <v>0.13250000000000001</v>
      </c>
      <c r="AG64" s="10">
        <v>0.30209999999999898</v>
      </c>
      <c r="AH64">
        <v>7.9869999999999899E-2</v>
      </c>
    </row>
    <row r="65" spans="3:34">
      <c r="C65" s="11" t="s">
        <v>195</v>
      </c>
      <c r="D65" s="10" t="s">
        <v>1</v>
      </c>
      <c r="E65" s="10">
        <v>13.71</v>
      </c>
      <c r="F65" s="10">
        <v>18.75</v>
      </c>
      <c r="G65" s="10">
        <v>73.34</v>
      </c>
      <c r="H65" s="10">
        <v>409</v>
      </c>
      <c r="I65" s="10">
        <v>9.5240000000000005E-2</v>
      </c>
      <c r="J65" s="10">
        <v>5.4730000000000001E-2</v>
      </c>
      <c r="K65" s="10">
        <v>3.0360000000000002E-2</v>
      </c>
      <c r="L65" s="10">
        <v>2.2780000000000002E-2</v>
      </c>
      <c r="M65" s="10">
        <v>0.192</v>
      </c>
      <c r="N65" s="10">
        <v>5.90699999999999E-2</v>
      </c>
      <c r="O65" s="10">
        <v>0.32490000000000002</v>
      </c>
      <c r="P65" s="10">
        <v>0.95909999999999895</v>
      </c>
      <c r="Q65" s="10">
        <v>2.1829999999999901</v>
      </c>
      <c r="R65" s="10">
        <v>23.469999999999899</v>
      </c>
      <c r="S65" s="10">
        <v>8.3280000000000003E-3</v>
      </c>
      <c r="T65" s="10">
        <v>8.7220000000000006E-3</v>
      </c>
      <c r="U65" s="10">
        <v>1.349E-2</v>
      </c>
      <c r="V65" s="10">
        <v>8.6700000000000006E-3</v>
      </c>
      <c r="W65" s="10">
        <v>3.218E-2</v>
      </c>
      <c r="X65" s="10">
        <v>2.3860000000000001E-3</v>
      </c>
      <c r="Y65" s="10">
        <v>12.84</v>
      </c>
      <c r="Z65" s="10">
        <v>22.469999999999899</v>
      </c>
      <c r="AA65" s="10">
        <v>81.81</v>
      </c>
      <c r="AB65" s="10">
        <v>506.19999999999902</v>
      </c>
      <c r="AC65" s="10">
        <v>0.1249</v>
      </c>
      <c r="AD65" s="10">
        <v>8.72E-2</v>
      </c>
      <c r="AE65" s="10">
        <v>9.0759999999999896E-2</v>
      </c>
      <c r="AF65" s="10">
        <v>6.3159999999999897E-2</v>
      </c>
      <c r="AG65" s="10">
        <v>0.3306</v>
      </c>
      <c r="AH65">
        <v>7.0360000000000006E-2</v>
      </c>
    </row>
    <row r="66" spans="3:34">
      <c r="C66" s="11" t="s">
        <v>196</v>
      </c>
      <c r="D66" s="10" t="s">
        <v>0</v>
      </c>
      <c r="E66" s="10">
        <v>13.71</v>
      </c>
      <c r="F66" s="10">
        <v>18.57</v>
      </c>
      <c r="G66" s="10">
        <v>125.5</v>
      </c>
      <c r="H66" s="10">
        <v>1152</v>
      </c>
      <c r="I66" s="10">
        <v>0.1053</v>
      </c>
      <c r="J66" s="10">
        <v>0.12670000000000001</v>
      </c>
      <c r="K66" s="10">
        <v>0.1323</v>
      </c>
      <c r="L66" s="10">
        <v>8.9940000000000006E-2</v>
      </c>
      <c r="M66" s="10">
        <v>0.19170000000000001</v>
      </c>
      <c r="N66" s="10">
        <v>5.9610000000000003E-2</v>
      </c>
      <c r="O66" s="10">
        <v>0.72750000000000004</v>
      </c>
      <c r="P66" s="10">
        <v>1.1930000000000001</v>
      </c>
      <c r="Q66" s="10">
        <v>4.83699999999999</v>
      </c>
      <c r="R66" s="10">
        <v>102.5</v>
      </c>
      <c r="S66" s="10">
        <v>6.4580000000000002E-3</v>
      </c>
      <c r="T66" s="10">
        <v>2.3060000000000001E-2</v>
      </c>
      <c r="U66" s="10">
        <v>2.945E-2</v>
      </c>
      <c r="V66" s="10">
        <v>1.538E-2</v>
      </c>
      <c r="W66" s="10">
        <v>1.8519999999999901E-2</v>
      </c>
      <c r="X66" s="10">
        <v>2.6080000000000001E-3</v>
      </c>
      <c r="Y66" s="10">
        <v>26.14</v>
      </c>
      <c r="Z66" s="10">
        <v>28.14</v>
      </c>
      <c r="AA66" s="10">
        <v>170.099999999999</v>
      </c>
      <c r="AB66" s="10">
        <v>2145</v>
      </c>
      <c r="AC66" s="10">
        <v>0.16239999999999899</v>
      </c>
      <c r="AD66" s="10">
        <v>0.35110000000000002</v>
      </c>
      <c r="AE66" s="10">
        <v>0.38790000000000002</v>
      </c>
      <c r="AF66" s="10">
        <v>0.20910000000000001</v>
      </c>
      <c r="AG66" s="10">
        <v>0.35370000000000001</v>
      </c>
      <c r="AH66">
        <v>8.294E-2</v>
      </c>
    </row>
    <row r="67" spans="3:34">
      <c r="C67" s="11" t="s">
        <v>198</v>
      </c>
      <c r="D67" s="10" t="s">
        <v>1</v>
      </c>
      <c r="E67" s="10">
        <v>13.71</v>
      </c>
      <c r="F67" s="10">
        <v>19.309999999999899</v>
      </c>
      <c r="G67" s="10">
        <v>82.6099999999999</v>
      </c>
      <c r="H67" s="10">
        <v>527.20000000000005</v>
      </c>
      <c r="I67" s="10">
        <v>8.0600000000000005E-2</v>
      </c>
      <c r="J67" s="10">
        <v>3.789E-2</v>
      </c>
      <c r="K67" s="10">
        <v>6.9200000000000002E-4</v>
      </c>
      <c r="L67" s="10">
        <v>4.1669999999999902E-3</v>
      </c>
      <c r="M67" s="10">
        <v>0.18190000000000001</v>
      </c>
      <c r="N67" s="10">
        <v>5.5010000000000003E-2</v>
      </c>
      <c r="O67" s="10">
        <v>0.40400000000000003</v>
      </c>
      <c r="P67" s="10">
        <v>1.214</v>
      </c>
      <c r="Q67" s="10">
        <v>2.5950000000000002</v>
      </c>
      <c r="R67" s="10">
        <v>32.96</v>
      </c>
      <c r="S67" s="10">
        <v>7.4910000000000003E-3</v>
      </c>
      <c r="T67" s="10">
        <v>8.5929999999999895E-3</v>
      </c>
      <c r="U67" s="10">
        <v>6.9200000000000002E-4</v>
      </c>
      <c r="V67" s="10">
        <v>4.1669999999999902E-3</v>
      </c>
      <c r="W67" s="10">
        <v>2.1899999999999899E-2</v>
      </c>
      <c r="X67" s="10">
        <v>2.99E-3</v>
      </c>
      <c r="Y67" s="10">
        <v>14.23</v>
      </c>
      <c r="Z67" s="10">
        <v>22.25</v>
      </c>
      <c r="AA67" s="10">
        <v>90.239999999999895</v>
      </c>
      <c r="AB67" s="10">
        <v>624.1</v>
      </c>
      <c r="AC67" s="10">
        <v>0.1021</v>
      </c>
      <c r="AD67" s="10">
        <v>6.191E-2</v>
      </c>
      <c r="AE67" s="10">
        <v>1.8450000000000001E-3</v>
      </c>
      <c r="AF67" s="10">
        <v>1.111E-2</v>
      </c>
      <c r="AG67" s="10">
        <v>0.24390000000000001</v>
      </c>
      <c r="AH67">
        <v>6.2890000000000001E-2</v>
      </c>
    </row>
    <row r="68" spans="3:34">
      <c r="C68" s="11" t="s">
        <v>199</v>
      </c>
      <c r="D68" s="10" t="s">
        <v>1</v>
      </c>
      <c r="E68" s="10">
        <v>13.71</v>
      </c>
      <c r="F68" s="10">
        <v>11.7899999999999</v>
      </c>
      <c r="G68" s="10">
        <v>54.34</v>
      </c>
      <c r="H68" s="10">
        <v>224.5</v>
      </c>
      <c r="I68" s="10">
        <v>9.7519999999999898E-2</v>
      </c>
      <c r="J68" s="10">
        <v>5.2720000000000003E-2</v>
      </c>
      <c r="K68" s="10">
        <v>2.061E-2</v>
      </c>
      <c r="L68" s="10">
        <v>7.7990000000000004E-3</v>
      </c>
      <c r="M68" s="10">
        <v>0.16830000000000001</v>
      </c>
      <c r="N68" s="10">
        <v>7.1870000000000003E-2</v>
      </c>
      <c r="O68" s="10">
        <v>0.15590000000000001</v>
      </c>
      <c r="P68" s="10">
        <v>0.5796</v>
      </c>
      <c r="Q68" s="10">
        <v>1.046</v>
      </c>
      <c r="R68" s="10">
        <v>8.3219999999999903</v>
      </c>
      <c r="S68" s="10">
        <v>1.01099999999999E-2</v>
      </c>
      <c r="T68" s="10">
        <v>1.055E-2</v>
      </c>
      <c r="U68" s="10">
        <v>1.9810000000000001E-2</v>
      </c>
      <c r="V68" s="10">
        <v>5.7419999999999902E-3</v>
      </c>
      <c r="W68" s="10">
        <v>2.0899999999999901E-2</v>
      </c>
      <c r="X68" s="10">
        <v>2.7880000000000001E-3</v>
      </c>
      <c r="Y68" s="10">
        <v>9.5069999999999908</v>
      </c>
      <c r="Z68" s="10">
        <v>15.4</v>
      </c>
      <c r="AA68" s="10">
        <v>59.899999999999899</v>
      </c>
      <c r="AB68" s="10">
        <v>274.89999999999901</v>
      </c>
      <c r="AC68" s="10">
        <v>0.17330000000000001</v>
      </c>
      <c r="AD68" s="10">
        <v>0.1239</v>
      </c>
      <c r="AE68" s="10">
        <v>0.1168</v>
      </c>
      <c r="AF68" s="10">
        <v>4.419E-2</v>
      </c>
      <c r="AG68" s="10">
        <v>0.32200000000000001</v>
      </c>
      <c r="AH68">
        <v>9.0260000000000007E-2</v>
      </c>
    </row>
    <row r="69" spans="3:34">
      <c r="C69" s="11" t="s">
        <v>200</v>
      </c>
      <c r="D69" s="10" t="s">
        <v>1</v>
      </c>
      <c r="E69" s="10">
        <v>13.71</v>
      </c>
      <c r="F69" s="10">
        <v>14.88</v>
      </c>
      <c r="G69" s="10">
        <v>64.549999999999898</v>
      </c>
      <c r="H69" s="10">
        <v>311.89999999999901</v>
      </c>
      <c r="I69" s="10">
        <v>0.1134</v>
      </c>
      <c r="J69" s="10">
        <v>8.0610000000000001E-2</v>
      </c>
      <c r="K69" s="10">
        <v>1.0840000000000001E-2</v>
      </c>
      <c r="L69" s="10">
        <v>1.29E-2</v>
      </c>
      <c r="M69" s="10">
        <v>0.27429999999999899</v>
      </c>
      <c r="N69" s="10">
        <v>6.9599999999999898E-2</v>
      </c>
      <c r="O69" s="10">
        <v>0.51580000000000004</v>
      </c>
      <c r="P69" s="10">
        <v>1.4410000000000001</v>
      </c>
      <c r="Q69" s="10">
        <v>3.3119999999999901</v>
      </c>
      <c r="R69" s="10">
        <v>34.619999999999898</v>
      </c>
      <c r="S69" s="10">
        <v>7.5139999999999903E-3</v>
      </c>
      <c r="T69" s="10">
        <v>1.099E-2</v>
      </c>
      <c r="U69" s="10">
        <v>7.6649999999999904E-3</v>
      </c>
      <c r="V69" s="10">
        <v>8.1930000000000006E-3</v>
      </c>
      <c r="W69" s="10">
        <v>4.1829999999999902E-2</v>
      </c>
      <c r="X69" s="10">
        <v>5.953E-3</v>
      </c>
      <c r="Y69" s="10">
        <v>11.02</v>
      </c>
      <c r="Z69" s="10">
        <v>17.4499999999999</v>
      </c>
      <c r="AA69" s="10">
        <v>69.8599999999999</v>
      </c>
      <c r="AB69" s="10">
        <v>368.6</v>
      </c>
      <c r="AC69" s="10">
        <v>0.1275</v>
      </c>
      <c r="AD69" s="10">
        <v>9.8659999999999901E-2</v>
      </c>
      <c r="AE69" s="10">
        <v>2.1680000000000001E-2</v>
      </c>
      <c r="AF69" s="10">
        <v>2.579E-2</v>
      </c>
      <c r="AG69" s="10">
        <v>0.35570000000000002</v>
      </c>
      <c r="AH69">
        <v>8.0199999999999896E-2</v>
      </c>
    </row>
    <row r="70" spans="3:34">
      <c r="C70" s="11" t="s">
        <v>201</v>
      </c>
      <c r="D70" s="10" t="s">
        <v>1</v>
      </c>
      <c r="E70" s="10">
        <v>13.71</v>
      </c>
      <c r="F70" s="10">
        <v>20.98</v>
      </c>
      <c r="G70" s="10">
        <v>54.659999999999897</v>
      </c>
      <c r="H70" s="10">
        <v>221.8</v>
      </c>
      <c r="I70" s="10">
        <v>0.12429999999999899</v>
      </c>
      <c r="J70" s="10">
        <v>8.9630000000000001E-2</v>
      </c>
      <c r="K70" s="10">
        <v>2.9999999999999898E-2</v>
      </c>
      <c r="L70" s="10">
        <v>9.2589999999999895E-3</v>
      </c>
      <c r="M70" s="10">
        <v>0.18279999999999899</v>
      </c>
      <c r="N70" s="10">
        <v>6.7570000000000005E-2</v>
      </c>
      <c r="O70" s="10">
        <v>0.35820000000000002</v>
      </c>
      <c r="P70" s="10">
        <v>2.0670000000000002</v>
      </c>
      <c r="Q70" s="10">
        <v>2.4929999999999901</v>
      </c>
      <c r="R70" s="10">
        <v>18.39</v>
      </c>
      <c r="S70" s="10">
        <v>1.193E-2</v>
      </c>
      <c r="T70" s="10">
        <v>3.1620000000000002E-2</v>
      </c>
      <c r="U70" s="10">
        <v>2.9999999999999898E-2</v>
      </c>
      <c r="V70" s="10">
        <v>9.2589999999999895E-3</v>
      </c>
      <c r="W70" s="10">
        <v>3.3570000000000003E-2</v>
      </c>
      <c r="X70" s="10">
        <v>3.04799999999999E-3</v>
      </c>
      <c r="Y70" s="10">
        <v>9.5649999999999906</v>
      </c>
      <c r="Z70" s="10">
        <v>27.0399999999999</v>
      </c>
      <c r="AA70" s="10">
        <v>62.06</v>
      </c>
      <c r="AB70" s="10">
        <v>273.89999999999901</v>
      </c>
      <c r="AC70" s="10">
        <v>0.16389999999999899</v>
      </c>
      <c r="AD70" s="10">
        <v>0.16980000000000001</v>
      </c>
      <c r="AE70" s="10">
        <v>9.0010000000000007E-2</v>
      </c>
      <c r="AF70" s="10">
        <v>2.7779999999999899E-2</v>
      </c>
      <c r="AG70" s="10">
        <v>0.29720000000000002</v>
      </c>
      <c r="AH70">
        <v>7.7119999999999897E-2</v>
      </c>
    </row>
    <row r="71" spans="3:34">
      <c r="C71" s="11" t="s">
        <v>204</v>
      </c>
      <c r="D71" s="10" t="s">
        <v>0</v>
      </c>
      <c r="E71" s="10">
        <v>13.71</v>
      </c>
      <c r="F71" s="10">
        <v>23.84</v>
      </c>
      <c r="G71" s="10">
        <v>82.689999999999898</v>
      </c>
      <c r="H71" s="10">
        <v>499</v>
      </c>
      <c r="I71" s="10">
        <v>0.11219999999999899</v>
      </c>
      <c r="J71" s="10">
        <v>0.12620000000000001</v>
      </c>
      <c r="K71" s="10">
        <v>0.1128</v>
      </c>
      <c r="L71" s="10">
        <v>6.8729999999999902E-2</v>
      </c>
      <c r="M71" s="10">
        <v>0.1905</v>
      </c>
      <c r="N71" s="10">
        <v>6.59E-2</v>
      </c>
      <c r="O71" s="10">
        <v>0.42549999999999899</v>
      </c>
      <c r="P71" s="10">
        <v>1.1779999999999899</v>
      </c>
      <c r="Q71" s="10">
        <v>2.927</v>
      </c>
      <c r="R71" s="10">
        <v>36.46</v>
      </c>
      <c r="S71" s="10">
        <v>7.7809999999999902E-3</v>
      </c>
      <c r="T71" s="10">
        <v>2.648E-2</v>
      </c>
      <c r="U71" s="10">
        <v>2.9729999999999899E-2</v>
      </c>
      <c r="V71" s="10">
        <v>1.29E-2</v>
      </c>
      <c r="W71" s="10">
        <v>1.635E-2</v>
      </c>
      <c r="X71" s="10">
        <v>3.601E-3</v>
      </c>
      <c r="Y71" s="10">
        <v>17.09</v>
      </c>
      <c r="Z71" s="10">
        <v>33.469999999999899</v>
      </c>
      <c r="AA71" s="10">
        <v>111.8</v>
      </c>
      <c r="AB71" s="10">
        <v>888.29999999999905</v>
      </c>
      <c r="AC71" s="10">
        <v>0.18509999999999899</v>
      </c>
      <c r="AD71" s="10">
        <v>0.40610000000000002</v>
      </c>
      <c r="AE71" s="10">
        <v>0.40239999999999898</v>
      </c>
      <c r="AF71" s="10">
        <v>0.1716</v>
      </c>
      <c r="AG71" s="10">
        <v>0.33829999999999899</v>
      </c>
      <c r="AH71">
        <v>0.1031</v>
      </c>
    </row>
    <row r="72" spans="3:34">
      <c r="C72" s="11" t="s">
        <v>205</v>
      </c>
      <c r="D72" s="10" t="s">
        <v>0</v>
      </c>
      <c r="E72" s="10">
        <v>13.71</v>
      </c>
      <c r="F72" s="10">
        <v>23.94</v>
      </c>
      <c r="G72" s="10">
        <v>97.4</v>
      </c>
      <c r="H72" s="10">
        <v>668.29999999999905</v>
      </c>
      <c r="I72" s="10">
        <v>0.1172</v>
      </c>
      <c r="J72" s="10">
        <v>0.1479</v>
      </c>
      <c r="K72" s="10">
        <v>0.12670000000000001</v>
      </c>
      <c r="L72" s="10">
        <v>9.0289999999999898E-2</v>
      </c>
      <c r="M72" s="10">
        <v>0.1953</v>
      </c>
      <c r="N72" s="10">
        <v>6.6540000000000002E-2</v>
      </c>
      <c r="O72" s="10">
        <v>0.35770000000000002</v>
      </c>
      <c r="P72" s="10">
        <v>1.2809999999999899</v>
      </c>
      <c r="Q72" s="10">
        <v>2.4500000000000002</v>
      </c>
      <c r="R72" s="10">
        <v>35.24</v>
      </c>
      <c r="S72" s="10">
        <v>6.7029999999999902E-3</v>
      </c>
      <c r="T72" s="10">
        <v>2.3099999999999898E-2</v>
      </c>
      <c r="U72" s="10">
        <v>2.315E-2</v>
      </c>
      <c r="V72" s="10">
        <v>1.184E-2</v>
      </c>
      <c r="W72" s="10">
        <v>1.9E-2</v>
      </c>
      <c r="X72" s="10">
        <v>3.2239999999999899E-3</v>
      </c>
      <c r="Y72" s="10">
        <v>17.309999999999899</v>
      </c>
      <c r="Z72" s="10">
        <v>33.39</v>
      </c>
      <c r="AA72" s="10">
        <v>114.599999999999</v>
      </c>
      <c r="AB72" s="10">
        <v>925.1</v>
      </c>
      <c r="AC72" s="10">
        <v>0.1648</v>
      </c>
      <c r="AD72" s="10">
        <v>0.34160000000000001</v>
      </c>
      <c r="AE72" s="10">
        <v>0.3024</v>
      </c>
      <c r="AF72" s="10">
        <v>0.16139999999999899</v>
      </c>
      <c r="AG72" s="10">
        <v>0.33210000000000001</v>
      </c>
      <c r="AH72">
        <v>8.9109999999999898E-2</v>
      </c>
    </row>
    <row r="73" spans="3:34">
      <c r="C73" s="11" t="s">
        <v>207</v>
      </c>
      <c r="D73" s="10" t="s">
        <v>1</v>
      </c>
      <c r="E73" s="10">
        <v>13.71</v>
      </c>
      <c r="F73" s="10">
        <v>19.0399999999999</v>
      </c>
      <c r="G73" s="10">
        <v>71.799999999999898</v>
      </c>
      <c r="H73" s="10">
        <v>394.1</v>
      </c>
      <c r="I73" s="10">
        <v>8.1390000000000004E-2</v>
      </c>
      <c r="J73" s="10">
        <v>4.7010000000000003E-2</v>
      </c>
      <c r="K73" s="10">
        <v>3.7089999999999901E-2</v>
      </c>
      <c r="L73" s="10">
        <v>2.23E-2</v>
      </c>
      <c r="M73" s="10">
        <v>0.15160000000000001</v>
      </c>
      <c r="N73" s="10">
        <v>5.6669999999999901E-2</v>
      </c>
      <c r="O73" s="10">
        <v>0.2727</v>
      </c>
      <c r="P73" s="10">
        <v>0.94289999999999896</v>
      </c>
      <c r="Q73" s="10">
        <v>1.831</v>
      </c>
      <c r="R73" s="10">
        <v>18.149999999999899</v>
      </c>
      <c r="S73" s="10">
        <v>9.2820000000000003E-3</v>
      </c>
      <c r="T73" s="10">
        <v>9.2160000000000002E-3</v>
      </c>
      <c r="U73" s="10">
        <v>2.0629999999999898E-2</v>
      </c>
      <c r="V73" s="10">
        <v>8.9650000000000007E-3</v>
      </c>
      <c r="W73" s="10">
        <v>2.1829999999999902E-2</v>
      </c>
      <c r="X73" s="10">
        <v>2.1459999999999899E-3</v>
      </c>
      <c r="Y73" s="10">
        <v>12.33</v>
      </c>
      <c r="Z73" s="10">
        <v>23.84</v>
      </c>
      <c r="AA73" s="10">
        <v>78</v>
      </c>
      <c r="AB73" s="10">
        <v>466.69999999999902</v>
      </c>
      <c r="AC73" s="10">
        <v>0.129</v>
      </c>
      <c r="AD73" s="10">
        <v>9.1480000000000006E-2</v>
      </c>
      <c r="AE73" s="10">
        <v>0.1444</v>
      </c>
      <c r="AF73" s="10">
        <v>6.9610000000000005E-2</v>
      </c>
      <c r="AG73" s="10">
        <v>0.23999999999999899</v>
      </c>
      <c r="AH73">
        <v>6.64099999999999E-2</v>
      </c>
    </row>
    <row r="74" spans="3:34">
      <c r="C74" s="11" t="s">
        <v>210</v>
      </c>
      <c r="D74" s="10" t="s">
        <v>0</v>
      </c>
      <c r="E74" s="10">
        <v>13.71</v>
      </c>
      <c r="F74" s="10">
        <v>21.309999999999899</v>
      </c>
      <c r="G74" s="10">
        <v>123.599999999999</v>
      </c>
      <c r="H74" s="10">
        <v>1130</v>
      </c>
      <c r="I74" s="10">
        <v>9.0090000000000003E-2</v>
      </c>
      <c r="J74" s="10">
        <v>0.10290000000000001</v>
      </c>
      <c r="K74" s="10">
        <v>0.108</v>
      </c>
      <c r="L74" s="10">
        <v>7.95099999999999E-2</v>
      </c>
      <c r="M74" s="10">
        <v>0.15820000000000001</v>
      </c>
      <c r="N74" s="10">
        <v>5.4609999999999902E-2</v>
      </c>
      <c r="O74" s="10">
        <v>0.78879999999999895</v>
      </c>
      <c r="P74" s="10">
        <v>0.79749999999999899</v>
      </c>
      <c r="Q74" s="10">
        <v>5.48599999999999</v>
      </c>
      <c r="R74" s="10">
        <v>96.049999999999898</v>
      </c>
      <c r="S74" s="10">
        <v>4.444E-3</v>
      </c>
      <c r="T74" s="10">
        <v>1.652E-2</v>
      </c>
      <c r="U74" s="10">
        <v>2.2689999999999901E-2</v>
      </c>
      <c r="V74" s="10">
        <v>1.37E-2</v>
      </c>
      <c r="W74" s="10">
        <v>1.3860000000000001E-2</v>
      </c>
      <c r="X74" s="10">
        <v>1.6980000000000001E-3</v>
      </c>
      <c r="Y74" s="10">
        <v>24.8599999999999</v>
      </c>
      <c r="Z74" s="10">
        <v>26.579999999999899</v>
      </c>
      <c r="AA74" s="10">
        <v>165.9</v>
      </c>
      <c r="AB74" s="10">
        <v>1866</v>
      </c>
      <c r="AC74" s="10">
        <v>0.1193</v>
      </c>
      <c r="AD74" s="10">
        <v>0.2336</v>
      </c>
      <c r="AE74" s="10">
        <v>0.268699999999999</v>
      </c>
      <c r="AF74" s="10">
        <v>0.1789</v>
      </c>
      <c r="AG74" s="10">
        <v>0.25509999999999899</v>
      </c>
      <c r="AH74">
        <v>6.5890000000000004E-2</v>
      </c>
    </row>
    <row r="75" spans="3:34">
      <c r="C75" s="11" t="s">
        <v>212</v>
      </c>
      <c r="D75" s="10" t="s">
        <v>0</v>
      </c>
      <c r="E75" s="10">
        <v>13.71</v>
      </c>
      <c r="F75" s="10">
        <v>24.52</v>
      </c>
      <c r="G75" s="10">
        <v>114.2</v>
      </c>
      <c r="H75" s="10">
        <v>929.39999999999895</v>
      </c>
      <c r="I75" s="10">
        <v>0.1071</v>
      </c>
      <c r="J75" s="10">
        <v>0.183</v>
      </c>
      <c r="K75" s="10">
        <v>0.16919999999999899</v>
      </c>
      <c r="L75" s="10">
        <v>7.94399999999999E-2</v>
      </c>
      <c r="M75" s="10">
        <v>0.19270000000000001</v>
      </c>
      <c r="N75" s="10">
        <v>6.48699999999999E-2</v>
      </c>
      <c r="O75" s="10">
        <v>0.5907</v>
      </c>
      <c r="P75" s="10">
        <v>1.0409999999999899</v>
      </c>
      <c r="Q75" s="10">
        <v>3.7050000000000001</v>
      </c>
      <c r="R75" s="10">
        <v>69.469999999999899</v>
      </c>
      <c r="S75" s="10">
        <v>5.8199999999999901E-3</v>
      </c>
      <c r="T75" s="10">
        <v>5.6160000000000002E-2</v>
      </c>
      <c r="U75" s="10">
        <v>4.2520000000000002E-2</v>
      </c>
      <c r="V75" s="10">
        <v>1.1270000000000001E-2</v>
      </c>
      <c r="W75" s="10">
        <v>1.5270000000000001E-2</v>
      </c>
      <c r="X75" s="10">
        <v>6.2989999999999904E-3</v>
      </c>
      <c r="Y75" s="10">
        <v>23.32</v>
      </c>
      <c r="Z75" s="10">
        <v>33.82</v>
      </c>
      <c r="AA75" s="10">
        <v>151.599999999999</v>
      </c>
      <c r="AB75" s="10">
        <v>1681</v>
      </c>
      <c r="AC75" s="10">
        <v>0.1585</v>
      </c>
      <c r="AD75" s="10">
        <v>0.73939999999999895</v>
      </c>
      <c r="AE75" s="10">
        <v>0.65659999999999896</v>
      </c>
      <c r="AF75" s="10">
        <v>0.18990000000000001</v>
      </c>
      <c r="AG75" s="10">
        <v>0.33129999999999898</v>
      </c>
      <c r="AH75">
        <v>0.13389999999999899</v>
      </c>
    </row>
    <row r="76" spans="3:34">
      <c r="C76" s="11" t="s">
        <v>215</v>
      </c>
      <c r="D76" s="10" t="s">
        <v>0</v>
      </c>
      <c r="E76" s="10">
        <v>13.71</v>
      </c>
      <c r="F76" s="10">
        <v>19.649999999999899</v>
      </c>
      <c r="G76" s="10">
        <v>104.099999999999</v>
      </c>
      <c r="H76" s="10">
        <v>817.7</v>
      </c>
      <c r="I76" s="10">
        <v>9.16799999999999E-2</v>
      </c>
      <c r="J76" s="10">
        <v>8.4239999999999898E-2</v>
      </c>
      <c r="K76" s="10">
        <v>9.7689999999999902E-2</v>
      </c>
      <c r="L76" s="10">
        <v>6.6379999999999897E-2</v>
      </c>
      <c r="M76" s="10">
        <v>0.17979999999999899</v>
      </c>
      <c r="N76" s="10">
        <v>5.391E-2</v>
      </c>
      <c r="O76" s="10">
        <v>0.74739999999999895</v>
      </c>
      <c r="P76" s="10">
        <v>1.016</v>
      </c>
      <c r="Q76" s="10">
        <v>5.0289999999999901</v>
      </c>
      <c r="R76" s="10">
        <v>79.25</v>
      </c>
      <c r="S76" s="10">
        <v>1.082E-2</v>
      </c>
      <c r="T76" s="10">
        <v>2.2030000000000001E-2</v>
      </c>
      <c r="U76" s="10">
        <v>3.5000000000000003E-2</v>
      </c>
      <c r="V76" s="10">
        <v>1.8089999999999901E-2</v>
      </c>
      <c r="W76" s="10">
        <v>1.55E-2</v>
      </c>
      <c r="X76" s="10">
        <v>1.9480000000000001E-3</v>
      </c>
      <c r="Y76" s="10">
        <v>19.77</v>
      </c>
      <c r="Z76" s="10">
        <v>24.559999999999899</v>
      </c>
      <c r="AA76" s="10">
        <v>128.80000000000001</v>
      </c>
      <c r="AB76" s="10">
        <v>1223</v>
      </c>
      <c r="AC76" s="10">
        <v>0.149999999999999</v>
      </c>
      <c r="AD76" s="10">
        <v>0.20449999999999899</v>
      </c>
      <c r="AE76" s="10">
        <v>0.28289999999999899</v>
      </c>
      <c r="AF76" s="10">
        <v>0.152</v>
      </c>
      <c r="AG76" s="10">
        <v>0.26500000000000001</v>
      </c>
      <c r="AH76">
        <v>6.3869999999999899E-2</v>
      </c>
    </row>
    <row r="77" spans="3:34">
      <c r="C77" s="11" t="s">
        <v>217</v>
      </c>
      <c r="D77" s="10" t="s">
        <v>0</v>
      </c>
      <c r="E77" s="10">
        <v>13.71</v>
      </c>
      <c r="F77" s="10">
        <v>16.149999999999899</v>
      </c>
      <c r="G77" s="10">
        <v>120.2</v>
      </c>
      <c r="H77" s="10">
        <v>1006</v>
      </c>
      <c r="I77" s="10">
        <v>0.1065</v>
      </c>
      <c r="J77" s="10">
        <v>0.21460000000000001</v>
      </c>
      <c r="K77" s="10">
        <v>0.16839999999999899</v>
      </c>
      <c r="L77" s="10">
        <v>0.108</v>
      </c>
      <c r="M77" s="10">
        <v>0.2152</v>
      </c>
      <c r="N77" s="10">
        <v>6.6729999999999901E-2</v>
      </c>
      <c r="O77" s="10">
        <v>0.98060000000000003</v>
      </c>
      <c r="P77" s="10">
        <v>0.55049999999999899</v>
      </c>
      <c r="Q77" s="10">
        <v>6.3109999999999902</v>
      </c>
      <c r="R77" s="10">
        <v>134.80000000000001</v>
      </c>
      <c r="S77" s="10">
        <v>7.9399999999999905E-3</v>
      </c>
      <c r="T77" s="10">
        <v>5.83899999999999E-2</v>
      </c>
      <c r="U77" s="10">
        <v>4.6580000000000003E-2</v>
      </c>
      <c r="V77" s="10">
        <v>2.07E-2</v>
      </c>
      <c r="W77" s="10">
        <v>2.5909999999999898E-2</v>
      </c>
      <c r="X77" s="10">
        <v>7.0540000000000004E-3</v>
      </c>
      <c r="Y77" s="10">
        <v>22.39</v>
      </c>
      <c r="Z77" s="10">
        <v>18.91</v>
      </c>
      <c r="AA77" s="10">
        <v>150.099999999999</v>
      </c>
      <c r="AB77" s="10">
        <v>1610</v>
      </c>
      <c r="AC77" s="10">
        <v>0.14779999999999899</v>
      </c>
      <c r="AD77" s="10">
        <v>0.56340000000000001</v>
      </c>
      <c r="AE77" s="10">
        <v>0.37859999999999899</v>
      </c>
      <c r="AF77" s="10">
        <v>0.2102</v>
      </c>
      <c r="AG77" s="10">
        <v>0.37509999999999899</v>
      </c>
      <c r="AH77">
        <v>0.1108</v>
      </c>
    </row>
    <row r="78" spans="3:34">
      <c r="C78" s="11" t="s">
        <v>219</v>
      </c>
      <c r="D78" s="10" t="s">
        <v>1</v>
      </c>
      <c r="E78" s="10">
        <v>13.71</v>
      </c>
      <c r="F78" s="10">
        <v>18</v>
      </c>
      <c r="G78" s="10">
        <v>83.189999999999898</v>
      </c>
      <c r="H78" s="10">
        <v>506.3</v>
      </c>
      <c r="I78" s="10">
        <v>9.9339999999999901E-2</v>
      </c>
      <c r="J78" s="10">
        <v>9.5460000000000003E-2</v>
      </c>
      <c r="K78" s="10">
        <v>3.8890000000000001E-2</v>
      </c>
      <c r="L78" s="10">
        <v>2.315E-2</v>
      </c>
      <c r="M78" s="10">
        <v>0.17180000000000001</v>
      </c>
      <c r="N78" s="10">
        <v>5.9970000000000002E-2</v>
      </c>
      <c r="O78" s="10">
        <v>0.26550000000000001</v>
      </c>
      <c r="P78" s="10">
        <v>1.095</v>
      </c>
      <c r="Q78" s="10">
        <v>1.778</v>
      </c>
      <c r="R78" s="10">
        <v>20.350000000000001</v>
      </c>
      <c r="S78" s="10">
        <v>5.293E-3</v>
      </c>
      <c r="T78" s="10">
        <v>1.661E-2</v>
      </c>
      <c r="U78" s="10">
        <v>2.0709999999999899E-2</v>
      </c>
      <c r="V78" s="10">
        <v>8.1790000000000005E-3</v>
      </c>
      <c r="W78" s="10">
        <v>1.7479999999999898E-2</v>
      </c>
      <c r="X78" s="10">
        <v>2.8479999999999899E-3</v>
      </c>
      <c r="Y78" s="10">
        <v>14.24</v>
      </c>
      <c r="Z78" s="10">
        <v>24.82</v>
      </c>
      <c r="AA78" s="10">
        <v>91.879999999999896</v>
      </c>
      <c r="AB78" s="10">
        <v>622.1</v>
      </c>
      <c r="AC78" s="10">
        <v>0.12889999999999899</v>
      </c>
      <c r="AD78" s="10">
        <v>0.21410000000000001</v>
      </c>
      <c r="AE78" s="10">
        <v>0.1731</v>
      </c>
      <c r="AF78" s="10">
        <v>7.92599999999999E-2</v>
      </c>
      <c r="AG78" s="10">
        <v>0.27789999999999898</v>
      </c>
      <c r="AH78">
        <v>7.918E-2</v>
      </c>
    </row>
    <row r="79" spans="3:34">
      <c r="C79" s="11" t="s">
        <v>220</v>
      </c>
      <c r="D79" s="10" t="s">
        <v>1</v>
      </c>
      <c r="E79" s="10">
        <v>13.71</v>
      </c>
      <c r="F79" s="10">
        <v>20.969999999999899</v>
      </c>
      <c r="G79" s="10">
        <v>73.81</v>
      </c>
      <c r="H79" s="10">
        <v>401.5</v>
      </c>
      <c r="I79" s="10">
        <v>0.11020000000000001</v>
      </c>
      <c r="J79" s="10">
        <v>9.3619999999999898E-2</v>
      </c>
      <c r="K79" s="10">
        <v>4.5909999999999902E-2</v>
      </c>
      <c r="L79" s="10">
        <v>2.2329999999999899E-2</v>
      </c>
      <c r="M79" s="10">
        <v>0.1842</v>
      </c>
      <c r="N79" s="10">
        <v>7.0050000000000001E-2</v>
      </c>
      <c r="O79" s="10">
        <v>0.3251</v>
      </c>
      <c r="P79" s="10">
        <v>2.1739999999999902</v>
      </c>
      <c r="Q79" s="10">
        <v>2.077</v>
      </c>
      <c r="R79" s="10">
        <v>24.62</v>
      </c>
      <c r="S79" s="10">
        <v>1.0370000000000001E-2</v>
      </c>
      <c r="T79" s="10">
        <v>1.7059999999999902E-2</v>
      </c>
      <c r="U79" s="10">
        <v>2.5860000000000001E-2</v>
      </c>
      <c r="V79" s="10">
        <v>7.5059999999999901E-3</v>
      </c>
      <c r="W79" s="10">
        <v>1.8159999999999898E-2</v>
      </c>
      <c r="X79" s="10">
        <v>3.9760000000000004E-3</v>
      </c>
      <c r="Y79" s="10">
        <v>13.1099999999999</v>
      </c>
      <c r="Z79" s="10">
        <v>32.159999999999897</v>
      </c>
      <c r="AA79" s="10">
        <v>84.53</v>
      </c>
      <c r="AB79" s="10">
        <v>525.1</v>
      </c>
      <c r="AC79" s="10">
        <v>0.15570000000000001</v>
      </c>
      <c r="AD79" s="10">
        <v>0.1676</v>
      </c>
      <c r="AE79" s="10">
        <v>0.17549999999999899</v>
      </c>
      <c r="AF79" s="10">
        <v>6.1269999999999901E-2</v>
      </c>
      <c r="AG79" s="10">
        <v>0.2762</v>
      </c>
      <c r="AH79">
        <v>8.8510000000000005E-2</v>
      </c>
    </row>
    <row r="80" spans="3:34">
      <c r="C80" s="11" t="s">
        <v>221</v>
      </c>
      <c r="D80" s="10" t="s">
        <v>1</v>
      </c>
      <c r="E80" s="10">
        <v>13.71</v>
      </c>
      <c r="F80" s="10">
        <v>15.8599999999999</v>
      </c>
      <c r="G80" s="10">
        <v>86.489999999999895</v>
      </c>
      <c r="H80" s="10">
        <v>520</v>
      </c>
      <c r="I80" s="10">
        <v>0.10780000000000001</v>
      </c>
      <c r="J80" s="10">
        <v>0.1535</v>
      </c>
      <c r="K80" s="10">
        <v>0.1169</v>
      </c>
      <c r="L80" s="10">
        <v>6.9870000000000002E-2</v>
      </c>
      <c r="M80" s="10">
        <v>0.19420000000000001</v>
      </c>
      <c r="N80" s="10">
        <v>6.9019999999999901E-2</v>
      </c>
      <c r="O80" s="10">
        <v>0.28599999999999898</v>
      </c>
      <c r="P80" s="10">
        <v>1.016</v>
      </c>
      <c r="Q80" s="10">
        <v>1.5349999999999899</v>
      </c>
      <c r="R80" s="10">
        <v>12.96</v>
      </c>
      <c r="S80" s="10">
        <v>6.7939999999999902E-3</v>
      </c>
      <c r="T80" s="10">
        <v>3.57499999999999E-2</v>
      </c>
      <c r="U80" s="10">
        <v>3.9800000000000002E-2</v>
      </c>
      <c r="V80" s="10">
        <v>1.383E-2</v>
      </c>
      <c r="W80" s="10">
        <v>2.1340000000000001E-2</v>
      </c>
      <c r="X80" s="10">
        <v>4.6030000000000003E-3</v>
      </c>
      <c r="Y80" s="10">
        <v>15.5299999999999</v>
      </c>
      <c r="Z80" s="10">
        <v>23.19</v>
      </c>
      <c r="AA80" s="10">
        <v>96.659999999999897</v>
      </c>
      <c r="AB80" s="10">
        <v>614.89999999999895</v>
      </c>
      <c r="AC80" s="10">
        <v>0.15359999999999899</v>
      </c>
      <c r="AD80" s="10">
        <v>0.47910000000000003</v>
      </c>
      <c r="AE80" s="10">
        <v>0.48580000000000001</v>
      </c>
      <c r="AF80" s="10">
        <v>0.17080000000000001</v>
      </c>
      <c r="AG80" s="10">
        <v>0.35270000000000001</v>
      </c>
      <c r="AH80">
        <v>0.1016</v>
      </c>
    </row>
    <row r="81" spans="3:34">
      <c r="C81" s="11" t="s">
        <v>222</v>
      </c>
      <c r="D81" s="10" t="s">
        <v>0</v>
      </c>
      <c r="E81" s="10">
        <v>13.71</v>
      </c>
      <c r="F81" s="10">
        <v>24.91</v>
      </c>
      <c r="G81" s="10">
        <v>171.5</v>
      </c>
      <c r="H81" s="10">
        <v>1878</v>
      </c>
      <c r="I81" s="10">
        <v>0.10630000000000001</v>
      </c>
      <c r="J81" s="10">
        <v>0.26650000000000001</v>
      </c>
      <c r="K81" s="10">
        <v>0.33389999999999898</v>
      </c>
      <c r="L81" s="10">
        <v>0.1845</v>
      </c>
      <c r="M81" s="10">
        <v>0.18290000000000001</v>
      </c>
      <c r="N81" s="10">
        <v>6.7820000000000005E-2</v>
      </c>
      <c r="O81" s="10">
        <v>0.89729999999999899</v>
      </c>
      <c r="P81" s="10">
        <v>1.474</v>
      </c>
      <c r="Q81" s="10">
        <v>7.3819999999999899</v>
      </c>
      <c r="R81" s="10">
        <v>120</v>
      </c>
      <c r="S81" s="10">
        <v>8.1659999999999892E-3</v>
      </c>
      <c r="T81" s="10">
        <v>5.6930000000000001E-2</v>
      </c>
      <c r="U81" s="10">
        <v>5.72999999999999E-2</v>
      </c>
      <c r="V81" s="10">
        <v>2.0299999999999901E-2</v>
      </c>
      <c r="W81" s="10">
        <v>1.065E-2</v>
      </c>
      <c r="X81" s="10">
        <v>5.8929999999999903E-3</v>
      </c>
      <c r="Y81" s="10">
        <v>30</v>
      </c>
      <c r="Z81" s="10">
        <v>33.619999999999898</v>
      </c>
      <c r="AA81" s="10">
        <v>211.69999999999899</v>
      </c>
      <c r="AB81" s="10">
        <v>2562</v>
      </c>
      <c r="AC81" s="10">
        <v>0.1573</v>
      </c>
      <c r="AD81" s="10">
        <v>0.60760000000000003</v>
      </c>
      <c r="AE81" s="10">
        <v>0.64759999999999895</v>
      </c>
      <c r="AF81" s="10">
        <v>0.28670000000000001</v>
      </c>
      <c r="AG81" s="10">
        <v>0.23549999999999899</v>
      </c>
      <c r="AH81">
        <v>0.1051</v>
      </c>
    </row>
    <row r="82" spans="3:34">
      <c r="C82" s="11" t="s">
        <v>223</v>
      </c>
      <c r="D82" s="10" t="s">
        <v>0</v>
      </c>
      <c r="E82" s="10">
        <v>13.71</v>
      </c>
      <c r="F82" s="10">
        <v>26.2899999999999</v>
      </c>
      <c r="G82" s="10">
        <v>129.099999999999</v>
      </c>
      <c r="H82" s="10">
        <v>1132</v>
      </c>
      <c r="I82" s="10">
        <v>0.1215</v>
      </c>
      <c r="J82" s="10">
        <v>0.17910000000000001</v>
      </c>
      <c r="K82" s="10">
        <v>0.19370000000000001</v>
      </c>
      <c r="L82" s="10">
        <v>0.1469</v>
      </c>
      <c r="M82" s="10">
        <v>0.16339999999999899</v>
      </c>
      <c r="N82" s="10">
        <v>7.2239999999999902E-2</v>
      </c>
      <c r="O82" s="10">
        <v>0.51900000000000002</v>
      </c>
      <c r="P82" s="10">
        <v>2.91</v>
      </c>
      <c r="Q82" s="10">
        <v>5.8010000000000002</v>
      </c>
      <c r="R82" s="10">
        <v>67.099999999999895</v>
      </c>
      <c r="S82" s="10">
        <v>7.5449999999999901E-3</v>
      </c>
      <c r="T82" s="10">
        <v>6.0499999999999901E-2</v>
      </c>
      <c r="U82" s="10">
        <v>2.1340000000000001E-2</v>
      </c>
      <c r="V82" s="10">
        <v>1.8429999999999901E-2</v>
      </c>
      <c r="W82" s="10">
        <v>3.056E-2</v>
      </c>
      <c r="X82" s="10">
        <v>1.039E-2</v>
      </c>
      <c r="Y82" s="10">
        <v>20.329999999999899</v>
      </c>
      <c r="Z82" s="10">
        <v>32.719999999999899</v>
      </c>
      <c r="AA82" s="10">
        <v>141.30000000000001</v>
      </c>
      <c r="AB82" s="10">
        <v>1298</v>
      </c>
      <c r="AC82" s="10">
        <v>0.13919999999999899</v>
      </c>
      <c r="AD82" s="10">
        <v>0.28170000000000001</v>
      </c>
      <c r="AE82" s="10">
        <v>0.2432</v>
      </c>
      <c r="AF82" s="10">
        <v>0.18410000000000001</v>
      </c>
      <c r="AG82" s="10">
        <v>0.2311</v>
      </c>
      <c r="AH82">
        <v>9.2030000000000001E-2</v>
      </c>
    </row>
    <row r="83" spans="3:34">
      <c r="C83" s="11" t="s">
        <v>227</v>
      </c>
      <c r="D83" s="10" t="s">
        <v>0</v>
      </c>
      <c r="E83" s="10">
        <v>13.71</v>
      </c>
      <c r="F83" s="10">
        <v>24.59</v>
      </c>
      <c r="G83" s="10">
        <v>122</v>
      </c>
      <c r="H83" s="10">
        <v>1076</v>
      </c>
      <c r="I83" s="10">
        <v>9.0289999999999898E-2</v>
      </c>
      <c r="J83" s="10">
        <v>0.1206</v>
      </c>
      <c r="K83" s="10">
        <v>0.14680000000000001</v>
      </c>
      <c r="L83" s="10">
        <v>8.2710000000000006E-2</v>
      </c>
      <c r="M83" s="10">
        <v>0.1953</v>
      </c>
      <c r="N83" s="10">
        <v>5.629E-2</v>
      </c>
      <c r="O83" s="10">
        <v>0.54949999999999899</v>
      </c>
      <c r="P83" s="10">
        <v>0.66359999999999897</v>
      </c>
      <c r="Q83" s="10">
        <v>3.0550000000000002</v>
      </c>
      <c r="R83" s="10">
        <v>57.649999999999899</v>
      </c>
      <c r="S83" s="10">
        <v>3.872E-3</v>
      </c>
      <c r="T83" s="10">
        <v>1.8419999999999902E-2</v>
      </c>
      <c r="U83" s="10">
        <v>3.7100000000000001E-2</v>
      </c>
      <c r="V83" s="10">
        <v>1.2E-2</v>
      </c>
      <c r="W83" s="10">
        <v>1.9640000000000001E-2</v>
      </c>
      <c r="X83" s="10">
        <v>3.3370000000000001E-3</v>
      </c>
      <c r="Y83" s="10">
        <v>24.559999999999899</v>
      </c>
      <c r="Z83" s="10">
        <v>30.41</v>
      </c>
      <c r="AA83" s="10">
        <v>152.9</v>
      </c>
      <c r="AB83" s="10">
        <v>1623</v>
      </c>
      <c r="AC83" s="10">
        <v>0.1249</v>
      </c>
      <c r="AD83" s="10">
        <v>0.3206</v>
      </c>
      <c r="AE83" s="10">
        <v>0.57550000000000001</v>
      </c>
      <c r="AF83" s="10">
        <v>0.1956</v>
      </c>
      <c r="AG83" s="10">
        <v>0.39560000000000001</v>
      </c>
      <c r="AH83">
        <v>9.2880000000000004E-2</v>
      </c>
    </row>
    <row r="84" spans="3:34">
      <c r="C84" s="11" t="s">
        <v>228</v>
      </c>
      <c r="D84" s="10" t="s">
        <v>1</v>
      </c>
      <c r="E84" s="10">
        <v>13.71</v>
      </c>
      <c r="F84" s="10">
        <v>21.8</v>
      </c>
      <c r="G84" s="10">
        <v>79.78</v>
      </c>
      <c r="H84" s="10">
        <v>466.1</v>
      </c>
      <c r="I84" s="10">
        <v>8.7720000000000006E-2</v>
      </c>
      <c r="J84" s="10">
        <v>9.4450000000000006E-2</v>
      </c>
      <c r="K84" s="10">
        <v>6.0150000000000002E-2</v>
      </c>
      <c r="L84" s="10">
        <v>3.74499999999999E-2</v>
      </c>
      <c r="M84" s="10">
        <v>0.193</v>
      </c>
      <c r="N84" s="10">
        <v>6.404E-2</v>
      </c>
      <c r="O84" s="10">
        <v>0.29780000000000001</v>
      </c>
      <c r="P84" s="10">
        <v>1.502</v>
      </c>
      <c r="Q84" s="10">
        <v>2.2029999999999901</v>
      </c>
      <c r="R84" s="10">
        <v>20.9499999999999</v>
      </c>
      <c r="S84" s="10">
        <v>7.1120000000000003E-3</v>
      </c>
      <c r="T84" s="10">
        <v>2.4930000000000001E-2</v>
      </c>
      <c r="U84" s="10">
        <v>2.7029999999999901E-2</v>
      </c>
      <c r="V84" s="10">
        <v>1.2930000000000001E-2</v>
      </c>
      <c r="W84" s="10">
        <v>1.958E-2</v>
      </c>
      <c r="X84" s="10">
        <v>4.463E-3</v>
      </c>
      <c r="Y84" s="10">
        <v>13.83</v>
      </c>
      <c r="Z84" s="10">
        <v>30.5</v>
      </c>
      <c r="AA84" s="10">
        <v>91.459999999999894</v>
      </c>
      <c r="AB84" s="10">
        <v>574.70000000000005</v>
      </c>
      <c r="AC84" s="10">
        <v>0.13039999999999899</v>
      </c>
      <c r="AD84" s="10">
        <v>0.24629999999999899</v>
      </c>
      <c r="AE84" s="10">
        <v>0.24340000000000001</v>
      </c>
      <c r="AF84" s="10">
        <v>0.1205</v>
      </c>
      <c r="AG84" s="10">
        <v>0.29720000000000002</v>
      </c>
      <c r="AH84">
        <v>9.2609999999999901E-2</v>
      </c>
    </row>
    <row r="85" spans="3:34">
      <c r="C85" s="11" t="s">
        <v>230</v>
      </c>
      <c r="D85" s="10" t="s">
        <v>1</v>
      </c>
      <c r="E85" s="10">
        <v>13.71</v>
      </c>
      <c r="F85" s="10">
        <v>24.02</v>
      </c>
      <c r="G85" s="10">
        <v>94.569999999999894</v>
      </c>
      <c r="H85" s="10">
        <v>662.7</v>
      </c>
      <c r="I85" s="10">
        <v>8.974E-2</v>
      </c>
      <c r="J85" s="10">
        <v>8.60599999999999E-2</v>
      </c>
      <c r="K85" s="10">
        <v>3.1019999999999898E-2</v>
      </c>
      <c r="L85" s="10">
        <v>2.9569999999999898E-2</v>
      </c>
      <c r="M85" s="10">
        <v>0.16850000000000001</v>
      </c>
      <c r="N85" s="10">
        <v>5.86599999999999E-2</v>
      </c>
      <c r="O85" s="10">
        <v>0.37209999999999899</v>
      </c>
      <c r="P85" s="10">
        <v>1.111</v>
      </c>
      <c r="Q85" s="10">
        <v>2.2789999999999901</v>
      </c>
      <c r="R85" s="10">
        <v>33.759999999999899</v>
      </c>
      <c r="S85" s="10">
        <v>4.8679999999999904E-3</v>
      </c>
      <c r="T85" s="10">
        <v>1.8180000000000002E-2</v>
      </c>
      <c r="U85" s="10">
        <v>1.1209999999999901E-2</v>
      </c>
      <c r="V85" s="10">
        <v>8.6060000000000008E-3</v>
      </c>
      <c r="W85" s="10">
        <v>2.085E-2</v>
      </c>
      <c r="X85" s="10">
        <v>2.8930000000000002E-3</v>
      </c>
      <c r="Y85" s="10">
        <v>16.1099999999999</v>
      </c>
      <c r="Z85" s="10">
        <v>29.1099999999999</v>
      </c>
      <c r="AA85" s="10">
        <v>102.9</v>
      </c>
      <c r="AB85" s="10">
        <v>803.7</v>
      </c>
      <c r="AC85" s="10">
        <v>0.1115</v>
      </c>
      <c r="AD85" s="10">
        <v>0.17660000000000001</v>
      </c>
      <c r="AE85" s="10">
        <v>9.1889999999999902E-2</v>
      </c>
      <c r="AF85" s="10">
        <v>6.9459999999999897E-2</v>
      </c>
      <c r="AG85" s="10">
        <v>0.25219999999999898</v>
      </c>
      <c r="AH85">
        <v>7.2459999999999899E-2</v>
      </c>
    </row>
    <row r="86" spans="3:34">
      <c r="C86" s="11" t="s">
        <v>231</v>
      </c>
      <c r="D86" s="10" t="s">
        <v>0</v>
      </c>
      <c r="E86" s="10">
        <v>13.71</v>
      </c>
      <c r="F86" s="10">
        <v>22.76</v>
      </c>
      <c r="G86" s="10">
        <v>100.2</v>
      </c>
      <c r="H86" s="10">
        <v>728.2</v>
      </c>
      <c r="I86" s="10">
        <v>9.1999999999999901E-2</v>
      </c>
      <c r="J86" s="10">
        <v>0.1036</v>
      </c>
      <c r="K86" s="10">
        <v>0.11219999999999899</v>
      </c>
      <c r="L86" s="10">
        <v>7.4829999999999897E-2</v>
      </c>
      <c r="M86" s="10">
        <v>0.17169999999999899</v>
      </c>
      <c r="N86" s="10">
        <v>6.0970000000000003E-2</v>
      </c>
      <c r="O86" s="10">
        <v>0.31290000000000001</v>
      </c>
      <c r="P86" s="10">
        <v>0.84130000000000005</v>
      </c>
      <c r="Q86" s="10">
        <v>2.0750000000000002</v>
      </c>
      <c r="R86" s="10">
        <v>29.44</v>
      </c>
      <c r="S86" s="10">
        <v>9.8820000000000002E-3</v>
      </c>
      <c r="T86" s="10">
        <v>2.444E-2</v>
      </c>
      <c r="U86" s="10">
        <v>4.5310000000000003E-2</v>
      </c>
      <c r="V86" s="10">
        <v>1.763E-2</v>
      </c>
      <c r="W86" s="10">
        <v>2.4709999999999899E-2</v>
      </c>
      <c r="X86" s="10">
        <v>2.1419999999999898E-3</v>
      </c>
      <c r="Y86" s="10">
        <v>16.43</v>
      </c>
      <c r="Z86" s="10">
        <v>25.84</v>
      </c>
      <c r="AA86" s="10">
        <v>107.5</v>
      </c>
      <c r="AB86" s="10">
        <v>830.89999999999895</v>
      </c>
      <c r="AC86" s="10">
        <v>0.12570000000000001</v>
      </c>
      <c r="AD86" s="10">
        <v>0.19969999999999899</v>
      </c>
      <c r="AE86" s="10">
        <v>0.28460000000000002</v>
      </c>
      <c r="AF86" s="10">
        <v>0.14760000000000001</v>
      </c>
      <c r="AG86" s="10">
        <v>0.25559999999999899</v>
      </c>
      <c r="AH86">
        <v>6.8279999999999896E-2</v>
      </c>
    </row>
    <row r="87" spans="3:34">
      <c r="C87" s="11" t="s">
        <v>234</v>
      </c>
      <c r="D87" s="10" t="s">
        <v>0</v>
      </c>
      <c r="E87" s="10">
        <v>13.71</v>
      </c>
      <c r="F87" s="10">
        <v>19.829999999999899</v>
      </c>
      <c r="G87" s="10">
        <v>100.3</v>
      </c>
      <c r="H87" s="10">
        <v>705.6</v>
      </c>
      <c r="I87" s="10">
        <v>0.10390000000000001</v>
      </c>
      <c r="J87" s="10">
        <v>0.15529999999999899</v>
      </c>
      <c r="K87" s="10">
        <v>0.17</v>
      </c>
      <c r="L87" s="10">
        <v>8.8150000000000006E-2</v>
      </c>
      <c r="M87" s="10">
        <v>0.1855</v>
      </c>
      <c r="N87" s="10">
        <v>6.2839999999999896E-2</v>
      </c>
      <c r="O87" s="10">
        <v>0.4768</v>
      </c>
      <c r="P87" s="10">
        <v>0.96440000000000003</v>
      </c>
      <c r="Q87" s="10">
        <v>3.706</v>
      </c>
      <c r="R87" s="10">
        <v>47.14</v>
      </c>
      <c r="S87" s="10">
        <v>9.2499999999999891E-3</v>
      </c>
      <c r="T87" s="10">
        <v>3.7150000000000002E-2</v>
      </c>
      <c r="U87" s="10">
        <v>4.8669999999999901E-2</v>
      </c>
      <c r="V87" s="10">
        <v>1.8509999999999902E-2</v>
      </c>
      <c r="W87" s="10">
        <v>1.498E-2</v>
      </c>
      <c r="X87" s="10">
        <v>3.5200000000000001E-3</v>
      </c>
      <c r="Y87" s="10">
        <v>18.23</v>
      </c>
      <c r="Z87" s="10">
        <v>24.23</v>
      </c>
      <c r="AA87" s="10">
        <v>123.5</v>
      </c>
      <c r="AB87" s="10">
        <v>1025</v>
      </c>
      <c r="AC87" s="10">
        <v>0.15509999999999899</v>
      </c>
      <c r="AD87" s="10">
        <v>0.42030000000000001</v>
      </c>
      <c r="AE87" s="10">
        <v>0.52029999999999899</v>
      </c>
      <c r="AF87" s="10">
        <v>0.21149999999999899</v>
      </c>
      <c r="AG87" s="10">
        <v>0.28339999999999899</v>
      </c>
      <c r="AH87">
        <v>8.2339999999999899E-2</v>
      </c>
    </row>
    <row r="88" spans="3:34">
      <c r="C88" s="11" t="s">
        <v>236</v>
      </c>
      <c r="D88" s="10" t="s">
        <v>1</v>
      </c>
      <c r="E88" s="10">
        <v>13.71</v>
      </c>
      <c r="F88" s="10">
        <v>17.84</v>
      </c>
      <c r="G88" s="10">
        <v>77.790000000000006</v>
      </c>
      <c r="H88" s="10">
        <v>451.1</v>
      </c>
      <c r="I88" s="10">
        <v>0.1045</v>
      </c>
      <c r="J88" s="10">
        <v>7.0569999999999897E-2</v>
      </c>
      <c r="K88" s="10">
        <v>2.4899999999999901E-2</v>
      </c>
      <c r="L88" s="10">
        <v>2.9409999999999901E-2</v>
      </c>
      <c r="M88" s="10">
        <v>0.19</v>
      </c>
      <c r="N88" s="10">
        <v>6.6350000000000006E-2</v>
      </c>
      <c r="O88" s="10">
        <v>0.36609999999999898</v>
      </c>
      <c r="P88" s="10">
        <v>1.5109999999999899</v>
      </c>
      <c r="Q88" s="10">
        <v>2.41</v>
      </c>
      <c r="R88" s="10">
        <v>24.44</v>
      </c>
      <c r="S88" s="10">
        <v>5.4330000000000003E-3</v>
      </c>
      <c r="T88" s="10">
        <v>1.179E-2</v>
      </c>
      <c r="U88" s="10">
        <v>1.1310000000000001E-2</v>
      </c>
      <c r="V88" s="10">
        <v>1.519E-2</v>
      </c>
      <c r="W88" s="10">
        <v>2.2200000000000001E-2</v>
      </c>
      <c r="X88" s="10">
        <v>3.408E-3</v>
      </c>
      <c r="Y88" s="10">
        <v>12.83</v>
      </c>
      <c r="Z88" s="10">
        <v>20.92</v>
      </c>
      <c r="AA88" s="10">
        <v>82.14</v>
      </c>
      <c r="AB88" s="10">
        <v>495.19999999999902</v>
      </c>
      <c r="AC88" s="10">
        <v>0.114</v>
      </c>
      <c r="AD88" s="10">
        <v>9.3579999999999899E-2</v>
      </c>
      <c r="AE88" s="10">
        <v>4.97999999999999E-2</v>
      </c>
      <c r="AF88" s="10">
        <v>5.88199999999999E-2</v>
      </c>
      <c r="AG88" s="10">
        <v>0.22270000000000001</v>
      </c>
      <c r="AH88">
        <v>7.3760000000000006E-2</v>
      </c>
    </row>
    <row r="89" spans="3:34">
      <c r="C89" s="11" t="s">
        <v>237</v>
      </c>
      <c r="D89" s="10" t="s">
        <v>1</v>
      </c>
      <c r="E89" s="10">
        <v>13.71</v>
      </c>
      <c r="F89" s="10">
        <v>19.940000000000001</v>
      </c>
      <c r="G89" s="10">
        <v>62.1099999999999</v>
      </c>
      <c r="H89" s="10">
        <v>294.5</v>
      </c>
      <c r="I89" s="10">
        <v>0.1024</v>
      </c>
      <c r="J89" s="10">
        <v>5.3010000000000002E-2</v>
      </c>
      <c r="K89" s="10">
        <v>6.829E-3</v>
      </c>
      <c r="L89" s="10">
        <v>7.9369999999999892E-3</v>
      </c>
      <c r="M89" s="10">
        <v>0.13500000000000001</v>
      </c>
      <c r="N89" s="10">
        <v>6.8900000000000003E-2</v>
      </c>
      <c r="O89" s="10">
        <v>0.33500000000000002</v>
      </c>
      <c r="P89" s="10">
        <v>2.0430000000000001</v>
      </c>
      <c r="Q89" s="10">
        <v>2.1320000000000001</v>
      </c>
      <c r="R89" s="10">
        <v>20.05</v>
      </c>
      <c r="S89" s="10">
        <v>1.11299999999999E-2</v>
      </c>
      <c r="T89" s="10">
        <v>1.4630000000000001E-2</v>
      </c>
      <c r="U89" s="10">
        <v>5.3080000000000002E-3</v>
      </c>
      <c r="V89" s="10">
        <v>5.2500000000000003E-3</v>
      </c>
      <c r="W89" s="10">
        <v>1.8010000000000002E-2</v>
      </c>
      <c r="X89" s="10">
        <v>5.6670000000000002E-3</v>
      </c>
      <c r="Y89" s="10">
        <v>10.92</v>
      </c>
      <c r="Z89" s="10">
        <v>26.2899999999999</v>
      </c>
      <c r="AA89" s="10">
        <v>68.81</v>
      </c>
      <c r="AB89" s="10">
        <v>366.1</v>
      </c>
      <c r="AC89" s="10">
        <v>0.131599999999999</v>
      </c>
      <c r="AD89" s="10">
        <v>9.4729999999999898E-2</v>
      </c>
      <c r="AE89" s="10">
        <v>2.0490000000000001E-2</v>
      </c>
      <c r="AF89" s="10">
        <v>2.3810000000000001E-2</v>
      </c>
      <c r="AG89" s="10">
        <v>0.19339999999999899</v>
      </c>
      <c r="AH89">
        <v>8.9880000000000002E-2</v>
      </c>
    </row>
    <row r="90" spans="3:34">
      <c r="C90" s="11" t="s">
        <v>239</v>
      </c>
      <c r="D90" s="10" t="s">
        <v>0</v>
      </c>
      <c r="E90" s="10">
        <v>13.71</v>
      </c>
      <c r="F90" s="10">
        <v>19.77</v>
      </c>
      <c r="G90" s="10">
        <v>94.48</v>
      </c>
      <c r="H90" s="10">
        <v>642.5</v>
      </c>
      <c r="I90" s="10">
        <v>9.7519999999999898E-2</v>
      </c>
      <c r="J90" s="10">
        <v>0.11409999999999899</v>
      </c>
      <c r="K90" s="10">
        <v>9.3880000000000005E-2</v>
      </c>
      <c r="L90" s="10">
        <v>5.83899999999999E-2</v>
      </c>
      <c r="M90" s="10">
        <v>0.18790000000000001</v>
      </c>
      <c r="N90" s="10">
        <v>6.3899999999999901E-2</v>
      </c>
      <c r="O90" s="10">
        <v>0.28949999999999898</v>
      </c>
      <c r="P90" s="10">
        <v>1.851</v>
      </c>
      <c r="Q90" s="10">
        <v>2.3759999999999901</v>
      </c>
      <c r="R90" s="10">
        <v>26.85</v>
      </c>
      <c r="S90" s="10">
        <v>8.005E-3</v>
      </c>
      <c r="T90" s="10">
        <v>2.895E-2</v>
      </c>
      <c r="U90" s="10">
        <v>3.3210000000000003E-2</v>
      </c>
      <c r="V90" s="10">
        <v>1.42399999999999E-2</v>
      </c>
      <c r="W90" s="10">
        <v>1.46199999999999E-2</v>
      </c>
      <c r="X90" s="10">
        <v>4.4520000000000002E-3</v>
      </c>
      <c r="Y90" s="10">
        <v>16.329999999999899</v>
      </c>
      <c r="Z90" s="10">
        <v>30.8599999999999</v>
      </c>
      <c r="AA90" s="10">
        <v>109.5</v>
      </c>
      <c r="AB90" s="10">
        <v>826.39999999999895</v>
      </c>
      <c r="AC90" s="10">
        <v>0.1431</v>
      </c>
      <c r="AD90" s="10">
        <v>0.30259999999999898</v>
      </c>
      <c r="AE90" s="10">
        <v>0.31940000000000002</v>
      </c>
      <c r="AF90" s="10">
        <v>0.1565</v>
      </c>
      <c r="AG90" s="10">
        <v>0.27179999999999899</v>
      </c>
      <c r="AH90">
        <v>9.3530000000000002E-2</v>
      </c>
    </row>
    <row r="91" spans="3:34">
      <c r="C91" s="11" t="s">
        <v>245</v>
      </c>
      <c r="D91" s="10" t="s">
        <v>0</v>
      </c>
      <c r="E91" s="10">
        <v>13.71</v>
      </c>
      <c r="F91" s="10">
        <v>15.56</v>
      </c>
      <c r="G91" s="10">
        <v>87.209999999999894</v>
      </c>
      <c r="H91" s="10">
        <v>530.20000000000005</v>
      </c>
      <c r="I91" s="10">
        <v>0.13980000000000001</v>
      </c>
      <c r="J91" s="10">
        <v>0.17649999999999899</v>
      </c>
      <c r="K91" s="10">
        <v>0.20710000000000001</v>
      </c>
      <c r="L91" s="10">
        <v>9.6009999999999901E-2</v>
      </c>
      <c r="M91" s="10">
        <v>0.1925</v>
      </c>
      <c r="N91" s="10">
        <v>7.6920000000000002E-2</v>
      </c>
      <c r="O91" s="10">
        <v>0.39079999999999898</v>
      </c>
      <c r="P91" s="10">
        <v>0.92379999999999896</v>
      </c>
      <c r="Q91" s="10">
        <v>2.41</v>
      </c>
      <c r="R91" s="10">
        <v>34.659999999999897</v>
      </c>
      <c r="S91" s="10">
        <v>7.162E-3</v>
      </c>
      <c r="T91" s="10">
        <v>2.912E-2</v>
      </c>
      <c r="U91" s="10">
        <v>5.4730000000000001E-2</v>
      </c>
      <c r="V91" s="10">
        <v>1.388E-2</v>
      </c>
      <c r="W91" s="10">
        <v>1.54699999999999E-2</v>
      </c>
      <c r="X91" s="10">
        <v>7.0980000000000001E-3</v>
      </c>
      <c r="Y91" s="10">
        <v>16.309999999999899</v>
      </c>
      <c r="Z91" s="10">
        <v>22.399999999999899</v>
      </c>
      <c r="AA91" s="10">
        <v>106.4</v>
      </c>
      <c r="AB91" s="10">
        <v>827.2</v>
      </c>
      <c r="AC91" s="10">
        <v>0.1862</v>
      </c>
      <c r="AD91" s="10">
        <v>0.40989999999999899</v>
      </c>
      <c r="AE91" s="10">
        <v>0.63759999999999895</v>
      </c>
      <c r="AF91" s="10">
        <v>0.1986</v>
      </c>
      <c r="AG91" s="10">
        <v>0.31469999999999898</v>
      </c>
      <c r="AH91">
        <v>0.14050000000000001</v>
      </c>
    </row>
    <row r="92" spans="3:34">
      <c r="C92" s="11" t="s">
        <v>247</v>
      </c>
      <c r="D92" s="10" t="s">
        <v>1</v>
      </c>
      <c r="E92" s="10">
        <v>13.71</v>
      </c>
      <c r="F92" s="10">
        <v>18.5399999999999</v>
      </c>
      <c r="G92" s="10">
        <v>79.010000000000005</v>
      </c>
      <c r="H92" s="10">
        <v>466.69999999999902</v>
      </c>
      <c r="I92" s="10">
        <v>8.4769999999999901E-2</v>
      </c>
      <c r="J92" s="10">
        <v>6.8150000000000002E-2</v>
      </c>
      <c r="K92" s="10">
        <v>2.6429999999999901E-2</v>
      </c>
      <c r="L92" s="10">
        <v>1.9210000000000001E-2</v>
      </c>
      <c r="M92" s="10">
        <v>0.16020000000000001</v>
      </c>
      <c r="N92" s="10">
        <v>6.0659999999999901E-2</v>
      </c>
      <c r="O92" s="10">
        <v>0.11990000000000001</v>
      </c>
      <c r="P92" s="10">
        <v>0.89439999999999897</v>
      </c>
      <c r="Q92" s="10">
        <v>0.84840000000000004</v>
      </c>
      <c r="R92" s="10">
        <v>9.2270000000000003</v>
      </c>
      <c r="S92" s="10">
        <v>3.457E-3</v>
      </c>
      <c r="T92" s="10">
        <v>1.047E-2</v>
      </c>
      <c r="U92" s="10">
        <v>1.167E-2</v>
      </c>
      <c r="V92" s="10">
        <v>5.55799999999999E-3</v>
      </c>
      <c r="W92" s="10">
        <v>1.251E-2</v>
      </c>
      <c r="X92" s="10">
        <v>1.356E-3</v>
      </c>
      <c r="Y92" s="10">
        <v>13.2899999999999</v>
      </c>
      <c r="Z92" s="10">
        <v>27.489999999999899</v>
      </c>
      <c r="AA92" s="10">
        <v>85.56</v>
      </c>
      <c r="AB92" s="10">
        <v>544.1</v>
      </c>
      <c r="AC92" s="10">
        <v>0.11840000000000001</v>
      </c>
      <c r="AD92" s="10">
        <v>0.1963</v>
      </c>
      <c r="AE92" s="10">
        <v>0.19370000000000001</v>
      </c>
      <c r="AF92" s="10">
        <v>8.4419999999999898E-2</v>
      </c>
      <c r="AG92" s="10">
        <v>0.29830000000000001</v>
      </c>
      <c r="AH92">
        <v>7.18499999999999E-2</v>
      </c>
    </row>
    <row r="93" spans="3:34">
      <c r="C93" s="11" t="s">
        <v>248</v>
      </c>
      <c r="D93" s="10" t="s">
        <v>0</v>
      </c>
      <c r="E93" s="10">
        <v>13.71</v>
      </c>
      <c r="F93" s="10">
        <v>19.670000000000002</v>
      </c>
      <c r="G93" s="10">
        <v>152.80000000000001</v>
      </c>
      <c r="H93" s="10">
        <v>1509</v>
      </c>
      <c r="I93" s="10">
        <v>0.1326</v>
      </c>
      <c r="J93" s="10">
        <v>0.27679999999999899</v>
      </c>
      <c r="K93" s="10">
        <v>0.4264</v>
      </c>
      <c r="L93" s="10">
        <v>0.18229999999999899</v>
      </c>
      <c r="M93" s="10">
        <v>0.25559999999999899</v>
      </c>
      <c r="N93" s="10">
        <v>7.0389999999999897E-2</v>
      </c>
      <c r="O93" s="10">
        <v>1.2150000000000001</v>
      </c>
      <c r="P93" s="10">
        <v>1.5449999999999899</v>
      </c>
      <c r="Q93" s="10">
        <v>10.050000000000001</v>
      </c>
      <c r="R93" s="10">
        <v>170</v>
      </c>
      <c r="S93" s="10">
        <v>6.515E-3</v>
      </c>
      <c r="T93" s="10">
        <v>8.6679999999999896E-2</v>
      </c>
      <c r="U93" s="10">
        <v>0.104</v>
      </c>
      <c r="V93" s="10">
        <v>2.4799999999999899E-2</v>
      </c>
      <c r="W93" s="10">
        <v>3.1119999999999901E-2</v>
      </c>
      <c r="X93" s="10">
        <v>5.0369999999999903E-3</v>
      </c>
      <c r="Y93" s="10">
        <v>28.399999999999899</v>
      </c>
      <c r="Z93" s="10">
        <v>28.01</v>
      </c>
      <c r="AA93" s="10">
        <v>206.8</v>
      </c>
      <c r="AB93" s="10">
        <v>2360</v>
      </c>
      <c r="AC93" s="10">
        <v>0.1701</v>
      </c>
      <c r="AD93" s="10">
        <v>0.69969999999999899</v>
      </c>
      <c r="AE93" s="10">
        <v>0.96079999999999899</v>
      </c>
      <c r="AF93" s="10">
        <v>0.29099999999999898</v>
      </c>
      <c r="AG93" s="10">
        <v>0.40550000000000003</v>
      </c>
      <c r="AH93">
        <v>9.7890000000000005E-2</v>
      </c>
    </row>
    <row r="94" spans="3:34">
      <c r="C94" s="11" t="s">
        <v>249</v>
      </c>
      <c r="D94" s="10" t="s">
        <v>1</v>
      </c>
      <c r="E94" s="10">
        <v>13.71</v>
      </c>
      <c r="F94" s="10">
        <v>21.26</v>
      </c>
      <c r="G94" s="10">
        <v>72.48</v>
      </c>
      <c r="H94" s="10">
        <v>396.5</v>
      </c>
      <c r="I94" s="10">
        <v>8.7590000000000001E-2</v>
      </c>
      <c r="J94" s="10">
        <v>6.5750000000000003E-2</v>
      </c>
      <c r="K94" s="10">
        <v>5.1330000000000001E-2</v>
      </c>
      <c r="L94" s="10">
        <v>1.899E-2</v>
      </c>
      <c r="M94" s="10">
        <v>0.1487</v>
      </c>
      <c r="N94" s="10">
        <v>6.5290000000000001E-2</v>
      </c>
      <c r="O94" s="10">
        <v>0.2344</v>
      </c>
      <c r="P94" s="10">
        <v>0.98609999999999898</v>
      </c>
      <c r="Q94" s="10">
        <v>1.597</v>
      </c>
      <c r="R94" s="10">
        <v>16.41</v>
      </c>
      <c r="S94" s="10">
        <v>9.1129999999999892E-3</v>
      </c>
      <c r="T94" s="10">
        <v>1.5570000000000001E-2</v>
      </c>
      <c r="U94" s="10">
        <v>2.443E-2</v>
      </c>
      <c r="V94" s="10">
        <v>6.4349999999999902E-3</v>
      </c>
      <c r="W94" s="10">
        <v>1.5679999999999899E-2</v>
      </c>
      <c r="X94" s="10">
        <v>2.477E-3</v>
      </c>
      <c r="Y94" s="10">
        <v>13.01</v>
      </c>
      <c r="Z94" s="10">
        <v>29.149999999999899</v>
      </c>
      <c r="AA94" s="10">
        <v>83.989999999999895</v>
      </c>
      <c r="AB94" s="10">
        <v>518.1</v>
      </c>
      <c r="AC94" s="10">
        <v>0.1699</v>
      </c>
      <c r="AD94" s="10">
        <v>0.21959999999999899</v>
      </c>
      <c r="AE94" s="10">
        <v>0.312</v>
      </c>
      <c r="AF94" s="10">
        <v>8.2780000000000006E-2</v>
      </c>
      <c r="AG94" s="10">
        <v>0.28289999999999899</v>
      </c>
      <c r="AH94">
        <v>8.8319999999999899E-2</v>
      </c>
    </row>
    <row r="95" spans="3:34">
      <c r="C95" s="11" t="s">
        <v>251</v>
      </c>
      <c r="D95" s="10" t="s">
        <v>1</v>
      </c>
      <c r="E95" s="10">
        <v>13.71</v>
      </c>
      <c r="F95" s="10">
        <v>20.76</v>
      </c>
      <c r="G95" s="10">
        <v>82.15</v>
      </c>
      <c r="H95" s="10">
        <v>480.39999999999901</v>
      </c>
      <c r="I95" s="10">
        <v>9.9330000000000002E-2</v>
      </c>
      <c r="J95" s="10">
        <v>0.12089999999999899</v>
      </c>
      <c r="K95" s="10">
        <v>0.1065</v>
      </c>
      <c r="L95" s="10">
        <v>6.021E-2</v>
      </c>
      <c r="M95" s="10">
        <v>0.17349999999999899</v>
      </c>
      <c r="N95" s="10">
        <v>7.0699999999999902E-2</v>
      </c>
      <c r="O95" s="10">
        <v>0.34239999999999898</v>
      </c>
      <c r="P95" s="10">
        <v>1.8029999999999899</v>
      </c>
      <c r="Q95" s="10">
        <v>2.7109999999999901</v>
      </c>
      <c r="R95" s="10">
        <v>20.48</v>
      </c>
      <c r="S95" s="10">
        <v>1.291E-2</v>
      </c>
      <c r="T95" s="10">
        <v>4.04199999999999E-2</v>
      </c>
      <c r="U95" s="10">
        <v>5.101E-2</v>
      </c>
      <c r="V95" s="10">
        <v>2.2950000000000002E-2</v>
      </c>
      <c r="W95" s="10">
        <v>2.1440000000000001E-2</v>
      </c>
      <c r="X95" s="10">
        <v>5.8910000000000004E-3</v>
      </c>
      <c r="Y95" s="10">
        <v>13.33</v>
      </c>
      <c r="Z95" s="10">
        <v>25.469999999999899</v>
      </c>
      <c r="AA95" s="10">
        <v>89</v>
      </c>
      <c r="AB95" s="10">
        <v>527.39999999999895</v>
      </c>
      <c r="AC95" s="10">
        <v>0.12870000000000001</v>
      </c>
      <c r="AD95" s="10">
        <v>0.22500000000000001</v>
      </c>
      <c r="AE95" s="10">
        <v>0.22159999999999899</v>
      </c>
      <c r="AF95" s="10">
        <v>0.1105</v>
      </c>
      <c r="AG95" s="10">
        <v>0.22259999999999899</v>
      </c>
      <c r="AH95">
        <v>8.4860000000000005E-2</v>
      </c>
    </row>
    <row r="96" spans="3:34">
      <c r="C96" s="11" t="s">
        <v>252</v>
      </c>
      <c r="D96" s="10" t="s">
        <v>1</v>
      </c>
      <c r="E96" s="10">
        <v>13.71</v>
      </c>
      <c r="F96" s="10">
        <v>19.649999999999899</v>
      </c>
      <c r="G96" s="10">
        <v>97.829999999999899</v>
      </c>
      <c r="H96" s="10">
        <v>629.89999999999895</v>
      </c>
      <c r="I96" s="10">
        <v>7.8369999999999898E-2</v>
      </c>
      <c r="J96" s="10">
        <v>0.2233</v>
      </c>
      <c r="K96" s="10">
        <v>0.30030000000000001</v>
      </c>
      <c r="L96" s="10">
        <v>7.7979999999999897E-2</v>
      </c>
      <c r="M96" s="10">
        <v>0.1704</v>
      </c>
      <c r="N96" s="10">
        <v>7.7689999999999898E-2</v>
      </c>
      <c r="O96" s="10">
        <v>0.36280000000000001</v>
      </c>
      <c r="P96" s="10">
        <v>1.49</v>
      </c>
      <c r="Q96" s="10">
        <v>3.399</v>
      </c>
      <c r="R96" s="10">
        <v>29.25</v>
      </c>
      <c r="S96" s="10">
        <v>5.2979999999999902E-3</v>
      </c>
      <c r="T96" s="10">
        <v>7.4459999999999901E-2</v>
      </c>
      <c r="U96" s="10">
        <v>0.14349999999999899</v>
      </c>
      <c r="V96" s="10">
        <v>2.2919999999999899E-2</v>
      </c>
      <c r="W96" s="10">
        <v>2.5659999999999902E-2</v>
      </c>
      <c r="X96" s="10">
        <v>1.298E-2</v>
      </c>
      <c r="Y96" s="10">
        <v>15.3</v>
      </c>
      <c r="Z96" s="10">
        <v>23.73</v>
      </c>
      <c r="AA96" s="10">
        <v>107</v>
      </c>
      <c r="AB96" s="10">
        <v>709</v>
      </c>
      <c r="AC96" s="10">
        <v>8.949E-2</v>
      </c>
      <c r="AD96" s="10">
        <v>0.41930000000000001</v>
      </c>
      <c r="AE96" s="10">
        <v>0.67830000000000001</v>
      </c>
      <c r="AF96" s="10">
        <v>0.150499999999999</v>
      </c>
      <c r="AG96" s="10">
        <v>0.23980000000000001</v>
      </c>
      <c r="AH96">
        <v>0.1082</v>
      </c>
    </row>
    <row r="97" spans="3:34">
      <c r="C97" s="11" t="s">
        <v>253</v>
      </c>
      <c r="D97" s="10" t="s">
        <v>1</v>
      </c>
      <c r="E97" s="10">
        <v>13.71</v>
      </c>
      <c r="F97" s="10">
        <v>20.190000000000001</v>
      </c>
      <c r="G97" s="10">
        <v>68.64</v>
      </c>
      <c r="H97" s="10">
        <v>334.19999999999902</v>
      </c>
      <c r="I97" s="10">
        <v>0.11219999999999899</v>
      </c>
      <c r="J97" s="10">
        <v>0.1303</v>
      </c>
      <c r="K97" s="10">
        <v>6.4759999999999901E-2</v>
      </c>
      <c r="L97" s="10">
        <v>3.0679999999999898E-2</v>
      </c>
      <c r="M97" s="10">
        <v>0.19220000000000001</v>
      </c>
      <c r="N97" s="10">
        <v>7.782E-2</v>
      </c>
      <c r="O97" s="10">
        <v>0.33360000000000001</v>
      </c>
      <c r="P97" s="10">
        <v>1.86</v>
      </c>
      <c r="Q97" s="10">
        <v>2.0409999999999902</v>
      </c>
      <c r="R97" s="10">
        <v>19.91</v>
      </c>
      <c r="S97" s="10">
        <v>1.188E-2</v>
      </c>
      <c r="T97" s="10">
        <v>3.7470000000000003E-2</v>
      </c>
      <c r="U97" s="10">
        <v>4.5909999999999902E-2</v>
      </c>
      <c r="V97" s="10">
        <v>1.5440000000000001E-2</v>
      </c>
      <c r="W97" s="10">
        <v>2.2870000000000001E-2</v>
      </c>
      <c r="X97" s="10">
        <v>6.7920000000000003E-3</v>
      </c>
      <c r="Y97" s="10">
        <v>11.16</v>
      </c>
      <c r="Z97" s="10">
        <v>22.75</v>
      </c>
      <c r="AA97" s="10">
        <v>72.62</v>
      </c>
      <c r="AB97" s="10">
        <v>374.39999999999901</v>
      </c>
      <c r="AC97" s="10">
        <v>0.13</v>
      </c>
      <c r="AD97" s="10">
        <v>0.2049</v>
      </c>
      <c r="AE97" s="10">
        <v>0.1295</v>
      </c>
      <c r="AF97" s="10">
        <v>6.1359999999999901E-2</v>
      </c>
      <c r="AG97" s="10">
        <v>0.23830000000000001</v>
      </c>
      <c r="AH97">
        <v>9.0260000000000007E-2</v>
      </c>
    </row>
    <row r="98" spans="3:34">
      <c r="C98" s="11" t="s">
        <v>254</v>
      </c>
      <c r="D98" s="10" t="s">
        <v>1</v>
      </c>
      <c r="E98" s="10">
        <v>13.71</v>
      </c>
      <c r="F98" s="10">
        <v>15.83</v>
      </c>
      <c r="G98" s="10">
        <v>55.84</v>
      </c>
      <c r="H98" s="10">
        <v>230.9</v>
      </c>
      <c r="I98" s="10">
        <v>0.115</v>
      </c>
      <c r="J98" s="10">
        <v>8.201E-2</v>
      </c>
      <c r="K98" s="10">
        <v>4.1320000000000003E-2</v>
      </c>
      <c r="L98" s="10">
        <v>1.924E-2</v>
      </c>
      <c r="M98" s="10">
        <v>0.16489999999999899</v>
      </c>
      <c r="N98" s="10">
        <v>7.6329999999999898E-2</v>
      </c>
      <c r="O98" s="10">
        <v>0.16650000000000001</v>
      </c>
      <c r="P98" s="10">
        <v>0.58640000000000003</v>
      </c>
      <c r="Q98" s="10">
        <v>1.3540000000000001</v>
      </c>
      <c r="R98" s="10">
        <v>8.9659999999999904</v>
      </c>
      <c r="S98" s="10">
        <v>8.2609999999999906E-3</v>
      </c>
      <c r="T98" s="10">
        <v>2.213E-2</v>
      </c>
      <c r="U98" s="10">
        <v>3.2590000000000001E-2</v>
      </c>
      <c r="V98" s="10">
        <v>1.04E-2</v>
      </c>
      <c r="W98" s="10">
        <v>1.7080000000000001E-2</v>
      </c>
      <c r="X98" s="10">
        <v>3.8059999999999899E-3</v>
      </c>
      <c r="Y98" s="10">
        <v>9.6280000000000001</v>
      </c>
      <c r="Z98" s="10">
        <v>19.62</v>
      </c>
      <c r="AA98" s="10">
        <v>64.48</v>
      </c>
      <c r="AB98" s="10">
        <v>284.39999999999901</v>
      </c>
      <c r="AC98" s="10">
        <v>0.1724</v>
      </c>
      <c r="AD98" s="10">
        <v>0.2364</v>
      </c>
      <c r="AE98" s="10">
        <v>0.24560000000000001</v>
      </c>
      <c r="AF98" s="10">
        <v>0.105</v>
      </c>
      <c r="AG98" s="10">
        <v>0.29260000000000003</v>
      </c>
      <c r="AH98">
        <v>0.1017</v>
      </c>
    </row>
    <row r="99" spans="3:34">
      <c r="C99" s="11" t="s">
        <v>257</v>
      </c>
      <c r="D99" s="10" t="s">
        <v>0</v>
      </c>
      <c r="E99" s="10">
        <v>13.71</v>
      </c>
      <c r="F99" s="10">
        <v>16.670000000000002</v>
      </c>
      <c r="G99" s="10">
        <v>98.64</v>
      </c>
      <c r="H99" s="10">
        <v>682.5</v>
      </c>
      <c r="I99" s="10">
        <v>0.1162</v>
      </c>
      <c r="J99" s="10">
        <v>0.16489999999999899</v>
      </c>
      <c r="K99" s="10">
        <v>0.16900000000000001</v>
      </c>
      <c r="L99" s="10">
        <v>8.9230000000000004E-2</v>
      </c>
      <c r="M99" s="10">
        <v>0.2157</v>
      </c>
      <c r="N99" s="10">
        <v>6.7680000000000004E-2</v>
      </c>
      <c r="O99" s="10">
        <v>0.42659999999999898</v>
      </c>
      <c r="P99" s="10">
        <v>0.94889999999999897</v>
      </c>
      <c r="Q99" s="10">
        <v>2.9889999999999901</v>
      </c>
      <c r="R99" s="10">
        <v>41.18</v>
      </c>
      <c r="S99" s="10">
        <v>6.9849999999999903E-3</v>
      </c>
      <c r="T99" s="10">
        <v>2.563E-2</v>
      </c>
      <c r="U99" s="10">
        <v>3.0110000000000001E-2</v>
      </c>
      <c r="V99" s="10">
        <v>1.2710000000000001E-2</v>
      </c>
      <c r="W99" s="10">
        <v>1.602E-2</v>
      </c>
      <c r="X99" s="10">
        <v>3.8839999999999899E-3</v>
      </c>
      <c r="Y99" s="10">
        <v>18.809999999999899</v>
      </c>
      <c r="Z99" s="10">
        <v>27.37</v>
      </c>
      <c r="AA99" s="10">
        <v>127.099999999999</v>
      </c>
      <c r="AB99" s="10">
        <v>1095</v>
      </c>
      <c r="AC99" s="10">
        <v>0.187799999999999</v>
      </c>
      <c r="AD99" s="10">
        <v>0.44800000000000001</v>
      </c>
      <c r="AE99" s="10">
        <v>0.47039999999999899</v>
      </c>
      <c r="AF99" s="10">
        <v>0.20269999999999899</v>
      </c>
      <c r="AG99" s="10">
        <v>0.35849999999999899</v>
      </c>
      <c r="AH99">
        <v>0.1065</v>
      </c>
    </row>
    <row r="100" spans="3:34">
      <c r="C100" s="11" t="s">
        <v>258</v>
      </c>
      <c r="D100" s="10" t="s">
        <v>0</v>
      </c>
      <c r="E100" s="10">
        <v>13.71</v>
      </c>
      <c r="F100" s="10">
        <v>22.91</v>
      </c>
      <c r="G100" s="10">
        <v>105.7</v>
      </c>
      <c r="H100" s="10">
        <v>782.6</v>
      </c>
      <c r="I100" s="10">
        <v>0.11550000000000001</v>
      </c>
      <c r="J100" s="10">
        <v>0.175199999999999</v>
      </c>
      <c r="K100" s="10">
        <v>0.21329999999999899</v>
      </c>
      <c r="L100" s="10">
        <v>9.4789999999999902E-2</v>
      </c>
      <c r="M100" s="10">
        <v>0.20960000000000001</v>
      </c>
      <c r="N100" s="10">
        <v>7.331E-2</v>
      </c>
      <c r="O100" s="10">
        <v>0.55200000000000005</v>
      </c>
      <c r="P100" s="10">
        <v>1.0720000000000001</v>
      </c>
      <c r="Q100" s="10">
        <v>3.5979999999999901</v>
      </c>
      <c r="R100" s="10">
        <v>58.63</v>
      </c>
      <c r="S100" s="10">
        <v>8.6990000000000001E-3</v>
      </c>
      <c r="T100" s="10">
        <v>3.97599999999999E-2</v>
      </c>
      <c r="U100" s="10">
        <v>5.94999999999999E-2</v>
      </c>
      <c r="V100" s="10">
        <v>1.38999999999999E-2</v>
      </c>
      <c r="W100" s="10">
        <v>1.495E-2</v>
      </c>
      <c r="X100" s="10">
        <v>5.9839999999999902E-3</v>
      </c>
      <c r="Y100" s="10">
        <v>20.190000000000001</v>
      </c>
      <c r="Z100" s="10">
        <v>30.5</v>
      </c>
      <c r="AA100" s="10">
        <v>130.30000000000001</v>
      </c>
      <c r="AB100" s="10">
        <v>1272</v>
      </c>
      <c r="AC100" s="10">
        <v>0.1855</v>
      </c>
      <c r="AD100" s="10">
        <v>0.49249999999999899</v>
      </c>
      <c r="AE100" s="10">
        <v>0.73560000000000003</v>
      </c>
      <c r="AF100" s="10">
        <v>0.2034</v>
      </c>
      <c r="AG100" s="10">
        <v>0.32740000000000002</v>
      </c>
      <c r="AH100">
        <v>0.12520000000000001</v>
      </c>
    </row>
    <row r="101" spans="3:34">
      <c r="C101" s="11" t="s">
        <v>259</v>
      </c>
      <c r="D101" s="10" t="s">
        <v>0</v>
      </c>
      <c r="E101" s="10">
        <v>13.71</v>
      </c>
      <c r="F101" s="10">
        <v>20.010000000000002</v>
      </c>
      <c r="G101" s="10">
        <v>114.2</v>
      </c>
      <c r="H101" s="10">
        <v>982</v>
      </c>
      <c r="I101" s="10">
        <v>8.40199999999999E-2</v>
      </c>
      <c r="J101" s="10">
        <v>6.7220000000000002E-2</v>
      </c>
      <c r="K101" s="10">
        <v>7.2929999999999898E-2</v>
      </c>
      <c r="L101" s="10">
        <v>5.5960000000000003E-2</v>
      </c>
      <c r="M101" s="10">
        <v>0.21290000000000001</v>
      </c>
      <c r="N101" s="10">
        <v>5.0250000000000003E-2</v>
      </c>
      <c r="O101" s="10">
        <v>0.55059999999999898</v>
      </c>
      <c r="P101" s="10">
        <v>1.214</v>
      </c>
      <c r="Q101" s="10">
        <v>3.3570000000000002</v>
      </c>
      <c r="R101" s="10">
        <v>54.0399999999999</v>
      </c>
      <c r="S101" s="10">
        <v>4.0239999999999903E-3</v>
      </c>
      <c r="T101" s="10">
        <v>8.4220000000000007E-3</v>
      </c>
      <c r="U101" s="10">
        <v>2.291E-2</v>
      </c>
      <c r="V101" s="10">
        <v>9.8630000000000002E-3</v>
      </c>
      <c r="W101" s="10">
        <v>5.01399999999999E-2</v>
      </c>
      <c r="X101" s="10">
        <v>1.902E-3</v>
      </c>
      <c r="Y101" s="10">
        <v>20.579999999999899</v>
      </c>
      <c r="Z101" s="10">
        <v>27.829999999999899</v>
      </c>
      <c r="AA101" s="10">
        <v>129.19999999999899</v>
      </c>
      <c r="AB101" s="10">
        <v>1261</v>
      </c>
      <c r="AC101" s="10">
        <v>0.1072</v>
      </c>
      <c r="AD101" s="10">
        <v>0.1202</v>
      </c>
      <c r="AE101" s="10">
        <v>0.22489999999999899</v>
      </c>
      <c r="AF101" s="10">
        <v>0.118499999999999</v>
      </c>
      <c r="AG101" s="10">
        <v>0.48820000000000002</v>
      </c>
      <c r="AH101">
        <v>6.1109999999999901E-2</v>
      </c>
    </row>
    <row r="102" spans="3:34">
      <c r="C102" s="11" t="s">
        <v>261</v>
      </c>
      <c r="D102" s="10" t="s">
        <v>0</v>
      </c>
      <c r="E102" s="10">
        <v>13.71</v>
      </c>
      <c r="F102" s="10">
        <v>17.12</v>
      </c>
      <c r="G102" s="10">
        <v>121.4</v>
      </c>
      <c r="H102" s="10">
        <v>1077</v>
      </c>
      <c r="I102" s="10">
        <v>0.10539999999999899</v>
      </c>
      <c r="J102" s="10">
        <v>0.11</v>
      </c>
      <c r="K102" s="10">
        <v>0.1457</v>
      </c>
      <c r="L102" s="10">
        <v>8.6650000000000005E-2</v>
      </c>
      <c r="M102" s="10">
        <v>0.1966</v>
      </c>
      <c r="N102" s="10">
        <v>6.2129999999999901E-2</v>
      </c>
      <c r="O102" s="10">
        <v>0.71279999999999899</v>
      </c>
      <c r="P102" s="10">
        <v>1.581</v>
      </c>
      <c r="Q102" s="10">
        <v>4.8949999999999898</v>
      </c>
      <c r="R102" s="10">
        <v>90.469999999999899</v>
      </c>
      <c r="S102" s="10">
        <v>8.1019999999999894E-3</v>
      </c>
      <c r="T102" s="10">
        <v>2.1010000000000001E-2</v>
      </c>
      <c r="U102" s="10">
        <v>3.3419999999999901E-2</v>
      </c>
      <c r="V102" s="10">
        <v>1.601E-2</v>
      </c>
      <c r="W102" s="10">
        <v>2.0449999999999899E-2</v>
      </c>
      <c r="X102" s="10">
        <v>4.5700000000000003E-3</v>
      </c>
      <c r="Y102" s="10">
        <v>22.25</v>
      </c>
      <c r="Z102" s="10">
        <v>24.899999999999899</v>
      </c>
      <c r="AA102" s="10">
        <v>145.4</v>
      </c>
      <c r="AB102" s="10">
        <v>1549</v>
      </c>
      <c r="AC102" s="10">
        <v>0.15029999999999899</v>
      </c>
      <c r="AD102" s="10">
        <v>0.2291</v>
      </c>
      <c r="AE102" s="10">
        <v>0.32719999999999899</v>
      </c>
      <c r="AF102" s="10">
        <v>0.16739999999999899</v>
      </c>
      <c r="AG102" s="10">
        <v>0.28939999999999899</v>
      </c>
      <c r="AH102">
        <v>8.4559999999999899E-2</v>
      </c>
    </row>
    <row r="103" spans="3:34">
      <c r="C103" s="11" t="s">
        <v>262</v>
      </c>
      <c r="D103" s="10" t="s">
        <v>0</v>
      </c>
      <c r="E103" s="10">
        <v>13.71</v>
      </c>
      <c r="F103" s="10">
        <v>20.1999999999999</v>
      </c>
      <c r="G103" s="10">
        <v>166.19999999999899</v>
      </c>
      <c r="H103" s="10">
        <v>1761</v>
      </c>
      <c r="I103" s="10">
        <v>0.1447</v>
      </c>
      <c r="J103" s="10">
        <v>0.28670000000000001</v>
      </c>
      <c r="K103" s="10">
        <v>0.42680000000000001</v>
      </c>
      <c r="L103" s="10">
        <v>0.20119999999999899</v>
      </c>
      <c r="M103" s="10">
        <v>0.26550000000000001</v>
      </c>
      <c r="N103" s="10">
        <v>6.8769999999999901E-2</v>
      </c>
      <c r="O103" s="10">
        <v>1.5089999999999899</v>
      </c>
      <c r="P103" s="10">
        <v>3.12</v>
      </c>
      <c r="Q103" s="10">
        <v>9.8070000000000004</v>
      </c>
      <c r="R103" s="10">
        <v>233</v>
      </c>
      <c r="S103" s="10">
        <v>2.333E-2</v>
      </c>
      <c r="T103" s="10">
        <v>9.8059999999999897E-2</v>
      </c>
      <c r="U103" s="10">
        <v>0.1278</v>
      </c>
      <c r="V103" s="10">
        <v>1.822E-2</v>
      </c>
      <c r="W103" s="10">
        <v>4.5469999999999899E-2</v>
      </c>
      <c r="X103" s="10">
        <v>9.8750000000000001E-3</v>
      </c>
      <c r="Y103" s="10">
        <v>26.02</v>
      </c>
      <c r="Z103" s="10">
        <v>23.989999999999899</v>
      </c>
      <c r="AA103" s="10">
        <v>180.9</v>
      </c>
      <c r="AB103" s="10">
        <v>2073</v>
      </c>
      <c r="AC103" s="10">
        <v>0.1696</v>
      </c>
      <c r="AD103" s="10">
        <v>0.4244</v>
      </c>
      <c r="AE103" s="10">
        <v>0.58030000000000004</v>
      </c>
      <c r="AF103" s="10">
        <v>0.2248</v>
      </c>
      <c r="AG103" s="10">
        <v>0.32219999999999899</v>
      </c>
      <c r="AH103">
        <v>8.0089999999999897E-2</v>
      </c>
    </row>
    <row r="104" spans="3:34">
      <c r="C104" s="11" t="s">
        <v>267</v>
      </c>
      <c r="D104" s="10" t="s">
        <v>0</v>
      </c>
      <c r="E104" s="10">
        <v>13.71</v>
      </c>
      <c r="F104" s="10">
        <v>18.91</v>
      </c>
      <c r="G104" s="10">
        <v>123.4</v>
      </c>
      <c r="H104" s="10">
        <v>1138</v>
      </c>
      <c r="I104" s="10">
        <v>8.2170000000000007E-2</v>
      </c>
      <c r="J104" s="10">
        <v>8.0280000000000004E-2</v>
      </c>
      <c r="K104" s="10">
        <v>9.2710000000000001E-2</v>
      </c>
      <c r="L104" s="10">
        <v>5.6270000000000001E-2</v>
      </c>
      <c r="M104" s="10">
        <v>0.1946</v>
      </c>
      <c r="N104" s="10">
        <v>5.0439999999999902E-2</v>
      </c>
      <c r="O104" s="10">
        <v>0.68959999999999899</v>
      </c>
      <c r="P104" s="10">
        <v>1.3420000000000001</v>
      </c>
      <c r="Q104" s="10">
        <v>5.2160000000000002</v>
      </c>
      <c r="R104" s="10">
        <v>81.23</v>
      </c>
      <c r="S104" s="10">
        <v>4.4279999999999901E-3</v>
      </c>
      <c r="T104" s="10">
        <v>2.7310000000000001E-2</v>
      </c>
      <c r="U104" s="10">
        <v>4.0399999999999901E-2</v>
      </c>
      <c r="V104" s="10">
        <v>1.3610000000000001E-2</v>
      </c>
      <c r="W104" s="10">
        <v>2.0299999999999901E-2</v>
      </c>
      <c r="X104" s="10">
        <v>2.686E-3</v>
      </c>
      <c r="Y104" s="10">
        <v>22.32</v>
      </c>
      <c r="Z104" s="10">
        <v>25.73</v>
      </c>
      <c r="AA104" s="10">
        <v>148.19999999999899</v>
      </c>
      <c r="AB104" s="10">
        <v>1538</v>
      </c>
      <c r="AC104" s="10">
        <v>0.1021</v>
      </c>
      <c r="AD104" s="10">
        <v>0.22639999999999899</v>
      </c>
      <c r="AE104" s="10">
        <v>0.32069999999999899</v>
      </c>
      <c r="AF104" s="10">
        <v>0.12180000000000001</v>
      </c>
      <c r="AG104" s="10">
        <v>0.28410000000000002</v>
      </c>
      <c r="AH104">
        <v>6.5409999999999899E-2</v>
      </c>
    </row>
    <row r="105" spans="3:34">
      <c r="C105" s="11" t="s">
        <v>268</v>
      </c>
      <c r="D105" s="10" t="s">
        <v>1</v>
      </c>
      <c r="E105" s="10">
        <v>13.71</v>
      </c>
      <c r="F105" s="10">
        <v>16.39</v>
      </c>
      <c r="G105" s="10">
        <v>99.579999999999899</v>
      </c>
      <c r="H105" s="10">
        <v>674.5</v>
      </c>
      <c r="I105" s="10">
        <v>0.115</v>
      </c>
      <c r="J105" s="10">
        <v>0.1807</v>
      </c>
      <c r="K105" s="10">
        <v>0.1138</v>
      </c>
      <c r="L105" s="10">
        <v>8.5339999999999902E-2</v>
      </c>
      <c r="M105" s="10">
        <v>0.2001</v>
      </c>
      <c r="N105" s="10">
        <v>6.4670000000000005E-2</v>
      </c>
      <c r="O105" s="10">
        <v>0.43090000000000001</v>
      </c>
      <c r="P105" s="10">
        <v>1.0680000000000001</v>
      </c>
      <c r="Q105" s="10">
        <v>2.79599999999999</v>
      </c>
      <c r="R105" s="10">
        <v>39.840000000000003</v>
      </c>
      <c r="S105" s="10">
        <v>9.0060000000000001E-3</v>
      </c>
      <c r="T105" s="10">
        <v>4.1849999999999901E-2</v>
      </c>
      <c r="U105" s="10">
        <v>3.2039999999999902E-2</v>
      </c>
      <c r="V105" s="10">
        <v>2.2579999999999899E-2</v>
      </c>
      <c r="W105" s="10">
        <v>2.3529999999999902E-2</v>
      </c>
      <c r="X105" s="10">
        <v>4.9839999999999902E-3</v>
      </c>
      <c r="Y105" s="10">
        <v>16.1099999999999</v>
      </c>
      <c r="Z105" s="10">
        <v>18.329999999999899</v>
      </c>
      <c r="AA105" s="10">
        <v>105.9</v>
      </c>
      <c r="AB105" s="10">
        <v>762.6</v>
      </c>
      <c r="AC105" s="10">
        <v>0.1386</v>
      </c>
      <c r="AD105" s="10">
        <v>0.2883</v>
      </c>
      <c r="AE105" s="10">
        <v>0.19600000000000001</v>
      </c>
      <c r="AF105" s="10">
        <v>0.14230000000000001</v>
      </c>
      <c r="AG105" s="10">
        <v>0.25900000000000001</v>
      </c>
      <c r="AH105">
        <v>7.7789999999999901E-2</v>
      </c>
    </row>
    <row r="106" spans="3:34">
      <c r="C106" s="11" t="s">
        <v>271</v>
      </c>
      <c r="D106" s="10" t="s">
        <v>0</v>
      </c>
      <c r="E106" s="10">
        <v>13.71</v>
      </c>
      <c r="F106" s="10">
        <v>19.48</v>
      </c>
      <c r="G106" s="10">
        <v>101.7</v>
      </c>
      <c r="H106" s="10">
        <v>748.89999999999895</v>
      </c>
      <c r="I106" s="10">
        <v>0.10920000000000001</v>
      </c>
      <c r="J106" s="10">
        <v>0.12230000000000001</v>
      </c>
      <c r="K106" s="10">
        <v>0.14660000000000001</v>
      </c>
      <c r="L106" s="10">
        <v>8.08699999999999E-2</v>
      </c>
      <c r="M106" s="10">
        <v>0.19309999999999899</v>
      </c>
      <c r="N106" s="10">
        <v>5.79599999999999E-2</v>
      </c>
      <c r="O106" s="10">
        <v>0.4743</v>
      </c>
      <c r="P106" s="10">
        <v>0.78590000000000004</v>
      </c>
      <c r="Q106" s="10">
        <v>3.0939999999999901</v>
      </c>
      <c r="R106" s="10">
        <v>48.31</v>
      </c>
      <c r="S106" s="10">
        <v>6.2399999999999903E-3</v>
      </c>
      <c r="T106" s="10">
        <v>1.4840000000000001E-2</v>
      </c>
      <c r="U106" s="10">
        <v>2.8129999999999902E-2</v>
      </c>
      <c r="V106" s="10">
        <v>1.093E-2</v>
      </c>
      <c r="W106" s="10">
        <v>1.397E-2</v>
      </c>
      <c r="X106" s="10">
        <v>2.4610000000000001E-3</v>
      </c>
      <c r="Y106" s="10">
        <v>19.260000000000002</v>
      </c>
      <c r="Z106" s="10">
        <v>26</v>
      </c>
      <c r="AA106" s="10">
        <v>124.9</v>
      </c>
      <c r="AB106" s="10">
        <v>1156</v>
      </c>
      <c r="AC106" s="10">
        <v>0.15459999999999899</v>
      </c>
      <c r="AD106" s="10">
        <v>0.2394</v>
      </c>
      <c r="AE106" s="10">
        <v>0.37909999999999899</v>
      </c>
      <c r="AF106" s="10">
        <v>0.15140000000000001</v>
      </c>
      <c r="AG106" s="10">
        <v>0.28370000000000001</v>
      </c>
      <c r="AH106">
        <v>8.01899999999999E-2</v>
      </c>
    </row>
    <row r="107" spans="3:34">
      <c r="C107" s="11" t="s">
        <v>272</v>
      </c>
      <c r="D107" s="10" t="s">
        <v>0</v>
      </c>
      <c r="E107" s="10">
        <v>13.71</v>
      </c>
      <c r="F107" s="10">
        <v>21.5399999999999</v>
      </c>
      <c r="G107" s="10">
        <v>106.2</v>
      </c>
      <c r="H107" s="10">
        <v>809.79999999999905</v>
      </c>
      <c r="I107" s="10">
        <v>0.1008</v>
      </c>
      <c r="J107" s="10">
        <v>0.12839999999999899</v>
      </c>
      <c r="K107" s="10">
        <v>0.1043</v>
      </c>
      <c r="L107" s="10">
        <v>5.6129999999999902E-2</v>
      </c>
      <c r="M107" s="10">
        <v>0.216</v>
      </c>
      <c r="N107" s="10">
        <v>5.89099999999999E-2</v>
      </c>
      <c r="O107" s="10">
        <v>0.43319999999999897</v>
      </c>
      <c r="P107" s="10">
        <v>1.2649999999999899</v>
      </c>
      <c r="Q107" s="10">
        <v>2.8439999999999901</v>
      </c>
      <c r="R107" s="10">
        <v>43.68</v>
      </c>
      <c r="S107" s="10">
        <v>4.8770000000000003E-3</v>
      </c>
      <c r="T107" s="10">
        <v>1.9519999999999899E-2</v>
      </c>
      <c r="U107" s="10">
        <v>2.2190000000000001E-2</v>
      </c>
      <c r="V107" s="10">
        <v>9.2309999999999892E-3</v>
      </c>
      <c r="W107" s="10">
        <v>1.5350000000000001E-2</v>
      </c>
      <c r="X107" s="10">
        <v>2.3730000000000001E-3</v>
      </c>
      <c r="Y107" s="10">
        <v>19.469999999999899</v>
      </c>
      <c r="Z107" s="10">
        <v>31.68</v>
      </c>
      <c r="AA107" s="10">
        <v>129.69999999999899</v>
      </c>
      <c r="AB107" s="10">
        <v>1175</v>
      </c>
      <c r="AC107" s="10">
        <v>0.13950000000000001</v>
      </c>
      <c r="AD107" s="10">
        <v>0.30549999999999899</v>
      </c>
      <c r="AE107" s="10">
        <v>0.29920000000000002</v>
      </c>
      <c r="AF107" s="10">
        <v>0.13120000000000001</v>
      </c>
      <c r="AG107" s="10">
        <v>0.34799999999999898</v>
      </c>
      <c r="AH107">
        <v>7.6189999999999897E-2</v>
      </c>
    </row>
    <row r="108" spans="3:34">
      <c r="C108" s="11" t="s">
        <v>273</v>
      </c>
      <c r="D108" s="10" t="s">
        <v>1</v>
      </c>
      <c r="E108" s="10">
        <v>13.71</v>
      </c>
      <c r="F108" s="10">
        <v>13.93</v>
      </c>
      <c r="G108" s="10">
        <v>102</v>
      </c>
      <c r="H108" s="10">
        <v>761.7</v>
      </c>
      <c r="I108" s="10">
        <v>9.4619999999999899E-2</v>
      </c>
      <c r="J108" s="10">
        <v>9.4619999999999899E-2</v>
      </c>
      <c r="K108" s="10">
        <v>7.13499999999999E-2</v>
      </c>
      <c r="L108" s="10">
        <v>5.9330000000000001E-2</v>
      </c>
      <c r="M108" s="10">
        <v>0.18160000000000001</v>
      </c>
      <c r="N108" s="10">
        <v>5.7230000000000003E-2</v>
      </c>
      <c r="O108" s="10">
        <v>0.31169999999999898</v>
      </c>
      <c r="P108" s="10">
        <v>0.8155</v>
      </c>
      <c r="Q108" s="10">
        <v>1.972</v>
      </c>
      <c r="R108" s="10">
        <v>27.94</v>
      </c>
      <c r="S108" s="10">
        <v>5.2170000000000003E-3</v>
      </c>
      <c r="T108" s="10">
        <v>1.515E-2</v>
      </c>
      <c r="U108" s="10">
        <v>1.678E-2</v>
      </c>
      <c r="V108" s="10">
        <v>1.268E-2</v>
      </c>
      <c r="W108" s="10">
        <v>1.669E-2</v>
      </c>
      <c r="X108" s="10">
        <v>2.33E-3</v>
      </c>
      <c r="Y108" s="10">
        <v>17.5</v>
      </c>
      <c r="Z108" s="10">
        <v>19.25</v>
      </c>
      <c r="AA108" s="10">
        <v>114.3</v>
      </c>
      <c r="AB108" s="10">
        <v>922.79999999999905</v>
      </c>
      <c r="AC108" s="10">
        <v>0.12230000000000001</v>
      </c>
      <c r="AD108" s="10">
        <v>0.19489999999999899</v>
      </c>
      <c r="AE108" s="10">
        <v>0.1709</v>
      </c>
      <c r="AF108" s="10">
        <v>0.137399999999999</v>
      </c>
      <c r="AG108" s="10">
        <v>0.27229999999999899</v>
      </c>
      <c r="AH108">
        <v>7.0709999999999898E-2</v>
      </c>
    </row>
    <row r="109" spans="3:34">
      <c r="C109" s="11" t="s">
        <v>275</v>
      </c>
      <c r="D109" s="10" t="s">
        <v>0</v>
      </c>
      <c r="E109" s="10">
        <v>13.71</v>
      </c>
      <c r="F109" s="10">
        <v>22.469999999999899</v>
      </c>
      <c r="G109" s="10">
        <v>81.719999999999899</v>
      </c>
      <c r="H109" s="10">
        <v>506.3</v>
      </c>
      <c r="I109" s="10">
        <v>9.0550000000000005E-2</v>
      </c>
      <c r="J109" s="10">
        <v>5.7610000000000001E-2</v>
      </c>
      <c r="K109" s="10">
        <v>4.7109999999999902E-2</v>
      </c>
      <c r="L109" s="10">
        <v>2.7040000000000002E-2</v>
      </c>
      <c r="M109" s="10">
        <v>0.1585</v>
      </c>
      <c r="N109" s="10">
        <v>6.0650000000000003E-2</v>
      </c>
      <c r="O109" s="10">
        <v>0.23669999999999899</v>
      </c>
      <c r="P109" s="10">
        <v>1.3799999999999899</v>
      </c>
      <c r="Q109" s="10">
        <v>1.4570000000000001</v>
      </c>
      <c r="R109" s="10">
        <v>19.87</v>
      </c>
      <c r="S109" s="10">
        <v>7.49899999999999E-3</v>
      </c>
      <c r="T109" s="10">
        <v>1.2019999999999901E-2</v>
      </c>
      <c r="U109" s="10">
        <v>2.332E-2</v>
      </c>
      <c r="V109" s="10">
        <v>8.9200000000000008E-3</v>
      </c>
      <c r="W109" s="10">
        <v>1.6469999999999901E-2</v>
      </c>
      <c r="X109" s="10">
        <v>2.6289999999999899E-3</v>
      </c>
      <c r="Y109" s="10">
        <v>14.49</v>
      </c>
      <c r="Z109" s="10">
        <v>33.369999999999898</v>
      </c>
      <c r="AA109" s="10">
        <v>92.04</v>
      </c>
      <c r="AB109" s="10">
        <v>653.6</v>
      </c>
      <c r="AC109" s="10">
        <v>0.1419</v>
      </c>
      <c r="AD109" s="10">
        <v>0.15229999999999899</v>
      </c>
      <c r="AE109" s="10">
        <v>0.2177</v>
      </c>
      <c r="AF109" s="10">
        <v>9.3310000000000004E-2</v>
      </c>
      <c r="AG109" s="10">
        <v>0.28289999999999899</v>
      </c>
      <c r="AH109">
        <v>8.0670000000000006E-2</v>
      </c>
    </row>
    <row r="110" spans="3:34">
      <c r="C110" s="11" t="s">
        <v>280</v>
      </c>
      <c r="D110" s="10" t="s">
        <v>1</v>
      </c>
      <c r="E110" s="10">
        <v>13.71</v>
      </c>
      <c r="F110" s="10">
        <v>11.97</v>
      </c>
      <c r="G110" s="10">
        <v>61.24</v>
      </c>
      <c r="H110" s="10">
        <v>288.5</v>
      </c>
      <c r="I110" s="10">
        <v>9.2499999999999902E-2</v>
      </c>
      <c r="J110" s="10">
        <v>4.1020000000000001E-2</v>
      </c>
      <c r="K110" s="10">
        <v>0</v>
      </c>
      <c r="L110" s="10">
        <v>0</v>
      </c>
      <c r="M110" s="10">
        <v>0.1903</v>
      </c>
      <c r="N110" s="10">
        <v>6.4219999999999902E-2</v>
      </c>
      <c r="O110" s="10">
        <v>0.1988</v>
      </c>
      <c r="P110" s="10">
        <v>0.496</v>
      </c>
      <c r="Q110" s="10">
        <v>1.218</v>
      </c>
      <c r="R110" s="10">
        <v>12.26</v>
      </c>
      <c r="S110" s="10">
        <v>6.0400000000000002E-3</v>
      </c>
      <c r="T110" s="10">
        <v>5.65599999999999E-3</v>
      </c>
      <c r="U110" s="10">
        <v>0</v>
      </c>
      <c r="V110" s="10">
        <v>0</v>
      </c>
      <c r="W110" s="10">
        <v>2.2769999999999901E-2</v>
      </c>
      <c r="X110" s="10">
        <v>3.2200000000000002E-3</v>
      </c>
      <c r="Y110" s="10">
        <v>10.6199999999999</v>
      </c>
      <c r="Z110" s="10">
        <v>14.1</v>
      </c>
      <c r="AA110" s="10">
        <v>66.53</v>
      </c>
      <c r="AB110" s="10">
        <v>342.89999999999901</v>
      </c>
      <c r="AC110" s="10">
        <v>0.1234</v>
      </c>
      <c r="AD110" s="10">
        <v>7.2040000000000007E-2</v>
      </c>
      <c r="AE110" s="10">
        <v>0</v>
      </c>
      <c r="AF110" s="10">
        <v>0</v>
      </c>
      <c r="AG110" s="10">
        <v>0.3105</v>
      </c>
      <c r="AH110">
        <v>8.1509999999999902E-2</v>
      </c>
    </row>
    <row r="111" spans="3:34">
      <c r="C111" s="11" t="s">
        <v>281</v>
      </c>
      <c r="D111" s="10" t="s">
        <v>0</v>
      </c>
      <c r="E111" s="10">
        <v>13.71</v>
      </c>
      <c r="F111" s="10">
        <v>18.05</v>
      </c>
      <c r="G111" s="10">
        <v>105.099999999999</v>
      </c>
      <c r="H111" s="10">
        <v>813</v>
      </c>
      <c r="I111" s="10">
        <v>9.7210000000000005E-2</v>
      </c>
      <c r="J111" s="10">
        <v>0.1137</v>
      </c>
      <c r="K111" s="10">
        <v>9.4469999999999901E-2</v>
      </c>
      <c r="L111" s="10">
        <v>5.94299999999999E-2</v>
      </c>
      <c r="M111" s="10">
        <v>0.18609999999999899</v>
      </c>
      <c r="N111" s="10">
        <v>6.2480000000000001E-2</v>
      </c>
      <c r="O111" s="10">
        <v>0.70489999999999897</v>
      </c>
      <c r="P111" s="10">
        <v>1.3320000000000001</v>
      </c>
      <c r="Q111" s="10">
        <v>4.5330000000000004</v>
      </c>
      <c r="R111" s="10">
        <v>74.079999999999899</v>
      </c>
      <c r="S111" s="10">
        <v>6.77E-3</v>
      </c>
      <c r="T111" s="10">
        <v>1.9380000000000001E-2</v>
      </c>
      <c r="U111" s="10">
        <v>3.0669999999999899E-2</v>
      </c>
      <c r="V111" s="10">
        <v>1.167E-2</v>
      </c>
      <c r="W111" s="10">
        <v>1.8749999999999899E-2</v>
      </c>
      <c r="X111" s="10">
        <v>3.434E-3</v>
      </c>
      <c r="Y111" s="10">
        <v>19.920000000000002</v>
      </c>
      <c r="Z111" s="10">
        <v>25.27</v>
      </c>
      <c r="AA111" s="10">
        <v>129</v>
      </c>
      <c r="AB111" s="10">
        <v>1233</v>
      </c>
      <c r="AC111" s="10">
        <v>0.13139999999999899</v>
      </c>
      <c r="AD111" s="10">
        <v>0.22359999999999899</v>
      </c>
      <c r="AE111" s="10">
        <v>0.2802</v>
      </c>
      <c r="AF111" s="10">
        <v>0.1216</v>
      </c>
      <c r="AG111" s="10">
        <v>0.2792</v>
      </c>
      <c r="AH111">
        <v>8.158E-2</v>
      </c>
    </row>
    <row r="112" spans="3:34">
      <c r="C112" s="11" t="s">
        <v>282</v>
      </c>
      <c r="D112" s="10" t="s">
        <v>1</v>
      </c>
      <c r="E112" s="10">
        <v>13.71</v>
      </c>
      <c r="F112" s="10">
        <v>17.309999999999899</v>
      </c>
      <c r="G112" s="10">
        <v>73.659999999999897</v>
      </c>
      <c r="H112" s="10">
        <v>398</v>
      </c>
      <c r="I112" s="10">
        <v>0.10920000000000001</v>
      </c>
      <c r="J112" s="10">
        <v>9.486E-2</v>
      </c>
      <c r="K112" s="10">
        <v>2.0310000000000002E-2</v>
      </c>
      <c r="L112" s="10">
        <v>1.8610000000000002E-2</v>
      </c>
      <c r="M112" s="10">
        <v>0.16450000000000001</v>
      </c>
      <c r="N112" s="10">
        <v>6.5619999999999901E-2</v>
      </c>
      <c r="O112" s="10">
        <v>0.2843</v>
      </c>
      <c r="P112" s="10">
        <v>1.9079999999999899</v>
      </c>
      <c r="Q112" s="10">
        <v>1.9370000000000001</v>
      </c>
      <c r="R112" s="10">
        <v>21.3799999999999</v>
      </c>
      <c r="S112" s="10">
        <v>6.6639999999999902E-3</v>
      </c>
      <c r="T112" s="10">
        <v>1.7350000000000001E-2</v>
      </c>
      <c r="U112" s="10">
        <v>1.158E-2</v>
      </c>
      <c r="V112" s="10">
        <v>9.5200000000000007E-3</v>
      </c>
      <c r="W112" s="10">
        <v>2.282E-2</v>
      </c>
      <c r="X112" s="10">
        <v>3.5260000000000001E-3</v>
      </c>
      <c r="Y112" s="10">
        <v>12.7799999999999</v>
      </c>
      <c r="Z112" s="10">
        <v>26.76</v>
      </c>
      <c r="AA112" s="10">
        <v>82.659999999999897</v>
      </c>
      <c r="AB112" s="10">
        <v>503</v>
      </c>
      <c r="AC112" s="10">
        <v>0.14130000000000001</v>
      </c>
      <c r="AD112" s="10">
        <v>0.1792</v>
      </c>
      <c r="AE112" s="10">
        <v>7.7079999999999899E-2</v>
      </c>
      <c r="AF112" s="10">
        <v>6.4019999999999896E-2</v>
      </c>
      <c r="AG112" s="10">
        <v>0.25840000000000002</v>
      </c>
      <c r="AH112">
        <v>8.0960000000000004E-2</v>
      </c>
    </row>
    <row r="113" spans="3:34">
      <c r="C113" s="11" t="s">
        <v>285</v>
      </c>
      <c r="D113" s="10" t="s">
        <v>1</v>
      </c>
      <c r="E113" s="10">
        <v>13.71</v>
      </c>
      <c r="F113" s="10">
        <v>14.65</v>
      </c>
      <c r="G113" s="10">
        <v>78.1099999999999</v>
      </c>
      <c r="H113" s="10">
        <v>432.8</v>
      </c>
      <c r="I113" s="10">
        <v>0.1152</v>
      </c>
      <c r="J113" s="10">
        <v>0.12959999999999899</v>
      </c>
      <c r="K113" s="10">
        <v>3.7100000000000001E-2</v>
      </c>
      <c r="L113" s="10">
        <v>3.0030000000000001E-2</v>
      </c>
      <c r="M113" s="10">
        <v>0.19950000000000001</v>
      </c>
      <c r="N113" s="10">
        <v>7.8390000000000001E-2</v>
      </c>
      <c r="O113" s="10">
        <v>0.3962</v>
      </c>
      <c r="P113" s="10">
        <v>0.65380000000000005</v>
      </c>
      <c r="Q113" s="10">
        <v>3.0209999999999901</v>
      </c>
      <c r="R113" s="10">
        <v>25.03</v>
      </c>
      <c r="S113" s="10">
        <v>1.017E-2</v>
      </c>
      <c r="T113" s="10">
        <v>4.7410000000000001E-2</v>
      </c>
      <c r="U113" s="10">
        <v>2.7890000000000002E-2</v>
      </c>
      <c r="V113" s="10">
        <v>1.11E-2</v>
      </c>
      <c r="W113" s="10">
        <v>3.1269999999999902E-2</v>
      </c>
      <c r="X113" s="10">
        <v>9.4230000000000008E-3</v>
      </c>
      <c r="Y113" s="10">
        <v>13.15</v>
      </c>
      <c r="Z113" s="10">
        <v>16.510000000000002</v>
      </c>
      <c r="AA113" s="10">
        <v>86.26</v>
      </c>
      <c r="AB113" s="10">
        <v>509.6</v>
      </c>
      <c r="AC113" s="10">
        <v>0.1424</v>
      </c>
      <c r="AD113" s="10">
        <v>0.25169999999999898</v>
      </c>
      <c r="AE113" s="10">
        <v>9.4200000000000006E-2</v>
      </c>
      <c r="AF113" s="10">
        <v>6.0420000000000001E-2</v>
      </c>
      <c r="AG113" s="10">
        <v>0.2727</v>
      </c>
      <c r="AH113">
        <v>0.1036</v>
      </c>
    </row>
    <row r="114" spans="3:34">
      <c r="C114" s="11" t="s">
        <v>287</v>
      </c>
      <c r="D114" s="10" t="s">
        <v>1</v>
      </c>
      <c r="E114" s="10">
        <v>13.71</v>
      </c>
      <c r="F114" s="10">
        <v>18.77</v>
      </c>
      <c r="G114" s="10">
        <v>97.84</v>
      </c>
      <c r="H114" s="10">
        <v>689.5</v>
      </c>
      <c r="I114" s="10">
        <v>8.1379999999999897E-2</v>
      </c>
      <c r="J114" s="10">
        <v>0.1167</v>
      </c>
      <c r="K114" s="10">
        <v>9.04999999999999E-2</v>
      </c>
      <c r="L114" s="10">
        <v>3.5619999999999902E-2</v>
      </c>
      <c r="M114" s="10">
        <v>0.1744</v>
      </c>
      <c r="N114" s="10">
        <v>6.4930000000000002E-2</v>
      </c>
      <c r="O114" s="10">
        <v>0.42199999999999899</v>
      </c>
      <c r="P114" s="10">
        <v>1.909</v>
      </c>
      <c r="Q114" s="10">
        <v>3.2709999999999901</v>
      </c>
      <c r="R114" s="10">
        <v>39.43</v>
      </c>
      <c r="S114" s="10">
        <v>5.79E-3</v>
      </c>
      <c r="T114" s="10">
        <v>4.8770000000000001E-2</v>
      </c>
      <c r="U114" s="10">
        <v>5.3030000000000001E-2</v>
      </c>
      <c r="V114" s="10">
        <v>1.5270000000000001E-2</v>
      </c>
      <c r="W114" s="10">
        <v>3.356E-2</v>
      </c>
      <c r="X114" s="10">
        <v>9.3679999999999892E-3</v>
      </c>
      <c r="Y114" s="10">
        <v>16.25</v>
      </c>
      <c r="Z114" s="10">
        <v>25.469999999999899</v>
      </c>
      <c r="AA114" s="10">
        <v>107.099999999999</v>
      </c>
      <c r="AB114" s="10">
        <v>809.7</v>
      </c>
      <c r="AC114" s="10">
        <v>9.96999999999999E-2</v>
      </c>
      <c r="AD114" s="10">
        <v>0.25209999999999899</v>
      </c>
      <c r="AE114" s="10">
        <v>0.25</v>
      </c>
      <c r="AF114" s="10">
        <v>8.405E-2</v>
      </c>
      <c r="AG114" s="10">
        <v>0.28520000000000001</v>
      </c>
      <c r="AH114">
        <v>9.2179999999999901E-2</v>
      </c>
    </row>
    <row r="115" spans="3:34">
      <c r="C115" s="11" t="s">
        <v>289</v>
      </c>
      <c r="D115" s="10" t="s">
        <v>1</v>
      </c>
      <c r="E115" s="10">
        <v>13.71</v>
      </c>
      <c r="F115" s="10">
        <v>17.91</v>
      </c>
      <c r="G115" s="10">
        <v>88.12</v>
      </c>
      <c r="H115" s="10">
        <v>585</v>
      </c>
      <c r="I115" s="10">
        <v>7.94399999999999E-2</v>
      </c>
      <c r="J115" s="10">
        <v>6.37599999999999E-2</v>
      </c>
      <c r="K115" s="10">
        <v>2.8809999999999902E-2</v>
      </c>
      <c r="L115" s="10">
        <v>1.329E-2</v>
      </c>
      <c r="M115" s="10">
        <v>0.14729999999999899</v>
      </c>
      <c r="N115" s="10">
        <v>5.5800000000000002E-2</v>
      </c>
      <c r="O115" s="10">
        <v>0.25</v>
      </c>
      <c r="P115" s="10">
        <v>0.75739999999999896</v>
      </c>
      <c r="Q115" s="10">
        <v>1.573</v>
      </c>
      <c r="R115" s="10">
        <v>21.469999999999899</v>
      </c>
      <c r="S115" s="10">
        <v>2.8379999999999898E-3</v>
      </c>
      <c r="T115" s="10">
        <v>1.592E-2</v>
      </c>
      <c r="U115" s="10">
        <v>1.78E-2</v>
      </c>
      <c r="V115" s="10">
        <v>5.8279999999999903E-3</v>
      </c>
      <c r="W115" s="10">
        <v>1.329E-2</v>
      </c>
      <c r="X115" s="10">
        <v>1.9759999999999899E-3</v>
      </c>
      <c r="Y115" s="10">
        <v>15.34</v>
      </c>
      <c r="Z115" s="10">
        <v>22.46</v>
      </c>
      <c r="AA115" s="10">
        <v>97.189999999999898</v>
      </c>
      <c r="AB115" s="10">
        <v>725.89999999999895</v>
      </c>
      <c r="AC115" s="10">
        <v>9.7110000000000002E-2</v>
      </c>
      <c r="AD115" s="10">
        <v>0.18240000000000001</v>
      </c>
      <c r="AE115" s="10">
        <v>0.15640000000000001</v>
      </c>
      <c r="AF115" s="10">
        <v>6.019E-2</v>
      </c>
      <c r="AG115" s="10">
        <v>0.23499999999999899</v>
      </c>
      <c r="AH115">
        <v>7.0139999999999897E-2</v>
      </c>
    </row>
    <row r="116" spans="3:34">
      <c r="C116" s="11" t="s">
        <v>292</v>
      </c>
      <c r="D116" s="10" t="s">
        <v>1</v>
      </c>
      <c r="E116" s="10">
        <v>13.71</v>
      </c>
      <c r="F116" s="10">
        <v>15.34</v>
      </c>
      <c r="G116" s="10">
        <v>63.78</v>
      </c>
      <c r="H116" s="10">
        <v>300.19999999999902</v>
      </c>
      <c r="I116" s="10">
        <v>0.1072</v>
      </c>
      <c r="J116" s="10">
        <v>0.15989999999999899</v>
      </c>
      <c r="K116" s="10">
        <v>0.4108</v>
      </c>
      <c r="L116" s="10">
        <v>7.8570000000000001E-2</v>
      </c>
      <c r="M116" s="10">
        <v>0.25480000000000003</v>
      </c>
      <c r="N116" s="10">
        <v>9.2960000000000001E-2</v>
      </c>
      <c r="O116" s="10">
        <v>0.82450000000000001</v>
      </c>
      <c r="P116" s="10">
        <v>2.6640000000000001</v>
      </c>
      <c r="Q116" s="10">
        <v>4.0730000000000004</v>
      </c>
      <c r="R116" s="10">
        <v>49.85</v>
      </c>
      <c r="S116" s="10">
        <v>1.0970000000000001E-2</v>
      </c>
      <c r="T116" s="10">
        <v>9.5860000000000001E-2</v>
      </c>
      <c r="U116" s="10">
        <v>0.39600000000000002</v>
      </c>
      <c r="V116" s="10">
        <v>5.27899999999999E-2</v>
      </c>
      <c r="W116" s="10">
        <v>3.5459999999999901E-2</v>
      </c>
      <c r="X116" s="10">
        <v>2.9839999999999901E-2</v>
      </c>
      <c r="Y116" s="10">
        <v>11.02</v>
      </c>
      <c r="Z116" s="10">
        <v>19.489999999999899</v>
      </c>
      <c r="AA116" s="10">
        <v>71.040000000000006</v>
      </c>
      <c r="AB116" s="10">
        <v>380.5</v>
      </c>
      <c r="AC116" s="10">
        <v>0.12920000000000001</v>
      </c>
      <c r="AD116" s="10">
        <v>0.2772</v>
      </c>
      <c r="AE116" s="10">
        <v>0.8216</v>
      </c>
      <c r="AF116" s="10">
        <v>0.15709999999999899</v>
      </c>
      <c r="AG116" s="10">
        <v>0.31080000000000002</v>
      </c>
      <c r="AH116">
        <v>0.12590000000000001</v>
      </c>
    </row>
    <row r="117" spans="3:34">
      <c r="C117" s="11" t="s">
        <v>295</v>
      </c>
      <c r="D117" s="10" t="s">
        <v>1</v>
      </c>
      <c r="E117" s="10">
        <v>13.71</v>
      </c>
      <c r="F117" s="10">
        <v>17.940000000000001</v>
      </c>
      <c r="G117" s="10">
        <v>78.269999999999897</v>
      </c>
      <c r="H117" s="10">
        <v>460.3</v>
      </c>
      <c r="I117" s="10">
        <v>8.6540000000000006E-2</v>
      </c>
      <c r="J117" s="10">
        <v>6.6790000000000002E-2</v>
      </c>
      <c r="K117" s="10">
        <v>3.8850000000000003E-2</v>
      </c>
      <c r="L117" s="10">
        <v>2.3310000000000001E-2</v>
      </c>
      <c r="M117" s="10">
        <v>0.19700000000000001</v>
      </c>
      <c r="N117" s="10">
        <v>6.2280000000000002E-2</v>
      </c>
      <c r="O117" s="10">
        <v>0.22</v>
      </c>
      <c r="P117" s="10">
        <v>0.98229999999999895</v>
      </c>
      <c r="Q117" s="10">
        <v>1.484</v>
      </c>
      <c r="R117" s="10">
        <v>16.510000000000002</v>
      </c>
      <c r="S117" s="10">
        <v>5.5180000000000003E-3</v>
      </c>
      <c r="T117" s="10">
        <v>1.562E-2</v>
      </c>
      <c r="U117" s="10">
        <v>1.9939999999999899E-2</v>
      </c>
      <c r="V117" s="10">
        <v>7.9240000000000005E-3</v>
      </c>
      <c r="W117" s="10">
        <v>1.7989999999999898E-2</v>
      </c>
      <c r="X117" s="10">
        <v>2.4840000000000001E-3</v>
      </c>
      <c r="Y117" s="10">
        <v>13.59</v>
      </c>
      <c r="Z117" s="10">
        <v>25.219999999999899</v>
      </c>
      <c r="AA117" s="10">
        <v>86.599999999999895</v>
      </c>
      <c r="AB117" s="10">
        <v>564.20000000000005</v>
      </c>
      <c r="AC117" s="10">
        <v>0.1217</v>
      </c>
      <c r="AD117" s="10">
        <v>0.17879999999999899</v>
      </c>
      <c r="AE117" s="10">
        <v>0.1943</v>
      </c>
      <c r="AF117" s="10">
        <v>8.2110000000000002E-2</v>
      </c>
      <c r="AG117" s="10">
        <v>0.31130000000000002</v>
      </c>
      <c r="AH117">
        <v>8.1320000000000003E-2</v>
      </c>
    </row>
    <row r="118" spans="3:34">
      <c r="C118" s="11" t="s">
        <v>296</v>
      </c>
      <c r="D118" s="10" t="s">
        <v>0</v>
      </c>
      <c r="E118" s="10">
        <v>13.71</v>
      </c>
      <c r="F118" s="10">
        <v>20.739999999999899</v>
      </c>
      <c r="G118" s="10">
        <v>117.4</v>
      </c>
      <c r="H118" s="10">
        <v>963.7</v>
      </c>
      <c r="I118" s="10">
        <v>0.1115</v>
      </c>
      <c r="J118" s="10">
        <v>0.16650000000000001</v>
      </c>
      <c r="K118" s="10">
        <v>0.1855</v>
      </c>
      <c r="L118" s="10">
        <v>0.10539999999999899</v>
      </c>
      <c r="M118" s="10">
        <v>0.1971</v>
      </c>
      <c r="N118" s="10">
        <v>6.166E-2</v>
      </c>
      <c r="O118" s="10">
        <v>0.81130000000000002</v>
      </c>
      <c r="P118" s="10">
        <v>1.3999999999999899</v>
      </c>
      <c r="Q118" s="10">
        <v>5.54</v>
      </c>
      <c r="R118" s="10">
        <v>93.909999999999897</v>
      </c>
      <c r="S118" s="10">
        <v>9.0369999999999895E-3</v>
      </c>
      <c r="T118" s="10">
        <v>4.9540000000000001E-2</v>
      </c>
      <c r="U118" s="10">
        <v>5.2060000000000002E-2</v>
      </c>
      <c r="V118" s="10">
        <v>1.8409999999999899E-2</v>
      </c>
      <c r="W118" s="10">
        <v>1.7780000000000001E-2</v>
      </c>
      <c r="X118" s="10">
        <v>4.9680000000000002E-3</v>
      </c>
      <c r="Y118" s="10">
        <v>20.469999999999899</v>
      </c>
      <c r="Z118" s="10">
        <v>25.1099999999999</v>
      </c>
      <c r="AA118" s="10">
        <v>132.9</v>
      </c>
      <c r="AB118" s="10">
        <v>1302</v>
      </c>
      <c r="AC118" s="10">
        <v>0.14180000000000001</v>
      </c>
      <c r="AD118" s="10">
        <v>0.3498</v>
      </c>
      <c r="AE118" s="10">
        <v>0.35830000000000001</v>
      </c>
      <c r="AF118" s="10">
        <v>0.1515</v>
      </c>
      <c r="AG118" s="10">
        <v>0.24629999999999899</v>
      </c>
      <c r="AH118">
        <v>7.7380000000000004E-2</v>
      </c>
    </row>
    <row r="119" spans="3:34">
      <c r="C119" s="11" t="s">
        <v>298</v>
      </c>
      <c r="D119" s="10" t="s">
        <v>1</v>
      </c>
      <c r="E119" s="10">
        <v>13.71</v>
      </c>
      <c r="F119" s="10">
        <v>12.74</v>
      </c>
      <c r="G119" s="10">
        <v>76.84</v>
      </c>
      <c r="H119" s="10">
        <v>448.6</v>
      </c>
      <c r="I119" s="10">
        <v>9.3109999999999901E-2</v>
      </c>
      <c r="J119" s="10">
        <v>5.2409999999999901E-2</v>
      </c>
      <c r="K119" s="10">
        <v>1.9720000000000001E-2</v>
      </c>
      <c r="L119" s="10">
        <v>1.9630000000000002E-2</v>
      </c>
      <c r="M119" s="10">
        <v>0.159</v>
      </c>
      <c r="N119" s="10">
        <v>5.90699999999999E-2</v>
      </c>
      <c r="O119" s="10">
        <v>0.1822</v>
      </c>
      <c r="P119" s="10">
        <v>0.72850000000000004</v>
      </c>
      <c r="Q119" s="10">
        <v>1.171</v>
      </c>
      <c r="R119" s="10">
        <v>13.25</v>
      </c>
      <c r="S119" s="10">
        <v>5.5279999999999904E-3</v>
      </c>
      <c r="T119" s="10">
        <v>9.7890000000000008E-3</v>
      </c>
      <c r="U119" s="10">
        <v>8.3420000000000005E-3</v>
      </c>
      <c r="V119" s="10">
        <v>6.2729999999999904E-3</v>
      </c>
      <c r="W119" s="10">
        <v>1.465E-2</v>
      </c>
      <c r="X119" s="10">
        <v>2.5300000000000001E-3</v>
      </c>
      <c r="Y119" s="10">
        <v>13.14</v>
      </c>
      <c r="Z119" s="10">
        <v>18.41</v>
      </c>
      <c r="AA119" s="10">
        <v>84.079999999999899</v>
      </c>
      <c r="AB119" s="10">
        <v>532.79999999999905</v>
      </c>
      <c r="AC119" s="10">
        <v>0.1275</v>
      </c>
      <c r="AD119" s="10">
        <v>0.1232</v>
      </c>
      <c r="AE119" s="10">
        <v>8.6360000000000006E-2</v>
      </c>
      <c r="AF119" s="10">
        <v>7.0250000000000007E-2</v>
      </c>
      <c r="AG119" s="10">
        <v>0.25140000000000001</v>
      </c>
      <c r="AH119">
        <v>7.8979999999999898E-2</v>
      </c>
    </row>
    <row r="120" spans="3:34">
      <c r="C120" s="11" t="s">
        <v>300</v>
      </c>
      <c r="D120" s="10" t="s">
        <v>1</v>
      </c>
      <c r="E120" s="10">
        <v>13.71</v>
      </c>
      <c r="F120" s="10">
        <v>20.18</v>
      </c>
      <c r="G120" s="10">
        <v>76.099999999999895</v>
      </c>
      <c r="H120" s="10">
        <v>419.8</v>
      </c>
      <c r="I120" s="10">
        <v>0.1089</v>
      </c>
      <c r="J120" s="10">
        <v>0.11409999999999899</v>
      </c>
      <c r="K120" s="10">
        <v>6.8430000000000005E-2</v>
      </c>
      <c r="L120" s="10">
        <v>3.7379999999999899E-2</v>
      </c>
      <c r="M120" s="10">
        <v>0.1993</v>
      </c>
      <c r="N120" s="10">
        <v>6.4530000000000004E-2</v>
      </c>
      <c r="O120" s="10">
        <v>0.50180000000000002</v>
      </c>
      <c r="P120" s="10">
        <v>1.6930000000000001</v>
      </c>
      <c r="Q120" s="10">
        <v>3.9260000000000002</v>
      </c>
      <c r="R120" s="10">
        <v>38.340000000000003</v>
      </c>
      <c r="S120" s="10">
        <v>9.4330000000000004E-3</v>
      </c>
      <c r="T120" s="10">
        <v>2.4049999999999901E-2</v>
      </c>
      <c r="U120" s="10">
        <v>4.1669999999999902E-2</v>
      </c>
      <c r="V120" s="10">
        <v>1.1520000000000001E-2</v>
      </c>
      <c r="W120" s="10">
        <v>3.397E-2</v>
      </c>
      <c r="X120" s="10">
        <v>5.0610000000000004E-3</v>
      </c>
      <c r="Y120" s="10">
        <v>13.32</v>
      </c>
      <c r="Z120" s="10">
        <v>26.21</v>
      </c>
      <c r="AA120" s="10">
        <v>88.909999999999897</v>
      </c>
      <c r="AB120" s="10">
        <v>543.89999999999895</v>
      </c>
      <c r="AC120" s="10">
        <v>0.1358</v>
      </c>
      <c r="AD120" s="10">
        <v>0.18920000000000001</v>
      </c>
      <c r="AE120" s="10">
        <v>0.1956</v>
      </c>
      <c r="AF120" s="10">
        <v>7.9089999999999896E-2</v>
      </c>
      <c r="AG120" s="10">
        <v>0.31680000000000003</v>
      </c>
      <c r="AH120">
        <v>7.9869999999999899E-2</v>
      </c>
    </row>
    <row r="121" spans="3:34">
      <c r="C121" s="11" t="s">
        <v>303</v>
      </c>
      <c r="D121" s="10" t="s">
        <v>1</v>
      </c>
      <c r="E121" s="10">
        <v>13.71</v>
      </c>
      <c r="F121" s="10">
        <v>22.219999999999899</v>
      </c>
      <c r="G121" s="10">
        <v>79.849999999999895</v>
      </c>
      <c r="H121" s="10">
        <v>464.5</v>
      </c>
      <c r="I121" s="10">
        <v>0.1012</v>
      </c>
      <c r="J121" s="10">
        <v>0.10150000000000001</v>
      </c>
      <c r="K121" s="10">
        <v>5.3699999999999901E-2</v>
      </c>
      <c r="L121" s="10">
        <v>2.8219999999999901E-2</v>
      </c>
      <c r="M121" s="10">
        <v>0.15509999999999899</v>
      </c>
      <c r="N121" s="10">
        <v>6.7610000000000003E-2</v>
      </c>
      <c r="O121" s="10">
        <v>0.2949</v>
      </c>
      <c r="P121" s="10">
        <v>1.6559999999999899</v>
      </c>
      <c r="Q121" s="10">
        <v>1.9550000000000001</v>
      </c>
      <c r="R121" s="10">
        <v>21.55</v>
      </c>
      <c r="S121" s="10">
        <v>1.1339999999999901E-2</v>
      </c>
      <c r="T121" s="10">
        <v>3.175E-2</v>
      </c>
      <c r="U121" s="10">
        <v>3.125E-2</v>
      </c>
      <c r="V121" s="10">
        <v>1.1350000000000001E-2</v>
      </c>
      <c r="W121" s="10">
        <v>1.8790000000000001E-2</v>
      </c>
      <c r="X121" s="10">
        <v>5.3480000000000003E-3</v>
      </c>
      <c r="Y121" s="10">
        <v>13.58</v>
      </c>
      <c r="Z121" s="10">
        <v>28.68</v>
      </c>
      <c r="AA121" s="10">
        <v>87.3599999999999</v>
      </c>
      <c r="AB121" s="10">
        <v>553</v>
      </c>
      <c r="AC121" s="10">
        <v>0.1452</v>
      </c>
      <c r="AD121" s="10">
        <v>0.23380000000000001</v>
      </c>
      <c r="AE121" s="10">
        <v>0.16880000000000001</v>
      </c>
      <c r="AF121" s="10">
        <v>8.1939999999999902E-2</v>
      </c>
      <c r="AG121" s="10">
        <v>0.2268</v>
      </c>
      <c r="AH121">
        <v>9.0819999999999901E-2</v>
      </c>
    </row>
    <row r="122" spans="3:34">
      <c r="C122" s="11" t="s">
        <v>305</v>
      </c>
      <c r="D122" s="10" t="s">
        <v>1</v>
      </c>
      <c r="E122" s="10">
        <v>13.71</v>
      </c>
      <c r="F122" s="10">
        <v>19.760000000000002</v>
      </c>
      <c r="G122" s="10">
        <v>95.5</v>
      </c>
      <c r="H122" s="10">
        <v>690.2</v>
      </c>
      <c r="I122" s="10">
        <v>8.4209999999999896E-2</v>
      </c>
      <c r="J122" s="10">
        <v>5.3519999999999901E-2</v>
      </c>
      <c r="K122" s="10">
        <v>1.9470000000000001E-2</v>
      </c>
      <c r="L122" s="10">
        <v>1.9390000000000001E-2</v>
      </c>
      <c r="M122" s="10">
        <v>0.1515</v>
      </c>
      <c r="N122" s="10">
        <v>5.2659999999999901E-2</v>
      </c>
      <c r="O122" s="10">
        <v>0.184</v>
      </c>
      <c r="P122" s="10">
        <v>1.06499999999999</v>
      </c>
      <c r="Q122" s="10">
        <v>1.286</v>
      </c>
      <c r="R122" s="10">
        <v>16.64</v>
      </c>
      <c r="S122" s="10">
        <v>3.6340000000000001E-3</v>
      </c>
      <c r="T122" s="10">
        <v>7.9830000000000005E-3</v>
      </c>
      <c r="U122" s="10">
        <v>8.2679999999999906E-3</v>
      </c>
      <c r="V122" s="10">
        <v>6.4320000000000002E-3</v>
      </c>
      <c r="W122" s="10">
        <v>1.924E-2</v>
      </c>
      <c r="X122" s="10">
        <v>1.5200000000000001E-3</v>
      </c>
      <c r="Y122" s="10">
        <v>15.98</v>
      </c>
      <c r="Z122" s="10">
        <v>25.82</v>
      </c>
      <c r="AA122" s="10">
        <v>102.3</v>
      </c>
      <c r="AB122" s="10">
        <v>782.1</v>
      </c>
      <c r="AC122" s="10">
        <v>0.1045</v>
      </c>
      <c r="AD122" s="10">
        <v>9.99499999999999E-2</v>
      </c>
      <c r="AE122" s="10">
        <v>7.7499999999999902E-2</v>
      </c>
      <c r="AF122" s="10">
        <v>5.7540000000000001E-2</v>
      </c>
      <c r="AG122" s="10">
        <v>0.2646</v>
      </c>
      <c r="AH122">
        <v>6.0850000000000001E-2</v>
      </c>
    </row>
    <row r="123" spans="3:34">
      <c r="C123" s="11" t="s">
        <v>306</v>
      </c>
      <c r="D123" s="10" t="s">
        <v>1</v>
      </c>
      <c r="E123" s="10">
        <v>13.71</v>
      </c>
      <c r="F123" s="10">
        <v>9.7100000000000009</v>
      </c>
      <c r="G123" s="10">
        <v>68.769999999999897</v>
      </c>
      <c r="H123" s="10">
        <v>357.6</v>
      </c>
      <c r="I123" s="10">
        <v>9.59399999999999E-2</v>
      </c>
      <c r="J123" s="10">
        <v>5.7360000000000001E-2</v>
      </c>
      <c r="K123" s="10">
        <v>2.5309999999999899E-2</v>
      </c>
      <c r="L123" s="10">
        <v>1.6979999999999901E-2</v>
      </c>
      <c r="M123" s="10">
        <v>0.1381</v>
      </c>
      <c r="N123" s="10">
        <v>6.4000000000000001E-2</v>
      </c>
      <c r="O123" s="10">
        <v>0.17280000000000001</v>
      </c>
      <c r="P123" s="10">
        <v>0.40639999999999898</v>
      </c>
      <c r="Q123" s="10">
        <v>1.1259999999999899</v>
      </c>
      <c r="R123" s="10">
        <v>11.48</v>
      </c>
      <c r="S123" s="10">
        <v>7.809E-3</v>
      </c>
      <c r="T123" s="10">
        <v>9.8160000000000001E-3</v>
      </c>
      <c r="U123" s="10">
        <v>1.099E-2</v>
      </c>
      <c r="V123" s="10">
        <v>5.3439999999999903E-3</v>
      </c>
      <c r="W123" s="10">
        <v>1.2540000000000001E-2</v>
      </c>
      <c r="X123" s="10">
        <v>2.1199999999999899E-3</v>
      </c>
      <c r="Y123" s="10">
        <v>11.6</v>
      </c>
      <c r="Z123" s="10">
        <v>12.02</v>
      </c>
      <c r="AA123" s="10">
        <v>73.659999999999897</v>
      </c>
      <c r="AB123" s="10">
        <v>414</v>
      </c>
      <c r="AC123" s="10">
        <v>0.14360000000000001</v>
      </c>
      <c r="AD123" s="10">
        <v>0.12570000000000001</v>
      </c>
      <c r="AE123" s="10">
        <v>0.1047</v>
      </c>
      <c r="AF123" s="10">
        <v>4.6030000000000001E-2</v>
      </c>
      <c r="AG123" s="10">
        <v>0.20899999999999899</v>
      </c>
      <c r="AH123">
        <v>7.6990000000000003E-2</v>
      </c>
    </row>
    <row r="124" spans="3:34">
      <c r="C124" s="11" t="s">
        <v>308</v>
      </c>
      <c r="D124" s="10" t="s">
        <v>0</v>
      </c>
      <c r="E124" s="10">
        <v>13.71</v>
      </c>
      <c r="F124" s="10">
        <v>24.68</v>
      </c>
      <c r="G124" s="10">
        <v>116.099999999999</v>
      </c>
      <c r="H124" s="10">
        <v>984.6</v>
      </c>
      <c r="I124" s="10">
        <v>0.10489999999999899</v>
      </c>
      <c r="J124" s="10">
        <v>0.1603</v>
      </c>
      <c r="K124" s="10">
        <v>0.21590000000000001</v>
      </c>
      <c r="L124" s="10">
        <v>0.1043</v>
      </c>
      <c r="M124" s="10">
        <v>0.15379999999999899</v>
      </c>
      <c r="N124" s="10">
        <v>6.3649999999999901E-2</v>
      </c>
      <c r="O124" s="10">
        <v>1.0880000000000001</v>
      </c>
      <c r="P124" s="10">
        <v>1.4099999999999899</v>
      </c>
      <c r="Q124" s="10">
        <v>7.33699999999999</v>
      </c>
      <c r="R124" s="10">
        <v>122.3</v>
      </c>
      <c r="S124" s="10">
        <v>6.1739999999999903E-3</v>
      </c>
      <c r="T124" s="10">
        <v>3.63399999999999E-2</v>
      </c>
      <c r="U124" s="10">
        <v>4.6440000000000002E-2</v>
      </c>
      <c r="V124" s="10">
        <v>1.5689999999999898E-2</v>
      </c>
      <c r="W124" s="10">
        <v>1.145E-2</v>
      </c>
      <c r="X124" s="10">
        <v>5.1200000000000004E-3</v>
      </c>
      <c r="Y124" s="10">
        <v>23.14</v>
      </c>
      <c r="Z124" s="10">
        <v>32.329999999999899</v>
      </c>
      <c r="AA124" s="10">
        <v>155.30000000000001</v>
      </c>
      <c r="AB124" s="10">
        <v>1660</v>
      </c>
      <c r="AC124" s="10">
        <v>0.1376</v>
      </c>
      <c r="AD124" s="10">
        <v>0.38300000000000001</v>
      </c>
      <c r="AE124" s="10">
        <v>0.48899999999999899</v>
      </c>
      <c r="AF124" s="10">
        <v>0.1721</v>
      </c>
      <c r="AG124" s="10">
        <v>0.216</v>
      </c>
      <c r="AH124">
        <v>9.2999999999999902E-2</v>
      </c>
    </row>
    <row r="125" spans="3:34">
      <c r="C125" s="11" t="s">
        <v>310</v>
      </c>
      <c r="D125" s="10" t="s">
        <v>1</v>
      </c>
      <c r="E125" s="10">
        <v>13.71</v>
      </c>
      <c r="F125" s="10">
        <v>12.39</v>
      </c>
      <c r="G125" s="10">
        <v>78.849999999999895</v>
      </c>
      <c r="H125" s="10">
        <v>464.1</v>
      </c>
      <c r="I125" s="10">
        <v>0.1028</v>
      </c>
      <c r="J125" s="10">
        <v>6.98099999999999E-2</v>
      </c>
      <c r="K125" s="10">
        <v>3.9870000000000003E-2</v>
      </c>
      <c r="L125" s="10">
        <v>3.6999999999999901E-2</v>
      </c>
      <c r="M125" s="10">
        <v>0.19589999999999899</v>
      </c>
      <c r="N125" s="10">
        <v>5.9549999999999902E-2</v>
      </c>
      <c r="O125" s="10">
        <v>0.23599999999999899</v>
      </c>
      <c r="P125" s="10">
        <v>0.66559999999999897</v>
      </c>
      <c r="Q125" s="10">
        <v>1.6699999999999899</v>
      </c>
      <c r="R125" s="10">
        <v>17.43</v>
      </c>
      <c r="S125" s="10">
        <v>8.0450000000000001E-3</v>
      </c>
      <c r="T125" s="10">
        <v>1.18E-2</v>
      </c>
      <c r="U125" s="10">
        <v>1.6830000000000001E-2</v>
      </c>
      <c r="V125" s="10">
        <v>1.24099999999999E-2</v>
      </c>
      <c r="W125" s="10">
        <v>1.924E-2</v>
      </c>
      <c r="X125" s="10">
        <v>2.248E-3</v>
      </c>
      <c r="Y125" s="10">
        <v>13.5</v>
      </c>
      <c r="Z125" s="10">
        <v>15.64</v>
      </c>
      <c r="AA125" s="10">
        <v>86.969999999999899</v>
      </c>
      <c r="AB125" s="10">
        <v>549.1</v>
      </c>
      <c r="AC125" s="10">
        <v>0.13850000000000001</v>
      </c>
      <c r="AD125" s="10">
        <v>0.12659999999999899</v>
      </c>
      <c r="AE125" s="10">
        <v>0.1242</v>
      </c>
      <c r="AF125" s="10">
        <v>9.3909999999999896E-2</v>
      </c>
      <c r="AG125" s="10">
        <v>0.28270000000000001</v>
      </c>
      <c r="AH125">
        <v>6.7710000000000006E-2</v>
      </c>
    </row>
    <row r="126" spans="3:34">
      <c r="C126" s="11" t="s">
        <v>313</v>
      </c>
      <c r="D126" s="10" t="s">
        <v>1</v>
      </c>
      <c r="E126" s="10">
        <v>13.71</v>
      </c>
      <c r="F126" s="10">
        <v>14.71</v>
      </c>
      <c r="G126" s="10">
        <v>70.209999999999894</v>
      </c>
      <c r="H126" s="10">
        <v>372.69999999999902</v>
      </c>
      <c r="I126" s="10">
        <v>0.100599999999999</v>
      </c>
      <c r="J126" s="10">
        <v>5.7430000000000002E-2</v>
      </c>
      <c r="K126" s="10">
        <v>2.3630000000000002E-2</v>
      </c>
      <c r="L126" s="10">
        <v>2.5829999999999902E-2</v>
      </c>
      <c r="M126" s="10">
        <v>0.15659999999999899</v>
      </c>
      <c r="N126" s="10">
        <v>6.6689999999999902E-2</v>
      </c>
      <c r="O126" s="10">
        <v>0.20730000000000001</v>
      </c>
      <c r="P126" s="10">
        <v>1.8049999999999899</v>
      </c>
      <c r="Q126" s="10">
        <v>1.377</v>
      </c>
      <c r="R126" s="10">
        <v>19.079999999999899</v>
      </c>
      <c r="S126" s="10">
        <v>1.49599999999999E-2</v>
      </c>
      <c r="T126" s="10">
        <v>2.121E-2</v>
      </c>
      <c r="U126" s="10">
        <v>1.453E-2</v>
      </c>
      <c r="V126" s="10">
        <v>1.583E-2</v>
      </c>
      <c r="W126" s="10">
        <v>3.082E-2</v>
      </c>
      <c r="X126" s="10">
        <v>4.7850000000000002E-3</v>
      </c>
      <c r="Y126" s="10">
        <v>11.35</v>
      </c>
      <c r="Z126" s="10">
        <v>16.82</v>
      </c>
      <c r="AA126" s="10">
        <v>72.010000000000005</v>
      </c>
      <c r="AB126" s="10">
        <v>396.5</v>
      </c>
      <c r="AC126" s="10">
        <v>0.1216</v>
      </c>
      <c r="AD126" s="10">
        <v>8.2400000000000001E-2</v>
      </c>
      <c r="AE126" s="10">
        <v>3.9379999999999901E-2</v>
      </c>
      <c r="AF126" s="10">
        <v>4.3060000000000001E-2</v>
      </c>
      <c r="AG126" s="10">
        <v>0.19020000000000001</v>
      </c>
      <c r="AH126">
        <v>7.3130000000000001E-2</v>
      </c>
    </row>
    <row r="127" spans="3:34">
      <c r="C127" s="11" t="s">
        <v>318</v>
      </c>
      <c r="D127" s="10" t="s">
        <v>1</v>
      </c>
      <c r="E127" s="10">
        <v>13.71</v>
      </c>
      <c r="F127" s="10">
        <v>22.219999999999899</v>
      </c>
      <c r="G127" s="10">
        <v>82.01</v>
      </c>
      <c r="H127" s="10">
        <v>526.39999999999895</v>
      </c>
      <c r="I127" s="10">
        <v>6.2509999999999899E-2</v>
      </c>
      <c r="J127" s="10">
        <v>1.9380000000000001E-2</v>
      </c>
      <c r="K127" s="10">
        <v>1.5950000000000001E-3</v>
      </c>
      <c r="L127" s="10">
        <v>1.8519999999999899E-3</v>
      </c>
      <c r="M127" s="10">
        <v>0.13950000000000001</v>
      </c>
      <c r="N127" s="10">
        <v>5.23399999999999E-2</v>
      </c>
      <c r="O127" s="10">
        <v>0.1731</v>
      </c>
      <c r="P127" s="10">
        <v>1.1419999999999899</v>
      </c>
      <c r="Q127" s="10">
        <v>1.101</v>
      </c>
      <c r="R127" s="10">
        <v>14.34</v>
      </c>
      <c r="S127" s="10">
        <v>3.418E-3</v>
      </c>
      <c r="T127" s="10">
        <v>2.2520000000000001E-3</v>
      </c>
      <c r="U127" s="10">
        <v>1.5950000000000001E-3</v>
      </c>
      <c r="V127" s="10">
        <v>1.8519999999999899E-3</v>
      </c>
      <c r="W127" s="10">
        <v>1.6129999999999901E-2</v>
      </c>
      <c r="X127" s="10">
        <v>9.6829999999999898E-4</v>
      </c>
      <c r="Y127" s="10">
        <v>14</v>
      </c>
      <c r="Z127" s="10">
        <v>29.02</v>
      </c>
      <c r="AA127" s="10">
        <v>88.18</v>
      </c>
      <c r="AB127" s="10">
        <v>608.79999999999905</v>
      </c>
      <c r="AC127" s="10">
        <v>8.1250000000000003E-2</v>
      </c>
      <c r="AD127" s="10">
        <v>3.4320000000000003E-2</v>
      </c>
      <c r="AE127" s="10">
        <v>7.9769999999999893E-3</v>
      </c>
      <c r="AF127" s="10">
        <v>9.2589999999999895E-3</v>
      </c>
      <c r="AG127" s="10">
        <v>0.22950000000000001</v>
      </c>
      <c r="AH127">
        <v>5.8430000000000003E-2</v>
      </c>
    </row>
    <row r="128" spans="3:34">
      <c r="C128" s="11" t="s">
        <v>320</v>
      </c>
      <c r="D128" s="10" t="s">
        <v>0</v>
      </c>
      <c r="E128" s="10">
        <v>13.71</v>
      </c>
      <c r="F128" s="10">
        <v>21.87</v>
      </c>
      <c r="G128" s="10">
        <v>182.099999999999</v>
      </c>
      <c r="H128" s="10">
        <v>2250</v>
      </c>
      <c r="I128" s="10">
        <v>0.1094</v>
      </c>
      <c r="J128" s="10">
        <v>0.19139999999999899</v>
      </c>
      <c r="K128" s="10">
        <v>0.28710000000000002</v>
      </c>
      <c r="L128" s="10">
        <v>0.187799999999999</v>
      </c>
      <c r="M128" s="10">
        <v>0.17999999999999899</v>
      </c>
      <c r="N128" s="10">
        <v>5.7700000000000001E-2</v>
      </c>
      <c r="O128" s="10">
        <v>0.83609999999999896</v>
      </c>
      <c r="P128" s="10">
        <v>1.4810000000000001</v>
      </c>
      <c r="Q128" s="10">
        <v>5.82</v>
      </c>
      <c r="R128" s="10">
        <v>128.69999999999899</v>
      </c>
      <c r="S128" s="10">
        <v>4.6309999999999902E-3</v>
      </c>
      <c r="T128" s="10">
        <v>2.537E-2</v>
      </c>
      <c r="U128" s="10">
        <v>3.109E-2</v>
      </c>
      <c r="V128" s="10">
        <v>1.24099999999999E-2</v>
      </c>
      <c r="W128" s="10">
        <v>1.575E-2</v>
      </c>
      <c r="X128" s="10">
        <v>2.7469999999999899E-3</v>
      </c>
      <c r="Y128" s="10">
        <v>33.119999999999898</v>
      </c>
      <c r="Z128" s="10">
        <v>32.85</v>
      </c>
      <c r="AA128" s="10">
        <v>220.8</v>
      </c>
      <c r="AB128" s="10">
        <v>3216</v>
      </c>
      <c r="AC128" s="10">
        <v>0.1472</v>
      </c>
      <c r="AD128" s="10">
        <v>0.40339999999999898</v>
      </c>
      <c r="AE128" s="10">
        <v>0.53400000000000003</v>
      </c>
      <c r="AF128" s="10">
        <v>0.26879999999999898</v>
      </c>
      <c r="AG128" s="10">
        <v>0.28560000000000002</v>
      </c>
      <c r="AH128">
        <v>8.0820000000000003E-2</v>
      </c>
    </row>
    <row r="129" spans="3:34">
      <c r="C129" s="11" t="s">
        <v>321</v>
      </c>
      <c r="D129" s="10" t="s">
        <v>0</v>
      </c>
      <c r="E129" s="10">
        <v>13.71</v>
      </c>
      <c r="F129" s="10">
        <v>26.57</v>
      </c>
      <c r="G129" s="10">
        <v>142.69999999999899</v>
      </c>
      <c r="H129" s="10">
        <v>1311</v>
      </c>
      <c r="I129" s="10">
        <v>0.11409999999999899</v>
      </c>
      <c r="J129" s="10">
        <v>0.28320000000000001</v>
      </c>
      <c r="K129" s="10">
        <v>0.2487</v>
      </c>
      <c r="L129" s="10">
        <v>0.14960000000000001</v>
      </c>
      <c r="M129" s="10">
        <v>0.23949999999999899</v>
      </c>
      <c r="N129" s="10">
        <v>7.3980000000000004E-2</v>
      </c>
      <c r="O129" s="10">
        <v>0.62980000000000003</v>
      </c>
      <c r="P129" s="10">
        <v>0.76290000000000002</v>
      </c>
      <c r="Q129" s="10">
        <v>4.4139999999999899</v>
      </c>
      <c r="R129" s="10">
        <v>81.459999999999894</v>
      </c>
      <c r="S129" s="10">
        <v>4.2529999999999903E-3</v>
      </c>
      <c r="T129" s="10">
        <v>4.759E-2</v>
      </c>
      <c r="U129" s="10">
        <v>3.87199999999999E-2</v>
      </c>
      <c r="V129" s="10">
        <v>1.567E-2</v>
      </c>
      <c r="W129" s="10">
        <v>1.7979999999999899E-2</v>
      </c>
      <c r="X129" s="10">
        <v>5.2950000000000002E-3</v>
      </c>
      <c r="Y129" s="10">
        <v>26.68</v>
      </c>
      <c r="Z129" s="10">
        <v>33.479999999999897</v>
      </c>
      <c r="AA129" s="10">
        <v>176.5</v>
      </c>
      <c r="AB129" s="10">
        <v>2089</v>
      </c>
      <c r="AC129" s="10">
        <v>0.14910000000000001</v>
      </c>
      <c r="AD129" s="10">
        <v>0.75839999999999896</v>
      </c>
      <c r="AE129" s="10">
        <v>0.67800000000000005</v>
      </c>
      <c r="AF129" s="10">
        <v>0.2903</v>
      </c>
      <c r="AG129" s="10">
        <v>0.4098</v>
      </c>
      <c r="AH129">
        <v>0.12839999999999899</v>
      </c>
    </row>
    <row r="130" spans="3:34">
      <c r="C130" s="11" t="s">
        <v>324</v>
      </c>
      <c r="D130" s="10" t="s">
        <v>0</v>
      </c>
      <c r="E130" s="10">
        <v>13.71</v>
      </c>
      <c r="F130" s="10">
        <v>22.41</v>
      </c>
      <c r="G130" s="10">
        <v>98.92</v>
      </c>
      <c r="H130" s="10">
        <v>710.6</v>
      </c>
      <c r="I130" s="10">
        <v>9.0569999999999901E-2</v>
      </c>
      <c r="J130" s="10">
        <v>0.1052</v>
      </c>
      <c r="K130" s="10">
        <v>5.3749999999999902E-2</v>
      </c>
      <c r="L130" s="10">
        <v>3.2629999999999902E-2</v>
      </c>
      <c r="M130" s="10">
        <v>0.17269999999999899</v>
      </c>
      <c r="N130" s="10">
        <v>6.3170000000000004E-2</v>
      </c>
      <c r="O130" s="10">
        <v>0.2054</v>
      </c>
      <c r="P130" s="10">
        <v>0.49559999999999899</v>
      </c>
      <c r="Q130" s="10">
        <v>1.3440000000000001</v>
      </c>
      <c r="R130" s="10">
        <v>19.53</v>
      </c>
      <c r="S130" s="10">
        <v>3.29E-3</v>
      </c>
      <c r="T130" s="10">
        <v>1.3950000000000001E-2</v>
      </c>
      <c r="U130" s="10">
        <v>1.7739999999999902E-2</v>
      </c>
      <c r="V130" s="10">
        <v>6.00899999999999E-3</v>
      </c>
      <c r="W130" s="10">
        <v>1.172E-2</v>
      </c>
      <c r="X130" s="10">
        <v>2.575E-3</v>
      </c>
      <c r="Y130" s="10">
        <v>17.8</v>
      </c>
      <c r="Z130" s="10">
        <v>28.03</v>
      </c>
      <c r="AA130" s="10">
        <v>113.8</v>
      </c>
      <c r="AB130" s="10">
        <v>973.1</v>
      </c>
      <c r="AC130" s="10">
        <v>0.13009999999999899</v>
      </c>
      <c r="AD130" s="10">
        <v>0.32990000000000003</v>
      </c>
      <c r="AE130" s="10">
        <v>0.36299999999999899</v>
      </c>
      <c r="AF130" s="10">
        <v>0.1226</v>
      </c>
      <c r="AG130" s="10">
        <v>0.3175</v>
      </c>
      <c r="AH130">
        <v>9.7720000000000001E-2</v>
      </c>
    </row>
    <row r="131" spans="3:34">
      <c r="C131" s="11" t="s">
        <v>325</v>
      </c>
      <c r="D131" s="10" t="s">
        <v>1</v>
      </c>
      <c r="E131" s="10">
        <v>13.71</v>
      </c>
      <c r="F131" s="10">
        <v>15.1099999999999</v>
      </c>
      <c r="G131" s="10">
        <v>63.759999999999899</v>
      </c>
      <c r="H131" s="10">
        <v>317.5</v>
      </c>
      <c r="I131" s="10">
        <v>9.2670000000000002E-2</v>
      </c>
      <c r="J131" s="10">
        <v>4.6949999999999902E-2</v>
      </c>
      <c r="K131" s="10">
        <v>1.5969999999999899E-3</v>
      </c>
      <c r="L131" s="10">
        <v>2.4039999999999899E-3</v>
      </c>
      <c r="M131" s="10">
        <v>0.17030000000000001</v>
      </c>
      <c r="N131" s="10">
        <v>6.0479999999999902E-2</v>
      </c>
      <c r="O131" s="10">
        <v>0.42449999999999899</v>
      </c>
      <c r="P131" s="10">
        <v>1.268</v>
      </c>
      <c r="Q131" s="10">
        <v>2.68</v>
      </c>
      <c r="R131" s="10">
        <v>26.43</v>
      </c>
      <c r="S131" s="10">
        <v>1.439E-2</v>
      </c>
      <c r="T131" s="10">
        <v>1.2E-2</v>
      </c>
      <c r="U131" s="10">
        <v>1.5969999999999899E-3</v>
      </c>
      <c r="V131" s="10">
        <v>2.4039999999999899E-3</v>
      </c>
      <c r="W131" s="10">
        <v>2.538E-2</v>
      </c>
      <c r="X131" s="10">
        <v>3.47E-3</v>
      </c>
      <c r="Y131" s="10">
        <v>11.8699999999999</v>
      </c>
      <c r="Z131" s="10">
        <v>21.18</v>
      </c>
      <c r="AA131" s="10">
        <v>75.39</v>
      </c>
      <c r="AB131" s="10">
        <v>437</v>
      </c>
      <c r="AC131" s="10">
        <v>0.15210000000000001</v>
      </c>
      <c r="AD131" s="10">
        <v>0.1019</v>
      </c>
      <c r="AE131" s="10">
        <v>6.9199999999999904E-3</v>
      </c>
      <c r="AF131" s="10">
        <v>1.042E-2</v>
      </c>
      <c r="AG131" s="10">
        <v>0.29330000000000001</v>
      </c>
      <c r="AH131">
        <v>7.69699999999999E-2</v>
      </c>
    </row>
    <row r="132" spans="3:34">
      <c r="C132" s="11" t="s">
        <v>326</v>
      </c>
      <c r="D132" s="10" t="s">
        <v>0</v>
      </c>
      <c r="E132" s="10">
        <v>13.71</v>
      </c>
      <c r="F132" s="10">
        <v>18.579999999999899</v>
      </c>
      <c r="G132" s="10">
        <v>118.599999999999</v>
      </c>
      <c r="H132" s="10">
        <v>1041</v>
      </c>
      <c r="I132" s="10">
        <v>8.5879999999999901E-2</v>
      </c>
      <c r="J132" s="10">
        <v>8.4680000000000005E-2</v>
      </c>
      <c r="K132" s="10">
        <v>8.1689999999999902E-2</v>
      </c>
      <c r="L132" s="10">
        <v>5.81399999999999E-2</v>
      </c>
      <c r="M132" s="10">
        <v>0.16209999999999899</v>
      </c>
      <c r="N132" s="10">
        <v>5.425E-2</v>
      </c>
      <c r="O132" s="10">
        <v>0.25769999999999899</v>
      </c>
      <c r="P132" s="10">
        <v>0.47570000000000001</v>
      </c>
      <c r="Q132" s="10">
        <v>1.81699999999999</v>
      </c>
      <c r="R132" s="10">
        <v>28.92</v>
      </c>
      <c r="S132" s="10">
        <v>2.8660000000000001E-3</v>
      </c>
      <c r="T132" s="10">
        <v>9.1809999999999895E-3</v>
      </c>
      <c r="U132" s="10">
        <v>1.4120000000000001E-2</v>
      </c>
      <c r="V132" s="10">
        <v>6.7190000000000001E-3</v>
      </c>
      <c r="W132" s="10">
        <v>1.069E-2</v>
      </c>
      <c r="X132" s="10">
        <v>1.0870000000000001E-3</v>
      </c>
      <c r="Y132" s="10">
        <v>21.309999999999899</v>
      </c>
      <c r="Z132" s="10">
        <v>26.3599999999999</v>
      </c>
      <c r="AA132" s="10">
        <v>139.19999999999899</v>
      </c>
      <c r="AB132" s="10">
        <v>1410</v>
      </c>
      <c r="AC132" s="10">
        <v>0.1234</v>
      </c>
      <c r="AD132" s="10">
        <v>0.2445</v>
      </c>
      <c r="AE132" s="10">
        <v>0.3538</v>
      </c>
      <c r="AF132" s="10">
        <v>0.15709999999999899</v>
      </c>
      <c r="AG132" s="10">
        <v>0.3206</v>
      </c>
      <c r="AH132">
        <v>6.93799999999999E-2</v>
      </c>
    </row>
    <row r="133" spans="3:34">
      <c r="C133" s="11" t="s">
        <v>327</v>
      </c>
      <c r="D133" s="10" t="s">
        <v>1</v>
      </c>
      <c r="E133" s="10">
        <v>13.71</v>
      </c>
      <c r="F133" s="10">
        <v>17.190000000000001</v>
      </c>
      <c r="G133" s="10">
        <v>74.680000000000007</v>
      </c>
      <c r="H133" s="10">
        <v>420.3</v>
      </c>
      <c r="I133" s="10">
        <v>9.7739999999999896E-2</v>
      </c>
      <c r="J133" s="10">
        <v>6.1409999999999902E-2</v>
      </c>
      <c r="K133" s="10">
        <v>3.8089999999999902E-2</v>
      </c>
      <c r="L133" s="10">
        <v>3.2390000000000002E-2</v>
      </c>
      <c r="M133" s="10">
        <v>0.15160000000000001</v>
      </c>
      <c r="N133" s="10">
        <v>6.09499999999999E-2</v>
      </c>
      <c r="O133" s="10">
        <v>0.24510000000000001</v>
      </c>
      <c r="P133" s="10">
        <v>0.76549999999999896</v>
      </c>
      <c r="Q133" s="10">
        <v>1.742</v>
      </c>
      <c r="R133" s="10">
        <v>17.8599999999999</v>
      </c>
      <c r="S133" s="10">
        <v>6.9049999999999901E-3</v>
      </c>
      <c r="T133" s="10">
        <v>8.7039999999999895E-3</v>
      </c>
      <c r="U133" s="10">
        <v>1.9779999999999898E-2</v>
      </c>
      <c r="V133" s="10">
        <v>1.1849999999999901E-2</v>
      </c>
      <c r="W133" s="10">
        <v>1.8970000000000001E-2</v>
      </c>
      <c r="X133" s="10">
        <v>1.671E-3</v>
      </c>
      <c r="Y133" s="10">
        <v>13.01</v>
      </c>
      <c r="Z133" s="10">
        <v>21.39</v>
      </c>
      <c r="AA133" s="10">
        <v>84.42</v>
      </c>
      <c r="AB133" s="10">
        <v>521.5</v>
      </c>
      <c r="AC133" s="10">
        <v>0.1323</v>
      </c>
      <c r="AD133" s="10">
        <v>0.104</v>
      </c>
      <c r="AE133" s="10">
        <v>0.15210000000000001</v>
      </c>
      <c r="AF133" s="10">
        <v>0.1099</v>
      </c>
      <c r="AG133" s="10">
        <v>0.25719999999999898</v>
      </c>
      <c r="AH133">
        <v>7.0970000000000005E-2</v>
      </c>
    </row>
    <row r="134" spans="3:34">
      <c r="C134" s="11" t="s">
        <v>328</v>
      </c>
      <c r="D134" s="10" t="s">
        <v>1</v>
      </c>
      <c r="E134" s="10">
        <v>13.71</v>
      </c>
      <c r="F134" s="10">
        <v>17.39</v>
      </c>
      <c r="G134" s="10">
        <v>75.269999999999897</v>
      </c>
      <c r="H134" s="10">
        <v>428.89999999999901</v>
      </c>
      <c r="I134" s="10">
        <v>0.1007</v>
      </c>
      <c r="J134" s="10">
        <v>5.5620000000000003E-2</v>
      </c>
      <c r="K134" s="10">
        <v>2.3529999999999902E-2</v>
      </c>
      <c r="L134" s="10">
        <v>1.553E-2</v>
      </c>
      <c r="M134" s="10">
        <v>0.17180000000000001</v>
      </c>
      <c r="N134" s="10">
        <v>5.77999999999999E-2</v>
      </c>
      <c r="O134" s="10">
        <v>0.18590000000000001</v>
      </c>
      <c r="P134" s="10">
        <v>1.9259999999999899</v>
      </c>
      <c r="Q134" s="10">
        <v>1.0109999999999899</v>
      </c>
      <c r="R134" s="10">
        <v>14.47</v>
      </c>
      <c r="S134" s="10">
        <v>7.8309999999999907E-3</v>
      </c>
      <c r="T134" s="10">
        <v>8.7760000000000008E-3</v>
      </c>
      <c r="U134" s="10">
        <v>1.55599999999999E-2</v>
      </c>
      <c r="V134" s="10">
        <v>6.2399999999999903E-3</v>
      </c>
      <c r="W134" s="10">
        <v>3.1390000000000001E-2</v>
      </c>
      <c r="X134" s="10">
        <v>1.9880000000000002E-3</v>
      </c>
      <c r="Y134" s="10">
        <v>12.57</v>
      </c>
      <c r="Z134" s="10">
        <v>26.48</v>
      </c>
      <c r="AA134" s="10">
        <v>79.569999999999894</v>
      </c>
      <c r="AB134" s="10">
        <v>489.5</v>
      </c>
      <c r="AC134" s="10">
        <v>0.1356</v>
      </c>
      <c r="AD134" s="10">
        <v>0.1</v>
      </c>
      <c r="AE134" s="10">
        <v>8.80299999999999E-2</v>
      </c>
      <c r="AF134" s="10">
        <v>4.3060000000000001E-2</v>
      </c>
      <c r="AG134" s="10">
        <v>0.32</v>
      </c>
      <c r="AH134">
        <v>6.5759999999999902E-2</v>
      </c>
    </row>
    <row r="135" spans="3:34">
      <c r="C135" s="11" t="s">
        <v>329</v>
      </c>
      <c r="D135" s="10" t="s">
        <v>1</v>
      </c>
      <c r="E135" s="10">
        <v>13.71</v>
      </c>
      <c r="F135" s="10">
        <v>15.9</v>
      </c>
      <c r="G135" s="10">
        <v>78.829999999999899</v>
      </c>
      <c r="H135" s="10">
        <v>463.69999999999902</v>
      </c>
      <c r="I135" s="10">
        <v>8.07999999999999E-2</v>
      </c>
      <c r="J135" s="10">
        <v>7.25299999999999E-2</v>
      </c>
      <c r="K135" s="10">
        <v>3.8440000000000002E-2</v>
      </c>
      <c r="L135" s="10">
        <v>1.6539999999999899E-2</v>
      </c>
      <c r="M135" s="10">
        <v>0.16669999999999899</v>
      </c>
      <c r="N135" s="10">
        <v>5.47399999999999E-2</v>
      </c>
      <c r="O135" s="10">
        <v>0.2382</v>
      </c>
      <c r="P135" s="10">
        <v>0.83550000000000002</v>
      </c>
      <c r="Q135" s="10">
        <v>1.6870000000000001</v>
      </c>
      <c r="R135" s="10">
        <v>18.32</v>
      </c>
      <c r="S135" s="10">
        <v>5.9959999999999901E-3</v>
      </c>
      <c r="T135" s="10">
        <v>2.2120000000000001E-2</v>
      </c>
      <c r="U135" s="10">
        <v>2.1170000000000001E-2</v>
      </c>
      <c r="V135" s="10">
        <v>6.4330000000000003E-3</v>
      </c>
      <c r="W135" s="10">
        <v>2.0250000000000001E-2</v>
      </c>
      <c r="X135" s="10">
        <v>1.725E-3</v>
      </c>
      <c r="Y135" s="10">
        <v>13.35</v>
      </c>
      <c r="Z135" s="10">
        <v>19.59</v>
      </c>
      <c r="AA135" s="10">
        <v>86.65</v>
      </c>
      <c r="AB135" s="10">
        <v>546.70000000000005</v>
      </c>
      <c r="AC135" s="10">
        <v>0.1096</v>
      </c>
      <c r="AD135" s="10">
        <v>0.16500000000000001</v>
      </c>
      <c r="AE135" s="10">
        <v>0.14230000000000001</v>
      </c>
      <c r="AF135" s="10">
        <v>4.8149999999999901E-2</v>
      </c>
      <c r="AG135" s="10">
        <v>0.2482</v>
      </c>
      <c r="AH135">
        <v>6.3060000000000005E-2</v>
      </c>
    </row>
    <row r="136" spans="3:34">
      <c r="C136" s="11" t="s">
        <v>331</v>
      </c>
      <c r="D136" s="10" t="s">
        <v>1</v>
      </c>
      <c r="E136" s="10">
        <v>13.71</v>
      </c>
      <c r="F136" s="10">
        <v>21.41</v>
      </c>
      <c r="G136" s="10">
        <v>82.019999999999897</v>
      </c>
      <c r="H136" s="10">
        <v>507.39999999999901</v>
      </c>
      <c r="I136" s="10">
        <v>8.7489999999999901E-2</v>
      </c>
      <c r="J136" s="10">
        <v>6.6009999999999902E-2</v>
      </c>
      <c r="K136" s="10">
        <v>3.1119999999999901E-2</v>
      </c>
      <c r="L136" s="10">
        <v>2.8639999999999902E-2</v>
      </c>
      <c r="M136" s="10">
        <v>0.1694</v>
      </c>
      <c r="N136" s="10">
        <v>6.2869999999999898E-2</v>
      </c>
      <c r="O136" s="10">
        <v>0.73109999999999897</v>
      </c>
      <c r="P136" s="10">
        <v>1.748</v>
      </c>
      <c r="Q136" s="10">
        <v>5.1180000000000003</v>
      </c>
      <c r="R136" s="10">
        <v>53.649999999999899</v>
      </c>
      <c r="S136" s="10">
        <v>4.5710000000000004E-3</v>
      </c>
      <c r="T136" s="10">
        <v>1.7899999999999899E-2</v>
      </c>
      <c r="U136" s="10">
        <v>2.1760000000000002E-2</v>
      </c>
      <c r="V136" s="10">
        <v>1.7569999999999902E-2</v>
      </c>
      <c r="W136" s="10">
        <v>3.3730000000000003E-2</v>
      </c>
      <c r="X136" s="10">
        <v>5.875E-3</v>
      </c>
      <c r="Y136" s="10">
        <v>13.75</v>
      </c>
      <c r="Z136" s="10">
        <v>23.5</v>
      </c>
      <c r="AA136" s="10">
        <v>89.04</v>
      </c>
      <c r="AB136" s="10">
        <v>579.5</v>
      </c>
      <c r="AC136" s="10">
        <v>9.3880000000000005E-2</v>
      </c>
      <c r="AD136" s="10">
        <v>8.9779999999999902E-2</v>
      </c>
      <c r="AE136" s="10">
        <v>5.1860000000000003E-2</v>
      </c>
      <c r="AF136" s="10">
        <v>4.7730000000000002E-2</v>
      </c>
      <c r="AG136" s="10">
        <v>0.21790000000000001</v>
      </c>
      <c r="AH136">
        <v>6.8709999999999896E-2</v>
      </c>
    </row>
    <row r="137" spans="3:34">
      <c r="C137" s="11" t="s">
        <v>332</v>
      </c>
      <c r="D137" s="10" t="s">
        <v>1</v>
      </c>
      <c r="E137" s="10">
        <v>13.71</v>
      </c>
      <c r="F137" s="10">
        <v>18.219999999999899</v>
      </c>
      <c r="G137" s="10">
        <v>60.729999999999897</v>
      </c>
      <c r="H137" s="10">
        <v>288.10000000000002</v>
      </c>
      <c r="I137" s="10">
        <v>6.9500000000000006E-2</v>
      </c>
      <c r="J137" s="10">
        <v>2.3439999999999898E-2</v>
      </c>
      <c r="K137" s="10">
        <v>0</v>
      </c>
      <c r="L137" s="10">
        <v>0</v>
      </c>
      <c r="M137" s="10">
        <v>0.1653</v>
      </c>
      <c r="N137" s="10">
        <v>6.447E-2</v>
      </c>
      <c r="O137" s="10">
        <v>0.35389999999999899</v>
      </c>
      <c r="P137" s="10">
        <v>4.88499999999999</v>
      </c>
      <c r="Q137" s="10">
        <v>2.23</v>
      </c>
      <c r="R137" s="10">
        <v>21.69</v>
      </c>
      <c r="S137" s="10">
        <v>1.7129999999999899E-3</v>
      </c>
      <c r="T137" s="10">
        <v>6.7359999999999903E-3</v>
      </c>
      <c r="U137" s="10">
        <v>0</v>
      </c>
      <c r="V137" s="10">
        <v>0</v>
      </c>
      <c r="W137" s="10">
        <v>3.7990000000000003E-2</v>
      </c>
      <c r="X137" s="10">
        <v>1.688E-3</v>
      </c>
      <c r="Y137" s="10">
        <v>9.968</v>
      </c>
      <c r="Z137" s="10">
        <v>20.829999999999899</v>
      </c>
      <c r="AA137" s="10">
        <v>62.25</v>
      </c>
      <c r="AB137" s="10">
        <v>303.8</v>
      </c>
      <c r="AC137" s="10">
        <v>7.11699999999999E-2</v>
      </c>
      <c r="AD137" s="10">
        <v>2.7289999999999901E-2</v>
      </c>
      <c r="AE137" s="10">
        <v>0</v>
      </c>
      <c r="AF137" s="10">
        <v>0</v>
      </c>
      <c r="AG137" s="10">
        <v>0.19089999999999899</v>
      </c>
      <c r="AH137">
        <v>6.5589999999999898E-2</v>
      </c>
    </row>
    <row r="138" spans="3:34">
      <c r="C138" s="11" t="s">
        <v>335</v>
      </c>
      <c r="D138" s="10" t="s">
        <v>1</v>
      </c>
      <c r="E138" s="10">
        <v>13.71</v>
      </c>
      <c r="F138" s="10">
        <v>16.329999999999899</v>
      </c>
      <c r="G138" s="10">
        <v>82.53</v>
      </c>
      <c r="H138" s="10">
        <v>516.39999999999895</v>
      </c>
      <c r="I138" s="10">
        <v>7.9409999999999897E-2</v>
      </c>
      <c r="J138" s="10">
        <v>5.3659999999999902E-2</v>
      </c>
      <c r="K138" s="10">
        <v>3.8730000000000001E-2</v>
      </c>
      <c r="L138" s="10">
        <v>2.3769999999999899E-2</v>
      </c>
      <c r="M138" s="10">
        <v>0.18290000000000001</v>
      </c>
      <c r="N138" s="10">
        <v>5.6669999999999901E-2</v>
      </c>
      <c r="O138" s="10">
        <v>0.19420000000000001</v>
      </c>
      <c r="P138" s="10">
        <v>0.90859999999999896</v>
      </c>
      <c r="Q138" s="10">
        <v>1.4930000000000001</v>
      </c>
      <c r="R138" s="10">
        <v>15.75</v>
      </c>
      <c r="S138" s="10">
        <v>5.2979999999999902E-3</v>
      </c>
      <c r="T138" s="10">
        <v>1.5869999999999902E-2</v>
      </c>
      <c r="U138" s="10">
        <v>2.3210000000000001E-2</v>
      </c>
      <c r="V138" s="10">
        <v>8.4200000000000004E-3</v>
      </c>
      <c r="W138" s="10">
        <v>1.8530000000000001E-2</v>
      </c>
      <c r="X138" s="10">
        <v>2.1519999999999899E-3</v>
      </c>
      <c r="Y138" s="10">
        <v>13.88</v>
      </c>
      <c r="Z138" s="10">
        <v>22</v>
      </c>
      <c r="AA138" s="10">
        <v>90.81</v>
      </c>
      <c r="AB138" s="10">
        <v>600.6</v>
      </c>
      <c r="AC138" s="10">
        <v>0.10970000000000001</v>
      </c>
      <c r="AD138" s="10">
        <v>0.15060000000000001</v>
      </c>
      <c r="AE138" s="10">
        <v>0.1764</v>
      </c>
      <c r="AF138" s="10">
        <v>8.2350000000000007E-2</v>
      </c>
      <c r="AG138" s="10">
        <v>0.3024</v>
      </c>
      <c r="AH138">
        <v>6.9489999999999899E-2</v>
      </c>
    </row>
    <row r="139" spans="3:34">
      <c r="C139" s="11" t="s">
        <v>339</v>
      </c>
      <c r="D139" s="10" t="s">
        <v>0</v>
      </c>
      <c r="E139" s="10">
        <v>13.71</v>
      </c>
      <c r="F139" s="10">
        <v>20.219999999999899</v>
      </c>
      <c r="G139" s="10">
        <v>94.489999999999895</v>
      </c>
      <c r="H139" s="10">
        <v>642.70000000000005</v>
      </c>
      <c r="I139" s="10">
        <v>9.8720000000000002E-2</v>
      </c>
      <c r="J139" s="10">
        <v>0.1206</v>
      </c>
      <c r="K139" s="10">
        <v>0.11799999999999899</v>
      </c>
      <c r="L139" s="10">
        <v>5.9799999999999902E-2</v>
      </c>
      <c r="M139" s="10">
        <v>0.19500000000000001</v>
      </c>
      <c r="N139" s="10">
        <v>6.4659999999999898E-2</v>
      </c>
      <c r="O139" s="10">
        <v>0.2092</v>
      </c>
      <c r="P139" s="10">
        <v>0.65090000000000003</v>
      </c>
      <c r="Q139" s="10">
        <v>1.446</v>
      </c>
      <c r="R139" s="10">
        <v>19.420000000000002</v>
      </c>
      <c r="S139" s="10">
        <v>4.0439999999999903E-3</v>
      </c>
      <c r="T139" s="10">
        <v>1.5970000000000002E-2</v>
      </c>
      <c r="U139" s="10">
        <v>0.02</v>
      </c>
      <c r="V139" s="10">
        <v>7.3029999999999901E-3</v>
      </c>
      <c r="W139" s="10">
        <v>1.52199999999999E-2</v>
      </c>
      <c r="X139" s="10">
        <v>1.9759999999999899E-3</v>
      </c>
      <c r="Y139" s="10">
        <v>18.329999999999899</v>
      </c>
      <c r="Z139" s="10">
        <v>30.12</v>
      </c>
      <c r="AA139" s="10">
        <v>117.9</v>
      </c>
      <c r="AB139" s="10">
        <v>1044</v>
      </c>
      <c r="AC139" s="10">
        <v>0.1552</v>
      </c>
      <c r="AD139" s="10">
        <v>0.40560000000000002</v>
      </c>
      <c r="AE139" s="10">
        <v>0.49669999999999898</v>
      </c>
      <c r="AF139" s="10">
        <v>0.18379999999999899</v>
      </c>
      <c r="AG139" s="10">
        <v>0.4753</v>
      </c>
      <c r="AH139">
        <v>0.1013</v>
      </c>
    </row>
    <row r="140" spans="3:34">
      <c r="C140" s="11" t="s">
        <v>340</v>
      </c>
      <c r="D140" s="10" t="s">
        <v>1</v>
      </c>
      <c r="E140" s="10">
        <v>13.71</v>
      </c>
      <c r="F140" s="10">
        <v>19.559999999999899</v>
      </c>
      <c r="G140" s="10">
        <v>78.540000000000006</v>
      </c>
      <c r="H140" s="10">
        <v>461</v>
      </c>
      <c r="I140" s="10">
        <v>9.5860000000000001E-2</v>
      </c>
      <c r="J140" s="10">
        <v>8.08699999999999E-2</v>
      </c>
      <c r="K140" s="10">
        <v>4.18699999999999E-2</v>
      </c>
      <c r="L140" s="10">
        <v>4.1070000000000002E-2</v>
      </c>
      <c r="M140" s="10">
        <v>0.19789999999999899</v>
      </c>
      <c r="N140" s="10">
        <v>6.0130000000000003E-2</v>
      </c>
      <c r="O140" s="10">
        <v>0.35339999999999899</v>
      </c>
      <c r="P140" s="10">
        <v>1.3260000000000001</v>
      </c>
      <c r="Q140" s="10">
        <v>2.3079999999999901</v>
      </c>
      <c r="R140" s="10">
        <v>27.239999999999899</v>
      </c>
      <c r="S140" s="10">
        <v>7.5139999999999903E-3</v>
      </c>
      <c r="T140" s="10">
        <v>1.779E-2</v>
      </c>
      <c r="U140" s="10">
        <v>1.401E-2</v>
      </c>
      <c r="V140" s="10">
        <v>1.14E-2</v>
      </c>
      <c r="W140" s="10">
        <v>1.503E-2</v>
      </c>
      <c r="X140" s="10">
        <v>3.3379999999999898E-3</v>
      </c>
      <c r="Y140" s="10">
        <v>14.44</v>
      </c>
      <c r="Z140" s="10">
        <v>28.3599999999999</v>
      </c>
      <c r="AA140" s="10">
        <v>92.15</v>
      </c>
      <c r="AB140" s="10">
        <v>638.39999999999895</v>
      </c>
      <c r="AC140" s="10">
        <v>0.1429</v>
      </c>
      <c r="AD140" s="10">
        <v>0.20419999999999899</v>
      </c>
      <c r="AE140" s="10">
        <v>0.13769999999999899</v>
      </c>
      <c r="AF140" s="10">
        <v>0.108</v>
      </c>
      <c r="AG140" s="10">
        <v>0.26679999999999898</v>
      </c>
      <c r="AH140">
        <v>8.1739999999999896E-2</v>
      </c>
    </row>
    <row r="141" spans="3:34">
      <c r="C141" s="11" t="s">
        <v>341</v>
      </c>
      <c r="D141" s="10" t="s">
        <v>0</v>
      </c>
      <c r="E141" s="10">
        <v>13.71</v>
      </c>
      <c r="F141" s="10">
        <v>19.32</v>
      </c>
      <c r="G141" s="10">
        <v>115.099999999999</v>
      </c>
      <c r="H141" s="10">
        <v>951.6</v>
      </c>
      <c r="I141" s="10">
        <v>8.9679999999999899E-2</v>
      </c>
      <c r="J141" s="10">
        <v>0.1198</v>
      </c>
      <c r="K141" s="10">
        <v>0.1036</v>
      </c>
      <c r="L141" s="10">
        <v>7.4880000000000002E-2</v>
      </c>
      <c r="M141" s="10">
        <v>0.15060000000000001</v>
      </c>
      <c r="N141" s="10">
        <v>5.491E-2</v>
      </c>
      <c r="O141" s="10">
        <v>0.39710000000000001</v>
      </c>
      <c r="P141" s="10">
        <v>0.82820000000000005</v>
      </c>
      <c r="Q141" s="10">
        <v>3.0880000000000001</v>
      </c>
      <c r="R141" s="10">
        <v>40.729999999999897</v>
      </c>
      <c r="S141" s="10">
        <v>6.0899999999999904E-3</v>
      </c>
      <c r="T141" s="10">
        <v>2.5690000000000001E-2</v>
      </c>
      <c r="U141" s="10">
        <v>2.7130000000000001E-2</v>
      </c>
      <c r="V141" s="10">
        <v>1.345E-2</v>
      </c>
      <c r="W141" s="10">
        <v>1.5939999999999899E-2</v>
      </c>
      <c r="X141" s="10">
        <v>2.6580000000000002E-3</v>
      </c>
      <c r="Y141" s="10">
        <v>20.420000000000002</v>
      </c>
      <c r="Z141" s="10">
        <v>25.84</v>
      </c>
      <c r="AA141" s="10">
        <v>139.5</v>
      </c>
      <c r="AB141" s="10">
        <v>1239</v>
      </c>
      <c r="AC141" s="10">
        <v>0.1381</v>
      </c>
      <c r="AD141" s="10">
        <v>0.34200000000000003</v>
      </c>
      <c r="AE141" s="10">
        <v>0.3508</v>
      </c>
      <c r="AF141" s="10">
        <v>0.19389999999999899</v>
      </c>
      <c r="AG141" s="10">
        <v>0.2928</v>
      </c>
      <c r="AH141">
        <v>7.8670000000000004E-2</v>
      </c>
    </row>
    <row r="142" spans="3:34">
      <c r="C142" s="11" t="s">
        <v>344</v>
      </c>
      <c r="D142" s="10" t="s">
        <v>1</v>
      </c>
      <c r="E142" s="10">
        <v>13.71</v>
      </c>
      <c r="F142" s="10">
        <v>18.600000000000001</v>
      </c>
      <c r="G142" s="10">
        <v>81.09</v>
      </c>
      <c r="H142" s="10">
        <v>481.89999999999901</v>
      </c>
      <c r="I142" s="10">
        <v>9.9650000000000002E-2</v>
      </c>
      <c r="J142" s="10">
        <v>0.10580000000000001</v>
      </c>
      <c r="K142" s="10">
        <v>8.0049999999999899E-2</v>
      </c>
      <c r="L142" s="10">
        <v>3.8210000000000001E-2</v>
      </c>
      <c r="M142" s="10">
        <v>0.1925</v>
      </c>
      <c r="N142" s="10">
        <v>6.3729999999999898E-2</v>
      </c>
      <c r="O142" s="10">
        <v>0.39610000000000001</v>
      </c>
      <c r="P142" s="10">
        <v>1.044</v>
      </c>
      <c r="Q142" s="10">
        <v>2.4969999999999901</v>
      </c>
      <c r="R142" s="10">
        <v>30.2899999999999</v>
      </c>
      <c r="S142" s="10">
        <v>6.953E-3</v>
      </c>
      <c r="T142" s="10">
        <v>1.9109999999999901E-2</v>
      </c>
      <c r="U142" s="10">
        <v>2.7009999999999899E-2</v>
      </c>
      <c r="V142" s="10">
        <v>1.0370000000000001E-2</v>
      </c>
      <c r="W142" s="10">
        <v>1.7819999999999898E-2</v>
      </c>
      <c r="X142" s="10">
        <v>3.5860000000000002E-3</v>
      </c>
      <c r="Y142" s="10">
        <v>14.97</v>
      </c>
      <c r="Z142" s="10">
        <v>24.64</v>
      </c>
      <c r="AA142" s="10">
        <v>96.049999999999898</v>
      </c>
      <c r="AB142" s="10">
        <v>677.89999999999895</v>
      </c>
      <c r="AC142" s="10">
        <v>0.1426</v>
      </c>
      <c r="AD142" s="10">
        <v>0.23780000000000001</v>
      </c>
      <c r="AE142" s="10">
        <v>0.2671</v>
      </c>
      <c r="AF142" s="10">
        <v>0.10150000000000001</v>
      </c>
      <c r="AG142" s="10">
        <v>0.3014</v>
      </c>
      <c r="AH142">
        <v>8.7499999999999897E-2</v>
      </c>
    </row>
    <row r="143" spans="3:34">
      <c r="C143" s="11" t="s">
        <v>348</v>
      </c>
      <c r="D143" s="10" t="s">
        <v>1</v>
      </c>
      <c r="E143" s="10">
        <v>13.71</v>
      </c>
      <c r="F143" s="10">
        <v>22.5399999999999</v>
      </c>
      <c r="G143" s="10">
        <v>87.019999999999897</v>
      </c>
      <c r="H143" s="10">
        <v>529.39999999999895</v>
      </c>
      <c r="I143" s="10">
        <v>0.1002</v>
      </c>
      <c r="J143" s="10">
        <v>0.14829999999999899</v>
      </c>
      <c r="K143" s="10">
        <v>8.7050000000000002E-2</v>
      </c>
      <c r="L143" s="10">
        <v>5.1020000000000003E-2</v>
      </c>
      <c r="M143" s="10">
        <v>0.185</v>
      </c>
      <c r="N143" s="10">
        <v>7.3099999999999901E-2</v>
      </c>
      <c r="O143" s="10">
        <v>0.19309999999999899</v>
      </c>
      <c r="P143" s="10">
        <v>0.92230000000000001</v>
      </c>
      <c r="Q143" s="10">
        <v>1.4910000000000001</v>
      </c>
      <c r="R143" s="10">
        <v>15.09</v>
      </c>
      <c r="S143" s="10">
        <v>5.2509999999999901E-3</v>
      </c>
      <c r="T143" s="10">
        <v>3.041E-2</v>
      </c>
      <c r="U143" s="10">
        <v>2.5260000000000001E-2</v>
      </c>
      <c r="V143" s="10">
        <v>8.3040000000000006E-3</v>
      </c>
      <c r="W143" s="10">
        <v>2.5139999999999899E-2</v>
      </c>
      <c r="X143" s="10">
        <v>4.1980000000000003E-3</v>
      </c>
      <c r="Y143" s="10">
        <v>14.55</v>
      </c>
      <c r="Z143" s="10">
        <v>29.16</v>
      </c>
      <c r="AA143" s="10">
        <v>99.48</v>
      </c>
      <c r="AB143" s="10">
        <v>639.29999999999905</v>
      </c>
      <c r="AC143" s="10">
        <v>0.13489999999999899</v>
      </c>
      <c r="AD143" s="10">
        <v>0.44019999999999898</v>
      </c>
      <c r="AE143" s="10">
        <v>0.31619999999999898</v>
      </c>
      <c r="AF143" s="10">
        <v>0.11260000000000001</v>
      </c>
      <c r="AG143" s="10">
        <v>0.4128</v>
      </c>
      <c r="AH143">
        <v>0.1076</v>
      </c>
    </row>
    <row r="144" spans="3:34">
      <c r="C144" s="11" t="s">
        <v>349</v>
      </c>
      <c r="D144" s="10" t="s">
        <v>1</v>
      </c>
      <c r="E144" s="10">
        <v>13.71</v>
      </c>
      <c r="F144" s="10">
        <v>12.91</v>
      </c>
      <c r="G144" s="10">
        <v>98.17</v>
      </c>
      <c r="H144" s="10">
        <v>725.5</v>
      </c>
      <c r="I144" s="10">
        <v>8.1820000000000004E-2</v>
      </c>
      <c r="J144" s="10">
        <v>6.2300000000000001E-2</v>
      </c>
      <c r="K144" s="10">
        <v>5.892E-2</v>
      </c>
      <c r="L144" s="10">
        <v>3.1570000000000001E-2</v>
      </c>
      <c r="M144" s="10">
        <v>0.13589999999999899</v>
      </c>
      <c r="N144" s="10">
        <v>5.5259999999999899E-2</v>
      </c>
      <c r="O144" s="10">
        <v>0.21340000000000001</v>
      </c>
      <c r="P144" s="10">
        <v>0.36280000000000001</v>
      </c>
      <c r="Q144" s="10">
        <v>1.5249999999999899</v>
      </c>
      <c r="R144" s="10">
        <v>20</v>
      </c>
      <c r="S144" s="10">
        <v>4.2909999999999901E-3</v>
      </c>
      <c r="T144" s="10">
        <v>1.2359999999999901E-2</v>
      </c>
      <c r="U144" s="10">
        <v>1.8409999999999899E-2</v>
      </c>
      <c r="V144" s="10">
        <v>7.3730000000000002E-3</v>
      </c>
      <c r="W144" s="10">
        <v>9.5390000000000006E-3</v>
      </c>
      <c r="X144" s="10">
        <v>1.6559999999999899E-3</v>
      </c>
      <c r="Y144" s="10">
        <v>17.3799999999999</v>
      </c>
      <c r="Z144" s="10">
        <v>15.92</v>
      </c>
      <c r="AA144" s="10">
        <v>113.7</v>
      </c>
      <c r="AB144" s="10">
        <v>932.7</v>
      </c>
      <c r="AC144" s="10">
        <v>0.1222</v>
      </c>
      <c r="AD144" s="10">
        <v>0.21859999999999899</v>
      </c>
      <c r="AE144" s="10">
        <v>0.29620000000000002</v>
      </c>
      <c r="AF144" s="10">
        <v>0.103499999999999</v>
      </c>
      <c r="AG144" s="10">
        <v>0.23200000000000001</v>
      </c>
      <c r="AH144">
        <v>7.4740000000000001E-2</v>
      </c>
    </row>
    <row r="145" spans="3:34">
      <c r="C145" s="11" t="s">
        <v>350</v>
      </c>
      <c r="D145" s="10" t="s">
        <v>0</v>
      </c>
      <c r="E145" s="10">
        <v>13.71</v>
      </c>
      <c r="F145" s="10">
        <v>22.14</v>
      </c>
      <c r="G145" s="10">
        <v>134.69999999999899</v>
      </c>
      <c r="H145" s="10">
        <v>1290</v>
      </c>
      <c r="I145" s="10">
        <v>9.0899999999999898E-2</v>
      </c>
      <c r="J145" s="10">
        <v>0.1348</v>
      </c>
      <c r="K145" s="10">
        <v>0.16400000000000001</v>
      </c>
      <c r="L145" s="10">
        <v>9.5610000000000001E-2</v>
      </c>
      <c r="M145" s="10">
        <v>0.17649999999999899</v>
      </c>
      <c r="N145" s="10">
        <v>5.024E-2</v>
      </c>
      <c r="O145" s="10">
        <v>0.86009999999999898</v>
      </c>
      <c r="P145" s="10">
        <v>1.48</v>
      </c>
      <c r="Q145" s="10">
        <v>7.0289999999999901</v>
      </c>
      <c r="R145" s="10">
        <v>111.7</v>
      </c>
      <c r="S145" s="10">
        <v>8.1239999999999906E-3</v>
      </c>
      <c r="T145" s="10">
        <v>3.6110000000000003E-2</v>
      </c>
      <c r="U145" s="10">
        <v>5.4890000000000001E-2</v>
      </c>
      <c r="V145" s="10">
        <v>2.7650000000000001E-2</v>
      </c>
      <c r="W145" s="10">
        <v>3.1759999999999899E-2</v>
      </c>
      <c r="X145" s="10">
        <v>2.3649999999999899E-3</v>
      </c>
      <c r="Y145" s="10">
        <v>23.239999999999899</v>
      </c>
      <c r="Z145" s="10">
        <v>27.84</v>
      </c>
      <c r="AA145" s="10">
        <v>158.30000000000001</v>
      </c>
      <c r="AB145" s="10">
        <v>1656</v>
      </c>
      <c r="AC145" s="10">
        <v>0.1178</v>
      </c>
      <c r="AD145" s="10">
        <v>0.29199999999999898</v>
      </c>
      <c r="AE145" s="10">
        <v>0.3861</v>
      </c>
      <c r="AF145" s="10">
        <v>0.192</v>
      </c>
      <c r="AG145" s="10">
        <v>0.29089999999999899</v>
      </c>
      <c r="AH145">
        <v>5.8650000000000001E-2</v>
      </c>
    </row>
    <row r="146" spans="3:34">
      <c r="C146" s="11" t="s">
        <v>351</v>
      </c>
      <c r="D146" s="10" t="s">
        <v>1</v>
      </c>
      <c r="E146" s="10">
        <v>13.71</v>
      </c>
      <c r="F146" s="10">
        <v>18.940000000000001</v>
      </c>
      <c r="G146" s="10">
        <v>75.510000000000005</v>
      </c>
      <c r="H146" s="10">
        <v>428</v>
      </c>
      <c r="I146" s="10">
        <v>8.87099999999999E-2</v>
      </c>
      <c r="J146" s="10">
        <v>6.9000000000000006E-2</v>
      </c>
      <c r="K146" s="10">
        <v>2.6689999999999901E-2</v>
      </c>
      <c r="L146" s="10">
        <v>1.393E-2</v>
      </c>
      <c r="M146" s="10">
        <v>0.15329999999999899</v>
      </c>
      <c r="N146" s="10">
        <v>6.0569999999999902E-2</v>
      </c>
      <c r="O146" s="10">
        <v>0.22220000000000001</v>
      </c>
      <c r="P146" s="10">
        <v>0.86519999999999897</v>
      </c>
      <c r="Q146" s="10">
        <v>1.444</v>
      </c>
      <c r="R146" s="10">
        <v>17.12</v>
      </c>
      <c r="S146" s="10">
        <v>5.5170000000000002E-3</v>
      </c>
      <c r="T146" s="10">
        <v>1.7270000000000001E-2</v>
      </c>
      <c r="U146" s="10">
        <v>2.0449999999999899E-2</v>
      </c>
      <c r="V146" s="10">
        <v>6.7470000000000004E-3</v>
      </c>
      <c r="W146" s="10">
        <v>1.6160000000000001E-2</v>
      </c>
      <c r="X146" s="10">
        <v>2.9220000000000001E-3</v>
      </c>
      <c r="Y146" s="10">
        <v>13.3</v>
      </c>
      <c r="Z146" s="10">
        <v>24.989999999999899</v>
      </c>
      <c r="AA146" s="10">
        <v>85.219999999999899</v>
      </c>
      <c r="AB146" s="10">
        <v>546.29999999999905</v>
      </c>
      <c r="AC146" s="10">
        <v>0.128</v>
      </c>
      <c r="AD146" s="10">
        <v>0.188</v>
      </c>
      <c r="AE146" s="10">
        <v>0.14710000000000001</v>
      </c>
      <c r="AF146" s="10">
        <v>6.91299999999999E-2</v>
      </c>
      <c r="AG146" s="10">
        <v>0.2535</v>
      </c>
      <c r="AH146">
        <v>7.9930000000000001E-2</v>
      </c>
    </row>
    <row r="147" spans="3:34">
      <c r="C147" s="11" t="s">
        <v>354</v>
      </c>
      <c r="D147" s="10" t="s">
        <v>0</v>
      </c>
      <c r="E147" s="10">
        <v>13.71</v>
      </c>
      <c r="F147" s="10">
        <v>23.809999999999899</v>
      </c>
      <c r="G147" s="10">
        <v>92.87</v>
      </c>
      <c r="H147" s="10">
        <v>610.70000000000005</v>
      </c>
      <c r="I147" s="10">
        <v>9.4630000000000006E-2</v>
      </c>
      <c r="J147" s="10">
        <v>0.13059999999999899</v>
      </c>
      <c r="K147" s="10">
        <v>0.1115</v>
      </c>
      <c r="L147" s="10">
        <v>6.46199999999999E-2</v>
      </c>
      <c r="M147" s="10">
        <v>0.2235</v>
      </c>
      <c r="N147" s="10">
        <v>6.4329999999999901E-2</v>
      </c>
      <c r="O147" s="10">
        <v>0.42070000000000002</v>
      </c>
      <c r="P147" s="10">
        <v>1.845</v>
      </c>
      <c r="Q147" s="10">
        <v>3.53399999999999</v>
      </c>
      <c r="R147" s="10">
        <v>31</v>
      </c>
      <c r="S147" s="10">
        <v>1.0880000000000001E-2</v>
      </c>
      <c r="T147" s="10">
        <v>3.7100000000000001E-2</v>
      </c>
      <c r="U147" s="10">
        <v>3.6880000000000003E-2</v>
      </c>
      <c r="V147" s="10">
        <v>1.627E-2</v>
      </c>
      <c r="W147" s="10">
        <v>4.4990000000000002E-2</v>
      </c>
      <c r="X147" s="10">
        <v>4.7679999999999901E-3</v>
      </c>
      <c r="Y147" s="10">
        <v>16.8599999999999</v>
      </c>
      <c r="Z147" s="10">
        <v>34.85</v>
      </c>
      <c r="AA147" s="10">
        <v>115</v>
      </c>
      <c r="AB147" s="10">
        <v>811.29999999999905</v>
      </c>
      <c r="AC147" s="10">
        <v>0.15590000000000001</v>
      </c>
      <c r="AD147" s="10">
        <v>0.40589999999999898</v>
      </c>
      <c r="AE147" s="10">
        <v>0.37440000000000001</v>
      </c>
      <c r="AF147" s="10">
        <v>0.1772</v>
      </c>
      <c r="AG147" s="10">
        <v>0.47239999999999899</v>
      </c>
      <c r="AH147">
        <v>0.1026</v>
      </c>
    </row>
    <row r="148" spans="3:34">
      <c r="C148" s="11" t="s">
        <v>356</v>
      </c>
      <c r="D148" s="10" t="s">
        <v>1</v>
      </c>
      <c r="E148" s="10">
        <v>13.71</v>
      </c>
      <c r="F148" s="10">
        <v>18.350000000000001</v>
      </c>
      <c r="G148" s="10">
        <v>77.319999999999894</v>
      </c>
      <c r="H148" s="10">
        <v>432.19999999999902</v>
      </c>
      <c r="I148" s="10">
        <v>9.3630000000000005E-2</v>
      </c>
      <c r="J148" s="10">
        <v>0.1154</v>
      </c>
      <c r="K148" s="10">
        <v>6.6360000000000002E-2</v>
      </c>
      <c r="L148" s="10">
        <v>3.1419999999999899E-2</v>
      </c>
      <c r="M148" s="10">
        <v>0.19670000000000001</v>
      </c>
      <c r="N148" s="10">
        <v>6.3140000000000002E-2</v>
      </c>
      <c r="O148" s="10">
        <v>0.29630000000000001</v>
      </c>
      <c r="P148" s="10">
        <v>1.56299999999999</v>
      </c>
      <c r="Q148" s="10">
        <v>2.0870000000000002</v>
      </c>
      <c r="R148" s="10">
        <v>21.46</v>
      </c>
      <c r="S148" s="10">
        <v>8.8719999999999893E-3</v>
      </c>
      <c r="T148" s="10">
        <v>4.1919999999999902E-2</v>
      </c>
      <c r="U148" s="10">
        <v>5.9459999999999902E-2</v>
      </c>
      <c r="V148" s="10">
        <v>1.7850000000000001E-2</v>
      </c>
      <c r="W148" s="10">
        <v>2.793E-2</v>
      </c>
      <c r="X148" s="10">
        <v>4.7749999999999902E-3</v>
      </c>
      <c r="Y148" s="10">
        <v>13.25</v>
      </c>
      <c r="Z148" s="10">
        <v>27.1</v>
      </c>
      <c r="AA148" s="10">
        <v>86.2</v>
      </c>
      <c r="AB148" s="10">
        <v>531.20000000000005</v>
      </c>
      <c r="AC148" s="10">
        <v>0.14050000000000001</v>
      </c>
      <c r="AD148" s="10">
        <v>0.30459999999999898</v>
      </c>
      <c r="AE148" s="10">
        <v>0.28060000000000002</v>
      </c>
      <c r="AF148" s="10">
        <v>0.1138</v>
      </c>
      <c r="AG148" s="10">
        <v>0.3397</v>
      </c>
      <c r="AH148">
        <v>8.3650000000000002E-2</v>
      </c>
    </row>
    <row r="149" spans="3:34">
      <c r="C149" s="11" t="s">
        <v>358</v>
      </c>
      <c r="D149" s="10" t="s">
        <v>0</v>
      </c>
      <c r="E149" s="10">
        <v>13.71</v>
      </c>
      <c r="F149" s="10">
        <v>21.559999999999899</v>
      </c>
      <c r="G149" s="10">
        <v>129.69999999999899</v>
      </c>
      <c r="H149" s="10">
        <v>1230</v>
      </c>
      <c r="I149" s="10">
        <v>9.38299999999999E-2</v>
      </c>
      <c r="J149" s="10">
        <v>0.13059999999999899</v>
      </c>
      <c r="K149" s="10">
        <v>0.12720000000000001</v>
      </c>
      <c r="L149" s="10">
        <v>8.6910000000000001E-2</v>
      </c>
      <c r="M149" s="10">
        <v>0.2094</v>
      </c>
      <c r="N149" s="10">
        <v>5.5809999999999901E-2</v>
      </c>
      <c r="O149" s="10">
        <v>0.95530000000000004</v>
      </c>
      <c r="P149" s="10">
        <v>1.18599999999999</v>
      </c>
      <c r="Q149" s="10">
        <v>6.4870000000000001</v>
      </c>
      <c r="R149" s="10">
        <v>124.4</v>
      </c>
      <c r="S149" s="10">
        <v>6.8040000000000002E-3</v>
      </c>
      <c r="T149" s="10">
        <v>3.1690000000000003E-2</v>
      </c>
      <c r="U149" s="10">
        <v>3.44599999999999E-2</v>
      </c>
      <c r="V149" s="10">
        <v>1.712E-2</v>
      </c>
      <c r="W149" s="10">
        <v>1.8970000000000001E-2</v>
      </c>
      <c r="X149" s="10">
        <v>4.045E-3</v>
      </c>
      <c r="Y149" s="10">
        <v>25.73</v>
      </c>
      <c r="Z149" s="10">
        <v>28.64</v>
      </c>
      <c r="AA149" s="10">
        <v>170.3</v>
      </c>
      <c r="AB149" s="10">
        <v>2009</v>
      </c>
      <c r="AC149" s="10">
        <v>0.1353</v>
      </c>
      <c r="AD149" s="10">
        <v>0.32350000000000001</v>
      </c>
      <c r="AE149" s="10">
        <v>0.36170000000000002</v>
      </c>
      <c r="AF149" s="10">
        <v>0.182</v>
      </c>
      <c r="AG149" s="10">
        <v>0.307</v>
      </c>
      <c r="AH149">
        <v>8.2549999999999901E-2</v>
      </c>
    </row>
    <row r="150" spans="3:34">
      <c r="C150" s="11" t="s">
        <v>359</v>
      </c>
      <c r="D150" s="10" t="s">
        <v>0</v>
      </c>
      <c r="E150" s="10">
        <v>13.71</v>
      </c>
      <c r="F150" s="10">
        <v>32.469999999999899</v>
      </c>
      <c r="G150" s="10">
        <v>128</v>
      </c>
      <c r="H150" s="10">
        <v>1223</v>
      </c>
      <c r="I150" s="10">
        <v>8.41999999999999E-2</v>
      </c>
      <c r="J150" s="10">
        <v>0.113</v>
      </c>
      <c r="K150" s="10">
        <v>0.1145</v>
      </c>
      <c r="L150" s="10">
        <v>6.6369999999999901E-2</v>
      </c>
      <c r="M150" s="10">
        <v>0.14280000000000001</v>
      </c>
      <c r="N150" s="10">
        <v>5.31299999999999E-2</v>
      </c>
      <c r="O150" s="10">
        <v>0.73919999999999897</v>
      </c>
      <c r="P150" s="10">
        <v>1.321</v>
      </c>
      <c r="Q150" s="10">
        <v>4.7220000000000004</v>
      </c>
      <c r="R150" s="10">
        <v>109.9</v>
      </c>
      <c r="S150" s="10">
        <v>5.5389999999999901E-3</v>
      </c>
      <c r="T150" s="10">
        <v>2.6440000000000002E-2</v>
      </c>
      <c r="U150" s="10">
        <v>2.664E-2</v>
      </c>
      <c r="V150" s="10">
        <v>1.078E-2</v>
      </c>
      <c r="W150" s="10">
        <v>1.332E-2</v>
      </c>
      <c r="X150" s="10">
        <v>2.2560000000000002E-3</v>
      </c>
      <c r="Y150" s="10">
        <v>27.899999999999899</v>
      </c>
      <c r="Z150" s="10">
        <v>45.409999999999897</v>
      </c>
      <c r="AA150" s="10">
        <v>180.19999999999899</v>
      </c>
      <c r="AB150" s="10">
        <v>2477</v>
      </c>
      <c r="AC150" s="10">
        <v>0.14080000000000001</v>
      </c>
      <c r="AD150" s="10">
        <v>0.40970000000000001</v>
      </c>
      <c r="AE150" s="10">
        <v>0.39950000000000002</v>
      </c>
      <c r="AF150" s="10">
        <v>0.16250000000000001</v>
      </c>
      <c r="AG150" s="10">
        <v>0.27129999999999899</v>
      </c>
      <c r="AH150">
        <v>7.56799999999999E-2</v>
      </c>
    </row>
    <row r="151" spans="3:34">
      <c r="C151" s="11" t="s">
        <v>369</v>
      </c>
      <c r="D151" s="10" t="s">
        <v>0</v>
      </c>
      <c r="E151" s="10">
        <v>13.71</v>
      </c>
      <c r="F151" s="10">
        <v>22.329999999999899</v>
      </c>
      <c r="G151" s="10">
        <v>85.26</v>
      </c>
      <c r="H151" s="10">
        <v>503.19999999999902</v>
      </c>
      <c r="I151" s="10">
        <v>0.10879999999999899</v>
      </c>
      <c r="J151" s="10">
        <v>0.1799</v>
      </c>
      <c r="K151" s="10">
        <v>0.16950000000000001</v>
      </c>
      <c r="L151" s="10">
        <v>6.8610000000000004E-2</v>
      </c>
      <c r="M151" s="10">
        <v>0.21229999999999899</v>
      </c>
      <c r="N151" s="10">
        <v>7.2539999999999896E-2</v>
      </c>
      <c r="O151" s="10">
        <v>0.30609999999999898</v>
      </c>
      <c r="P151" s="10">
        <v>1.069</v>
      </c>
      <c r="Q151" s="10">
        <v>2.2570000000000001</v>
      </c>
      <c r="R151" s="10">
        <v>25.1299999999999</v>
      </c>
      <c r="S151" s="10">
        <v>6.9829999999999901E-3</v>
      </c>
      <c r="T151" s="10">
        <v>3.8580000000000003E-2</v>
      </c>
      <c r="U151" s="10">
        <v>4.6829999999999899E-2</v>
      </c>
      <c r="V151" s="10">
        <v>1.499E-2</v>
      </c>
      <c r="W151" s="10">
        <v>1.6799999999999898E-2</v>
      </c>
      <c r="X151" s="10">
        <v>5.6169999999999901E-3</v>
      </c>
      <c r="Y151" s="10">
        <v>15.1999999999999</v>
      </c>
      <c r="Z151" s="10">
        <v>30.149999999999899</v>
      </c>
      <c r="AA151" s="10">
        <v>105.3</v>
      </c>
      <c r="AB151" s="10">
        <v>706</v>
      </c>
      <c r="AC151" s="10">
        <v>0.1777</v>
      </c>
      <c r="AD151" s="10">
        <v>0.5343</v>
      </c>
      <c r="AE151" s="10">
        <v>0.62819999999999898</v>
      </c>
      <c r="AF151" s="10">
        <v>0.19769999999999899</v>
      </c>
      <c r="AG151" s="10">
        <v>0.3407</v>
      </c>
      <c r="AH151">
        <v>0.12429999999999899</v>
      </c>
    </row>
    <row r="152" spans="3:34">
      <c r="C152" s="11" t="s">
        <v>371</v>
      </c>
      <c r="D152" s="10" t="s">
        <v>1</v>
      </c>
      <c r="E152" s="10">
        <v>13.71</v>
      </c>
      <c r="F152" s="10">
        <v>27.079999999999899</v>
      </c>
      <c r="G152" s="10">
        <v>71.760000000000005</v>
      </c>
      <c r="H152" s="10">
        <v>395.69999999999902</v>
      </c>
      <c r="I152" s="10">
        <v>6.8830000000000002E-2</v>
      </c>
      <c r="J152" s="10">
        <v>3.81299999999999E-2</v>
      </c>
      <c r="K152" s="10">
        <v>1.6330000000000001E-2</v>
      </c>
      <c r="L152" s="10">
        <v>3.1250000000000002E-3</v>
      </c>
      <c r="M152" s="10">
        <v>0.18690000000000001</v>
      </c>
      <c r="N152" s="10">
        <v>5.62799999999999E-2</v>
      </c>
      <c r="O152" s="10">
        <v>0.121</v>
      </c>
      <c r="P152" s="10">
        <v>0.89270000000000005</v>
      </c>
      <c r="Q152" s="10">
        <v>1.0589999999999899</v>
      </c>
      <c r="R152" s="10">
        <v>8.6050000000000004</v>
      </c>
      <c r="S152" s="10">
        <v>3.653E-3</v>
      </c>
      <c r="T152" s="10">
        <v>1.6469999999999901E-2</v>
      </c>
      <c r="U152" s="10">
        <v>1.6330000000000001E-2</v>
      </c>
      <c r="V152" s="10">
        <v>3.1250000000000002E-3</v>
      </c>
      <c r="W152" s="10">
        <v>1.537E-2</v>
      </c>
      <c r="X152" s="10">
        <v>2.052E-3</v>
      </c>
      <c r="Y152" s="10">
        <v>12.08</v>
      </c>
      <c r="Z152" s="10">
        <v>33.75</v>
      </c>
      <c r="AA152" s="10">
        <v>79.819999999999894</v>
      </c>
      <c r="AB152" s="10">
        <v>452.3</v>
      </c>
      <c r="AC152" s="10">
        <v>9.2030000000000001E-2</v>
      </c>
      <c r="AD152" s="10">
        <v>0.14319999999999899</v>
      </c>
      <c r="AE152" s="10">
        <v>0.1089</v>
      </c>
      <c r="AF152" s="10">
        <v>2.0830000000000001E-2</v>
      </c>
      <c r="AG152" s="10">
        <v>0.28489999999999899</v>
      </c>
      <c r="AH152">
        <v>7.0870000000000002E-2</v>
      </c>
    </row>
    <row r="153" spans="3:34">
      <c r="C153" s="11" t="s">
        <v>373</v>
      </c>
      <c r="D153" s="10" t="s">
        <v>0</v>
      </c>
      <c r="E153" s="10">
        <v>13.71</v>
      </c>
      <c r="F153" s="10">
        <v>27.809999999999899</v>
      </c>
      <c r="G153" s="10">
        <v>134.4</v>
      </c>
      <c r="H153" s="10">
        <v>1319</v>
      </c>
      <c r="I153" s="10">
        <v>9.1590000000000005E-2</v>
      </c>
      <c r="J153" s="10">
        <v>0.1074</v>
      </c>
      <c r="K153" s="10">
        <v>0.15540000000000001</v>
      </c>
      <c r="L153" s="10">
        <v>8.3400000000000002E-2</v>
      </c>
      <c r="M153" s="10">
        <v>0.14480000000000001</v>
      </c>
      <c r="N153" s="10">
        <v>5.59199999999999E-2</v>
      </c>
      <c r="O153" s="10">
        <v>0.52400000000000002</v>
      </c>
      <c r="P153" s="10">
        <v>1.1890000000000001</v>
      </c>
      <c r="Q153" s="10">
        <v>3.7669999999999901</v>
      </c>
      <c r="R153" s="10">
        <v>70.010000000000005</v>
      </c>
      <c r="S153" s="10">
        <v>5.0200000000000002E-3</v>
      </c>
      <c r="T153" s="10">
        <v>2.0619999999999899E-2</v>
      </c>
      <c r="U153" s="10">
        <v>3.4569999999999899E-2</v>
      </c>
      <c r="V153" s="10">
        <v>1.091E-2</v>
      </c>
      <c r="W153" s="10">
        <v>1.298E-2</v>
      </c>
      <c r="X153" s="10">
        <v>2.8869999999999898E-3</v>
      </c>
      <c r="Y153" s="10">
        <v>24.469999999999899</v>
      </c>
      <c r="Z153" s="10">
        <v>37.380000000000003</v>
      </c>
      <c r="AA153" s="10">
        <v>162.69999999999899</v>
      </c>
      <c r="AB153" s="10">
        <v>1872</v>
      </c>
      <c r="AC153" s="10">
        <v>0.12230000000000001</v>
      </c>
      <c r="AD153" s="10">
        <v>0.27610000000000001</v>
      </c>
      <c r="AE153" s="10">
        <v>0.41460000000000002</v>
      </c>
      <c r="AF153" s="10">
        <v>0.156299999999999</v>
      </c>
      <c r="AG153" s="10">
        <v>0.2437</v>
      </c>
      <c r="AH153">
        <v>8.3280000000000007E-2</v>
      </c>
    </row>
    <row r="154" spans="3:34">
      <c r="C154" s="11" t="s">
        <v>378</v>
      </c>
      <c r="D154" s="10" t="s">
        <v>1</v>
      </c>
      <c r="E154" s="10">
        <v>13.71</v>
      </c>
      <c r="F154" s="10">
        <v>27.85</v>
      </c>
      <c r="G154" s="10">
        <v>92.549999999999898</v>
      </c>
      <c r="H154" s="10">
        <v>623.89999999999895</v>
      </c>
      <c r="I154" s="10">
        <v>8.22299999999999E-2</v>
      </c>
      <c r="J154" s="10">
        <v>0.10390000000000001</v>
      </c>
      <c r="K154" s="10">
        <v>0.1103</v>
      </c>
      <c r="L154" s="10">
        <v>4.4080000000000001E-2</v>
      </c>
      <c r="M154" s="10">
        <v>0.13420000000000001</v>
      </c>
      <c r="N154" s="10">
        <v>6.12899999999999E-2</v>
      </c>
      <c r="O154" s="10">
        <v>0.33539999999999898</v>
      </c>
      <c r="P154" s="10">
        <v>2.3239999999999901</v>
      </c>
      <c r="Q154" s="10">
        <v>2.105</v>
      </c>
      <c r="R154" s="10">
        <v>29.96</v>
      </c>
      <c r="S154" s="10">
        <v>6.3070000000000001E-3</v>
      </c>
      <c r="T154" s="10">
        <v>2.845E-2</v>
      </c>
      <c r="U154" s="10">
        <v>3.85E-2</v>
      </c>
      <c r="V154" s="10">
        <v>1.01099999999999E-2</v>
      </c>
      <c r="W154" s="10">
        <v>1.1849999999999901E-2</v>
      </c>
      <c r="X154" s="10">
        <v>3.5890000000000002E-3</v>
      </c>
      <c r="Y154" s="10">
        <v>15.75</v>
      </c>
      <c r="Z154" s="10">
        <v>40.5399999999999</v>
      </c>
      <c r="AA154" s="10">
        <v>102.5</v>
      </c>
      <c r="AB154" s="10">
        <v>764</v>
      </c>
      <c r="AC154" s="10">
        <v>0.1081</v>
      </c>
      <c r="AD154" s="10">
        <v>0.24260000000000001</v>
      </c>
      <c r="AE154" s="10">
        <v>0.30640000000000001</v>
      </c>
      <c r="AF154" s="10">
        <v>8.2189999999999902E-2</v>
      </c>
      <c r="AG154" s="10">
        <v>0.189</v>
      </c>
      <c r="AH154">
        <v>7.7960000000000002E-2</v>
      </c>
    </row>
    <row r="155" spans="3:34">
      <c r="C155" s="11" t="s">
        <v>379</v>
      </c>
      <c r="D155" s="10" t="s">
        <v>0</v>
      </c>
      <c r="E155" s="10">
        <v>13.71</v>
      </c>
      <c r="F155" s="10">
        <v>39.28</v>
      </c>
      <c r="G155" s="10">
        <v>113.4</v>
      </c>
      <c r="H155" s="10">
        <v>920.6</v>
      </c>
      <c r="I155" s="10">
        <v>9.8119999999999902E-2</v>
      </c>
      <c r="J155" s="10">
        <v>0.1298</v>
      </c>
      <c r="K155" s="10">
        <v>0.14169999999999899</v>
      </c>
      <c r="L155" s="10">
        <v>8.8109999999999897E-2</v>
      </c>
      <c r="M155" s="10">
        <v>0.18090000000000001</v>
      </c>
      <c r="N155" s="10">
        <v>5.9659999999999901E-2</v>
      </c>
      <c r="O155" s="10">
        <v>0.53659999999999897</v>
      </c>
      <c r="P155" s="10">
        <v>0.85609999999999897</v>
      </c>
      <c r="Q155" s="10">
        <v>3.00199999999999</v>
      </c>
      <c r="R155" s="10">
        <v>49</v>
      </c>
      <c r="S155" s="10">
        <v>4.8599999999999902E-3</v>
      </c>
      <c r="T155" s="10">
        <v>2.785E-2</v>
      </c>
      <c r="U155" s="10">
        <v>2.6020000000000001E-2</v>
      </c>
      <c r="V155" s="10">
        <v>1.374E-2</v>
      </c>
      <c r="W155" s="10">
        <v>1.226E-2</v>
      </c>
      <c r="X155" s="10">
        <v>2.7590000000000002E-3</v>
      </c>
      <c r="Y155" s="10">
        <v>22.51</v>
      </c>
      <c r="Z155" s="10">
        <v>44.869999999999898</v>
      </c>
      <c r="AA155" s="10">
        <v>141.19999999999899</v>
      </c>
      <c r="AB155" s="10">
        <v>1408</v>
      </c>
      <c r="AC155" s="10">
        <v>0.13650000000000001</v>
      </c>
      <c r="AD155" s="10">
        <v>0.3735</v>
      </c>
      <c r="AE155" s="10">
        <v>0.3241</v>
      </c>
      <c r="AF155" s="10">
        <v>0.20660000000000001</v>
      </c>
      <c r="AG155" s="10">
        <v>0.2853</v>
      </c>
      <c r="AH155">
        <v>8.4959999999999897E-2</v>
      </c>
    </row>
    <row r="156" spans="3:34">
      <c r="C156" s="11" t="s">
        <v>380</v>
      </c>
      <c r="D156" s="10" t="s">
        <v>1</v>
      </c>
      <c r="E156" s="10">
        <v>13.71</v>
      </c>
      <c r="F156" s="10">
        <v>15.6</v>
      </c>
      <c r="G156" s="10">
        <v>87.379999999999896</v>
      </c>
      <c r="H156" s="10">
        <v>575.29999999999905</v>
      </c>
      <c r="I156" s="10">
        <v>9.4229999999999897E-2</v>
      </c>
      <c r="J156" s="10">
        <v>6.6299999999999901E-2</v>
      </c>
      <c r="K156" s="10">
        <v>4.7050000000000002E-2</v>
      </c>
      <c r="L156" s="10">
        <v>3.7310000000000003E-2</v>
      </c>
      <c r="M156" s="10">
        <v>0.17169999999999899</v>
      </c>
      <c r="N156" s="10">
        <v>5.65999999999999E-2</v>
      </c>
      <c r="O156" s="10">
        <v>0.32419999999999899</v>
      </c>
      <c r="P156" s="10">
        <v>0.66120000000000001</v>
      </c>
      <c r="Q156" s="10">
        <v>1.996</v>
      </c>
      <c r="R156" s="10">
        <v>27.19</v>
      </c>
      <c r="S156" s="10">
        <v>6.4700000000000001E-3</v>
      </c>
      <c r="T156" s="10">
        <v>1.248E-2</v>
      </c>
      <c r="U156" s="10">
        <v>1.8100000000000002E-2</v>
      </c>
      <c r="V156" s="10">
        <v>1.103E-2</v>
      </c>
      <c r="W156" s="10">
        <v>1.898E-2</v>
      </c>
      <c r="X156" s="10">
        <v>1.794E-3</v>
      </c>
      <c r="Y156" s="10">
        <v>14.85</v>
      </c>
      <c r="Z156" s="10">
        <v>19.05</v>
      </c>
      <c r="AA156" s="10">
        <v>94.1099999999999</v>
      </c>
      <c r="AB156" s="10">
        <v>683.39999999999895</v>
      </c>
      <c r="AC156" s="10">
        <v>0.1278</v>
      </c>
      <c r="AD156" s="10">
        <v>0.12909999999999899</v>
      </c>
      <c r="AE156" s="10">
        <v>0.15329999999999899</v>
      </c>
      <c r="AF156" s="10">
        <v>9.2219999999999899E-2</v>
      </c>
      <c r="AG156" s="10">
        <v>0.253</v>
      </c>
      <c r="AH156">
        <v>6.5100000000000005E-2</v>
      </c>
    </row>
    <row r="157" spans="3:34">
      <c r="C157" s="11" t="s">
        <v>381</v>
      </c>
      <c r="D157" s="10" t="s">
        <v>1</v>
      </c>
      <c r="E157" s="10">
        <v>13.71</v>
      </c>
      <c r="F157" s="10">
        <v>15.0399999999999</v>
      </c>
      <c r="G157" s="10">
        <v>78.6099999999999</v>
      </c>
      <c r="H157" s="10">
        <v>476.5</v>
      </c>
      <c r="I157" s="10">
        <v>7.92599999999999E-2</v>
      </c>
      <c r="J157" s="10">
        <v>3.3930000000000002E-2</v>
      </c>
      <c r="K157" s="10">
        <v>1.0529999999999901E-2</v>
      </c>
      <c r="L157" s="10">
        <v>1.108E-2</v>
      </c>
      <c r="M157" s="10">
        <v>0.15459999999999899</v>
      </c>
      <c r="N157" s="10">
        <v>5.7540000000000001E-2</v>
      </c>
      <c r="O157" s="10">
        <v>0.1153</v>
      </c>
      <c r="P157" s="10">
        <v>0.67449999999999899</v>
      </c>
      <c r="Q157" s="10">
        <v>0.75700000000000001</v>
      </c>
      <c r="R157" s="10">
        <v>9.0060000000000002</v>
      </c>
      <c r="S157" s="10">
        <v>3.2650000000000001E-3</v>
      </c>
      <c r="T157" s="10">
        <v>4.9300000000000004E-3</v>
      </c>
      <c r="U157" s="10">
        <v>6.4929999999999901E-3</v>
      </c>
      <c r="V157" s="10">
        <v>3.7620000000000002E-3</v>
      </c>
      <c r="W157" s="10">
        <v>1.72E-2</v>
      </c>
      <c r="X157" s="10">
        <v>1.3600000000000001E-3</v>
      </c>
      <c r="Y157" s="10">
        <v>13.1999999999999</v>
      </c>
      <c r="Z157" s="10">
        <v>20.37</v>
      </c>
      <c r="AA157" s="10">
        <v>83.849999999999895</v>
      </c>
      <c r="AB157" s="10">
        <v>543.39999999999895</v>
      </c>
      <c r="AC157" s="10">
        <v>0.1037</v>
      </c>
      <c r="AD157" s="10">
        <v>7.7759999999999899E-2</v>
      </c>
      <c r="AE157" s="10">
        <v>6.2429999999999902E-2</v>
      </c>
      <c r="AF157" s="10">
        <v>4.052E-2</v>
      </c>
      <c r="AG157" s="10">
        <v>0.29010000000000002</v>
      </c>
      <c r="AH157">
        <v>6.7830000000000001E-2</v>
      </c>
    </row>
    <row r="158" spans="3:34">
      <c r="C158" s="11" t="s">
        <v>383</v>
      </c>
      <c r="D158" s="10" t="s">
        <v>1</v>
      </c>
      <c r="E158" s="10">
        <v>13.71</v>
      </c>
      <c r="F158" s="10">
        <v>23.77</v>
      </c>
      <c r="G158" s="10">
        <v>88.54</v>
      </c>
      <c r="H158" s="10">
        <v>590</v>
      </c>
      <c r="I158" s="10">
        <v>8.0430000000000001E-2</v>
      </c>
      <c r="J158" s="10">
        <v>6.8070000000000006E-2</v>
      </c>
      <c r="K158" s="10">
        <v>4.6969999999999901E-2</v>
      </c>
      <c r="L158" s="10">
        <v>2.3439999999999898E-2</v>
      </c>
      <c r="M158" s="10">
        <v>0.17730000000000001</v>
      </c>
      <c r="N158" s="10">
        <v>5.4289999999999901E-2</v>
      </c>
      <c r="O158" s="10">
        <v>0.43469999999999898</v>
      </c>
      <c r="P158" s="10">
        <v>1.0569999999999899</v>
      </c>
      <c r="Q158" s="10">
        <v>2.8290000000000002</v>
      </c>
      <c r="R158" s="10">
        <v>39.93</v>
      </c>
      <c r="S158" s="10">
        <v>4.3509999999999903E-3</v>
      </c>
      <c r="T158" s="10">
        <v>2.6669999999999899E-2</v>
      </c>
      <c r="U158" s="10">
        <v>3.37099999999999E-2</v>
      </c>
      <c r="V158" s="10">
        <v>1.0070000000000001E-2</v>
      </c>
      <c r="W158" s="10">
        <v>2.598E-2</v>
      </c>
      <c r="X158" s="10">
        <v>3.0869999999999899E-3</v>
      </c>
      <c r="Y158" s="10">
        <v>15.01</v>
      </c>
      <c r="Z158" s="10">
        <v>26.34</v>
      </c>
      <c r="AA158" s="10">
        <v>98</v>
      </c>
      <c r="AB158" s="10">
        <v>706</v>
      </c>
      <c r="AC158" s="10">
        <v>9.3679999999999902E-2</v>
      </c>
      <c r="AD158" s="10">
        <v>0.144199999999999</v>
      </c>
      <c r="AE158" s="10">
        <v>0.13589999999999899</v>
      </c>
      <c r="AF158" s="10">
        <v>6.1060000000000003E-2</v>
      </c>
      <c r="AG158" s="10">
        <v>0.26629999999999898</v>
      </c>
      <c r="AH158">
        <v>6.3210000000000002E-2</v>
      </c>
    </row>
    <row r="159" spans="3:34">
      <c r="C159" s="11" t="s">
        <v>385</v>
      </c>
      <c r="D159" s="10" t="s">
        <v>1</v>
      </c>
      <c r="E159" s="10">
        <v>13.71</v>
      </c>
      <c r="F159" s="10">
        <v>19.8599999999999</v>
      </c>
      <c r="G159" s="10">
        <v>66.719999999999899</v>
      </c>
      <c r="H159" s="10">
        <v>337.69999999999902</v>
      </c>
      <c r="I159" s="10">
        <v>0.107</v>
      </c>
      <c r="J159" s="10">
        <v>5.9709999999999902E-2</v>
      </c>
      <c r="K159" s="10">
        <v>4.8309999999999902E-2</v>
      </c>
      <c r="L159" s="10">
        <v>3.0700000000000002E-2</v>
      </c>
      <c r="M159" s="10">
        <v>0.17369999999999899</v>
      </c>
      <c r="N159" s="10">
        <v>6.4399999999999902E-2</v>
      </c>
      <c r="O159" s="10">
        <v>0.37190000000000001</v>
      </c>
      <c r="P159" s="10">
        <v>2.6120000000000001</v>
      </c>
      <c r="Q159" s="10">
        <v>2.5169999999999901</v>
      </c>
      <c r="R159" s="10">
        <v>23.219999999999899</v>
      </c>
      <c r="S159" s="10">
        <v>1.6039999999999902E-2</v>
      </c>
      <c r="T159" s="10">
        <v>1.3860000000000001E-2</v>
      </c>
      <c r="U159" s="10">
        <v>1.865E-2</v>
      </c>
      <c r="V159" s="10">
        <v>1.133E-2</v>
      </c>
      <c r="W159" s="10">
        <v>3.4759999999999902E-2</v>
      </c>
      <c r="X159" s="10">
        <v>3.5599999999999898E-3</v>
      </c>
      <c r="Y159" s="10">
        <v>11.48</v>
      </c>
      <c r="Z159" s="10">
        <v>29.46</v>
      </c>
      <c r="AA159" s="10">
        <v>73.680000000000007</v>
      </c>
      <c r="AB159" s="10">
        <v>402.8</v>
      </c>
      <c r="AC159" s="10">
        <v>0.1515</v>
      </c>
      <c r="AD159" s="10">
        <v>0.1026</v>
      </c>
      <c r="AE159" s="10">
        <v>0.1181</v>
      </c>
      <c r="AF159" s="10">
        <v>6.7360000000000003E-2</v>
      </c>
      <c r="AG159" s="10">
        <v>0.2883</v>
      </c>
      <c r="AH159">
        <v>7.7479999999999896E-2</v>
      </c>
    </row>
    <row r="160" spans="3:34">
      <c r="C160" s="11" t="s">
        <v>388</v>
      </c>
      <c r="D160" s="10" t="s">
        <v>1</v>
      </c>
      <c r="E160" s="10">
        <v>13.71</v>
      </c>
      <c r="F160" s="10">
        <v>25.219999999999899</v>
      </c>
      <c r="G160" s="10">
        <v>68.010000000000005</v>
      </c>
      <c r="H160" s="10">
        <v>347</v>
      </c>
      <c r="I160" s="10">
        <v>9.6570000000000003E-2</v>
      </c>
      <c r="J160" s="10">
        <v>7.2340000000000002E-2</v>
      </c>
      <c r="K160" s="10">
        <v>2.3789999999999902E-2</v>
      </c>
      <c r="L160" s="10">
        <v>1.6150000000000001E-2</v>
      </c>
      <c r="M160" s="10">
        <v>0.18970000000000001</v>
      </c>
      <c r="N160" s="10">
        <v>6.3289999999999902E-2</v>
      </c>
      <c r="O160" s="10">
        <v>0.24970000000000001</v>
      </c>
      <c r="P160" s="10">
        <v>1.4930000000000001</v>
      </c>
      <c r="Q160" s="10">
        <v>1.4970000000000001</v>
      </c>
      <c r="R160" s="10">
        <v>16.64</v>
      </c>
      <c r="S160" s="10">
        <v>7.1890000000000001E-3</v>
      </c>
      <c r="T160" s="10">
        <v>1.035E-2</v>
      </c>
      <c r="U160" s="10">
        <v>1.081E-2</v>
      </c>
      <c r="V160" s="10">
        <v>6.2449999999999901E-3</v>
      </c>
      <c r="W160" s="10">
        <v>2.1579999999999901E-2</v>
      </c>
      <c r="X160" s="10">
        <v>2.6189999999999898E-3</v>
      </c>
      <c r="Y160" s="10">
        <v>12.25</v>
      </c>
      <c r="Z160" s="10">
        <v>35.189999999999898</v>
      </c>
      <c r="AA160" s="10">
        <v>77.98</v>
      </c>
      <c r="AB160" s="10">
        <v>455.69999999999902</v>
      </c>
      <c r="AC160" s="10">
        <v>0.14990000000000001</v>
      </c>
      <c r="AD160" s="10">
        <v>0.13980000000000001</v>
      </c>
      <c r="AE160" s="10">
        <v>0.1125</v>
      </c>
      <c r="AF160" s="10">
        <v>6.1359999999999901E-2</v>
      </c>
      <c r="AG160" s="10">
        <v>0.34089999999999898</v>
      </c>
      <c r="AH160">
        <v>8.1470000000000001E-2</v>
      </c>
    </row>
    <row r="161" spans="3:34">
      <c r="C161" s="11" t="s">
        <v>389</v>
      </c>
      <c r="D161" s="10" t="s">
        <v>1</v>
      </c>
      <c r="E161" s="10">
        <v>13.71</v>
      </c>
      <c r="F161" s="10">
        <v>14.93</v>
      </c>
      <c r="G161" s="10">
        <v>73.87</v>
      </c>
      <c r="H161" s="10">
        <v>406.3</v>
      </c>
      <c r="I161" s="10">
        <v>0.1013</v>
      </c>
      <c r="J161" s="10">
        <v>7.8079999999999899E-2</v>
      </c>
      <c r="K161" s="10">
        <v>4.3279999999999902E-2</v>
      </c>
      <c r="L161" s="10">
        <v>2.929E-2</v>
      </c>
      <c r="M161" s="10">
        <v>0.1883</v>
      </c>
      <c r="N161" s="10">
        <v>6.1679999999999902E-2</v>
      </c>
      <c r="O161" s="10">
        <v>0.25619999999999898</v>
      </c>
      <c r="P161" s="10">
        <v>1.038</v>
      </c>
      <c r="Q161" s="10">
        <v>1.68599999999999</v>
      </c>
      <c r="R161" s="10">
        <v>18.62</v>
      </c>
      <c r="S161" s="10">
        <v>6.6620000000000004E-3</v>
      </c>
      <c r="T161" s="10">
        <v>1.22799999999999E-2</v>
      </c>
      <c r="U161" s="10">
        <v>2.1049999999999899E-2</v>
      </c>
      <c r="V161" s="10">
        <v>1.0059999999999901E-2</v>
      </c>
      <c r="W161" s="10">
        <v>1.677E-2</v>
      </c>
      <c r="X161" s="10">
        <v>2.784E-3</v>
      </c>
      <c r="Y161" s="10">
        <v>12.65</v>
      </c>
      <c r="Z161" s="10">
        <v>21.19</v>
      </c>
      <c r="AA161" s="10">
        <v>80.879999999999896</v>
      </c>
      <c r="AB161" s="10">
        <v>491.8</v>
      </c>
      <c r="AC161" s="10">
        <v>0.1389</v>
      </c>
      <c r="AD161" s="10">
        <v>0.15820000000000001</v>
      </c>
      <c r="AE161" s="10">
        <v>0.1804</v>
      </c>
      <c r="AF161" s="10">
        <v>9.6079999999999902E-2</v>
      </c>
      <c r="AG161" s="10">
        <v>0.26640000000000003</v>
      </c>
      <c r="AH161">
        <v>7.8090000000000007E-2</v>
      </c>
    </row>
    <row r="162" spans="3:34">
      <c r="C162" s="11" t="s">
        <v>393</v>
      </c>
      <c r="D162" s="10" t="s">
        <v>0</v>
      </c>
      <c r="E162" s="10">
        <v>13.71</v>
      </c>
      <c r="F162" s="10">
        <v>17.079999999999899</v>
      </c>
      <c r="G162" s="10">
        <v>113</v>
      </c>
      <c r="H162" s="10">
        <v>928.2</v>
      </c>
      <c r="I162" s="10">
        <v>0.1008</v>
      </c>
      <c r="J162" s="10">
        <v>0.1041</v>
      </c>
      <c r="K162" s="10">
        <v>0.12659999999999899</v>
      </c>
      <c r="L162" s="10">
        <v>8.3529999999999896E-2</v>
      </c>
      <c r="M162" s="10">
        <v>0.18129999999999899</v>
      </c>
      <c r="N162" s="10">
        <v>5.6129999999999902E-2</v>
      </c>
      <c r="O162" s="10">
        <v>0.30930000000000002</v>
      </c>
      <c r="P162" s="10">
        <v>0.85680000000000001</v>
      </c>
      <c r="Q162" s="10">
        <v>2.1930000000000001</v>
      </c>
      <c r="R162" s="10">
        <v>33.630000000000003</v>
      </c>
      <c r="S162" s="10">
        <v>4.7569999999999904E-3</v>
      </c>
      <c r="T162" s="10">
        <v>1.503E-2</v>
      </c>
      <c r="U162" s="10">
        <v>2.332E-2</v>
      </c>
      <c r="V162" s="10">
        <v>1.26199999999999E-2</v>
      </c>
      <c r="W162" s="10">
        <v>1.39399999999999E-2</v>
      </c>
      <c r="X162" s="10">
        <v>2.362E-3</v>
      </c>
      <c r="Y162" s="10">
        <v>19.850000000000001</v>
      </c>
      <c r="Z162" s="10">
        <v>25.09</v>
      </c>
      <c r="AA162" s="10">
        <v>130.9</v>
      </c>
      <c r="AB162" s="10">
        <v>1222</v>
      </c>
      <c r="AC162" s="10">
        <v>0.1416</v>
      </c>
      <c r="AD162" s="10">
        <v>0.24049999999999899</v>
      </c>
      <c r="AE162" s="10">
        <v>0.33779999999999899</v>
      </c>
      <c r="AF162" s="10">
        <v>0.1857</v>
      </c>
      <c r="AG162" s="10">
        <v>0.31380000000000002</v>
      </c>
      <c r="AH162">
        <v>8.1129999999999897E-2</v>
      </c>
    </row>
    <row r="163" spans="3:34">
      <c r="C163" s="11" t="s">
        <v>395</v>
      </c>
      <c r="D163" s="10" t="s">
        <v>0</v>
      </c>
      <c r="E163" s="10">
        <v>13.71</v>
      </c>
      <c r="F163" s="10">
        <v>17.05</v>
      </c>
      <c r="G163" s="10">
        <v>91.43</v>
      </c>
      <c r="H163" s="10">
        <v>602.39999999999895</v>
      </c>
      <c r="I163" s="10">
        <v>0.1096</v>
      </c>
      <c r="J163" s="10">
        <v>0.12790000000000001</v>
      </c>
      <c r="K163" s="10">
        <v>9.7890000000000005E-2</v>
      </c>
      <c r="L163" s="10">
        <v>5.246E-2</v>
      </c>
      <c r="M163" s="10">
        <v>0.1908</v>
      </c>
      <c r="N163" s="10">
        <v>6.13E-2</v>
      </c>
      <c r="O163" s="10">
        <v>0.42499999999999899</v>
      </c>
      <c r="P163" s="10">
        <v>0.80979999999999897</v>
      </c>
      <c r="Q163" s="10">
        <v>2.5630000000000002</v>
      </c>
      <c r="R163" s="10">
        <v>35.74</v>
      </c>
      <c r="S163" s="10">
        <v>6.3509999999999903E-3</v>
      </c>
      <c r="T163" s="10">
        <v>2.6790000000000001E-2</v>
      </c>
      <c r="U163" s="10">
        <v>3.1189999999999898E-2</v>
      </c>
      <c r="V163" s="10">
        <v>1.342E-2</v>
      </c>
      <c r="W163" s="10">
        <v>2.0619999999999899E-2</v>
      </c>
      <c r="X163" s="10">
        <v>2.6949999999999899E-3</v>
      </c>
      <c r="Y163" s="10">
        <v>16.39</v>
      </c>
      <c r="Z163" s="10">
        <v>22.07</v>
      </c>
      <c r="AA163" s="10">
        <v>108.099999999999</v>
      </c>
      <c r="AB163" s="10">
        <v>826</v>
      </c>
      <c r="AC163" s="10">
        <v>0.1512</v>
      </c>
      <c r="AD163" s="10">
        <v>0.32619999999999899</v>
      </c>
      <c r="AE163" s="10">
        <v>0.32090000000000002</v>
      </c>
      <c r="AF163" s="10">
        <v>0.137399999999999</v>
      </c>
      <c r="AG163" s="10">
        <v>0.30680000000000002</v>
      </c>
      <c r="AH163">
        <v>7.9570000000000002E-2</v>
      </c>
    </row>
    <row r="164" spans="3:34">
      <c r="C164" s="11" t="s">
        <v>400</v>
      </c>
      <c r="D164" s="10" t="s">
        <v>0</v>
      </c>
      <c r="E164" s="10">
        <v>13.71</v>
      </c>
      <c r="F164" s="10">
        <v>27.059999999999899</v>
      </c>
      <c r="G164" s="10">
        <v>132.9</v>
      </c>
      <c r="H164" s="10">
        <v>1288</v>
      </c>
      <c r="I164" s="10">
        <v>0.1</v>
      </c>
      <c r="J164" s="10">
        <v>0.10879999999999899</v>
      </c>
      <c r="K164" s="10">
        <v>0.15190000000000001</v>
      </c>
      <c r="L164" s="10">
        <v>9.3329999999999899E-2</v>
      </c>
      <c r="M164" s="10">
        <v>0.18140000000000001</v>
      </c>
      <c r="N164" s="10">
        <v>5.5719999999999902E-2</v>
      </c>
      <c r="O164" s="10">
        <v>0.3977</v>
      </c>
      <c r="P164" s="10">
        <v>1.0329999999999899</v>
      </c>
      <c r="Q164" s="10">
        <v>2.5870000000000002</v>
      </c>
      <c r="R164" s="10">
        <v>52.34</v>
      </c>
      <c r="S164" s="10">
        <v>5.0429999999999902E-3</v>
      </c>
      <c r="T164" s="10">
        <v>1.5779999999999898E-2</v>
      </c>
      <c r="U164" s="10">
        <v>2.1170000000000001E-2</v>
      </c>
      <c r="V164" s="10">
        <v>8.1849999999999892E-3</v>
      </c>
      <c r="W164" s="10">
        <v>1.282E-2</v>
      </c>
      <c r="X164" s="10">
        <v>1.892E-3</v>
      </c>
      <c r="Y164" s="10">
        <v>24.329999999999899</v>
      </c>
      <c r="Z164" s="10">
        <v>39.159999999999897</v>
      </c>
      <c r="AA164" s="10">
        <v>162.30000000000001</v>
      </c>
      <c r="AB164" s="10">
        <v>1844</v>
      </c>
      <c r="AC164" s="10">
        <v>0.1522</v>
      </c>
      <c r="AD164" s="10">
        <v>0.29449999999999898</v>
      </c>
      <c r="AE164" s="10">
        <v>0.37880000000000003</v>
      </c>
      <c r="AF164" s="10">
        <v>0.16969999999999899</v>
      </c>
      <c r="AG164" s="10">
        <v>0.31509999999999899</v>
      </c>
      <c r="AH164">
        <v>7.9990000000000006E-2</v>
      </c>
    </row>
    <row r="165" spans="3:34">
      <c r="C165" s="11" t="s">
        <v>401</v>
      </c>
      <c r="D165" s="10" t="s">
        <v>0</v>
      </c>
      <c r="E165" s="10">
        <v>13.71</v>
      </c>
      <c r="F165" s="10">
        <v>23.059999999999899</v>
      </c>
      <c r="G165" s="10">
        <v>111</v>
      </c>
      <c r="H165" s="10">
        <v>933.1</v>
      </c>
      <c r="I165" s="10">
        <v>8.6620000000000003E-2</v>
      </c>
      <c r="J165" s="10">
        <v>6.28999999999999E-2</v>
      </c>
      <c r="K165" s="10">
        <v>2.8910000000000002E-2</v>
      </c>
      <c r="L165" s="10">
        <v>2.8369999999999899E-2</v>
      </c>
      <c r="M165" s="10">
        <v>0.15640000000000001</v>
      </c>
      <c r="N165" s="10">
        <v>5.3069999999999902E-2</v>
      </c>
      <c r="O165" s="10">
        <v>0.4007</v>
      </c>
      <c r="P165" s="10">
        <v>1.31699999999999</v>
      </c>
      <c r="Q165" s="10">
        <v>2.577</v>
      </c>
      <c r="R165" s="10">
        <v>44.409999999999897</v>
      </c>
      <c r="S165" s="10">
        <v>5.7260000000000002E-3</v>
      </c>
      <c r="T165" s="10">
        <v>1.106E-2</v>
      </c>
      <c r="U165" s="10">
        <v>1.2460000000000001E-2</v>
      </c>
      <c r="V165" s="10">
        <v>7.6709999999999903E-3</v>
      </c>
      <c r="W165" s="10">
        <v>1.41099999999999E-2</v>
      </c>
      <c r="X165" s="10">
        <v>1.578E-3</v>
      </c>
      <c r="Y165" s="10">
        <v>19.850000000000001</v>
      </c>
      <c r="Z165" s="10">
        <v>31.469999999999899</v>
      </c>
      <c r="AA165" s="10">
        <v>128.19999999999899</v>
      </c>
      <c r="AB165" s="10">
        <v>1218</v>
      </c>
      <c r="AC165" s="10">
        <v>0.124</v>
      </c>
      <c r="AD165" s="10">
        <v>0.14860000000000001</v>
      </c>
      <c r="AE165" s="10">
        <v>0.1211</v>
      </c>
      <c r="AF165" s="10">
        <v>8.2350000000000007E-2</v>
      </c>
      <c r="AG165" s="10">
        <v>0.2452</v>
      </c>
      <c r="AH165">
        <v>6.515E-2</v>
      </c>
    </row>
    <row r="166" spans="3:34">
      <c r="C166" s="11" t="s">
        <v>402</v>
      </c>
      <c r="D166" s="10" t="s">
        <v>0</v>
      </c>
      <c r="E166" s="10">
        <v>13.71</v>
      </c>
      <c r="F166" s="10">
        <v>22.1299999999999</v>
      </c>
      <c r="G166" s="10">
        <v>114.4</v>
      </c>
      <c r="H166" s="10">
        <v>947.79999999999905</v>
      </c>
      <c r="I166" s="10">
        <v>8.9990000000000001E-2</v>
      </c>
      <c r="J166" s="10">
        <v>0.1273</v>
      </c>
      <c r="K166" s="10">
        <v>9.6970000000000001E-2</v>
      </c>
      <c r="L166" s="10">
        <v>7.5069999999999901E-2</v>
      </c>
      <c r="M166" s="10">
        <v>0.21079999999999899</v>
      </c>
      <c r="N166" s="10">
        <v>5.4640000000000001E-2</v>
      </c>
      <c r="O166" s="10">
        <v>0.83479999999999899</v>
      </c>
      <c r="P166" s="10">
        <v>1.633</v>
      </c>
      <c r="Q166" s="10">
        <v>6.1459999999999901</v>
      </c>
      <c r="R166" s="10">
        <v>90.939999999999898</v>
      </c>
      <c r="S166" s="10">
        <v>6.7169999999999903E-3</v>
      </c>
      <c r="T166" s="10">
        <v>5.9810000000000002E-2</v>
      </c>
      <c r="U166" s="10">
        <v>4.63799999999999E-2</v>
      </c>
      <c r="V166" s="10">
        <v>2.1489999999999902E-2</v>
      </c>
      <c r="W166" s="10">
        <v>2.7470000000000001E-2</v>
      </c>
      <c r="X166" s="10">
        <v>5.8380000000000003E-3</v>
      </c>
      <c r="Y166" s="10">
        <v>20.39</v>
      </c>
      <c r="Z166" s="10">
        <v>27.239999999999899</v>
      </c>
      <c r="AA166" s="10">
        <v>137.9</v>
      </c>
      <c r="AB166" s="10">
        <v>1295</v>
      </c>
      <c r="AC166" s="10">
        <v>0.1134</v>
      </c>
      <c r="AD166" s="10">
        <v>0.28670000000000001</v>
      </c>
      <c r="AE166" s="10">
        <v>0.2298</v>
      </c>
      <c r="AF166" s="10">
        <v>0.15279999999999899</v>
      </c>
      <c r="AG166" s="10">
        <v>0.30669999999999897</v>
      </c>
      <c r="AH166">
        <v>7.4840000000000004E-2</v>
      </c>
    </row>
    <row r="167" spans="3:34">
      <c r="C167" s="11" t="s">
        <v>403</v>
      </c>
      <c r="D167" s="10" t="s">
        <v>0</v>
      </c>
      <c r="E167" s="10">
        <v>13.71</v>
      </c>
      <c r="F167" s="10">
        <v>19.3799999999999</v>
      </c>
      <c r="G167" s="10">
        <v>100</v>
      </c>
      <c r="H167" s="10">
        <v>758.6</v>
      </c>
      <c r="I167" s="10">
        <v>7.83999999999999E-2</v>
      </c>
      <c r="J167" s="10">
        <v>5.6160000000000002E-2</v>
      </c>
      <c r="K167" s="10">
        <v>4.2090000000000002E-2</v>
      </c>
      <c r="L167" s="10">
        <v>2.8469999999999902E-2</v>
      </c>
      <c r="M167" s="10">
        <v>0.1547</v>
      </c>
      <c r="N167" s="10">
        <v>5.4429999999999902E-2</v>
      </c>
      <c r="O167" s="10">
        <v>0.2298</v>
      </c>
      <c r="P167" s="10">
        <v>0.99880000000000002</v>
      </c>
      <c r="Q167" s="10">
        <v>1.534</v>
      </c>
      <c r="R167" s="10">
        <v>22.18</v>
      </c>
      <c r="S167" s="10">
        <v>2.826E-3</v>
      </c>
      <c r="T167" s="10">
        <v>9.1050000000000002E-3</v>
      </c>
      <c r="U167" s="10">
        <v>1.311E-2</v>
      </c>
      <c r="V167" s="10">
        <v>5.1739999999999902E-3</v>
      </c>
      <c r="W167" s="10">
        <v>1.013E-2</v>
      </c>
      <c r="X167" s="10">
        <v>1.3450000000000001E-3</v>
      </c>
      <c r="Y167" s="10">
        <v>17.91</v>
      </c>
      <c r="Z167" s="10">
        <v>31.67</v>
      </c>
      <c r="AA167" s="10">
        <v>115.9</v>
      </c>
      <c r="AB167" s="10">
        <v>988.6</v>
      </c>
      <c r="AC167" s="10">
        <v>0.1084</v>
      </c>
      <c r="AD167" s="10">
        <v>0.1807</v>
      </c>
      <c r="AE167" s="10">
        <v>0.22600000000000001</v>
      </c>
      <c r="AF167" s="10">
        <v>8.5680000000000006E-2</v>
      </c>
      <c r="AG167" s="10">
        <v>0.26829999999999898</v>
      </c>
      <c r="AH167">
        <v>6.8290000000000003E-2</v>
      </c>
    </row>
    <row r="168" spans="3:34">
      <c r="C168" s="11" t="s">
        <v>405</v>
      </c>
      <c r="D168" s="10" t="s">
        <v>0</v>
      </c>
      <c r="E168" s="10">
        <v>13.71</v>
      </c>
      <c r="F168" s="10">
        <v>31.12</v>
      </c>
      <c r="G168" s="10">
        <v>135.69999999999899</v>
      </c>
      <c r="H168" s="10">
        <v>1419</v>
      </c>
      <c r="I168" s="10">
        <v>9.4689999999999899E-2</v>
      </c>
      <c r="J168" s="10">
        <v>0.1143</v>
      </c>
      <c r="K168" s="10">
        <v>0.13669999999999899</v>
      </c>
      <c r="L168" s="10">
        <v>8.6459999999999898E-2</v>
      </c>
      <c r="M168" s="10">
        <v>0.1769</v>
      </c>
      <c r="N168" s="10">
        <v>5.6739999999999902E-2</v>
      </c>
      <c r="O168" s="10">
        <v>1.1719999999999899</v>
      </c>
      <c r="P168" s="10">
        <v>1.617</v>
      </c>
      <c r="Q168" s="10">
        <v>7.7489999999999899</v>
      </c>
      <c r="R168" s="10">
        <v>199.69999999999899</v>
      </c>
      <c r="S168" s="10">
        <v>4.5510000000000004E-3</v>
      </c>
      <c r="T168" s="10">
        <v>1.478E-2</v>
      </c>
      <c r="U168" s="10">
        <v>2.1430000000000001E-2</v>
      </c>
      <c r="V168" s="10">
        <v>9.2800000000000001E-3</v>
      </c>
      <c r="W168" s="10">
        <v>1.367E-2</v>
      </c>
      <c r="X168" s="10">
        <v>2.2989999999999899E-3</v>
      </c>
      <c r="Y168" s="10">
        <v>32.49</v>
      </c>
      <c r="Z168" s="10">
        <v>47.159999999999897</v>
      </c>
      <c r="AA168" s="10">
        <v>214</v>
      </c>
      <c r="AB168" s="10">
        <v>3432</v>
      </c>
      <c r="AC168" s="10">
        <v>0.1401</v>
      </c>
      <c r="AD168" s="10">
        <v>0.26440000000000002</v>
      </c>
      <c r="AE168" s="10">
        <v>0.34420000000000001</v>
      </c>
      <c r="AF168" s="10">
        <v>0.16589999999999899</v>
      </c>
      <c r="AG168" s="10">
        <v>0.2868</v>
      </c>
      <c r="AH168">
        <v>8.2180000000000003E-2</v>
      </c>
    </row>
    <row r="169" spans="3:34">
      <c r="C169" s="11" t="s">
        <v>406</v>
      </c>
      <c r="D169" s="10" t="s">
        <v>1</v>
      </c>
      <c r="E169" s="10">
        <v>13.71</v>
      </c>
      <c r="F169" s="10">
        <v>18.9499999999999</v>
      </c>
      <c r="G169" s="10">
        <v>69.28</v>
      </c>
      <c r="H169" s="10">
        <v>346.39999999999901</v>
      </c>
      <c r="I169" s="10">
        <v>9.6879999999999897E-2</v>
      </c>
      <c r="J169" s="10">
        <v>0.1147</v>
      </c>
      <c r="K169" s="10">
        <v>6.3869999999999899E-2</v>
      </c>
      <c r="L169" s="10">
        <v>2.6419999999999898E-2</v>
      </c>
      <c r="M169" s="10">
        <v>0.19220000000000001</v>
      </c>
      <c r="N169" s="10">
        <v>6.4909999999999898E-2</v>
      </c>
      <c r="O169" s="10">
        <v>0.45050000000000001</v>
      </c>
      <c r="P169" s="10">
        <v>1.1970000000000001</v>
      </c>
      <c r="Q169" s="10">
        <v>3.43</v>
      </c>
      <c r="R169" s="10">
        <v>27.1</v>
      </c>
      <c r="S169" s="10">
        <v>7.4700000000000001E-3</v>
      </c>
      <c r="T169" s="10">
        <v>3.5810000000000002E-2</v>
      </c>
      <c r="U169" s="10">
        <v>3.354E-2</v>
      </c>
      <c r="V169" s="10">
        <v>1.3650000000000001E-2</v>
      </c>
      <c r="W169" s="10">
        <v>3.5040000000000002E-2</v>
      </c>
      <c r="X169" s="10">
        <v>3.3180000000000002E-3</v>
      </c>
      <c r="Y169" s="10">
        <v>11.88</v>
      </c>
      <c r="Z169" s="10">
        <v>22.94</v>
      </c>
      <c r="AA169" s="10">
        <v>78.28</v>
      </c>
      <c r="AB169" s="10">
        <v>424.8</v>
      </c>
      <c r="AC169" s="10">
        <v>0.12130000000000001</v>
      </c>
      <c r="AD169" s="10">
        <v>0.2515</v>
      </c>
      <c r="AE169" s="10">
        <v>0.19159999999999899</v>
      </c>
      <c r="AF169" s="10">
        <v>7.92599999999999E-2</v>
      </c>
      <c r="AG169" s="10">
        <v>0.29399999999999898</v>
      </c>
      <c r="AH169">
        <v>7.5870000000000007E-2</v>
      </c>
    </row>
    <row r="170" spans="3:34">
      <c r="C170" s="11" t="s">
        <v>408</v>
      </c>
      <c r="D170" s="10" t="s">
        <v>1</v>
      </c>
      <c r="E170" s="10">
        <v>13.71</v>
      </c>
      <c r="F170" s="10">
        <v>16.21</v>
      </c>
      <c r="G170" s="10">
        <v>82.379999999999896</v>
      </c>
      <c r="H170" s="10">
        <v>512.20000000000005</v>
      </c>
      <c r="I170" s="10">
        <v>9.425E-2</v>
      </c>
      <c r="J170" s="10">
        <v>6.2190000000000002E-2</v>
      </c>
      <c r="K170" s="10">
        <v>3.9E-2</v>
      </c>
      <c r="L170" s="10">
        <v>1.6150000000000001E-2</v>
      </c>
      <c r="M170" s="10">
        <v>0.20100000000000001</v>
      </c>
      <c r="N170" s="10">
        <v>5.7689999999999901E-2</v>
      </c>
      <c r="O170" s="10">
        <v>0.23449999999999899</v>
      </c>
      <c r="P170" s="10">
        <v>1.2190000000000001</v>
      </c>
      <c r="Q170" s="10">
        <v>1.546</v>
      </c>
      <c r="R170" s="10">
        <v>18.239999999999899</v>
      </c>
      <c r="S170" s="10">
        <v>5.5180000000000003E-3</v>
      </c>
      <c r="T170" s="10">
        <v>2.1780000000000001E-2</v>
      </c>
      <c r="U170" s="10">
        <v>2.589E-2</v>
      </c>
      <c r="V170" s="10">
        <v>6.3299999999999901E-3</v>
      </c>
      <c r="W170" s="10">
        <v>2.5930000000000002E-2</v>
      </c>
      <c r="X170" s="10">
        <v>2.1570000000000001E-3</v>
      </c>
      <c r="Y170" s="10">
        <v>13.9</v>
      </c>
      <c r="Z170" s="10">
        <v>23.64</v>
      </c>
      <c r="AA170" s="10">
        <v>89.269999999999897</v>
      </c>
      <c r="AB170" s="10">
        <v>597.5</v>
      </c>
      <c r="AC170" s="10">
        <v>0.12559999999999899</v>
      </c>
      <c r="AD170" s="10">
        <v>0.18079999999999899</v>
      </c>
      <c r="AE170" s="10">
        <v>0.19919999999999899</v>
      </c>
      <c r="AF170" s="10">
        <v>5.77999999999999E-2</v>
      </c>
      <c r="AG170" s="10">
        <v>0.3604</v>
      </c>
      <c r="AH170">
        <v>7.0620000000000002E-2</v>
      </c>
    </row>
    <row r="171" spans="3:34">
      <c r="C171" s="11" t="s">
        <v>409</v>
      </c>
      <c r="D171" s="10" t="s">
        <v>1</v>
      </c>
      <c r="E171" s="10">
        <v>13.71</v>
      </c>
      <c r="F171" s="10">
        <v>20.39</v>
      </c>
      <c r="G171" s="10">
        <v>69.5</v>
      </c>
      <c r="H171" s="10">
        <v>344.89999999999901</v>
      </c>
      <c r="I171" s="10">
        <v>0.1082</v>
      </c>
      <c r="J171" s="10">
        <v>0.12889999999999899</v>
      </c>
      <c r="K171" s="10">
        <v>8.448E-2</v>
      </c>
      <c r="L171" s="10">
        <v>2.8670000000000001E-2</v>
      </c>
      <c r="M171" s="10">
        <v>0.1668</v>
      </c>
      <c r="N171" s="10">
        <v>6.862E-2</v>
      </c>
      <c r="O171" s="10">
        <v>0.31979999999999897</v>
      </c>
      <c r="P171" s="10">
        <v>1.4890000000000001</v>
      </c>
      <c r="Q171" s="10">
        <v>2.23</v>
      </c>
      <c r="R171" s="10">
        <v>20.739999999999899</v>
      </c>
      <c r="S171" s="10">
        <v>8.9020000000000002E-3</v>
      </c>
      <c r="T171" s="10">
        <v>4.78499999999999E-2</v>
      </c>
      <c r="U171" s="10">
        <v>7.33899999999999E-2</v>
      </c>
      <c r="V171" s="10">
        <v>1.745E-2</v>
      </c>
      <c r="W171" s="10">
        <v>2.7279999999999902E-2</v>
      </c>
      <c r="X171" s="10">
        <v>7.60999999999999E-3</v>
      </c>
      <c r="Y171" s="10">
        <v>11.69</v>
      </c>
      <c r="Z171" s="10">
        <v>25.21</v>
      </c>
      <c r="AA171" s="10">
        <v>76.510000000000005</v>
      </c>
      <c r="AB171" s="10">
        <v>410.39999999999901</v>
      </c>
      <c r="AC171" s="10">
        <v>0.13350000000000001</v>
      </c>
      <c r="AD171" s="10">
        <v>0.255</v>
      </c>
      <c r="AE171" s="10">
        <v>0.25340000000000001</v>
      </c>
      <c r="AF171" s="10">
        <v>8.5999999999999896E-2</v>
      </c>
      <c r="AG171" s="10">
        <v>0.26050000000000001</v>
      </c>
      <c r="AH171">
        <v>8.7010000000000004E-2</v>
      </c>
    </row>
    <row r="172" spans="3:34">
      <c r="C172" s="11" t="s">
        <v>411</v>
      </c>
      <c r="D172" s="10" t="s">
        <v>1</v>
      </c>
      <c r="E172" s="10">
        <v>13.71</v>
      </c>
      <c r="F172" s="10">
        <v>13.0399999999999</v>
      </c>
      <c r="G172" s="10">
        <v>72.23</v>
      </c>
      <c r="H172" s="10">
        <v>388</v>
      </c>
      <c r="I172" s="10">
        <v>9.83399999999999E-2</v>
      </c>
      <c r="J172" s="10">
        <v>7.6079999999999898E-2</v>
      </c>
      <c r="K172" s="10">
        <v>3.2649999999999901E-2</v>
      </c>
      <c r="L172" s="10">
        <v>2.7550000000000002E-2</v>
      </c>
      <c r="M172" s="10">
        <v>0.1769</v>
      </c>
      <c r="N172" s="10">
        <v>6.2700000000000006E-2</v>
      </c>
      <c r="O172" s="10">
        <v>0.19040000000000001</v>
      </c>
      <c r="P172" s="10">
        <v>0.52929999999999899</v>
      </c>
      <c r="Q172" s="10">
        <v>1.1639999999999899</v>
      </c>
      <c r="R172" s="10">
        <v>13.17</v>
      </c>
      <c r="S172" s="10">
        <v>6.4720000000000003E-3</v>
      </c>
      <c r="T172" s="10">
        <v>1.1220000000000001E-2</v>
      </c>
      <c r="U172" s="10">
        <v>1.282E-2</v>
      </c>
      <c r="V172" s="10">
        <v>8.8489999999999906E-3</v>
      </c>
      <c r="W172" s="10">
        <v>1.6920000000000001E-2</v>
      </c>
      <c r="X172" s="10">
        <v>2.8170000000000001E-3</v>
      </c>
      <c r="Y172" s="10">
        <v>12.32</v>
      </c>
      <c r="Z172" s="10">
        <v>16.18</v>
      </c>
      <c r="AA172" s="10">
        <v>78.269999999999897</v>
      </c>
      <c r="AB172" s="10">
        <v>457.5</v>
      </c>
      <c r="AC172" s="10">
        <v>0.1358</v>
      </c>
      <c r="AD172" s="10">
        <v>0.1507</v>
      </c>
      <c r="AE172" s="10">
        <v>0.1275</v>
      </c>
      <c r="AF172" s="10">
        <v>8.7499999999999897E-2</v>
      </c>
      <c r="AG172" s="10">
        <v>0.27329999999999899</v>
      </c>
      <c r="AH172">
        <v>8.022E-2</v>
      </c>
    </row>
    <row r="173" spans="3:34">
      <c r="C173" s="11" t="s">
        <v>413</v>
      </c>
      <c r="D173" s="10" t="s">
        <v>1</v>
      </c>
      <c r="E173" s="10">
        <v>13.71</v>
      </c>
      <c r="F173" s="10">
        <v>15.67</v>
      </c>
      <c r="G173" s="10">
        <v>61.5</v>
      </c>
      <c r="H173" s="10">
        <v>289.89999999999901</v>
      </c>
      <c r="I173" s="10">
        <v>9.0370000000000006E-2</v>
      </c>
      <c r="J173" s="10">
        <v>4.6890000000000001E-2</v>
      </c>
      <c r="K173" s="10">
        <v>1.103E-2</v>
      </c>
      <c r="L173" s="10">
        <v>1.40699999999999E-2</v>
      </c>
      <c r="M173" s="10">
        <v>0.20810000000000001</v>
      </c>
      <c r="N173" s="10">
        <v>6.3119999999999898E-2</v>
      </c>
      <c r="O173" s="10">
        <v>0.26840000000000003</v>
      </c>
      <c r="P173" s="10">
        <v>1.409</v>
      </c>
      <c r="Q173" s="10">
        <v>1.75</v>
      </c>
      <c r="R173" s="10">
        <v>16.39</v>
      </c>
      <c r="S173" s="10">
        <v>1.38E-2</v>
      </c>
      <c r="T173" s="10">
        <v>1.0670000000000001E-2</v>
      </c>
      <c r="U173" s="10">
        <v>8.3470000000000003E-3</v>
      </c>
      <c r="V173" s="10">
        <v>9.4719999999999908E-3</v>
      </c>
      <c r="W173" s="10">
        <v>1.7979999999999899E-2</v>
      </c>
      <c r="X173" s="10">
        <v>4.261E-3</v>
      </c>
      <c r="Y173" s="10">
        <v>10.75</v>
      </c>
      <c r="Z173" s="10">
        <v>20.8799999999999</v>
      </c>
      <c r="AA173" s="10">
        <v>68.09</v>
      </c>
      <c r="AB173" s="10">
        <v>355.19999999999902</v>
      </c>
      <c r="AC173" s="10">
        <v>0.1467</v>
      </c>
      <c r="AD173" s="10">
        <v>9.3700000000000006E-2</v>
      </c>
      <c r="AE173" s="10">
        <v>4.0430000000000001E-2</v>
      </c>
      <c r="AF173" s="10">
        <v>5.15899999999999E-2</v>
      </c>
      <c r="AG173" s="10">
        <v>0.28410000000000002</v>
      </c>
      <c r="AH173">
        <v>8.1750000000000003E-2</v>
      </c>
    </row>
    <row r="174" spans="3:34">
      <c r="C174" s="11" t="s">
        <v>416</v>
      </c>
      <c r="D174" s="10" t="s">
        <v>1</v>
      </c>
      <c r="E174" s="10">
        <v>13.71</v>
      </c>
      <c r="F174" s="10">
        <v>14.16</v>
      </c>
      <c r="G174" s="10">
        <v>71.790000000000006</v>
      </c>
      <c r="H174" s="10">
        <v>396.6</v>
      </c>
      <c r="I174" s="10">
        <v>9.3789999999999901E-2</v>
      </c>
      <c r="J174" s="10">
        <v>3.87199999999999E-2</v>
      </c>
      <c r="K174" s="10">
        <v>1.487E-3</v>
      </c>
      <c r="L174" s="10">
        <v>3.333E-3</v>
      </c>
      <c r="M174" s="10">
        <v>0.19539999999999899</v>
      </c>
      <c r="N174" s="10">
        <v>5.8209999999999901E-2</v>
      </c>
      <c r="O174" s="10">
        <v>0.23749999999999899</v>
      </c>
      <c r="P174" s="10">
        <v>1.28</v>
      </c>
      <c r="Q174" s="10">
        <v>1.56499999999999</v>
      </c>
      <c r="R174" s="10">
        <v>17.09</v>
      </c>
      <c r="S174" s="10">
        <v>8.4259999999999908E-3</v>
      </c>
      <c r="T174" s="10">
        <v>8.9980000000000008E-3</v>
      </c>
      <c r="U174" s="10">
        <v>1.487E-3</v>
      </c>
      <c r="V174" s="10">
        <v>3.333E-3</v>
      </c>
      <c r="W174" s="10">
        <v>2.358E-2</v>
      </c>
      <c r="X174" s="10">
        <v>1.627E-3</v>
      </c>
      <c r="Y174" s="10">
        <v>12.1999999999999</v>
      </c>
      <c r="Z174" s="10">
        <v>18.989999999999899</v>
      </c>
      <c r="AA174" s="10">
        <v>77.37</v>
      </c>
      <c r="AB174" s="10">
        <v>458</v>
      </c>
      <c r="AC174" s="10">
        <v>0.12590000000000001</v>
      </c>
      <c r="AD174" s="10">
        <v>7.3480000000000004E-2</v>
      </c>
      <c r="AE174" s="10">
        <v>4.9550000000000002E-3</v>
      </c>
      <c r="AF174" s="10">
        <v>1.111E-2</v>
      </c>
      <c r="AG174" s="10">
        <v>0.27579999999999899</v>
      </c>
      <c r="AH174">
        <v>6.386E-2</v>
      </c>
    </row>
    <row r="175" spans="3:34">
      <c r="C175" s="11" t="s">
        <v>417</v>
      </c>
      <c r="D175" s="10" t="s">
        <v>0</v>
      </c>
      <c r="E175" s="10">
        <v>13.71</v>
      </c>
      <c r="F175" s="10">
        <v>19.98</v>
      </c>
      <c r="G175" s="10">
        <v>120.9</v>
      </c>
      <c r="H175" s="10">
        <v>1102</v>
      </c>
      <c r="I175" s="10">
        <v>8.9230000000000004E-2</v>
      </c>
      <c r="J175" s="10">
        <v>5.8840000000000003E-2</v>
      </c>
      <c r="K175" s="10">
        <v>8.0199999999999896E-2</v>
      </c>
      <c r="L175" s="10">
        <v>5.8430000000000003E-2</v>
      </c>
      <c r="M175" s="10">
        <v>0.155</v>
      </c>
      <c r="N175" s="10">
        <v>4.99599999999999E-2</v>
      </c>
      <c r="O175" s="10">
        <v>0.32829999999999898</v>
      </c>
      <c r="P175" s="10">
        <v>0.82799999999999896</v>
      </c>
      <c r="Q175" s="10">
        <v>2.363</v>
      </c>
      <c r="R175" s="10">
        <v>36.74</v>
      </c>
      <c r="S175" s="10">
        <v>7.5709999999999901E-3</v>
      </c>
      <c r="T175" s="10">
        <v>1.1140000000000001E-2</v>
      </c>
      <c r="U175" s="10">
        <v>2.623E-2</v>
      </c>
      <c r="V175" s="10">
        <v>1.4630000000000001E-2</v>
      </c>
      <c r="W175" s="10">
        <v>1.9300000000000001E-2</v>
      </c>
      <c r="X175" s="10">
        <v>1.676E-3</v>
      </c>
      <c r="Y175" s="10">
        <v>19.96</v>
      </c>
      <c r="Z175" s="10">
        <v>24.3</v>
      </c>
      <c r="AA175" s="10">
        <v>129</v>
      </c>
      <c r="AB175" s="10">
        <v>1236</v>
      </c>
      <c r="AC175" s="10">
        <v>0.12429999999999899</v>
      </c>
      <c r="AD175" s="10">
        <v>0.11600000000000001</v>
      </c>
      <c r="AE175" s="10">
        <v>0.221</v>
      </c>
      <c r="AF175" s="10">
        <v>0.12939999999999899</v>
      </c>
      <c r="AG175" s="10">
        <v>0.25669999999999898</v>
      </c>
      <c r="AH175">
        <v>5.73699999999999E-2</v>
      </c>
    </row>
    <row r="176" spans="3:34">
      <c r="C176" s="11" t="s">
        <v>419</v>
      </c>
      <c r="D176" s="10" t="s">
        <v>1</v>
      </c>
      <c r="E176" s="10">
        <v>13.71</v>
      </c>
      <c r="F176" s="10">
        <v>15.18</v>
      </c>
      <c r="G176" s="10">
        <v>88.989999999999895</v>
      </c>
      <c r="H176" s="10">
        <v>587.39999999999895</v>
      </c>
      <c r="I176" s="10">
        <v>9.5159999999999897E-2</v>
      </c>
      <c r="J176" s="10">
        <v>7.6880000000000004E-2</v>
      </c>
      <c r="K176" s="10">
        <v>4.4790000000000003E-2</v>
      </c>
      <c r="L176" s="10">
        <v>3.71099999999999E-2</v>
      </c>
      <c r="M176" s="10">
        <v>0.21099999999999899</v>
      </c>
      <c r="N176" s="10">
        <v>5.8529999999999902E-2</v>
      </c>
      <c r="O176" s="10">
        <v>0.24790000000000001</v>
      </c>
      <c r="P176" s="10">
        <v>0.91949999999999898</v>
      </c>
      <c r="Q176" s="10">
        <v>1.83</v>
      </c>
      <c r="R176" s="10">
        <v>19.41</v>
      </c>
      <c r="S176" s="10">
        <v>4.235E-3</v>
      </c>
      <c r="T176" s="10">
        <v>1.541E-2</v>
      </c>
      <c r="U176" s="10">
        <v>1.457E-2</v>
      </c>
      <c r="V176" s="10">
        <v>1.043E-2</v>
      </c>
      <c r="W176" s="10">
        <v>1.528E-2</v>
      </c>
      <c r="X176" s="10">
        <v>1.593E-3</v>
      </c>
      <c r="Y176" s="10">
        <v>14.98</v>
      </c>
      <c r="Z176" s="10">
        <v>21.739999999999899</v>
      </c>
      <c r="AA176" s="10">
        <v>98.37</v>
      </c>
      <c r="AB176" s="10">
        <v>670</v>
      </c>
      <c r="AC176" s="10">
        <v>0.118499999999999</v>
      </c>
      <c r="AD176" s="10">
        <v>0.1724</v>
      </c>
      <c r="AE176" s="10">
        <v>0.14560000000000001</v>
      </c>
      <c r="AF176" s="10">
        <v>9.9930000000000005E-2</v>
      </c>
      <c r="AG176" s="10">
        <v>0.29549999999999899</v>
      </c>
      <c r="AH176">
        <v>6.9120000000000001E-2</v>
      </c>
    </row>
    <row r="177" spans="3:34">
      <c r="C177" s="11" t="s">
        <v>421</v>
      </c>
      <c r="D177" s="10" t="s">
        <v>1</v>
      </c>
      <c r="E177" s="10">
        <v>13.71</v>
      </c>
      <c r="F177" s="10">
        <v>14.02</v>
      </c>
      <c r="G177" s="10">
        <v>74.239999999999895</v>
      </c>
      <c r="H177" s="10">
        <v>427.3</v>
      </c>
      <c r="I177" s="10">
        <v>7.8130000000000005E-2</v>
      </c>
      <c r="J177" s="10">
        <v>4.3400000000000001E-2</v>
      </c>
      <c r="K177" s="10">
        <v>2.2450000000000001E-2</v>
      </c>
      <c r="L177" s="10">
        <v>2.7629999999999901E-2</v>
      </c>
      <c r="M177" s="10">
        <v>0.21010000000000001</v>
      </c>
      <c r="N177" s="10">
        <v>6.11299999999999E-2</v>
      </c>
      <c r="O177" s="10">
        <v>0.56189999999999896</v>
      </c>
      <c r="P177" s="10">
        <v>1.268</v>
      </c>
      <c r="Q177" s="10">
        <v>3.7170000000000001</v>
      </c>
      <c r="R177" s="10">
        <v>37.829999999999899</v>
      </c>
      <c r="S177" s="10">
        <v>8.0339999999999908E-3</v>
      </c>
      <c r="T177" s="10">
        <v>1.4420000000000001E-2</v>
      </c>
      <c r="U177" s="10">
        <v>1.5140000000000001E-2</v>
      </c>
      <c r="V177" s="10">
        <v>1.8460000000000001E-2</v>
      </c>
      <c r="W177" s="10">
        <v>2.921E-2</v>
      </c>
      <c r="X177" s="10">
        <v>2.0049999999999899E-3</v>
      </c>
      <c r="Y177" s="10">
        <v>13.31</v>
      </c>
      <c r="Z177" s="10">
        <v>18.260000000000002</v>
      </c>
      <c r="AA177" s="10">
        <v>84.7</v>
      </c>
      <c r="AB177" s="10">
        <v>533.70000000000005</v>
      </c>
      <c r="AC177" s="10">
        <v>0.1036</v>
      </c>
      <c r="AD177" s="10">
        <v>8.5000000000000006E-2</v>
      </c>
      <c r="AE177" s="10">
        <v>6.7349999999999896E-2</v>
      </c>
      <c r="AF177" s="10">
        <v>8.2900000000000001E-2</v>
      </c>
      <c r="AG177" s="10">
        <v>0.31009999999999899</v>
      </c>
      <c r="AH177">
        <v>6.6879999999999898E-2</v>
      </c>
    </row>
    <row r="178" spans="3:34">
      <c r="C178" s="11" t="s">
        <v>426</v>
      </c>
      <c r="D178" s="10" t="s">
        <v>1</v>
      </c>
      <c r="E178" s="10">
        <v>13.71</v>
      </c>
      <c r="F178" s="10">
        <v>20.76</v>
      </c>
      <c r="G178" s="10">
        <v>77.87</v>
      </c>
      <c r="H178" s="10">
        <v>441</v>
      </c>
      <c r="I178" s="10">
        <v>8.6050000000000001E-2</v>
      </c>
      <c r="J178" s="10">
        <v>0.1011</v>
      </c>
      <c r="K178" s="10">
        <v>6.5740000000000007E-2</v>
      </c>
      <c r="L178" s="10">
        <v>3.7909999999999902E-2</v>
      </c>
      <c r="M178" s="10">
        <v>0.1588</v>
      </c>
      <c r="N178" s="10">
        <v>6.7659999999999901E-2</v>
      </c>
      <c r="O178" s="10">
        <v>0.2742</v>
      </c>
      <c r="P178" s="10">
        <v>1.3899999999999899</v>
      </c>
      <c r="Q178" s="10">
        <v>3.198</v>
      </c>
      <c r="R178" s="10">
        <v>21.91</v>
      </c>
      <c r="S178" s="10">
        <v>6.7190000000000001E-3</v>
      </c>
      <c r="T178" s="10">
        <v>5.1560000000000002E-2</v>
      </c>
      <c r="U178" s="10">
        <v>4.3869999999999902E-2</v>
      </c>
      <c r="V178" s="10">
        <v>1.6330000000000001E-2</v>
      </c>
      <c r="W178" s="10">
        <v>1.8720000000000001E-2</v>
      </c>
      <c r="X178" s="10">
        <v>8.0149999999999891E-3</v>
      </c>
      <c r="Y178" s="10">
        <v>13.24</v>
      </c>
      <c r="Z178" s="10">
        <v>27.2899999999999</v>
      </c>
      <c r="AA178" s="10">
        <v>92.2</v>
      </c>
      <c r="AB178" s="10">
        <v>546.1</v>
      </c>
      <c r="AC178" s="10">
        <v>0.1116</v>
      </c>
      <c r="AD178" s="10">
        <v>0.281299999999999</v>
      </c>
      <c r="AE178" s="10">
        <v>0.23649999999999899</v>
      </c>
      <c r="AF178" s="10">
        <v>0.11550000000000001</v>
      </c>
      <c r="AG178" s="10">
        <v>0.2465</v>
      </c>
      <c r="AH178">
        <v>9.9809999999999899E-2</v>
      </c>
    </row>
    <row r="179" spans="3:34">
      <c r="C179" s="11" t="s">
        <v>428</v>
      </c>
      <c r="D179" s="10" t="s">
        <v>1</v>
      </c>
      <c r="E179" s="10">
        <v>13.71</v>
      </c>
      <c r="F179" s="10">
        <v>19.96</v>
      </c>
      <c r="G179" s="10">
        <v>73.719999999999899</v>
      </c>
      <c r="H179" s="10">
        <v>394.1</v>
      </c>
      <c r="I179" s="10">
        <v>8.0199999999999896E-2</v>
      </c>
      <c r="J179" s="10">
        <v>0.1181</v>
      </c>
      <c r="K179" s="10">
        <v>9.2740000000000003E-2</v>
      </c>
      <c r="L179" s="10">
        <v>5.5879999999999902E-2</v>
      </c>
      <c r="M179" s="10">
        <v>0.25950000000000001</v>
      </c>
      <c r="N179" s="10">
        <v>6.2330000000000003E-2</v>
      </c>
      <c r="O179" s="10">
        <v>0.48659999999999898</v>
      </c>
      <c r="P179" s="10">
        <v>1.905</v>
      </c>
      <c r="Q179" s="10">
        <v>2.87699999999999</v>
      </c>
      <c r="R179" s="10">
        <v>34.68</v>
      </c>
      <c r="S179" s="10">
        <v>1.5740000000000001E-2</v>
      </c>
      <c r="T179" s="10">
        <v>8.2619999999999902E-2</v>
      </c>
      <c r="U179" s="10">
        <v>8.0990000000000006E-2</v>
      </c>
      <c r="V179" s="10">
        <v>3.4869999999999901E-2</v>
      </c>
      <c r="W179" s="10">
        <v>3.4180000000000002E-2</v>
      </c>
      <c r="X179" s="10">
        <v>6.5170000000000002E-3</v>
      </c>
      <c r="Y179" s="10">
        <v>11.8599999999999</v>
      </c>
      <c r="Z179" s="10">
        <v>22.329999999999899</v>
      </c>
      <c r="AA179" s="10">
        <v>78.269999999999897</v>
      </c>
      <c r="AB179" s="10">
        <v>437.6</v>
      </c>
      <c r="AC179" s="10">
        <v>0.1028</v>
      </c>
      <c r="AD179" s="10">
        <v>0.18429999999999899</v>
      </c>
      <c r="AE179" s="10">
        <v>0.15459999999999899</v>
      </c>
      <c r="AF179" s="10">
        <v>9.3140000000000001E-2</v>
      </c>
      <c r="AG179" s="10">
        <v>0.29549999999999899</v>
      </c>
      <c r="AH179">
        <v>7.009E-2</v>
      </c>
    </row>
    <row r="180" spans="3:34">
      <c r="C180" s="11" t="s">
        <v>431</v>
      </c>
      <c r="D180" s="10" t="s">
        <v>1</v>
      </c>
      <c r="E180" s="10">
        <v>13.71</v>
      </c>
      <c r="F180" s="10">
        <v>19.100000000000001</v>
      </c>
      <c r="G180" s="10">
        <v>97.03</v>
      </c>
      <c r="H180" s="10">
        <v>687.29999999999905</v>
      </c>
      <c r="I180" s="10">
        <v>8.992E-2</v>
      </c>
      <c r="J180" s="10">
        <v>9.8229999999999901E-2</v>
      </c>
      <c r="K180" s="10">
        <v>5.9400000000000001E-2</v>
      </c>
      <c r="L180" s="10">
        <v>4.81899999999999E-2</v>
      </c>
      <c r="M180" s="10">
        <v>0.18790000000000001</v>
      </c>
      <c r="N180" s="10">
        <v>5.8520000000000003E-2</v>
      </c>
      <c r="O180" s="10">
        <v>0.28770000000000001</v>
      </c>
      <c r="P180" s="10">
        <v>0.94799999999999895</v>
      </c>
      <c r="Q180" s="10">
        <v>2.17099999999999</v>
      </c>
      <c r="R180" s="10">
        <v>24.87</v>
      </c>
      <c r="S180" s="10">
        <v>5.3319999999999904E-3</v>
      </c>
      <c r="T180" s="10">
        <v>2.1149999999999902E-2</v>
      </c>
      <c r="U180" s="10">
        <v>1.536E-2</v>
      </c>
      <c r="V180" s="10">
        <v>1.187E-2</v>
      </c>
      <c r="W180" s="10">
        <v>1.52199999999999E-2</v>
      </c>
      <c r="X180" s="10">
        <v>2.8149999999999898E-3</v>
      </c>
      <c r="Y180" s="10">
        <v>16.25</v>
      </c>
      <c r="Z180" s="10">
        <v>26.19</v>
      </c>
      <c r="AA180" s="10">
        <v>109.099999999999</v>
      </c>
      <c r="AB180" s="10">
        <v>809.79999999999905</v>
      </c>
      <c r="AC180" s="10">
        <v>0.1313</v>
      </c>
      <c r="AD180" s="10">
        <v>0.30299999999999899</v>
      </c>
      <c r="AE180" s="10">
        <v>0.1804</v>
      </c>
      <c r="AF180" s="10">
        <v>0.1489</v>
      </c>
      <c r="AG180" s="10">
        <v>0.29620000000000002</v>
      </c>
      <c r="AH180">
        <v>8.4720000000000004E-2</v>
      </c>
    </row>
    <row r="181" spans="3:34">
      <c r="C181" s="11" t="s">
        <v>433</v>
      </c>
      <c r="D181" s="10" t="s">
        <v>1</v>
      </c>
      <c r="E181" s="10">
        <v>13.71</v>
      </c>
      <c r="F181" s="10">
        <v>17.46</v>
      </c>
      <c r="G181" s="10">
        <v>75.540000000000006</v>
      </c>
      <c r="H181" s="10">
        <v>432.69999999999902</v>
      </c>
      <c r="I181" s="10">
        <v>8.3720000000000003E-2</v>
      </c>
      <c r="J181" s="10">
        <v>5.6419999999999901E-2</v>
      </c>
      <c r="K181" s="10">
        <v>2.6880000000000001E-2</v>
      </c>
      <c r="L181" s="10">
        <v>2.2800000000000001E-2</v>
      </c>
      <c r="M181" s="10">
        <v>0.1875</v>
      </c>
      <c r="N181" s="10">
        <v>5.7149999999999902E-2</v>
      </c>
      <c r="O181" s="10">
        <v>0.20699999999999899</v>
      </c>
      <c r="P181" s="10">
        <v>1.238</v>
      </c>
      <c r="Q181" s="10">
        <v>1.234</v>
      </c>
      <c r="R181" s="10">
        <v>13.88</v>
      </c>
      <c r="S181" s="10">
        <v>7.5950000000000002E-3</v>
      </c>
      <c r="T181" s="10">
        <v>1.4999999999999901E-2</v>
      </c>
      <c r="U181" s="10">
        <v>1.4120000000000001E-2</v>
      </c>
      <c r="V181" s="10">
        <v>8.5780000000000006E-3</v>
      </c>
      <c r="W181" s="10">
        <v>1.7919999999999901E-2</v>
      </c>
      <c r="X181" s="10">
        <v>1.784E-3</v>
      </c>
      <c r="Y181" s="10">
        <v>13.06</v>
      </c>
      <c r="Z181" s="10">
        <v>25.75</v>
      </c>
      <c r="AA181" s="10">
        <v>84.349999999999895</v>
      </c>
      <c r="AB181" s="10">
        <v>517.79999999999905</v>
      </c>
      <c r="AC181" s="10">
        <v>0.13689999999999899</v>
      </c>
      <c r="AD181" s="10">
        <v>0.17580000000000001</v>
      </c>
      <c r="AE181" s="10">
        <v>0.131599999999999</v>
      </c>
      <c r="AF181" s="10">
        <v>9.1399999999999898E-2</v>
      </c>
      <c r="AG181" s="10">
        <v>0.31009999999999899</v>
      </c>
      <c r="AH181">
        <v>7.0069999999999896E-2</v>
      </c>
    </row>
    <row r="182" spans="3:34">
      <c r="C182" s="11" t="s">
        <v>436</v>
      </c>
      <c r="D182" s="10" t="s">
        <v>1</v>
      </c>
      <c r="E182" s="10">
        <v>13.71</v>
      </c>
      <c r="F182" s="10">
        <v>12.35</v>
      </c>
      <c r="G182" s="10">
        <v>69.14</v>
      </c>
      <c r="H182" s="10">
        <v>363.69999999999902</v>
      </c>
      <c r="I182" s="10">
        <v>8.5180000000000006E-2</v>
      </c>
      <c r="J182" s="10">
        <v>4.7210000000000002E-2</v>
      </c>
      <c r="K182" s="10">
        <v>1.2359999999999901E-2</v>
      </c>
      <c r="L182" s="10">
        <v>1.3690000000000001E-2</v>
      </c>
      <c r="M182" s="10">
        <v>0.1449</v>
      </c>
      <c r="N182" s="10">
        <v>6.0310000000000002E-2</v>
      </c>
      <c r="O182" s="10">
        <v>0.17530000000000001</v>
      </c>
      <c r="P182" s="10">
        <v>1.0269999999999899</v>
      </c>
      <c r="Q182" s="10">
        <v>1.2669999999999899</v>
      </c>
      <c r="R182" s="10">
        <v>11.09</v>
      </c>
      <c r="S182" s="10">
        <v>3.4780000000000002E-3</v>
      </c>
      <c r="T182" s="10">
        <v>1.221E-2</v>
      </c>
      <c r="U182" s="10">
        <v>1.072E-2</v>
      </c>
      <c r="V182" s="10">
        <v>9.3930000000000003E-3</v>
      </c>
      <c r="W182" s="10">
        <v>2.9409999999999901E-2</v>
      </c>
      <c r="X182" s="10">
        <v>3.4280000000000001E-3</v>
      </c>
      <c r="Y182" s="10">
        <v>11.3699999999999</v>
      </c>
      <c r="Z182" s="10">
        <v>14.82</v>
      </c>
      <c r="AA182" s="10">
        <v>72.42</v>
      </c>
      <c r="AB182" s="10">
        <v>392.19999999999902</v>
      </c>
      <c r="AC182" s="10">
        <v>9.3119999999999897E-2</v>
      </c>
      <c r="AD182" s="10">
        <v>7.5060000000000002E-2</v>
      </c>
      <c r="AE182" s="10">
        <v>2.8840000000000001E-2</v>
      </c>
      <c r="AF182" s="10">
        <v>3.1940000000000003E-2</v>
      </c>
      <c r="AG182" s="10">
        <v>0.21429999999999899</v>
      </c>
      <c r="AH182">
        <v>6.6430000000000003E-2</v>
      </c>
    </row>
    <row r="183" spans="3:34">
      <c r="C183" s="11" t="s">
        <v>437</v>
      </c>
      <c r="D183" s="10" t="s">
        <v>0</v>
      </c>
      <c r="E183" s="10">
        <v>13.71</v>
      </c>
      <c r="F183" s="10">
        <v>18.14</v>
      </c>
      <c r="G183" s="10">
        <v>75</v>
      </c>
      <c r="H183" s="10">
        <v>431.1</v>
      </c>
      <c r="I183" s="10">
        <v>9.9680000000000005E-2</v>
      </c>
      <c r="J183" s="10">
        <v>5.9139999999999901E-2</v>
      </c>
      <c r="K183" s="10">
        <v>2.6849999999999902E-2</v>
      </c>
      <c r="L183" s="10">
        <v>3.5150000000000001E-2</v>
      </c>
      <c r="M183" s="10">
        <v>0.16189999999999899</v>
      </c>
      <c r="N183" s="10">
        <v>6.2869999999999898E-2</v>
      </c>
      <c r="O183" s="10">
        <v>0.64500000000000002</v>
      </c>
      <c r="P183" s="10">
        <v>2.105</v>
      </c>
      <c r="Q183" s="10">
        <v>4.1379999999999901</v>
      </c>
      <c r="R183" s="10">
        <v>49.1099999999999</v>
      </c>
      <c r="S183" s="10">
        <v>5.5960000000000003E-3</v>
      </c>
      <c r="T183" s="10">
        <v>1.005E-2</v>
      </c>
      <c r="U183" s="10">
        <v>1.272E-2</v>
      </c>
      <c r="V183" s="10">
        <v>1.4319999999999901E-2</v>
      </c>
      <c r="W183" s="10">
        <v>1.575E-2</v>
      </c>
      <c r="X183" s="10">
        <v>2.758E-3</v>
      </c>
      <c r="Y183" s="10">
        <v>13.3599999999999</v>
      </c>
      <c r="Z183" s="10">
        <v>23.39</v>
      </c>
      <c r="AA183" s="10">
        <v>85.099999999999895</v>
      </c>
      <c r="AB183" s="10">
        <v>553.6</v>
      </c>
      <c r="AC183" s="10">
        <v>0.1137</v>
      </c>
      <c r="AD183" s="10">
        <v>7.9740000000000005E-2</v>
      </c>
      <c r="AE183" s="10">
        <v>6.11999999999999E-2</v>
      </c>
      <c r="AF183" s="10">
        <v>7.15999999999999E-2</v>
      </c>
      <c r="AG183" s="10">
        <v>0.1978</v>
      </c>
      <c r="AH183">
        <v>6.9150000000000003E-2</v>
      </c>
    </row>
    <row r="184" spans="3:34">
      <c r="C184" s="11" t="s">
        <v>439</v>
      </c>
      <c r="D184" s="10" t="s">
        <v>1</v>
      </c>
      <c r="E184" s="10">
        <v>13.71</v>
      </c>
      <c r="F184" s="10">
        <v>23.09</v>
      </c>
      <c r="G184" s="10">
        <v>66.849999999999895</v>
      </c>
      <c r="H184" s="10">
        <v>334.19999999999902</v>
      </c>
      <c r="I184" s="10">
        <v>0.10150000000000001</v>
      </c>
      <c r="J184" s="10">
        <v>6.7970000000000003E-2</v>
      </c>
      <c r="K184" s="10">
        <v>2.495E-2</v>
      </c>
      <c r="L184" s="10">
        <v>1.8749999999999899E-2</v>
      </c>
      <c r="M184" s="10">
        <v>0.16950000000000001</v>
      </c>
      <c r="N184" s="10">
        <v>6.5559999999999896E-2</v>
      </c>
      <c r="O184" s="10">
        <v>0.2868</v>
      </c>
      <c r="P184" s="10">
        <v>1.143</v>
      </c>
      <c r="Q184" s="10">
        <v>2.2890000000000001</v>
      </c>
      <c r="R184" s="10">
        <v>20.559999999999899</v>
      </c>
      <c r="S184" s="10">
        <v>1.017E-2</v>
      </c>
      <c r="T184" s="10">
        <v>1.443E-2</v>
      </c>
      <c r="U184" s="10">
        <v>1.8610000000000002E-2</v>
      </c>
      <c r="V184" s="10">
        <v>1.2500000000000001E-2</v>
      </c>
      <c r="W184" s="10">
        <v>3.46399999999999E-2</v>
      </c>
      <c r="X184" s="10">
        <v>1.9710000000000001E-3</v>
      </c>
      <c r="Y184" s="10">
        <v>10.93</v>
      </c>
      <c r="Z184" s="10">
        <v>24.219999999999899</v>
      </c>
      <c r="AA184" s="10">
        <v>70.099999999999895</v>
      </c>
      <c r="AB184" s="10">
        <v>362.69999999999902</v>
      </c>
      <c r="AC184" s="10">
        <v>0.1143</v>
      </c>
      <c r="AD184" s="10">
        <v>8.6139999999999897E-2</v>
      </c>
      <c r="AE184" s="10">
        <v>4.1579999999999902E-2</v>
      </c>
      <c r="AF184" s="10">
        <v>3.125E-2</v>
      </c>
      <c r="AG184" s="10">
        <v>0.22270000000000001</v>
      </c>
      <c r="AH184">
        <v>6.77699999999999E-2</v>
      </c>
    </row>
    <row r="185" spans="3:34">
      <c r="C185" s="11" t="s">
        <v>441</v>
      </c>
      <c r="D185" s="10" t="s">
        <v>1</v>
      </c>
      <c r="E185" s="10">
        <v>13.71</v>
      </c>
      <c r="F185" s="10">
        <v>19.89</v>
      </c>
      <c r="G185" s="10">
        <v>80.430000000000007</v>
      </c>
      <c r="H185" s="10">
        <v>471.3</v>
      </c>
      <c r="I185" s="10">
        <v>8.4510000000000002E-2</v>
      </c>
      <c r="J185" s="10">
        <v>0.1014</v>
      </c>
      <c r="K185" s="10">
        <v>6.83E-2</v>
      </c>
      <c r="L185" s="10">
        <v>3.099E-2</v>
      </c>
      <c r="M185" s="10">
        <v>0.17810000000000001</v>
      </c>
      <c r="N185" s="10">
        <v>6.24899999999999E-2</v>
      </c>
      <c r="O185" s="10">
        <v>0.36420000000000002</v>
      </c>
      <c r="P185" s="10">
        <v>1.04</v>
      </c>
      <c r="Q185" s="10">
        <v>2.5790000000000002</v>
      </c>
      <c r="R185" s="10">
        <v>28.32</v>
      </c>
      <c r="S185" s="10">
        <v>6.5300000000000002E-3</v>
      </c>
      <c r="T185" s="10">
        <v>3.3689999999999901E-2</v>
      </c>
      <c r="U185" s="10">
        <v>4.7120000000000002E-2</v>
      </c>
      <c r="V185" s="10">
        <v>1.4030000000000001E-2</v>
      </c>
      <c r="W185" s="10">
        <v>2.7400000000000001E-2</v>
      </c>
      <c r="X185" s="10">
        <v>4.6509999999999902E-3</v>
      </c>
      <c r="Y185" s="10">
        <v>13.46</v>
      </c>
      <c r="Z185" s="10">
        <v>23.07</v>
      </c>
      <c r="AA185" s="10">
        <v>88.129999999999896</v>
      </c>
      <c r="AB185" s="10">
        <v>551.29999999999905</v>
      </c>
      <c r="AC185" s="10">
        <v>0.105</v>
      </c>
      <c r="AD185" s="10">
        <v>0.21579999999999899</v>
      </c>
      <c r="AE185" s="10">
        <v>0.19040000000000001</v>
      </c>
      <c r="AF185" s="10">
        <v>7.6249999999999901E-2</v>
      </c>
      <c r="AG185" s="10">
        <v>0.26850000000000002</v>
      </c>
      <c r="AH185">
        <v>7.7640000000000001E-2</v>
      </c>
    </row>
    <row r="186" spans="3:34">
      <c r="C186" s="11" t="s">
        <v>442</v>
      </c>
      <c r="D186" s="10" t="s">
        <v>0</v>
      </c>
      <c r="E186" s="10">
        <v>13.71</v>
      </c>
      <c r="F186" s="10">
        <v>23.8599999999999</v>
      </c>
      <c r="G186" s="10">
        <v>134.69999999999899</v>
      </c>
      <c r="H186" s="10">
        <v>1247</v>
      </c>
      <c r="I186" s="10">
        <v>0.108</v>
      </c>
      <c r="J186" s="10">
        <v>0.18379999999999899</v>
      </c>
      <c r="K186" s="10">
        <v>0.2283</v>
      </c>
      <c r="L186" s="10">
        <v>0.128</v>
      </c>
      <c r="M186" s="10">
        <v>0.22489999999999899</v>
      </c>
      <c r="N186" s="10">
        <v>7.4690000000000006E-2</v>
      </c>
      <c r="O186" s="10">
        <v>1.0720000000000001</v>
      </c>
      <c r="P186" s="10">
        <v>1.7430000000000001</v>
      </c>
      <c r="Q186" s="10">
        <v>7.8040000000000003</v>
      </c>
      <c r="R186" s="10">
        <v>130.80000000000001</v>
      </c>
      <c r="S186" s="10">
        <v>7.9640000000000006E-3</v>
      </c>
      <c r="T186" s="10">
        <v>4.7320000000000001E-2</v>
      </c>
      <c r="U186" s="10">
        <v>7.6490000000000002E-2</v>
      </c>
      <c r="V186" s="10">
        <v>1.9359999999999902E-2</v>
      </c>
      <c r="W186" s="10">
        <v>2.7359999999999898E-2</v>
      </c>
      <c r="X186" s="10">
        <v>5.9280000000000001E-3</v>
      </c>
      <c r="Y186" s="10">
        <v>23.68</v>
      </c>
      <c r="Z186" s="10">
        <v>29.43</v>
      </c>
      <c r="AA186" s="10">
        <v>158.80000000000001</v>
      </c>
      <c r="AB186" s="10">
        <v>1696</v>
      </c>
      <c r="AC186" s="10">
        <v>0.13469999999999899</v>
      </c>
      <c r="AD186" s="10">
        <v>0.33910000000000001</v>
      </c>
      <c r="AE186" s="10">
        <v>0.49320000000000003</v>
      </c>
      <c r="AF186" s="10">
        <v>0.1923</v>
      </c>
      <c r="AG186" s="10">
        <v>0.32940000000000003</v>
      </c>
      <c r="AH186">
        <v>9.4689999999999899E-2</v>
      </c>
    </row>
    <row r="187" spans="3:34">
      <c r="C187" s="11" t="s">
        <v>447</v>
      </c>
      <c r="D187" s="10" t="s">
        <v>1</v>
      </c>
      <c r="E187" s="10">
        <v>13.71</v>
      </c>
      <c r="F187" s="10">
        <v>14.4</v>
      </c>
      <c r="G187" s="10">
        <v>56.3599999999999</v>
      </c>
      <c r="H187" s="10">
        <v>246.3</v>
      </c>
      <c r="I187" s="10">
        <v>7.0050000000000001E-2</v>
      </c>
      <c r="J187" s="10">
        <v>3.116E-2</v>
      </c>
      <c r="K187" s="10">
        <v>3.6809999999999898E-3</v>
      </c>
      <c r="L187" s="10">
        <v>3.4719999999999899E-3</v>
      </c>
      <c r="M187" s="10">
        <v>0.17879999999999899</v>
      </c>
      <c r="N187" s="10">
        <v>6.8330000000000002E-2</v>
      </c>
      <c r="O187" s="10">
        <v>0.17460000000000001</v>
      </c>
      <c r="P187" s="10">
        <v>1.3049999999999899</v>
      </c>
      <c r="Q187" s="10">
        <v>1.1439999999999899</v>
      </c>
      <c r="R187" s="10">
        <v>9.7889999999999908</v>
      </c>
      <c r="S187" s="10">
        <v>7.3889999999999902E-3</v>
      </c>
      <c r="T187" s="10">
        <v>4.8830000000000002E-3</v>
      </c>
      <c r="U187" s="10">
        <v>3.6809999999999898E-3</v>
      </c>
      <c r="V187" s="10">
        <v>3.4719999999999899E-3</v>
      </c>
      <c r="W187" s="10">
        <v>2.7009999999999899E-2</v>
      </c>
      <c r="X187" s="10">
        <v>2.153E-3</v>
      </c>
      <c r="Y187" s="10">
        <v>9.6989999999999892</v>
      </c>
      <c r="Z187" s="10">
        <v>20.07</v>
      </c>
      <c r="AA187" s="10">
        <v>60.899999999999899</v>
      </c>
      <c r="AB187" s="10">
        <v>285.5</v>
      </c>
      <c r="AC187" s="10">
        <v>9.8610000000000003E-2</v>
      </c>
      <c r="AD187" s="10">
        <v>5.2319999999999901E-2</v>
      </c>
      <c r="AE187" s="10">
        <v>1.472E-2</v>
      </c>
      <c r="AF187" s="10">
        <v>1.389E-2</v>
      </c>
      <c r="AG187" s="10">
        <v>0.29909999999999898</v>
      </c>
      <c r="AH187">
        <v>7.8039999999999901E-2</v>
      </c>
    </row>
    <row r="188" spans="3:34">
      <c r="C188" s="11" t="s">
        <v>450</v>
      </c>
      <c r="D188" s="10" t="s">
        <v>1</v>
      </c>
      <c r="E188" s="10">
        <v>13.71</v>
      </c>
      <c r="F188" s="10">
        <v>19.1099999999999</v>
      </c>
      <c r="G188" s="10">
        <v>74.329999999999899</v>
      </c>
      <c r="H188" s="10">
        <v>418.69999999999902</v>
      </c>
      <c r="I188" s="10">
        <v>8.8139999999999899E-2</v>
      </c>
      <c r="J188" s="10">
        <v>5.253E-2</v>
      </c>
      <c r="K188" s="10">
        <v>1.583E-2</v>
      </c>
      <c r="L188" s="10">
        <v>1.1480000000000001E-2</v>
      </c>
      <c r="M188" s="10">
        <v>0.193599999999999</v>
      </c>
      <c r="N188" s="10">
        <v>6.1280000000000001E-2</v>
      </c>
      <c r="O188" s="10">
        <v>0.16009999999999899</v>
      </c>
      <c r="P188" s="10">
        <v>1.4299999999999899</v>
      </c>
      <c r="Q188" s="10">
        <v>1.109</v>
      </c>
      <c r="R188" s="10">
        <v>11.2799999999999</v>
      </c>
      <c r="S188" s="10">
        <v>6.0639999999999904E-3</v>
      </c>
      <c r="T188" s="10">
        <v>9.11E-3</v>
      </c>
      <c r="U188" s="10">
        <v>1.042E-2</v>
      </c>
      <c r="V188" s="10">
        <v>7.6379999999999903E-3</v>
      </c>
      <c r="W188" s="10">
        <v>2.349E-2</v>
      </c>
      <c r="X188" s="10">
        <v>1.66099999999999E-3</v>
      </c>
      <c r="Y188" s="10">
        <v>12.6099999999999</v>
      </c>
      <c r="Z188" s="10">
        <v>26.55</v>
      </c>
      <c r="AA188" s="10">
        <v>80.92</v>
      </c>
      <c r="AB188" s="10">
        <v>483.1</v>
      </c>
      <c r="AC188" s="10">
        <v>0.12230000000000001</v>
      </c>
      <c r="AD188" s="10">
        <v>0.1087</v>
      </c>
      <c r="AE188" s="10">
        <v>7.9149999999999901E-2</v>
      </c>
      <c r="AF188" s="10">
        <v>5.7410000000000003E-2</v>
      </c>
      <c r="AG188" s="10">
        <v>0.34870000000000001</v>
      </c>
      <c r="AH188">
        <v>6.9580000000000003E-2</v>
      </c>
    </row>
    <row r="189" spans="3:34">
      <c r="C189" s="11" t="s">
        <v>454</v>
      </c>
      <c r="D189" s="10" t="s">
        <v>1</v>
      </c>
      <c r="E189" s="10">
        <v>13.71</v>
      </c>
      <c r="F189" s="10">
        <v>18.600000000000001</v>
      </c>
      <c r="G189" s="10">
        <v>54.09</v>
      </c>
      <c r="H189" s="10">
        <v>221.19999999999899</v>
      </c>
      <c r="I189" s="10">
        <v>0.1074</v>
      </c>
      <c r="J189" s="10">
        <v>5.8470000000000001E-2</v>
      </c>
      <c r="K189" s="10">
        <v>0</v>
      </c>
      <c r="L189" s="10">
        <v>0</v>
      </c>
      <c r="M189" s="10">
        <v>0.21629999999999899</v>
      </c>
      <c r="N189" s="10">
        <v>7.3590000000000003E-2</v>
      </c>
      <c r="O189" s="10">
        <v>0.33679999999999899</v>
      </c>
      <c r="P189" s="10">
        <v>2.7770000000000001</v>
      </c>
      <c r="Q189" s="10">
        <v>2.222</v>
      </c>
      <c r="R189" s="10">
        <v>17.809999999999899</v>
      </c>
      <c r="S189" s="10">
        <v>2.0750000000000001E-2</v>
      </c>
      <c r="T189" s="10">
        <v>1.4030000000000001E-2</v>
      </c>
      <c r="U189" s="10">
        <v>0</v>
      </c>
      <c r="V189" s="10">
        <v>0</v>
      </c>
      <c r="W189" s="10">
        <v>6.1460000000000001E-2</v>
      </c>
      <c r="X189" s="10">
        <v>6.8199999999999901E-3</v>
      </c>
      <c r="Y189" s="10">
        <v>8.952</v>
      </c>
      <c r="Z189" s="10">
        <v>22.44</v>
      </c>
      <c r="AA189" s="10">
        <v>56.649999999999899</v>
      </c>
      <c r="AB189" s="10">
        <v>240.099999999999</v>
      </c>
      <c r="AC189" s="10">
        <v>0.13469999999999899</v>
      </c>
      <c r="AD189" s="10">
        <v>7.7670000000000003E-2</v>
      </c>
      <c r="AE189" s="10">
        <v>0</v>
      </c>
      <c r="AF189" s="10">
        <v>0</v>
      </c>
      <c r="AG189" s="10">
        <v>0.31419999999999898</v>
      </c>
      <c r="AH189">
        <v>8.1159999999999899E-2</v>
      </c>
    </row>
    <row r="190" spans="3:34">
      <c r="C190" s="11" t="s">
        <v>455</v>
      </c>
      <c r="D190" s="10" t="s">
        <v>1</v>
      </c>
      <c r="E190" s="10">
        <v>13.71</v>
      </c>
      <c r="F190" s="10">
        <v>16.850000000000001</v>
      </c>
      <c r="G190" s="10">
        <v>79.189999999999898</v>
      </c>
      <c r="H190" s="10">
        <v>481.6</v>
      </c>
      <c r="I190" s="10">
        <v>8.5110000000000005E-2</v>
      </c>
      <c r="J190" s="10">
        <v>3.8339999999999902E-2</v>
      </c>
      <c r="K190" s="10">
        <v>4.4730000000000004E-3</v>
      </c>
      <c r="L190" s="10">
        <v>6.4229999999999903E-3</v>
      </c>
      <c r="M190" s="10">
        <v>0.1215</v>
      </c>
      <c r="N190" s="10">
        <v>5.6730000000000003E-2</v>
      </c>
      <c r="O190" s="10">
        <v>0.1716</v>
      </c>
      <c r="P190" s="10">
        <v>0.71509999999999896</v>
      </c>
      <c r="Q190" s="10">
        <v>1.0469999999999899</v>
      </c>
      <c r="R190" s="10">
        <v>12.69</v>
      </c>
      <c r="S190" s="10">
        <v>4.9280000000000001E-3</v>
      </c>
      <c r="T190" s="10">
        <v>3.0119999999999899E-3</v>
      </c>
      <c r="U190" s="10">
        <v>2.61999999999999E-3</v>
      </c>
      <c r="V190" s="10">
        <v>3.3899999999999898E-3</v>
      </c>
      <c r="W190" s="10">
        <v>1.393E-2</v>
      </c>
      <c r="X190" s="10">
        <v>1.34399999999999E-3</v>
      </c>
      <c r="Y190" s="10">
        <v>13.34</v>
      </c>
      <c r="Z190" s="10">
        <v>19.71</v>
      </c>
      <c r="AA190" s="10">
        <v>84.48</v>
      </c>
      <c r="AB190" s="10">
        <v>544.20000000000005</v>
      </c>
      <c r="AC190" s="10">
        <v>0.1104</v>
      </c>
      <c r="AD190" s="10">
        <v>4.95299999999999E-2</v>
      </c>
      <c r="AE190" s="10">
        <v>1.9380000000000001E-2</v>
      </c>
      <c r="AF190" s="10">
        <v>2.784E-2</v>
      </c>
      <c r="AG190" s="10">
        <v>0.19170000000000001</v>
      </c>
      <c r="AH190">
        <v>6.1740000000000003E-2</v>
      </c>
    </row>
    <row r="191" spans="3:34">
      <c r="C191" s="11" t="s">
        <v>456</v>
      </c>
      <c r="D191" s="10" t="s">
        <v>1</v>
      </c>
      <c r="E191" s="10">
        <v>13.71</v>
      </c>
      <c r="F191" s="10">
        <v>14.08</v>
      </c>
      <c r="G191" s="10">
        <v>77.25</v>
      </c>
      <c r="H191" s="10">
        <v>461.39999999999901</v>
      </c>
      <c r="I191" s="10">
        <v>7.7340000000000006E-2</v>
      </c>
      <c r="J191" s="10">
        <v>3.2120000000000003E-2</v>
      </c>
      <c r="K191" s="10">
        <v>1.123E-2</v>
      </c>
      <c r="L191" s="10">
        <v>5.0509999999999904E-3</v>
      </c>
      <c r="M191" s="10">
        <v>0.1673</v>
      </c>
      <c r="N191" s="10">
        <v>5.6489999999999901E-2</v>
      </c>
      <c r="O191" s="10">
        <v>0.21129999999999899</v>
      </c>
      <c r="P191" s="10">
        <v>0.59960000000000002</v>
      </c>
      <c r="Q191" s="10">
        <v>1.43799999999999</v>
      </c>
      <c r="R191" s="10">
        <v>15.82</v>
      </c>
      <c r="S191" s="10">
        <v>5.3429999999999901E-3</v>
      </c>
      <c r="T191" s="10">
        <v>5.7670000000000004E-3</v>
      </c>
      <c r="U191" s="10">
        <v>1.123E-2</v>
      </c>
      <c r="V191" s="10">
        <v>5.0509999999999904E-3</v>
      </c>
      <c r="W191" s="10">
        <v>1.9769999999999899E-2</v>
      </c>
      <c r="X191" s="10">
        <v>9.502E-4</v>
      </c>
      <c r="Y191" s="10">
        <v>12.85</v>
      </c>
      <c r="Z191" s="10">
        <v>16.469999999999899</v>
      </c>
      <c r="AA191" s="10">
        <v>81.599999999999895</v>
      </c>
      <c r="AB191" s="10">
        <v>513.1</v>
      </c>
      <c r="AC191" s="10">
        <v>0.100099999999999</v>
      </c>
      <c r="AD191" s="10">
        <v>5.3319999999999902E-2</v>
      </c>
      <c r="AE191" s="10">
        <v>4.1160000000000002E-2</v>
      </c>
      <c r="AF191" s="10">
        <v>1.8519999999999901E-2</v>
      </c>
      <c r="AG191" s="10">
        <v>0.2293</v>
      </c>
      <c r="AH191">
        <v>6.037E-2</v>
      </c>
    </row>
    <row r="192" spans="3:34">
      <c r="C192" s="11" t="s">
        <v>459</v>
      </c>
      <c r="D192" s="10" t="s">
        <v>1</v>
      </c>
      <c r="E192" s="10">
        <v>13.71</v>
      </c>
      <c r="F192" s="10">
        <v>17</v>
      </c>
      <c r="G192" s="10">
        <v>78.599999999999895</v>
      </c>
      <c r="H192" s="10">
        <v>477.3</v>
      </c>
      <c r="I192" s="10">
        <v>7.5569999999999901E-2</v>
      </c>
      <c r="J192" s="10">
        <v>3.4540000000000001E-2</v>
      </c>
      <c r="K192" s="10">
        <v>1.342E-2</v>
      </c>
      <c r="L192" s="10">
        <v>1.6990000000000002E-2</v>
      </c>
      <c r="M192" s="10">
        <v>0.1472</v>
      </c>
      <c r="N192" s="10">
        <v>5.561E-2</v>
      </c>
      <c r="O192" s="10">
        <v>0.37780000000000002</v>
      </c>
      <c r="P192" s="10">
        <v>2.2000000000000002</v>
      </c>
      <c r="Q192" s="10">
        <v>2.4870000000000001</v>
      </c>
      <c r="R192" s="10">
        <v>31.16</v>
      </c>
      <c r="S192" s="10">
        <v>7.3569999999999903E-3</v>
      </c>
      <c r="T192" s="10">
        <v>1.07899999999999E-2</v>
      </c>
      <c r="U192" s="10">
        <v>9.9590000000000008E-3</v>
      </c>
      <c r="V192" s="10">
        <v>1.12E-2</v>
      </c>
      <c r="W192" s="10">
        <v>3.4329999999999902E-2</v>
      </c>
      <c r="X192" s="10">
        <v>2.9610000000000001E-3</v>
      </c>
      <c r="Y192" s="10">
        <v>12.9</v>
      </c>
      <c r="Z192" s="10">
        <v>20.21</v>
      </c>
      <c r="AA192" s="10">
        <v>81.760000000000005</v>
      </c>
      <c r="AB192" s="10">
        <v>515.89999999999895</v>
      </c>
      <c r="AC192" s="10">
        <v>8.4089999999999901E-2</v>
      </c>
      <c r="AD192" s="10">
        <v>4.7120000000000002E-2</v>
      </c>
      <c r="AE192" s="10">
        <v>2.2370000000000001E-2</v>
      </c>
      <c r="AF192" s="10">
        <v>2.8320000000000001E-2</v>
      </c>
      <c r="AG192" s="10">
        <v>0.19009999999999899</v>
      </c>
      <c r="AH192">
        <v>5.9319999999999901E-2</v>
      </c>
    </row>
    <row r="193" spans="3:34">
      <c r="C193" s="11" t="s">
        <v>460</v>
      </c>
      <c r="D193" s="10" t="s">
        <v>1</v>
      </c>
      <c r="E193" s="10">
        <v>13.71</v>
      </c>
      <c r="F193" s="10">
        <v>16.18</v>
      </c>
      <c r="G193" s="10">
        <v>66.519999999999897</v>
      </c>
      <c r="H193" s="10">
        <v>324.19999999999902</v>
      </c>
      <c r="I193" s="10">
        <v>0.1061</v>
      </c>
      <c r="J193" s="10">
        <v>0.1111</v>
      </c>
      <c r="K193" s="10">
        <v>6.726E-2</v>
      </c>
      <c r="L193" s="10">
        <v>3.9649999999999901E-2</v>
      </c>
      <c r="M193" s="10">
        <v>0.17430000000000001</v>
      </c>
      <c r="N193" s="10">
        <v>7.2789999999999896E-2</v>
      </c>
      <c r="O193" s="10">
        <v>0.36770000000000003</v>
      </c>
      <c r="P193" s="10">
        <v>1.4710000000000001</v>
      </c>
      <c r="Q193" s="10">
        <v>1.597</v>
      </c>
      <c r="R193" s="10">
        <v>22.68</v>
      </c>
      <c r="S193" s="10">
        <v>1.04899999999999E-2</v>
      </c>
      <c r="T193" s="10">
        <v>4.265E-2</v>
      </c>
      <c r="U193" s="10">
        <v>4.0039999999999902E-2</v>
      </c>
      <c r="V193" s="10">
        <v>1.5440000000000001E-2</v>
      </c>
      <c r="W193" s="10">
        <v>2.7189999999999898E-2</v>
      </c>
      <c r="X193" s="10">
        <v>7.5960000000000003E-3</v>
      </c>
      <c r="Y193" s="10">
        <v>11.2799999999999</v>
      </c>
      <c r="Z193" s="10">
        <v>20.6099999999999</v>
      </c>
      <c r="AA193" s="10">
        <v>71.53</v>
      </c>
      <c r="AB193" s="10">
        <v>390.39999999999901</v>
      </c>
      <c r="AC193" s="10">
        <v>0.14019999999999899</v>
      </c>
      <c r="AD193" s="10">
        <v>0.23599999999999899</v>
      </c>
      <c r="AE193" s="10">
        <v>0.1898</v>
      </c>
      <c r="AF193" s="10">
        <v>9.7439999999999902E-2</v>
      </c>
      <c r="AG193" s="10">
        <v>0.26079999999999898</v>
      </c>
      <c r="AH193">
        <v>9.7019999999999898E-2</v>
      </c>
    </row>
    <row r="194" spans="3:34">
      <c r="C194" s="11" t="s">
        <v>461</v>
      </c>
      <c r="D194" s="10" t="s">
        <v>0</v>
      </c>
      <c r="E194" s="10">
        <v>13.71</v>
      </c>
      <c r="F194" s="10">
        <v>19.66</v>
      </c>
      <c r="G194" s="10">
        <v>131.099999999999</v>
      </c>
      <c r="H194" s="10">
        <v>1274</v>
      </c>
      <c r="I194" s="10">
        <v>8.0199999999999896E-2</v>
      </c>
      <c r="J194" s="10">
        <v>8.5639999999999897E-2</v>
      </c>
      <c r="K194" s="10">
        <v>0.11550000000000001</v>
      </c>
      <c r="L194" s="10">
        <v>7.7259999999999898E-2</v>
      </c>
      <c r="M194" s="10">
        <v>0.1928</v>
      </c>
      <c r="N194" s="10">
        <v>5.0959999999999901E-2</v>
      </c>
      <c r="O194" s="10">
        <v>0.59250000000000003</v>
      </c>
      <c r="P194" s="10">
        <v>0.68630000000000002</v>
      </c>
      <c r="Q194" s="10">
        <v>3.8679999999999901</v>
      </c>
      <c r="R194" s="10">
        <v>74.849999999999895</v>
      </c>
      <c r="S194" s="10">
        <v>4.5360000000000001E-3</v>
      </c>
      <c r="T194" s="10">
        <v>1.376E-2</v>
      </c>
      <c r="U194" s="10">
        <v>2.6450000000000001E-2</v>
      </c>
      <c r="V194" s="10">
        <v>1.247E-2</v>
      </c>
      <c r="W194" s="10">
        <v>2.1930000000000002E-2</v>
      </c>
      <c r="X194" s="10">
        <v>1.5889999999999899E-3</v>
      </c>
      <c r="Y194" s="10">
        <v>23.059999999999899</v>
      </c>
      <c r="Z194" s="10">
        <v>23.03</v>
      </c>
      <c r="AA194" s="10">
        <v>150.19999999999899</v>
      </c>
      <c r="AB194" s="10">
        <v>1657</v>
      </c>
      <c r="AC194" s="10">
        <v>0.10539999999999899</v>
      </c>
      <c r="AD194" s="10">
        <v>0.1537</v>
      </c>
      <c r="AE194" s="10">
        <v>0.2606</v>
      </c>
      <c r="AF194" s="10">
        <v>0.14249999999999899</v>
      </c>
      <c r="AG194" s="10">
        <v>0.30549999999999899</v>
      </c>
      <c r="AH194">
        <v>5.9330000000000001E-2</v>
      </c>
    </row>
    <row r="195" spans="3:34">
      <c r="C195" s="11" t="s">
        <v>462</v>
      </c>
      <c r="D195" s="10" t="s">
        <v>1</v>
      </c>
      <c r="E195" s="10">
        <v>13.71</v>
      </c>
      <c r="F195" s="10">
        <v>13.32</v>
      </c>
      <c r="G195" s="10">
        <v>82.819999999999894</v>
      </c>
      <c r="H195" s="10">
        <v>504.8</v>
      </c>
      <c r="I195" s="10">
        <v>0.1134</v>
      </c>
      <c r="J195" s="10">
        <v>8.8340000000000002E-2</v>
      </c>
      <c r="K195" s="10">
        <v>3.7999999999999902E-2</v>
      </c>
      <c r="L195" s="10">
        <v>3.4000000000000002E-2</v>
      </c>
      <c r="M195" s="10">
        <v>0.15429999999999899</v>
      </c>
      <c r="N195" s="10">
        <v>6.4759999999999901E-2</v>
      </c>
      <c r="O195" s="10">
        <v>0.22120000000000001</v>
      </c>
      <c r="P195" s="10">
        <v>1.042</v>
      </c>
      <c r="Q195" s="10">
        <v>1.6140000000000001</v>
      </c>
      <c r="R195" s="10">
        <v>16.57</v>
      </c>
      <c r="S195" s="10">
        <v>5.9100000000000003E-3</v>
      </c>
      <c r="T195" s="10">
        <v>2.0160000000000001E-2</v>
      </c>
      <c r="U195" s="10">
        <v>1.9019999999999902E-2</v>
      </c>
      <c r="V195" s="10">
        <v>1.01099999999999E-2</v>
      </c>
      <c r="W195" s="10">
        <v>1.2019999999999901E-2</v>
      </c>
      <c r="X195" s="10">
        <v>3.107E-3</v>
      </c>
      <c r="Y195" s="10">
        <v>14.0399999999999</v>
      </c>
      <c r="Z195" s="10">
        <v>21.079999999999899</v>
      </c>
      <c r="AA195" s="10">
        <v>92.799999999999898</v>
      </c>
      <c r="AB195" s="10">
        <v>599.5</v>
      </c>
      <c r="AC195" s="10">
        <v>0.1547</v>
      </c>
      <c r="AD195" s="10">
        <v>0.22309999999999899</v>
      </c>
      <c r="AE195" s="10">
        <v>0.17910000000000001</v>
      </c>
      <c r="AF195" s="10">
        <v>0.11550000000000001</v>
      </c>
      <c r="AG195" s="10">
        <v>0.2382</v>
      </c>
      <c r="AH195">
        <v>8.5529999999999898E-2</v>
      </c>
    </row>
    <row r="196" spans="3:34">
      <c r="C196" s="11" t="s">
        <v>463</v>
      </c>
      <c r="D196" s="10" t="s">
        <v>0</v>
      </c>
      <c r="E196" s="10">
        <v>13.71</v>
      </c>
      <c r="F196" s="10">
        <v>21.51</v>
      </c>
      <c r="G196" s="10">
        <v>135.9</v>
      </c>
      <c r="H196" s="10">
        <v>1264</v>
      </c>
      <c r="I196" s="10">
        <v>0.11700000000000001</v>
      </c>
      <c r="J196" s="10">
        <v>0.1875</v>
      </c>
      <c r="K196" s="10">
        <v>0.25650000000000001</v>
      </c>
      <c r="L196" s="10">
        <v>0.15040000000000001</v>
      </c>
      <c r="M196" s="10">
        <v>0.25690000000000002</v>
      </c>
      <c r="N196" s="10">
        <v>6.6699999999999898E-2</v>
      </c>
      <c r="O196" s="10">
        <v>0.57020000000000004</v>
      </c>
      <c r="P196" s="10">
        <v>1.0229999999999899</v>
      </c>
      <c r="Q196" s="10">
        <v>4.0119999999999898</v>
      </c>
      <c r="R196" s="10">
        <v>69.06</v>
      </c>
      <c r="S196" s="10">
        <v>5.4850000000000003E-3</v>
      </c>
      <c r="T196" s="10">
        <v>2.4309999999999901E-2</v>
      </c>
      <c r="U196" s="10">
        <v>3.1899999999999901E-2</v>
      </c>
      <c r="V196" s="10">
        <v>1.3690000000000001E-2</v>
      </c>
      <c r="W196" s="10">
        <v>2.768E-2</v>
      </c>
      <c r="X196" s="10">
        <v>3.3449999999999899E-3</v>
      </c>
      <c r="Y196" s="10">
        <v>25.3</v>
      </c>
      <c r="Z196" s="10">
        <v>31.8599999999999</v>
      </c>
      <c r="AA196" s="10">
        <v>171.099999999999</v>
      </c>
      <c r="AB196" s="10">
        <v>1938</v>
      </c>
      <c r="AC196" s="10">
        <v>0.15920000000000001</v>
      </c>
      <c r="AD196" s="10">
        <v>0.44919999999999899</v>
      </c>
      <c r="AE196" s="10">
        <v>0.53439999999999899</v>
      </c>
      <c r="AF196" s="10">
        <v>0.26850000000000002</v>
      </c>
      <c r="AG196" s="10">
        <v>0.55579999999999896</v>
      </c>
      <c r="AH196">
        <v>0.1024</v>
      </c>
    </row>
    <row r="197" spans="3:34">
      <c r="C197" s="11" t="s">
        <v>464</v>
      </c>
      <c r="D197" s="10" t="s">
        <v>1</v>
      </c>
      <c r="E197" s="10">
        <v>13.71</v>
      </c>
      <c r="F197" s="10">
        <v>15.21</v>
      </c>
      <c r="G197" s="10">
        <v>78.010000000000005</v>
      </c>
      <c r="H197" s="10">
        <v>457.89999999999901</v>
      </c>
      <c r="I197" s="10">
        <v>8.6730000000000002E-2</v>
      </c>
      <c r="J197" s="10">
        <v>6.5449999999999897E-2</v>
      </c>
      <c r="K197" s="10">
        <v>1.9939999999999899E-2</v>
      </c>
      <c r="L197" s="10">
        <v>1.6920000000000001E-2</v>
      </c>
      <c r="M197" s="10">
        <v>0.1638</v>
      </c>
      <c r="N197" s="10">
        <v>6.12899999999999E-2</v>
      </c>
      <c r="O197" s="10">
        <v>0.25750000000000001</v>
      </c>
      <c r="P197" s="10">
        <v>0.80730000000000002</v>
      </c>
      <c r="Q197" s="10">
        <v>1.9590000000000001</v>
      </c>
      <c r="R197" s="10">
        <v>19.010000000000002</v>
      </c>
      <c r="S197" s="10">
        <v>5.4029999999999903E-3</v>
      </c>
      <c r="T197" s="10">
        <v>1.418E-2</v>
      </c>
      <c r="U197" s="10">
        <v>1.051E-2</v>
      </c>
      <c r="V197" s="10">
        <v>5.1419999999999903E-3</v>
      </c>
      <c r="W197" s="10">
        <v>1.333E-2</v>
      </c>
      <c r="X197" s="10">
        <v>2.065E-3</v>
      </c>
      <c r="Y197" s="10">
        <v>13.75</v>
      </c>
      <c r="Z197" s="10">
        <v>21.3799999999999</v>
      </c>
      <c r="AA197" s="10">
        <v>91.1099999999999</v>
      </c>
      <c r="AB197" s="10">
        <v>583.1</v>
      </c>
      <c r="AC197" s="10">
        <v>0.12559999999999899</v>
      </c>
      <c r="AD197" s="10">
        <v>0.1928</v>
      </c>
      <c r="AE197" s="10">
        <v>0.1167</v>
      </c>
      <c r="AF197" s="10">
        <v>5.5559999999999901E-2</v>
      </c>
      <c r="AG197" s="10">
        <v>0.2661</v>
      </c>
      <c r="AH197">
        <v>7.961E-2</v>
      </c>
    </row>
    <row r="198" spans="3:34">
      <c r="C198" s="11" t="s">
        <v>466</v>
      </c>
      <c r="D198" s="10" t="s">
        <v>1</v>
      </c>
      <c r="E198" s="10">
        <v>13.71</v>
      </c>
      <c r="F198" s="10">
        <v>12.88</v>
      </c>
      <c r="G198" s="10">
        <v>90.03</v>
      </c>
      <c r="H198" s="10">
        <v>616.5</v>
      </c>
      <c r="I198" s="10">
        <v>9.3090000000000006E-2</v>
      </c>
      <c r="J198" s="10">
        <v>5.3060000000000003E-2</v>
      </c>
      <c r="K198" s="10">
        <v>1.7649999999999898E-2</v>
      </c>
      <c r="L198" s="10">
        <v>2.733E-2</v>
      </c>
      <c r="M198" s="10">
        <v>0.13730000000000001</v>
      </c>
      <c r="N198" s="10">
        <v>5.7000000000000002E-2</v>
      </c>
      <c r="O198" s="10">
        <v>0.2571</v>
      </c>
      <c r="P198" s="10">
        <v>1.081</v>
      </c>
      <c r="Q198" s="10">
        <v>1.5580000000000001</v>
      </c>
      <c r="R198" s="10">
        <v>23.92</v>
      </c>
      <c r="S198" s="10">
        <v>6.692E-3</v>
      </c>
      <c r="T198" s="10">
        <v>1.132E-2</v>
      </c>
      <c r="U198" s="10">
        <v>5.7169999999999903E-3</v>
      </c>
      <c r="V198" s="10">
        <v>6.6270000000000001E-3</v>
      </c>
      <c r="W198" s="10">
        <v>1.4160000000000001E-2</v>
      </c>
      <c r="X198" s="10">
        <v>2.4759999999999899E-3</v>
      </c>
      <c r="Y198" s="10">
        <v>15.5299999999999</v>
      </c>
      <c r="Z198" s="10">
        <v>18</v>
      </c>
      <c r="AA198" s="10">
        <v>98.4</v>
      </c>
      <c r="AB198" s="10">
        <v>749.89999999999895</v>
      </c>
      <c r="AC198" s="10">
        <v>0.12809999999999899</v>
      </c>
      <c r="AD198" s="10">
        <v>0.1109</v>
      </c>
      <c r="AE198" s="10">
        <v>5.3069999999999902E-2</v>
      </c>
      <c r="AF198" s="10">
        <v>5.8900000000000001E-2</v>
      </c>
      <c r="AG198" s="10">
        <v>0.20999999999999899</v>
      </c>
      <c r="AH198">
        <v>7.0830000000000004E-2</v>
      </c>
    </row>
    <row r="199" spans="3:34">
      <c r="C199" s="11" t="s">
        <v>468</v>
      </c>
      <c r="D199" s="10" t="s">
        <v>0</v>
      </c>
      <c r="E199" s="10">
        <v>13.71</v>
      </c>
      <c r="F199" s="10">
        <v>20.71</v>
      </c>
      <c r="G199" s="10">
        <v>106.9</v>
      </c>
      <c r="H199" s="10">
        <v>813.7</v>
      </c>
      <c r="I199" s="10">
        <v>0.1169</v>
      </c>
      <c r="J199" s="10">
        <v>0.13189999999999899</v>
      </c>
      <c r="K199" s="10">
        <v>0.14779999999999899</v>
      </c>
      <c r="L199" s="10">
        <v>8.48799999999999E-2</v>
      </c>
      <c r="M199" s="10">
        <v>0.1948</v>
      </c>
      <c r="N199" s="10">
        <v>6.2770000000000006E-2</v>
      </c>
      <c r="O199" s="10">
        <v>0.4375</v>
      </c>
      <c r="P199" s="10">
        <v>1.232</v>
      </c>
      <c r="Q199" s="10">
        <v>3.27</v>
      </c>
      <c r="R199" s="10">
        <v>44.409999999999897</v>
      </c>
      <c r="S199" s="10">
        <v>6.6969999999999903E-3</v>
      </c>
      <c r="T199" s="10">
        <v>2.0830000000000001E-2</v>
      </c>
      <c r="U199" s="10">
        <v>3.2480000000000002E-2</v>
      </c>
      <c r="V199" s="10">
        <v>1.392E-2</v>
      </c>
      <c r="W199" s="10">
        <v>1.536E-2</v>
      </c>
      <c r="X199" s="10">
        <v>2.7889999999999898E-3</v>
      </c>
      <c r="Y199" s="10">
        <v>19.28</v>
      </c>
      <c r="Z199" s="10">
        <v>30.3799999999999</v>
      </c>
      <c r="AA199" s="10">
        <v>129.80000000000001</v>
      </c>
      <c r="AB199" s="10">
        <v>1121</v>
      </c>
      <c r="AC199" s="10">
        <v>0.159</v>
      </c>
      <c r="AD199" s="10">
        <v>0.29470000000000002</v>
      </c>
      <c r="AE199" s="10">
        <v>0.35970000000000002</v>
      </c>
      <c r="AF199" s="10">
        <v>0.1583</v>
      </c>
      <c r="AG199" s="10">
        <v>0.31030000000000002</v>
      </c>
      <c r="AH199">
        <v>8.2000000000000003E-2</v>
      </c>
    </row>
    <row r="200" spans="3:34">
      <c r="C200" s="11" t="s">
        <v>471</v>
      </c>
      <c r="D200" s="10" t="s">
        <v>1</v>
      </c>
      <c r="E200" s="10">
        <v>13.71</v>
      </c>
      <c r="F200" s="10">
        <v>19.350000000000001</v>
      </c>
      <c r="G200" s="10">
        <v>84.519999999999897</v>
      </c>
      <c r="H200" s="10">
        <v>514</v>
      </c>
      <c r="I200" s="10">
        <v>9.579E-2</v>
      </c>
      <c r="J200" s="10">
        <v>0.1125</v>
      </c>
      <c r="K200" s="10">
        <v>7.1069999999999897E-2</v>
      </c>
      <c r="L200" s="10">
        <v>2.9499999999999901E-2</v>
      </c>
      <c r="M200" s="10">
        <v>0.17610000000000001</v>
      </c>
      <c r="N200" s="10">
        <v>6.54E-2</v>
      </c>
      <c r="O200" s="10">
        <v>0.26840000000000003</v>
      </c>
      <c r="P200" s="10">
        <v>0.56640000000000001</v>
      </c>
      <c r="Q200" s="10">
        <v>2.4649999999999901</v>
      </c>
      <c r="R200" s="10">
        <v>20.649999999999899</v>
      </c>
      <c r="S200" s="10">
        <v>5.7270000000000003E-3</v>
      </c>
      <c r="T200" s="10">
        <v>3.2550000000000003E-2</v>
      </c>
      <c r="U200" s="10">
        <v>4.39299999999999E-2</v>
      </c>
      <c r="V200" s="10">
        <v>9.8110000000000003E-3</v>
      </c>
      <c r="W200" s="10">
        <v>2.751E-2</v>
      </c>
      <c r="X200" s="10">
        <v>4.5719999999999901E-3</v>
      </c>
      <c r="Y200" s="10">
        <v>14.42</v>
      </c>
      <c r="Z200" s="10">
        <v>21.9499999999999</v>
      </c>
      <c r="AA200" s="10">
        <v>99.209999999999894</v>
      </c>
      <c r="AB200" s="10">
        <v>634.29999999999905</v>
      </c>
      <c r="AC200" s="10">
        <v>0.1288</v>
      </c>
      <c r="AD200" s="10">
        <v>0.32529999999999898</v>
      </c>
      <c r="AE200" s="10">
        <v>0.34389999999999898</v>
      </c>
      <c r="AF200" s="10">
        <v>9.8580000000000001E-2</v>
      </c>
      <c r="AG200" s="10">
        <v>0.35959999999999898</v>
      </c>
      <c r="AH200">
        <v>9.1660000000000005E-2</v>
      </c>
    </row>
    <row r="201" spans="3:34">
      <c r="C201" s="11" t="s">
        <v>473</v>
      </c>
      <c r="D201" s="10" t="s">
        <v>1</v>
      </c>
      <c r="E201" s="10">
        <v>13.71</v>
      </c>
      <c r="F201" s="10">
        <v>14.7799999999999</v>
      </c>
      <c r="G201" s="10">
        <v>71.379999999999896</v>
      </c>
      <c r="H201" s="10">
        <v>390</v>
      </c>
      <c r="I201" s="10">
        <v>8.3059999999999898E-2</v>
      </c>
      <c r="J201" s="10">
        <v>4.4580000000000002E-2</v>
      </c>
      <c r="K201" s="10">
        <v>9.73699999999999E-4</v>
      </c>
      <c r="L201" s="10">
        <v>2.941E-3</v>
      </c>
      <c r="M201" s="10">
        <v>0.17730000000000001</v>
      </c>
      <c r="N201" s="10">
        <v>6.0810000000000003E-2</v>
      </c>
      <c r="O201" s="10">
        <v>0.21440000000000001</v>
      </c>
      <c r="P201" s="10">
        <v>0.99609999999999899</v>
      </c>
      <c r="Q201" s="10">
        <v>1.5289999999999899</v>
      </c>
      <c r="R201" s="10">
        <v>15.07</v>
      </c>
      <c r="S201" s="10">
        <v>5.6169999999999901E-3</v>
      </c>
      <c r="T201" s="10">
        <v>7.1240000000000001E-3</v>
      </c>
      <c r="U201" s="10">
        <v>9.73699999999999E-4</v>
      </c>
      <c r="V201" s="10">
        <v>2.941E-3</v>
      </c>
      <c r="W201" s="10">
        <v>1.7000000000000001E-2</v>
      </c>
      <c r="X201" s="10">
        <v>2.0300000000000001E-3</v>
      </c>
      <c r="Y201" s="10">
        <v>12.76</v>
      </c>
      <c r="Z201" s="10">
        <v>22.059999999999899</v>
      </c>
      <c r="AA201" s="10">
        <v>82.079999999999899</v>
      </c>
      <c r="AB201" s="10">
        <v>492.69999999999902</v>
      </c>
      <c r="AC201" s="10">
        <v>0.1166</v>
      </c>
      <c r="AD201" s="10">
        <v>9.7939999999999902E-2</v>
      </c>
      <c r="AE201" s="10">
        <v>5.5180000000000003E-3</v>
      </c>
      <c r="AF201" s="10">
        <v>1.6670000000000001E-2</v>
      </c>
      <c r="AG201" s="10">
        <v>0.28149999999999897</v>
      </c>
      <c r="AH201">
        <v>7.4179999999999899E-2</v>
      </c>
    </row>
    <row r="202" spans="3:34">
      <c r="C202" s="11" t="s">
        <v>475</v>
      </c>
      <c r="D202" s="10" t="s">
        <v>0</v>
      </c>
      <c r="E202" s="10">
        <v>13.71</v>
      </c>
      <c r="F202" s="10">
        <v>21</v>
      </c>
      <c r="G202" s="10">
        <v>111.8</v>
      </c>
      <c r="H202" s="10">
        <v>918.6</v>
      </c>
      <c r="I202" s="10">
        <v>0.1119</v>
      </c>
      <c r="J202" s="10">
        <v>0.1056</v>
      </c>
      <c r="K202" s="10">
        <v>0.15079999999999899</v>
      </c>
      <c r="L202" s="10">
        <v>9.9339999999999901E-2</v>
      </c>
      <c r="M202" s="10">
        <v>0.17269999999999899</v>
      </c>
      <c r="N202" s="10">
        <v>6.071E-2</v>
      </c>
      <c r="O202" s="10">
        <v>0.81610000000000005</v>
      </c>
      <c r="P202" s="10">
        <v>2.129</v>
      </c>
      <c r="Q202" s="10">
        <v>6.0759999999999899</v>
      </c>
      <c r="R202" s="10">
        <v>87.17</v>
      </c>
      <c r="S202" s="10">
        <v>6.4549999999999903E-3</v>
      </c>
      <c r="T202" s="10">
        <v>1.797E-2</v>
      </c>
      <c r="U202" s="10">
        <v>4.50199999999999E-2</v>
      </c>
      <c r="V202" s="10">
        <v>1.7440000000000001E-2</v>
      </c>
      <c r="W202" s="10">
        <v>1.8290000000000001E-2</v>
      </c>
      <c r="X202" s="10">
        <v>3.7330000000000002E-3</v>
      </c>
      <c r="Y202" s="10">
        <v>20.989999999999899</v>
      </c>
      <c r="Z202" s="10">
        <v>33.149999999999899</v>
      </c>
      <c r="AA202" s="10">
        <v>143.19999999999899</v>
      </c>
      <c r="AB202" s="10">
        <v>1362</v>
      </c>
      <c r="AC202" s="10">
        <v>0.1449</v>
      </c>
      <c r="AD202" s="10">
        <v>0.20530000000000001</v>
      </c>
      <c r="AE202" s="10">
        <v>0.39200000000000002</v>
      </c>
      <c r="AF202" s="10">
        <v>0.1827</v>
      </c>
      <c r="AG202" s="10">
        <v>0.26229999999999898</v>
      </c>
      <c r="AH202">
        <v>7.5990000000000002E-2</v>
      </c>
    </row>
    <row r="203" spans="3:34">
      <c r="C203" s="11" t="s">
        <v>477</v>
      </c>
      <c r="D203" s="10" t="s">
        <v>0</v>
      </c>
      <c r="E203" s="10">
        <v>13.71</v>
      </c>
      <c r="F203" s="10">
        <v>21.43</v>
      </c>
      <c r="G203" s="10">
        <v>122.9</v>
      </c>
      <c r="H203" s="10">
        <v>1092</v>
      </c>
      <c r="I203" s="10">
        <v>9.1160000000000005E-2</v>
      </c>
      <c r="J203" s="10">
        <v>0.14019999999999899</v>
      </c>
      <c r="K203" s="10">
        <v>0.106</v>
      </c>
      <c r="L203" s="10">
        <v>6.0900000000000003E-2</v>
      </c>
      <c r="M203" s="10">
        <v>0.1953</v>
      </c>
      <c r="N203" s="10">
        <v>6.0830000000000002E-2</v>
      </c>
      <c r="O203" s="10">
        <v>0.64219999999999899</v>
      </c>
      <c r="P203" s="10">
        <v>1.53</v>
      </c>
      <c r="Q203" s="10">
        <v>4.36899999999999</v>
      </c>
      <c r="R203" s="10">
        <v>88.25</v>
      </c>
      <c r="S203" s="10">
        <v>7.548E-3</v>
      </c>
      <c r="T203" s="10">
        <v>3.8969999999999901E-2</v>
      </c>
      <c r="U203" s="10">
        <v>3.9140000000000001E-2</v>
      </c>
      <c r="V203" s="10">
        <v>1.8159999999999898E-2</v>
      </c>
      <c r="W203" s="10">
        <v>2.1680000000000001E-2</v>
      </c>
      <c r="X203" s="10">
        <v>4.4450000000000002E-3</v>
      </c>
      <c r="Y203" s="10">
        <v>24.5399999999999</v>
      </c>
      <c r="Z203" s="10">
        <v>34.369999999999898</v>
      </c>
      <c r="AA203" s="10">
        <v>161.099999999999</v>
      </c>
      <c r="AB203" s="10">
        <v>1873</v>
      </c>
      <c r="AC203" s="10">
        <v>0.14979999999999899</v>
      </c>
      <c r="AD203" s="10">
        <v>0.48270000000000002</v>
      </c>
      <c r="AE203" s="10">
        <v>0.46339999999999898</v>
      </c>
      <c r="AF203" s="10">
        <v>0.20480000000000001</v>
      </c>
      <c r="AG203" s="10">
        <v>0.3679</v>
      </c>
      <c r="AH203">
        <v>9.8699999999999899E-2</v>
      </c>
    </row>
    <row r="204" spans="3:34">
      <c r="C204" s="11" t="s">
        <v>479</v>
      </c>
      <c r="D204" s="10" t="s">
        <v>0</v>
      </c>
      <c r="E204" s="10">
        <v>13.71</v>
      </c>
      <c r="F204" s="10">
        <v>24.27</v>
      </c>
      <c r="G204" s="10">
        <v>155.099999999999</v>
      </c>
      <c r="H204" s="10">
        <v>1747</v>
      </c>
      <c r="I204" s="10">
        <v>0.1069</v>
      </c>
      <c r="J204" s="10">
        <v>0.1283</v>
      </c>
      <c r="K204" s="10">
        <v>0.23080000000000001</v>
      </c>
      <c r="L204" s="10">
        <v>0.14099999999999899</v>
      </c>
      <c r="M204" s="10">
        <v>0.1797</v>
      </c>
      <c r="N204" s="10">
        <v>5.5059999999999901E-2</v>
      </c>
      <c r="O204" s="10">
        <v>1.0089999999999899</v>
      </c>
      <c r="P204" s="10">
        <v>0.92449999999999899</v>
      </c>
      <c r="Q204" s="10">
        <v>6.46199999999999</v>
      </c>
      <c r="R204" s="10">
        <v>164.099999999999</v>
      </c>
      <c r="S204" s="10">
        <v>6.2919999999999903E-3</v>
      </c>
      <c r="T204" s="10">
        <v>1.9709999999999901E-2</v>
      </c>
      <c r="U204" s="10">
        <v>3.5819999999999901E-2</v>
      </c>
      <c r="V204" s="10">
        <v>1.3010000000000001E-2</v>
      </c>
      <c r="W204" s="10">
        <v>1.47899999999999E-2</v>
      </c>
      <c r="X204" s="10">
        <v>3.1180000000000001E-3</v>
      </c>
      <c r="Y204" s="10">
        <v>30.67</v>
      </c>
      <c r="Z204" s="10">
        <v>30.73</v>
      </c>
      <c r="AA204" s="10">
        <v>202.4</v>
      </c>
      <c r="AB204" s="10">
        <v>2906</v>
      </c>
      <c r="AC204" s="10">
        <v>0.1515</v>
      </c>
      <c r="AD204" s="10">
        <v>0.26779999999999898</v>
      </c>
      <c r="AE204" s="10">
        <v>0.4819</v>
      </c>
      <c r="AF204" s="10">
        <v>0.2089</v>
      </c>
      <c r="AG204" s="10">
        <v>0.25929999999999898</v>
      </c>
      <c r="AH204">
        <v>7.7380000000000004E-2</v>
      </c>
    </row>
    <row r="205" spans="3:34">
      <c r="C205" s="11" t="s">
        <v>481</v>
      </c>
      <c r="D205" s="10" t="s">
        <v>1</v>
      </c>
      <c r="E205" s="10">
        <v>13.71</v>
      </c>
      <c r="F205" s="10">
        <v>16.84</v>
      </c>
      <c r="G205" s="10">
        <v>61.64</v>
      </c>
      <c r="H205" s="10">
        <v>280.5</v>
      </c>
      <c r="I205" s="10">
        <v>8.4809999999999899E-2</v>
      </c>
      <c r="J205" s="10">
        <v>9.2280000000000001E-2</v>
      </c>
      <c r="K205" s="10">
        <v>8.4220000000000003E-2</v>
      </c>
      <c r="L205" s="10">
        <v>2.2919999999999899E-2</v>
      </c>
      <c r="M205" s="10">
        <v>0.2036</v>
      </c>
      <c r="N205" s="10">
        <v>7.1249999999999897E-2</v>
      </c>
      <c r="O205" s="10">
        <v>0.18440000000000001</v>
      </c>
      <c r="P205" s="10">
        <v>0.94289999999999896</v>
      </c>
      <c r="Q205" s="10">
        <v>1.429</v>
      </c>
      <c r="R205" s="10">
        <v>12.07</v>
      </c>
      <c r="S205" s="10">
        <v>5.9540000000000001E-3</v>
      </c>
      <c r="T205" s="10">
        <v>3.4709999999999901E-2</v>
      </c>
      <c r="U205" s="10">
        <v>5.0279999999999901E-2</v>
      </c>
      <c r="V205" s="10">
        <v>8.5100000000000002E-3</v>
      </c>
      <c r="W205" s="10">
        <v>1.7500000000000002E-2</v>
      </c>
      <c r="X205" s="10">
        <v>4.0309999999999903E-3</v>
      </c>
      <c r="Y205" s="10">
        <v>10.75</v>
      </c>
      <c r="Z205" s="10">
        <v>23.07</v>
      </c>
      <c r="AA205" s="10">
        <v>71.25</v>
      </c>
      <c r="AB205" s="10">
        <v>353.6</v>
      </c>
      <c r="AC205" s="10">
        <v>0.12330000000000001</v>
      </c>
      <c r="AD205" s="10">
        <v>0.34160000000000001</v>
      </c>
      <c r="AE205" s="10">
        <v>0.43409999999999899</v>
      </c>
      <c r="AF205" s="10">
        <v>8.1199999999999897E-2</v>
      </c>
      <c r="AG205" s="10">
        <v>0.29820000000000002</v>
      </c>
      <c r="AH205">
        <v>9.8250000000000004E-2</v>
      </c>
    </row>
    <row r="206" spans="3:34">
      <c r="C206" s="11" t="s">
        <v>482</v>
      </c>
      <c r="D206" s="10" t="s">
        <v>1</v>
      </c>
      <c r="E206" s="10">
        <v>13.71</v>
      </c>
      <c r="F206" s="10">
        <v>14.96</v>
      </c>
      <c r="G206" s="10">
        <v>71.489999999999895</v>
      </c>
      <c r="H206" s="10">
        <v>373.89999999999901</v>
      </c>
      <c r="I206" s="10">
        <v>0.1033</v>
      </c>
      <c r="J206" s="10">
        <v>9.0969999999999898E-2</v>
      </c>
      <c r="K206" s="10">
        <v>5.39699999999999E-2</v>
      </c>
      <c r="L206" s="10">
        <v>3.3410000000000002E-2</v>
      </c>
      <c r="M206" s="10">
        <v>0.17760000000000001</v>
      </c>
      <c r="N206" s="10">
        <v>6.9070000000000006E-2</v>
      </c>
      <c r="O206" s="10">
        <v>0.16009999999999899</v>
      </c>
      <c r="P206" s="10">
        <v>0.82250000000000001</v>
      </c>
      <c r="Q206" s="10">
        <v>1.355</v>
      </c>
      <c r="R206" s="10">
        <v>10.8</v>
      </c>
      <c r="S206" s="10">
        <v>7.4159999999999903E-3</v>
      </c>
      <c r="T206" s="10">
        <v>1.8769999999999901E-2</v>
      </c>
      <c r="U206" s="10">
        <v>2.758E-2</v>
      </c>
      <c r="V206" s="10">
        <v>1.01E-2</v>
      </c>
      <c r="W206" s="10">
        <v>2.3480000000000001E-2</v>
      </c>
      <c r="X206" s="10">
        <v>2.9169999999999899E-3</v>
      </c>
      <c r="Y206" s="10">
        <v>11.92</v>
      </c>
      <c r="Z206" s="10">
        <v>19.899999999999899</v>
      </c>
      <c r="AA206" s="10">
        <v>79.760000000000005</v>
      </c>
      <c r="AB206" s="10">
        <v>440</v>
      </c>
      <c r="AC206" s="10">
        <v>0.14180000000000001</v>
      </c>
      <c r="AD206" s="10">
        <v>0.221</v>
      </c>
      <c r="AE206" s="10">
        <v>0.22989999999999899</v>
      </c>
      <c r="AF206" s="10">
        <v>0.1075</v>
      </c>
      <c r="AG206" s="10">
        <v>0.3301</v>
      </c>
      <c r="AH206">
        <v>9.0800000000000006E-2</v>
      </c>
    </row>
    <row r="207" spans="3:34">
      <c r="C207" s="11" t="s">
        <v>485</v>
      </c>
      <c r="D207" s="10" t="s">
        <v>1</v>
      </c>
      <c r="E207" s="10">
        <v>13.71</v>
      </c>
      <c r="F207" s="10">
        <v>14.71</v>
      </c>
      <c r="G207" s="10">
        <v>66.2</v>
      </c>
      <c r="H207" s="10">
        <v>321.60000000000002</v>
      </c>
      <c r="I207" s="10">
        <v>9.8820000000000005E-2</v>
      </c>
      <c r="J207" s="10">
        <v>9.1590000000000005E-2</v>
      </c>
      <c r="K207" s="10">
        <v>3.5810000000000002E-2</v>
      </c>
      <c r="L207" s="10">
        <v>2.0369999999999899E-2</v>
      </c>
      <c r="M207" s="10">
        <v>0.1633</v>
      </c>
      <c r="N207" s="10">
        <v>7.0050000000000001E-2</v>
      </c>
      <c r="O207" s="10">
        <v>0.33800000000000002</v>
      </c>
      <c r="P207" s="10">
        <v>2.5089999999999901</v>
      </c>
      <c r="Q207" s="10">
        <v>2.3940000000000001</v>
      </c>
      <c r="R207" s="10">
        <v>19.329999999999899</v>
      </c>
      <c r="S207" s="10">
        <v>1.736E-2</v>
      </c>
      <c r="T207" s="10">
        <v>4.6710000000000002E-2</v>
      </c>
      <c r="U207" s="10">
        <v>2.6110000000000001E-2</v>
      </c>
      <c r="V207" s="10">
        <v>1.29599999999999E-2</v>
      </c>
      <c r="W207" s="10">
        <v>3.6749999999999901E-2</v>
      </c>
      <c r="X207" s="10">
        <v>6.7580000000000001E-3</v>
      </c>
      <c r="Y207" s="10">
        <v>10.88</v>
      </c>
      <c r="Z207" s="10">
        <v>19.48</v>
      </c>
      <c r="AA207" s="10">
        <v>70.89</v>
      </c>
      <c r="AB207" s="10">
        <v>357.1</v>
      </c>
      <c r="AC207" s="10">
        <v>0.13600000000000001</v>
      </c>
      <c r="AD207" s="10">
        <v>0.1636</v>
      </c>
      <c r="AE207" s="10">
        <v>7.1620000000000003E-2</v>
      </c>
      <c r="AF207" s="10">
        <v>4.0739999999999901E-2</v>
      </c>
      <c r="AG207" s="10">
        <v>0.24340000000000001</v>
      </c>
      <c r="AH207">
        <v>8.48799999999999E-2</v>
      </c>
    </row>
    <row r="208" spans="3:34">
      <c r="C208" s="11" t="s">
        <v>487</v>
      </c>
      <c r="D208" s="10" t="s">
        <v>1</v>
      </c>
      <c r="E208" s="10">
        <v>13.71</v>
      </c>
      <c r="F208" s="10">
        <v>14.74</v>
      </c>
      <c r="G208" s="10">
        <v>94.87</v>
      </c>
      <c r="H208" s="10">
        <v>668.7</v>
      </c>
      <c r="I208" s="10">
        <v>8.8749999999999898E-2</v>
      </c>
      <c r="J208" s="10">
        <v>7.7799999999999897E-2</v>
      </c>
      <c r="K208" s="10">
        <v>4.6080000000000003E-2</v>
      </c>
      <c r="L208" s="10">
        <v>3.5279999999999902E-2</v>
      </c>
      <c r="M208" s="10">
        <v>0.15210000000000001</v>
      </c>
      <c r="N208" s="10">
        <v>5.9119999999999902E-2</v>
      </c>
      <c r="O208" s="10">
        <v>0.34279999999999899</v>
      </c>
      <c r="P208" s="10">
        <v>0.39810000000000001</v>
      </c>
      <c r="Q208" s="10">
        <v>2.5369999999999902</v>
      </c>
      <c r="R208" s="10">
        <v>29.059999999999899</v>
      </c>
      <c r="S208" s="10">
        <v>4.7320000000000001E-3</v>
      </c>
      <c r="T208" s="10">
        <v>1.506E-2</v>
      </c>
      <c r="U208" s="10">
        <v>1.8550000000000001E-2</v>
      </c>
      <c r="V208" s="10">
        <v>1.0670000000000001E-2</v>
      </c>
      <c r="W208" s="10">
        <v>2.163E-2</v>
      </c>
      <c r="X208" s="10">
        <v>2.7829999999999899E-3</v>
      </c>
      <c r="Y208" s="10">
        <v>17.27</v>
      </c>
      <c r="Z208" s="10">
        <v>17.93</v>
      </c>
      <c r="AA208" s="10">
        <v>114.2</v>
      </c>
      <c r="AB208" s="10">
        <v>880.79999999999905</v>
      </c>
      <c r="AC208" s="10">
        <v>0.122</v>
      </c>
      <c r="AD208" s="10">
        <v>0.2009</v>
      </c>
      <c r="AE208" s="10">
        <v>0.21510000000000001</v>
      </c>
      <c r="AF208" s="10">
        <v>0.12509999999999899</v>
      </c>
      <c r="AG208" s="10">
        <v>0.31090000000000001</v>
      </c>
      <c r="AH208">
        <v>8.1869999999999901E-2</v>
      </c>
    </row>
    <row r="209" spans="3:34">
      <c r="C209" s="11" t="s">
        <v>488</v>
      </c>
      <c r="D209" s="10" t="s">
        <v>1</v>
      </c>
      <c r="E209" s="10">
        <v>13.71</v>
      </c>
      <c r="F209" s="10">
        <v>16.03</v>
      </c>
      <c r="G209" s="10">
        <v>73.019999999999897</v>
      </c>
      <c r="H209" s="10">
        <v>402.69999999999902</v>
      </c>
      <c r="I209" s="10">
        <v>9.0759999999999896E-2</v>
      </c>
      <c r="J209" s="10">
        <v>5.8860000000000003E-2</v>
      </c>
      <c r="K209" s="10">
        <v>2.5870000000000001E-2</v>
      </c>
      <c r="L209" s="10">
        <v>2.3220000000000001E-2</v>
      </c>
      <c r="M209" s="10">
        <v>0.16339999999999899</v>
      </c>
      <c r="N209" s="10">
        <v>6.3719999999999902E-2</v>
      </c>
      <c r="O209" s="10">
        <v>0.17069999999999899</v>
      </c>
      <c r="P209" s="10">
        <v>0.76149999999999896</v>
      </c>
      <c r="Q209" s="10">
        <v>1.0900000000000001</v>
      </c>
      <c r="R209" s="10">
        <v>12.25</v>
      </c>
      <c r="S209" s="10">
        <v>9.1909999999999908E-3</v>
      </c>
      <c r="T209" s="10">
        <v>8.548E-3</v>
      </c>
      <c r="U209" s="10">
        <v>9.4000000000000004E-3</v>
      </c>
      <c r="V209" s="10">
        <v>6.3150000000000003E-3</v>
      </c>
      <c r="W209" s="10">
        <v>1.755E-2</v>
      </c>
      <c r="X209" s="10">
        <v>3.009E-3</v>
      </c>
      <c r="Y209" s="10">
        <v>12.51</v>
      </c>
      <c r="Z209" s="10">
        <v>20.7899999999999</v>
      </c>
      <c r="AA209" s="10">
        <v>79.67</v>
      </c>
      <c r="AB209" s="10">
        <v>475.8</v>
      </c>
      <c r="AC209" s="10">
        <v>0.15310000000000001</v>
      </c>
      <c r="AD209" s="10">
        <v>0.112</v>
      </c>
      <c r="AE209" s="10">
        <v>9.8229999999999901E-2</v>
      </c>
      <c r="AF209" s="10">
        <v>6.5479999999999899E-2</v>
      </c>
      <c r="AG209" s="10">
        <v>0.28510000000000002</v>
      </c>
      <c r="AH209">
        <v>8.763E-2</v>
      </c>
    </row>
    <row r="210" spans="3:34">
      <c r="C210" s="11" t="s">
        <v>490</v>
      </c>
      <c r="D210" s="10" t="s">
        <v>1</v>
      </c>
      <c r="E210" s="10">
        <v>13.71</v>
      </c>
      <c r="F210" s="10">
        <v>17.07</v>
      </c>
      <c r="G210" s="10">
        <v>73.7</v>
      </c>
      <c r="H210" s="10">
        <v>421</v>
      </c>
      <c r="I210" s="10">
        <v>7.56099999999999E-2</v>
      </c>
      <c r="J210" s="10">
        <v>3.6299999999999902E-2</v>
      </c>
      <c r="K210" s="10">
        <v>8.3059999999999905E-3</v>
      </c>
      <c r="L210" s="10">
        <v>1.162E-2</v>
      </c>
      <c r="M210" s="10">
        <v>0.1671</v>
      </c>
      <c r="N210" s="10">
        <v>5.731E-2</v>
      </c>
      <c r="O210" s="10">
        <v>0.35339999999999899</v>
      </c>
      <c r="P210" s="10">
        <v>0.6724</v>
      </c>
      <c r="Q210" s="10">
        <v>2.2250000000000001</v>
      </c>
      <c r="R210" s="10">
        <v>26.03</v>
      </c>
      <c r="S210" s="10">
        <v>6.5830000000000003E-3</v>
      </c>
      <c r="T210" s="10">
        <v>6.9909999999999903E-3</v>
      </c>
      <c r="U210" s="10">
        <v>5.9490000000000003E-3</v>
      </c>
      <c r="V210" s="10">
        <v>6.2960000000000004E-3</v>
      </c>
      <c r="W210" s="10">
        <v>2.2159999999999899E-2</v>
      </c>
      <c r="X210" s="10">
        <v>2.6679999999999898E-3</v>
      </c>
      <c r="Y210" s="10">
        <v>13.2799999999999</v>
      </c>
      <c r="Z210" s="10">
        <v>19.739999999999899</v>
      </c>
      <c r="AA210" s="10">
        <v>83.6099999999999</v>
      </c>
      <c r="AB210" s="10">
        <v>542.5</v>
      </c>
      <c r="AC210" s="10">
        <v>9.9580000000000002E-2</v>
      </c>
      <c r="AD210" s="10">
        <v>6.4759999999999901E-2</v>
      </c>
      <c r="AE210" s="10">
        <v>3.0460000000000001E-2</v>
      </c>
      <c r="AF210" s="10">
        <v>4.2619999999999901E-2</v>
      </c>
      <c r="AG210" s="10">
        <v>0.27310000000000001</v>
      </c>
      <c r="AH210">
        <v>6.8250000000000005E-2</v>
      </c>
    </row>
    <row r="211" spans="3:34">
      <c r="C211" s="11" t="s">
        <v>494</v>
      </c>
      <c r="D211" s="10" t="s">
        <v>1</v>
      </c>
      <c r="E211" s="10">
        <v>13.71</v>
      </c>
      <c r="F211" s="10">
        <v>14.07</v>
      </c>
      <c r="G211" s="10">
        <v>71.239999999999895</v>
      </c>
      <c r="H211" s="10">
        <v>384.6</v>
      </c>
      <c r="I211" s="10">
        <v>7.2739999999999902E-2</v>
      </c>
      <c r="J211" s="10">
        <v>6.0639999999999902E-2</v>
      </c>
      <c r="K211" s="10">
        <v>4.505E-2</v>
      </c>
      <c r="L211" s="10">
        <v>1.4710000000000001E-2</v>
      </c>
      <c r="M211" s="10">
        <v>0.16900000000000001</v>
      </c>
      <c r="N211" s="10">
        <v>6.0830000000000002E-2</v>
      </c>
      <c r="O211" s="10">
        <v>0.42220000000000002</v>
      </c>
      <c r="P211" s="10">
        <v>0.80920000000000003</v>
      </c>
      <c r="Q211" s="10">
        <v>3.33</v>
      </c>
      <c r="R211" s="10">
        <v>28.84</v>
      </c>
      <c r="S211" s="10">
        <v>5.5409999999999904E-3</v>
      </c>
      <c r="T211" s="10">
        <v>3.38699999999999E-2</v>
      </c>
      <c r="U211" s="10">
        <v>4.505E-2</v>
      </c>
      <c r="V211" s="10">
        <v>1.4710000000000001E-2</v>
      </c>
      <c r="W211" s="10">
        <v>3.1019999999999898E-2</v>
      </c>
      <c r="X211" s="10">
        <v>4.8310000000000002E-3</v>
      </c>
      <c r="Y211" s="10">
        <v>12.1199999999999</v>
      </c>
      <c r="Z211" s="10">
        <v>15.82</v>
      </c>
      <c r="AA211" s="10">
        <v>79.62</v>
      </c>
      <c r="AB211" s="10">
        <v>453.5</v>
      </c>
      <c r="AC211" s="10">
        <v>8.8639999999999899E-2</v>
      </c>
      <c r="AD211" s="10">
        <v>0.12559999999999899</v>
      </c>
      <c r="AE211" s="10">
        <v>0.1201</v>
      </c>
      <c r="AF211" s="10">
        <v>3.9219999999999901E-2</v>
      </c>
      <c r="AG211" s="10">
        <v>0.2576</v>
      </c>
      <c r="AH211">
        <v>7.0180000000000006E-2</v>
      </c>
    </row>
    <row r="212" spans="3:34">
      <c r="C212" s="11" t="s">
        <v>495</v>
      </c>
      <c r="D212" s="10" t="s">
        <v>1</v>
      </c>
      <c r="E212" s="10">
        <v>13.71</v>
      </c>
      <c r="F212" s="10">
        <v>19.07</v>
      </c>
      <c r="G212" s="10">
        <v>81.92</v>
      </c>
      <c r="H212" s="10">
        <v>485.8</v>
      </c>
      <c r="I212" s="10">
        <v>8.75999999999999E-2</v>
      </c>
      <c r="J212" s="10">
        <v>0.1038</v>
      </c>
      <c r="K212" s="10">
        <v>0.102999999999999</v>
      </c>
      <c r="L212" s="10">
        <v>4.39099999999999E-2</v>
      </c>
      <c r="M212" s="10">
        <v>0.15329999999999899</v>
      </c>
      <c r="N212" s="10">
        <v>6.1839999999999902E-2</v>
      </c>
      <c r="O212" s="10">
        <v>0.36020000000000002</v>
      </c>
      <c r="P212" s="10">
        <v>1.478</v>
      </c>
      <c r="Q212" s="10">
        <v>3.2120000000000002</v>
      </c>
      <c r="R212" s="10">
        <v>27.489999999999899</v>
      </c>
      <c r="S212" s="10">
        <v>9.8530000000000006E-3</v>
      </c>
      <c r="T212" s="10">
        <v>4.2349999999999902E-2</v>
      </c>
      <c r="U212" s="10">
        <v>6.2710000000000002E-2</v>
      </c>
      <c r="V212" s="10">
        <v>1.966E-2</v>
      </c>
      <c r="W212" s="10">
        <v>2.639E-2</v>
      </c>
      <c r="X212" s="10">
        <v>4.2050000000000004E-3</v>
      </c>
      <c r="Y212" s="10">
        <v>13.3699999999999</v>
      </c>
      <c r="Z212" s="10">
        <v>22.43</v>
      </c>
      <c r="AA212" s="10">
        <v>89.019999999999897</v>
      </c>
      <c r="AB212" s="10">
        <v>547.39999999999895</v>
      </c>
      <c r="AC212" s="10">
        <v>0.1096</v>
      </c>
      <c r="AD212" s="10">
        <v>0.20019999999999899</v>
      </c>
      <c r="AE212" s="10">
        <v>0.23880000000000001</v>
      </c>
      <c r="AF212" s="10">
        <v>9.2649999999999899E-2</v>
      </c>
      <c r="AG212" s="10">
        <v>0.21210000000000001</v>
      </c>
      <c r="AH212">
        <v>7.1879999999999902E-2</v>
      </c>
    </row>
    <row r="213" spans="3:34">
      <c r="C213" s="11" t="s">
        <v>496</v>
      </c>
      <c r="D213" s="10" t="s">
        <v>1</v>
      </c>
      <c r="E213" s="10">
        <v>13.71</v>
      </c>
      <c r="F213" s="10">
        <v>18.59</v>
      </c>
      <c r="G213" s="10">
        <v>85.09</v>
      </c>
      <c r="H213" s="10">
        <v>512</v>
      </c>
      <c r="I213" s="10">
        <v>0.1082</v>
      </c>
      <c r="J213" s="10">
        <v>0.13039999999999899</v>
      </c>
      <c r="K213" s="10">
        <v>9.6030000000000004E-2</v>
      </c>
      <c r="L213" s="10">
        <v>5.6030000000000003E-2</v>
      </c>
      <c r="M213" s="10">
        <v>0.20349999999999899</v>
      </c>
      <c r="N213" s="10">
        <v>6.5009999999999901E-2</v>
      </c>
      <c r="O213" s="10">
        <v>0.31059999999999899</v>
      </c>
      <c r="P213" s="10">
        <v>1.51</v>
      </c>
      <c r="Q213" s="10">
        <v>2.5899999999999901</v>
      </c>
      <c r="R213" s="10">
        <v>21.57</v>
      </c>
      <c r="S213" s="10">
        <v>7.8069999999999902E-3</v>
      </c>
      <c r="T213" s="10">
        <v>3.9320000000000001E-2</v>
      </c>
      <c r="U213" s="10">
        <v>5.1119999999999902E-2</v>
      </c>
      <c r="V213" s="10">
        <v>1.8759999999999898E-2</v>
      </c>
      <c r="W213" s="10">
        <v>2.86E-2</v>
      </c>
      <c r="X213" s="10">
        <v>5.7149999999999901E-3</v>
      </c>
      <c r="Y213" s="10">
        <v>14.19</v>
      </c>
      <c r="Z213" s="10">
        <v>24.85</v>
      </c>
      <c r="AA213" s="10">
        <v>94.219999999999899</v>
      </c>
      <c r="AB213" s="10">
        <v>591.20000000000005</v>
      </c>
      <c r="AC213" s="10">
        <v>0.1343</v>
      </c>
      <c r="AD213" s="10">
        <v>0.26579999999999898</v>
      </c>
      <c r="AE213" s="10">
        <v>0.25729999999999897</v>
      </c>
      <c r="AF213" s="10">
        <v>0.1258</v>
      </c>
      <c r="AG213" s="10">
        <v>0.31130000000000002</v>
      </c>
      <c r="AH213">
        <v>8.3169999999999897E-2</v>
      </c>
    </row>
    <row r="214" spans="3:34">
      <c r="C214" s="11" t="s">
        <v>502</v>
      </c>
      <c r="D214" s="10" t="s">
        <v>1</v>
      </c>
      <c r="E214" s="10">
        <v>13.71</v>
      </c>
      <c r="F214" s="10">
        <v>18.84</v>
      </c>
      <c r="G214" s="10">
        <v>81.87</v>
      </c>
      <c r="H214" s="10">
        <v>496.6</v>
      </c>
      <c r="I214" s="10">
        <v>9.6759999999999902E-2</v>
      </c>
      <c r="J214" s="10">
        <v>7.9519999999999896E-2</v>
      </c>
      <c r="K214" s="10">
        <v>2.6880000000000001E-2</v>
      </c>
      <c r="L214" s="10">
        <v>1.7809999999999899E-2</v>
      </c>
      <c r="M214" s="10">
        <v>0.1759</v>
      </c>
      <c r="N214" s="10">
        <v>6.1830000000000003E-2</v>
      </c>
      <c r="O214" s="10">
        <v>0.2213</v>
      </c>
      <c r="P214" s="10">
        <v>1.2849999999999899</v>
      </c>
      <c r="Q214" s="10">
        <v>1.5349999999999899</v>
      </c>
      <c r="R214" s="10">
        <v>17.260000000000002</v>
      </c>
      <c r="S214" s="10">
        <v>5.6080000000000001E-3</v>
      </c>
      <c r="T214" s="10">
        <v>1.6459999999999898E-2</v>
      </c>
      <c r="U214" s="10">
        <v>1.529E-2</v>
      </c>
      <c r="V214" s="10">
        <v>9.9970000000000007E-3</v>
      </c>
      <c r="W214" s="10">
        <v>1.9089999999999899E-2</v>
      </c>
      <c r="X214" s="10">
        <v>2.1329999999999899E-3</v>
      </c>
      <c r="Y214" s="10">
        <v>13.75</v>
      </c>
      <c r="Z214" s="10">
        <v>25.989999999999899</v>
      </c>
      <c r="AA214" s="10">
        <v>87.819999999999894</v>
      </c>
      <c r="AB214" s="10">
        <v>579.70000000000005</v>
      </c>
      <c r="AC214" s="10">
        <v>0.1298</v>
      </c>
      <c r="AD214" s="10">
        <v>0.18390000000000001</v>
      </c>
      <c r="AE214" s="10">
        <v>0.1255</v>
      </c>
      <c r="AF214" s="10">
        <v>8.3119999999999902E-2</v>
      </c>
      <c r="AG214" s="10">
        <v>0.27439999999999898</v>
      </c>
      <c r="AH214">
        <v>7.238E-2</v>
      </c>
    </row>
    <row r="215" spans="3:34">
      <c r="C215" s="11" t="s">
        <v>505</v>
      </c>
      <c r="D215" s="10" t="s">
        <v>0</v>
      </c>
      <c r="E215" s="10">
        <v>13.71</v>
      </c>
      <c r="F215" s="10">
        <v>21.78</v>
      </c>
      <c r="G215" s="10">
        <v>133.80000000000001</v>
      </c>
      <c r="H215" s="10">
        <v>1293</v>
      </c>
      <c r="I215" s="10">
        <v>9.1499999999999901E-2</v>
      </c>
      <c r="J215" s="10">
        <v>0.11310000000000001</v>
      </c>
      <c r="K215" s="10">
        <v>9.7989999999999897E-2</v>
      </c>
      <c r="L215" s="10">
        <v>7.7850000000000003E-2</v>
      </c>
      <c r="M215" s="10">
        <v>0.1618</v>
      </c>
      <c r="N215" s="10">
        <v>5.5570000000000001E-2</v>
      </c>
      <c r="O215" s="10">
        <v>0.57809999999999895</v>
      </c>
      <c r="P215" s="10">
        <v>0.91679999999999895</v>
      </c>
      <c r="Q215" s="10">
        <v>4.218</v>
      </c>
      <c r="R215" s="10">
        <v>72.439999999999898</v>
      </c>
      <c r="S215" s="10">
        <v>6.208E-3</v>
      </c>
      <c r="T215" s="10">
        <v>1.9060000000000001E-2</v>
      </c>
      <c r="U215" s="10">
        <v>2.375E-2</v>
      </c>
      <c r="V215" s="10">
        <v>1.461E-2</v>
      </c>
      <c r="W215" s="10">
        <v>1.44499999999999E-2</v>
      </c>
      <c r="X215" s="10">
        <v>1.90599999999999E-3</v>
      </c>
      <c r="Y215" s="10">
        <v>24.309999999999899</v>
      </c>
      <c r="Z215" s="10">
        <v>26.37</v>
      </c>
      <c r="AA215" s="10">
        <v>161.19999999999899</v>
      </c>
      <c r="AB215" s="10">
        <v>1780</v>
      </c>
      <c r="AC215" s="10">
        <v>0.13270000000000001</v>
      </c>
      <c r="AD215" s="10">
        <v>0.23760000000000001</v>
      </c>
      <c r="AE215" s="10">
        <v>0.2702</v>
      </c>
      <c r="AF215" s="10">
        <v>0.17649999999999899</v>
      </c>
      <c r="AG215" s="10">
        <v>0.26090000000000002</v>
      </c>
      <c r="AH215">
        <v>6.7349999999999896E-2</v>
      </c>
    </row>
    <row r="216" spans="3:34">
      <c r="C216" s="11" t="s">
        <v>508</v>
      </c>
      <c r="D216" s="10" t="s">
        <v>0</v>
      </c>
      <c r="E216" s="10">
        <v>13.71</v>
      </c>
      <c r="F216" s="10">
        <v>17.25</v>
      </c>
      <c r="G216" s="10">
        <v>140.9</v>
      </c>
      <c r="H216" s="10">
        <v>1546</v>
      </c>
      <c r="I216" s="10">
        <v>9.3840000000000007E-2</v>
      </c>
      <c r="J216" s="10">
        <v>8.5620000000000002E-2</v>
      </c>
      <c r="K216" s="10">
        <v>0.1168</v>
      </c>
      <c r="L216" s="10">
        <v>8.4650000000000003E-2</v>
      </c>
      <c r="M216" s="10">
        <v>0.17169999999999899</v>
      </c>
      <c r="N216" s="10">
        <v>5.0540000000000002E-2</v>
      </c>
      <c r="O216" s="10">
        <v>1.2070000000000001</v>
      </c>
      <c r="P216" s="10">
        <v>1.0509999999999899</v>
      </c>
      <c r="Q216" s="10">
        <v>7.7329999999999899</v>
      </c>
      <c r="R216" s="10">
        <v>224.099999999999</v>
      </c>
      <c r="S216" s="10">
        <v>5.568E-3</v>
      </c>
      <c r="T216" s="10">
        <v>1.112E-2</v>
      </c>
      <c r="U216" s="10">
        <v>2.0959999999999899E-2</v>
      </c>
      <c r="V216" s="10">
        <v>1.197E-2</v>
      </c>
      <c r="W216" s="10">
        <v>1.2630000000000001E-2</v>
      </c>
      <c r="X216" s="10">
        <v>1.8029999999999899E-3</v>
      </c>
      <c r="Y216" s="10">
        <v>30.75</v>
      </c>
      <c r="Z216" s="10">
        <v>26.44</v>
      </c>
      <c r="AA216" s="10">
        <v>199.5</v>
      </c>
      <c r="AB216" s="10">
        <v>3143</v>
      </c>
      <c r="AC216" s="10">
        <v>0.1363</v>
      </c>
      <c r="AD216" s="10">
        <v>0.1628</v>
      </c>
      <c r="AE216" s="10">
        <v>0.28610000000000002</v>
      </c>
      <c r="AF216" s="10">
        <v>0.182</v>
      </c>
      <c r="AG216" s="10">
        <v>0.251</v>
      </c>
      <c r="AH216">
        <v>6.4939999999999901E-2</v>
      </c>
    </row>
    <row r="217" spans="3:34">
      <c r="C217" s="11" t="s">
        <v>510</v>
      </c>
      <c r="D217" s="10" t="s">
        <v>0</v>
      </c>
      <c r="E217" s="10">
        <v>13.71</v>
      </c>
      <c r="F217" s="10">
        <v>23.2899999999999</v>
      </c>
      <c r="G217" s="10">
        <v>109</v>
      </c>
      <c r="H217" s="10">
        <v>840.39999999999895</v>
      </c>
      <c r="I217" s="10">
        <v>9.7420000000000007E-2</v>
      </c>
      <c r="J217" s="10">
        <v>0.1497</v>
      </c>
      <c r="K217" s="10">
        <v>0.18110000000000001</v>
      </c>
      <c r="L217" s="10">
        <v>8.7730000000000002E-2</v>
      </c>
      <c r="M217" s="10">
        <v>0.2175</v>
      </c>
      <c r="N217" s="10">
        <v>6.2179999999999902E-2</v>
      </c>
      <c r="O217" s="10">
        <v>0.43120000000000003</v>
      </c>
      <c r="P217" s="10">
        <v>1.022</v>
      </c>
      <c r="Q217" s="10">
        <v>2.972</v>
      </c>
      <c r="R217" s="10">
        <v>45.5</v>
      </c>
      <c r="S217" s="10">
        <v>5.6350000000000003E-3</v>
      </c>
      <c r="T217" s="10">
        <v>3.9170000000000003E-2</v>
      </c>
      <c r="U217" s="10">
        <v>6.0720000000000003E-2</v>
      </c>
      <c r="V217" s="10">
        <v>1.6559999999999901E-2</v>
      </c>
      <c r="W217" s="10">
        <v>3.1969999999999901E-2</v>
      </c>
      <c r="X217" s="10">
        <v>4.0850000000000001E-3</v>
      </c>
      <c r="Y217" s="10">
        <v>19.3799999999999</v>
      </c>
      <c r="Z217" s="10">
        <v>31.03</v>
      </c>
      <c r="AA217" s="10">
        <v>129.30000000000001</v>
      </c>
      <c r="AB217" s="10">
        <v>1165</v>
      </c>
      <c r="AC217" s="10">
        <v>0.14149999999999899</v>
      </c>
      <c r="AD217" s="10">
        <v>0.46650000000000003</v>
      </c>
      <c r="AE217" s="10">
        <v>0.7087</v>
      </c>
      <c r="AF217" s="10">
        <v>0.2248</v>
      </c>
      <c r="AG217" s="10">
        <v>0.4824</v>
      </c>
      <c r="AH217">
        <v>9.6140000000000003E-2</v>
      </c>
    </row>
    <row r="218" spans="3:34">
      <c r="C218" s="11" t="s">
        <v>511</v>
      </c>
      <c r="D218" s="10" t="s">
        <v>1</v>
      </c>
      <c r="E218" s="10">
        <v>13.71</v>
      </c>
      <c r="F218" s="10">
        <v>13.21</v>
      </c>
      <c r="G218" s="10">
        <v>97.65</v>
      </c>
      <c r="H218" s="10">
        <v>711.79999999999905</v>
      </c>
      <c r="I218" s="10">
        <v>7.9630000000000006E-2</v>
      </c>
      <c r="J218" s="10">
        <v>6.9339999999999902E-2</v>
      </c>
      <c r="K218" s="10">
        <v>3.3930000000000002E-2</v>
      </c>
      <c r="L218" s="10">
        <v>2.657E-2</v>
      </c>
      <c r="M218" s="10">
        <v>0.1721</v>
      </c>
      <c r="N218" s="10">
        <v>5.5440000000000003E-2</v>
      </c>
      <c r="O218" s="10">
        <v>0.17829999999999899</v>
      </c>
      <c r="P218" s="10">
        <v>0.41249999999999898</v>
      </c>
      <c r="Q218" s="10">
        <v>1.3380000000000001</v>
      </c>
      <c r="R218" s="10">
        <v>17.719999999999899</v>
      </c>
      <c r="S218" s="10">
        <v>5.012E-3</v>
      </c>
      <c r="T218" s="10">
        <v>1.485E-2</v>
      </c>
      <c r="U218" s="10">
        <v>1.5509999999999901E-2</v>
      </c>
      <c r="V218" s="10">
        <v>9.1549999999999895E-3</v>
      </c>
      <c r="W218" s="10">
        <v>1.6469999999999901E-2</v>
      </c>
      <c r="X218" s="10">
        <v>1.7669999999999899E-3</v>
      </c>
      <c r="Y218" s="10">
        <v>16.1999999999999</v>
      </c>
      <c r="Z218" s="10">
        <v>15.73</v>
      </c>
      <c r="AA218" s="10">
        <v>104.5</v>
      </c>
      <c r="AB218" s="10">
        <v>819.1</v>
      </c>
      <c r="AC218" s="10">
        <v>0.11260000000000001</v>
      </c>
      <c r="AD218" s="10">
        <v>0.17369999999999899</v>
      </c>
      <c r="AE218" s="10">
        <v>0.13619999999999899</v>
      </c>
      <c r="AF218" s="10">
        <v>8.1780000000000005E-2</v>
      </c>
      <c r="AG218" s="10">
        <v>0.2487</v>
      </c>
      <c r="AH218">
        <v>6.7659999999999901E-2</v>
      </c>
    </row>
    <row r="219" spans="3:34">
      <c r="C219" s="11" t="s">
        <v>512</v>
      </c>
      <c r="D219" s="10" t="s">
        <v>0</v>
      </c>
      <c r="E219" s="10">
        <v>13.71</v>
      </c>
      <c r="F219" s="10">
        <v>15.1</v>
      </c>
      <c r="G219" s="10">
        <v>141.30000000000001</v>
      </c>
      <c r="H219" s="10">
        <v>1386</v>
      </c>
      <c r="I219" s="10">
        <v>0.100099999999999</v>
      </c>
      <c r="J219" s="10">
        <v>0.1515</v>
      </c>
      <c r="K219" s="10">
        <v>0.19320000000000001</v>
      </c>
      <c r="L219" s="10">
        <v>0.1255</v>
      </c>
      <c r="M219" s="10">
        <v>0.1973</v>
      </c>
      <c r="N219" s="10">
        <v>6.1830000000000003E-2</v>
      </c>
      <c r="O219" s="10">
        <v>0.34139999999999898</v>
      </c>
      <c r="P219" s="10">
        <v>1.3089999999999899</v>
      </c>
      <c r="Q219" s="10">
        <v>2.407</v>
      </c>
      <c r="R219" s="10">
        <v>39.06</v>
      </c>
      <c r="S219" s="10">
        <v>4.4260000000000002E-3</v>
      </c>
      <c r="T219" s="10">
        <v>2.6749999999999899E-2</v>
      </c>
      <c r="U219" s="10">
        <v>3.4369999999999901E-2</v>
      </c>
      <c r="V219" s="10">
        <v>1.34299999999999E-2</v>
      </c>
      <c r="W219" s="10">
        <v>1.6750000000000001E-2</v>
      </c>
      <c r="X219" s="10">
        <v>4.3670000000000002E-3</v>
      </c>
      <c r="Y219" s="10">
        <v>22.69</v>
      </c>
      <c r="Z219" s="10">
        <v>21.84</v>
      </c>
      <c r="AA219" s="10">
        <v>152.099999999999</v>
      </c>
      <c r="AB219" s="10">
        <v>1535</v>
      </c>
      <c r="AC219" s="10">
        <v>0.1192</v>
      </c>
      <c r="AD219" s="10">
        <v>0.28399999999999898</v>
      </c>
      <c r="AE219" s="10">
        <v>0.40239999999999898</v>
      </c>
      <c r="AF219" s="10">
        <v>0.1966</v>
      </c>
      <c r="AG219" s="10">
        <v>0.27300000000000002</v>
      </c>
      <c r="AH219">
        <v>8.6660000000000001E-2</v>
      </c>
    </row>
    <row r="220" spans="3:34">
      <c r="C220" s="11" t="s">
        <v>514</v>
      </c>
      <c r="D220" s="10" t="s">
        <v>1</v>
      </c>
      <c r="E220" s="10">
        <v>13.71</v>
      </c>
      <c r="F220" s="10">
        <v>16.07</v>
      </c>
      <c r="G220" s="10">
        <v>87.84</v>
      </c>
      <c r="H220" s="10">
        <v>579.1</v>
      </c>
      <c r="I220" s="10">
        <v>8.3019999999999899E-2</v>
      </c>
      <c r="J220" s="10">
        <v>6.3740000000000005E-2</v>
      </c>
      <c r="K220" s="10">
        <v>2.5559999999999899E-2</v>
      </c>
      <c r="L220" s="10">
        <v>2.0310000000000002E-2</v>
      </c>
      <c r="M220" s="10">
        <v>0.18720000000000001</v>
      </c>
      <c r="N220" s="10">
        <v>5.66899999999999E-2</v>
      </c>
      <c r="O220" s="10">
        <v>0.17050000000000001</v>
      </c>
      <c r="P220" s="10">
        <v>0.50660000000000005</v>
      </c>
      <c r="Q220" s="10">
        <v>1.3720000000000001</v>
      </c>
      <c r="R220" s="10">
        <v>14</v>
      </c>
      <c r="S220" s="10">
        <v>4.2300000000000003E-3</v>
      </c>
      <c r="T220" s="10">
        <v>1.5869999999999902E-2</v>
      </c>
      <c r="U220" s="10">
        <v>1.1690000000000001E-2</v>
      </c>
      <c r="V220" s="10">
        <v>6.3350000000000004E-3</v>
      </c>
      <c r="W220" s="10">
        <v>1.9429999999999899E-2</v>
      </c>
      <c r="X220" s="10">
        <v>2.1770000000000001E-3</v>
      </c>
      <c r="Y220" s="10">
        <v>14.84</v>
      </c>
      <c r="Z220" s="10">
        <v>20.21</v>
      </c>
      <c r="AA220" s="10">
        <v>99.159999999999897</v>
      </c>
      <c r="AB220" s="10">
        <v>670.6</v>
      </c>
      <c r="AC220" s="10">
        <v>0.1105</v>
      </c>
      <c r="AD220" s="10">
        <v>0.20960000000000001</v>
      </c>
      <c r="AE220" s="10">
        <v>0.1346</v>
      </c>
      <c r="AF220" s="10">
        <v>6.9870000000000002E-2</v>
      </c>
      <c r="AG220" s="10">
        <v>0.33229999999999899</v>
      </c>
      <c r="AH220">
        <v>7.7009999999999898E-2</v>
      </c>
    </row>
    <row r="221" spans="3:34">
      <c r="C221" s="11" t="s">
        <v>515</v>
      </c>
      <c r="D221" s="10" t="s">
        <v>1</v>
      </c>
      <c r="E221" s="10">
        <v>13.71</v>
      </c>
      <c r="F221" s="10">
        <v>16.07</v>
      </c>
      <c r="G221" s="10">
        <v>106.3</v>
      </c>
      <c r="H221" s="10">
        <v>788.5</v>
      </c>
      <c r="I221" s="10">
        <v>9.8799999999999902E-2</v>
      </c>
      <c r="J221" s="10">
        <v>0.14380000000000001</v>
      </c>
      <c r="K221" s="10">
        <v>6.651E-2</v>
      </c>
      <c r="L221" s="10">
        <v>5.39699999999999E-2</v>
      </c>
      <c r="M221" s="10">
        <v>0.19900000000000001</v>
      </c>
      <c r="N221" s="10">
        <v>6.5720000000000001E-2</v>
      </c>
      <c r="O221" s="10">
        <v>0.17449999999999899</v>
      </c>
      <c r="P221" s="10">
        <v>0.48899999999999899</v>
      </c>
      <c r="Q221" s="10">
        <v>1.349</v>
      </c>
      <c r="R221" s="10">
        <v>14.91</v>
      </c>
      <c r="S221" s="10">
        <v>4.5100000000000001E-3</v>
      </c>
      <c r="T221" s="10">
        <v>1.8120000000000001E-2</v>
      </c>
      <c r="U221" s="10">
        <v>1.951E-2</v>
      </c>
      <c r="V221" s="10">
        <v>1.196E-2</v>
      </c>
      <c r="W221" s="10">
        <v>1.934E-2</v>
      </c>
      <c r="X221" s="10">
        <v>3.6960000000000001E-3</v>
      </c>
      <c r="Y221" s="10">
        <v>16.969999999999899</v>
      </c>
      <c r="Z221" s="10">
        <v>19.14</v>
      </c>
      <c r="AA221" s="10">
        <v>113.099999999999</v>
      </c>
      <c r="AB221" s="10">
        <v>861.5</v>
      </c>
      <c r="AC221" s="10">
        <v>0.1235</v>
      </c>
      <c r="AD221" s="10">
        <v>0.255</v>
      </c>
      <c r="AE221" s="10">
        <v>0.2114</v>
      </c>
      <c r="AF221" s="10">
        <v>0.12509999999999899</v>
      </c>
      <c r="AG221" s="10">
        <v>0.31530000000000002</v>
      </c>
      <c r="AH221">
        <v>8.9599999999999902E-2</v>
      </c>
    </row>
    <row r="222" spans="3:34">
      <c r="C222" s="11" t="s">
        <v>516</v>
      </c>
      <c r="D222" s="10" t="s">
        <v>1</v>
      </c>
      <c r="E222" s="10">
        <v>13.71</v>
      </c>
      <c r="F222" s="10">
        <v>20.219999999999899</v>
      </c>
      <c r="G222" s="10">
        <v>70.150000000000006</v>
      </c>
      <c r="H222" s="10">
        <v>338.3</v>
      </c>
      <c r="I222" s="10">
        <v>9.0730000000000005E-2</v>
      </c>
      <c r="J222" s="10">
        <v>0.16600000000000001</v>
      </c>
      <c r="K222" s="10">
        <v>0.22800000000000001</v>
      </c>
      <c r="L222" s="10">
        <v>5.94099999999999E-2</v>
      </c>
      <c r="M222" s="10">
        <v>0.218799999999999</v>
      </c>
      <c r="N222" s="10">
        <v>8.4500000000000006E-2</v>
      </c>
      <c r="O222" s="10">
        <v>0.1115</v>
      </c>
      <c r="P222" s="10">
        <v>1.2310000000000001</v>
      </c>
      <c r="Q222" s="10">
        <v>2.363</v>
      </c>
      <c r="R222" s="10">
        <v>7.22799999999999</v>
      </c>
      <c r="S222" s="10">
        <v>8.4989999999999892E-3</v>
      </c>
      <c r="T222" s="10">
        <v>7.6429999999999901E-2</v>
      </c>
      <c r="U222" s="10">
        <v>0.1535</v>
      </c>
      <c r="V222" s="10">
        <v>2.9190000000000001E-2</v>
      </c>
      <c r="W222" s="10">
        <v>1.617E-2</v>
      </c>
      <c r="X222" s="10">
        <v>1.2200000000000001E-2</v>
      </c>
      <c r="Y222" s="10">
        <v>10.85</v>
      </c>
      <c r="Z222" s="10">
        <v>22.82</v>
      </c>
      <c r="AA222" s="10">
        <v>76.510000000000005</v>
      </c>
      <c r="AB222" s="10">
        <v>351.89999999999901</v>
      </c>
      <c r="AC222" s="10">
        <v>0.1143</v>
      </c>
      <c r="AD222" s="10">
        <v>0.3619</v>
      </c>
      <c r="AE222" s="10">
        <v>0.60299999999999898</v>
      </c>
      <c r="AF222" s="10">
        <v>0.14649999999999899</v>
      </c>
      <c r="AG222" s="10">
        <v>0.25969999999999899</v>
      </c>
      <c r="AH222">
        <v>0.12</v>
      </c>
    </row>
    <row r="223" spans="3:34">
      <c r="C223" s="11" t="s">
        <v>519</v>
      </c>
      <c r="D223" s="10" t="s">
        <v>0</v>
      </c>
      <c r="E223" s="10">
        <v>13.71</v>
      </c>
      <c r="F223" s="10">
        <v>18.829999999999899</v>
      </c>
      <c r="G223" s="10">
        <v>73.299999999999898</v>
      </c>
      <c r="H223" s="10">
        <v>361.6</v>
      </c>
      <c r="I223" s="10">
        <v>0.1216</v>
      </c>
      <c r="J223" s="10">
        <v>0.21540000000000001</v>
      </c>
      <c r="K223" s="10">
        <v>0.168899999999999</v>
      </c>
      <c r="L223" s="10">
        <v>6.3670000000000004E-2</v>
      </c>
      <c r="M223" s="10">
        <v>0.21959999999999899</v>
      </c>
      <c r="N223" s="10">
        <v>7.9500000000000001E-2</v>
      </c>
      <c r="O223" s="10">
        <v>0.2114</v>
      </c>
      <c r="P223" s="10">
        <v>1.0269999999999899</v>
      </c>
      <c r="Q223" s="10">
        <v>1.7190000000000001</v>
      </c>
      <c r="R223" s="10">
        <v>13.99</v>
      </c>
      <c r="S223" s="10">
        <v>7.4050000000000001E-3</v>
      </c>
      <c r="T223" s="10">
        <v>4.5490000000000003E-2</v>
      </c>
      <c r="U223" s="10">
        <v>4.58799999999999E-2</v>
      </c>
      <c r="V223" s="10">
        <v>1.3390000000000001E-2</v>
      </c>
      <c r="W223" s="10">
        <v>1.738E-2</v>
      </c>
      <c r="X223" s="10">
        <v>4.4349999999999902E-3</v>
      </c>
      <c r="Y223" s="10">
        <v>13.24</v>
      </c>
      <c r="Z223" s="10">
        <v>32.82</v>
      </c>
      <c r="AA223" s="10">
        <v>91.76</v>
      </c>
      <c r="AB223" s="10">
        <v>508.1</v>
      </c>
      <c r="AC223" s="10">
        <v>0.21840000000000001</v>
      </c>
      <c r="AD223" s="10">
        <v>0.93789999999999896</v>
      </c>
      <c r="AE223" s="10">
        <v>0.84019999999999895</v>
      </c>
      <c r="AF223" s="10">
        <v>0.25240000000000001</v>
      </c>
      <c r="AG223" s="10">
        <v>0.41539999999999899</v>
      </c>
      <c r="AH223">
        <v>0.14030000000000001</v>
      </c>
    </row>
    <row r="224" spans="3:34">
      <c r="C224" s="11" t="s">
        <v>520</v>
      </c>
      <c r="D224" s="10" t="s">
        <v>1</v>
      </c>
      <c r="E224" s="10">
        <v>13.71</v>
      </c>
      <c r="F224" s="10">
        <v>12.96</v>
      </c>
      <c r="G224" s="10">
        <v>73.159999999999897</v>
      </c>
      <c r="H224" s="10">
        <v>386.3</v>
      </c>
      <c r="I224" s="10">
        <v>0.1237</v>
      </c>
      <c r="J224" s="10">
        <v>0.1111</v>
      </c>
      <c r="K224" s="10">
        <v>7.9000000000000001E-2</v>
      </c>
      <c r="L224" s="10">
        <v>5.5500000000000001E-2</v>
      </c>
      <c r="M224" s="10">
        <v>0.20180000000000001</v>
      </c>
      <c r="N224" s="10">
        <v>6.9139999999999896E-2</v>
      </c>
      <c r="O224" s="10">
        <v>0.25619999999999898</v>
      </c>
      <c r="P224" s="10">
        <v>0.98580000000000001</v>
      </c>
      <c r="Q224" s="10">
        <v>1.8089999999999899</v>
      </c>
      <c r="R224" s="10">
        <v>16.0399999999999</v>
      </c>
      <c r="S224" s="10">
        <v>6.6350000000000003E-3</v>
      </c>
      <c r="T224" s="10">
        <v>1.7770000000000001E-2</v>
      </c>
      <c r="U224" s="10">
        <v>2.1010000000000001E-2</v>
      </c>
      <c r="V224" s="10">
        <v>1.16399999999999E-2</v>
      </c>
      <c r="W224" s="10">
        <v>2.1080000000000002E-2</v>
      </c>
      <c r="X224" s="10">
        <v>3.7209999999999899E-3</v>
      </c>
      <c r="Y224" s="10">
        <v>12.84</v>
      </c>
      <c r="Z224" s="10">
        <v>20.53</v>
      </c>
      <c r="AA224" s="10">
        <v>84.93</v>
      </c>
      <c r="AB224" s="10">
        <v>476.1</v>
      </c>
      <c r="AC224" s="10">
        <v>0.161</v>
      </c>
      <c r="AD224" s="10">
        <v>0.2429</v>
      </c>
      <c r="AE224" s="10">
        <v>0.22470000000000001</v>
      </c>
      <c r="AF224" s="10">
        <v>0.1318</v>
      </c>
      <c r="AG224" s="10">
        <v>0.33429999999999899</v>
      </c>
      <c r="AH224">
        <v>9.2149999999999899E-2</v>
      </c>
    </row>
    <row r="225" spans="3:34">
      <c r="C225" s="11" t="s">
        <v>523</v>
      </c>
      <c r="D225" s="10" t="s">
        <v>1</v>
      </c>
      <c r="E225" s="10">
        <v>13.71</v>
      </c>
      <c r="F225" s="10">
        <v>17.48</v>
      </c>
      <c r="G225" s="10">
        <v>80.64</v>
      </c>
      <c r="H225" s="10">
        <v>462.89999999999901</v>
      </c>
      <c r="I225" s="10">
        <v>0.1042</v>
      </c>
      <c r="J225" s="10">
        <v>0.12970000000000001</v>
      </c>
      <c r="K225" s="10">
        <v>5.892E-2</v>
      </c>
      <c r="L225" s="10">
        <v>2.8799999999999899E-2</v>
      </c>
      <c r="M225" s="10">
        <v>0.1779</v>
      </c>
      <c r="N225" s="10">
        <v>6.5879999999999897E-2</v>
      </c>
      <c r="O225" s="10">
        <v>0.26079999999999898</v>
      </c>
      <c r="P225" s="10">
        <v>0.873</v>
      </c>
      <c r="Q225" s="10">
        <v>2.117</v>
      </c>
      <c r="R225" s="10">
        <v>19.1999999999999</v>
      </c>
      <c r="S225" s="10">
        <v>6.7149999999999901E-3</v>
      </c>
      <c r="T225" s="10">
        <v>3.705E-2</v>
      </c>
      <c r="U225" s="10">
        <v>4.7570000000000001E-2</v>
      </c>
      <c r="V225" s="10">
        <v>1.051E-2</v>
      </c>
      <c r="W225" s="10">
        <v>1.8380000000000001E-2</v>
      </c>
      <c r="X225" s="10">
        <v>6.8840000000000004E-3</v>
      </c>
      <c r="Y225" s="10">
        <v>14.18</v>
      </c>
      <c r="Z225" s="10">
        <v>23.1299999999999</v>
      </c>
      <c r="AA225" s="10">
        <v>95.23</v>
      </c>
      <c r="AB225" s="10">
        <v>600.5</v>
      </c>
      <c r="AC225" s="10">
        <v>0.14269999999999899</v>
      </c>
      <c r="AD225" s="10">
        <v>0.35930000000000001</v>
      </c>
      <c r="AE225" s="10">
        <v>0.3206</v>
      </c>
      <c r="AF225" s="10">
        <v>9.8040000000000002E-2</v>
      </c>
      <c r="AG225" s="10">
        <v>0.28189999999999898</v>
      </c>
      <c r="AH225">
        <v>0.1118</v>
      </c>
    </row>
    <row r="226" spans="3:34">
      <c r="C226" s="11" t="s">
        <v>525</v>
      </c>
      <c r="D226" s="10" t="s">
        <v>0</v>
      </c>
      <c r="E226" s="10">
        <v>13.71</v>
      </c>
      <c r="F226" s="10">
        <v>23.2899999999999</v>
      </c>
      <c r="G226" s="10">
        <v>93.969999999999899</v>
      </c>
      <c r="H226" s="10">
        <v>664.7</v>
      </c>
      <c r="I226" s="10">
        <v>8.6819999999999897E-2</v>
      </c>
      <c r="J226" s="10">
        <v>6.6360000000000002E-2</v>
      </c>
      <c r="K226" s="10">
        <v>8.3900000000000002E-2</v>
      </c>
      <c r="L226" s="10">
        <v>5.271E-2</v>
      </c>
      <c r="M226" s="10">
        <v>0.16270000000000001</v>
      </c>
      <c r="N226" s="10">
        <v>5.416E-2</v>
      </c>
      <c r="O226" s="10">
        <v>0.41570000000000001</v>
      </c>
      <c r="P226" s="10">
        <v>1.627</v>
      </c>
      <c r="Q226" s="10">
        <v>2.9140000000000001</v>
      </c>
      <c r="R226" s="10">
        <v>33.009999999999899</v>
      </c>
      <c r="S226" s="10">
        <v>8.3119999999999895E-3</v>
      </c>
      <c r="T226" s="10">
        <v>1.7420000000000001E-2</v>
      </c>
      <c r="U226" s="10">
        <v>3.3890000000000003E-2</v>
      </c>
      <c r="V226" s="10">
        <v>1.576E-2</v>
      </c>
      <c r="W226" s="10">
        <v>1.7399999999999902E-2</v>
      </c>
      <c r="X226" s="10">
        <v>2.8709999999999899E-3</v>
      </c>
      <c r="Y226" s="10">
        <v>15.7899999999999</v>
      </c>
      <c r="Z226" s="10">
        <v>31.71</v>
      </c>
      <c r="AA226" s="10">
        <v>102.2</v>
      </c>
      <c r="AB226" s="10">
        <v>758.2</v>
      </c>
      <c r="AC226" s="10">
        <v>0.13120000000000001</v>
      </c>
      <c r="AD226" s="10">
        <v>0.15809999999999899</v>
      </c>
      <c r="AE226" s="10">
        <v>0.26750000000000002</v>
      </c>
      <c r="AF226" s="10">
        <v>0.13589999999999899</v>
      </c>
      <c r="AG226" s="10">
        <v>0.2477</v>
      </c>
      <c r="AH226">
        <v>6.8360000000000004E-2</v>
      </c>
    </row>
    <row r="227" spans="3:34">
      <c r="C227" s="11" t="s">
        <v>526</v>
      </c>
      <c r="D227" s="10" t="s">
        <v>1</v>
      </c>
      <c r="E227" s="10">
        <v>13.71</v>
      </c>
      <c r="F227" s="10">
        <v>14.09</v>
      </c>
      <c r="G227" s="10">
        <v>78.78</v>
      </c>
      <c r="H227" s="10">
        <v>462</v>
      </c>
      <c r="I227" s="10">
        <v>8.1079999999999902E-2</v>
      </c>
      <c r="J227" s="10">
        <v>7.8229999999999897E-2</v>
      </c>
      <c r="K227" s="10">
        <v>6.8390000000000006E-2</v>
      </c>
      <c r="L227" s="10">
        <v>2.5340000000000001E-2</v>
      </c>
      <c r="M227" s="10">
        <v>0.1646</v>
      </c>
      <c r="N227" s="10">
        <v>6.15399999999999E-2</v>
      </c>
      <c r="O227" s="10">
        <v>0.2666</v>
      </c>
      <c r="P227" s="10">
        <v>0.83089999999999897</v>
      </c>
      <c r="Q227" s="10">
        <v>2.097</v>
      </c>
      <c r="R227" s="10">
        <v>19.96</v>
      </c>
      <c r="S227" s="10">
        <v>4.4050000000000001E-3</v>
      </c>
      <c r="T227" s="10">
        <v>3.0259999999999902E-2</v>
      </c>
      <c r="U227" s="10">
        <v>4.3439999999999902E-2</v>
      </c>
      <c r="V227" s="10">
        <v>1.0869999999999901E-2</v>
      </c>
      <c r="W227" s="10">
        <v>1.9210000000000001E-2</v>
      </c>
      <c r="X227" s="10">
        <v>4.6220000000000002E-3</v>
      </c>
      <c r="Y227" s="10">
        <v>13.13</v>
      </c>
      <c r="Z227" s="10">
        <v>19.2899999999999</v>
      </c>
      <c r="AA227" s="10">
        <v>87.65</v>
      </c>
      <c r="AB227" s="10">
        <v>529.89999999999895</v>
      </c>
      <c r="AC227" s="10">
        <v>0.1026</v>
      </c>
      <c r="AD227" s="10">
        <v>0.24310000000000001</v>
      </c>
      <c r="AE227" s="10">
        <v>0.30759999999999899</v>
      </c>
      <c r="AF227" s="10">
        <v>9.1399999999999898E-2</v>
      </c>
      <c r="AG227" s="10">
        <v>0.26769999999999899</v>
      </c>
      <c r="AH227">
        <v>8.8239999999999902E-2</v>
      </c>
    </row>
    <row r="228" spans="3:34">
      <c r="C228" s="11" t="s">
        <v>529</v>
      </c>
      <c r="D228" s="10" t="s">
        <v>0</v>
      </c>
      <c r="E228" s="10">
        <v>13.71</v>
      </c>
      <c r="F228" s="10">
        <v>23.21</v>
      </c>
      <c r="G228" s="10">
        <v>128.9</v>
      </c>
      <c r="H228" s="10">
        <v>1174</v>
      </c>
      <c r="I228" s="10">
        <v>0.10100000000000001</v>
      </c>
      <c r="J228" s="10">
        <v>0.1318</v>
      </c>
      <c r="K228" s="10">
        <v>0.18559999999999899</v>
      </c>
      <c r="L228" s="10">
        <v>0.1021</v>
      </c>
      <c r="M228" s="10">
        <v>0.19889999999999899</v>
      </c>
      <c r="N228" s="10">
        <v>5.8840000000000003E-2</v>
      </c>
      <c r="O228" s="10">
        <v>0.61070000000000002</v>
      </c>
      <c r="P228" s="10">
        <v>2.8359999999999901</v>
      </c>
      <c r="Q228" s="10">
        <v>5.383</v>
      </c>
      <c r="R228" s="10">
        <v>70.099999999999895</v>
      </c>
      <c r="S228" s="10">
        <v>1.124E-2</v>
      </c>
      <c r="T228" s="10">
        <v>4.0969999999999902E-2</v>
      </c>
      <c r="U228" s="10">
        <v>7.4690000000000006E-2</v>
      </c>
      <c r="V228" s="10">
        <v>3.4410000000000003E-2</v>
      </c>
      <c r="W228" s="10">
        <v>2.768E-2</v>
      </c>
      <c r="X228" s="10">
        <v>6.2399999999999903E-3</v>
      </c>
      <c r="Y228" s="10">
        <v>20.82</v>
      </c>
      <c r="Z228" s="10">
        <v>30.44</v>
      </c>
      <c r="AA228" s="10">
        <v>142</v>
      </c>
      <c r="AB228" s="10">
        <v>1313</v>
      </c>
      <c r="AC228" s="10">
        <v>0.12509999999999899</v>
      </c>
      <c r="AD228" s="10">
        <v>0.2414</v>
      </c>
      <c r="AE228" s="10">
        <v>0.38290000000000002</v>
      </c>
      <c r="AF228" s="10">
        <v>0.1825</v>
      </c>
      <c r="AG228" s="10">
        <v>0.2576</v>
      </c>
      <c r="AH228">
        <v>7.6020000000000004E-2</v>
      </c>
    </row>
    <row r="229" spans="3:34">
      <c r="C229" s="11" t="s">
        <v>532</v>
      </c>
      <c r="D229" s="10" t="s">
        <v>0</v>
      </c>
      <c r="E229" s="10">
        <v>13.71</v>
      </c>
      <c r="F229" s="10">
        <v>19.969999999999899</v>
      </c>
      <c r="G229" s="10">
        <v>102.4</v>
      </c>
      <c r="H229" s="10">
        <v>744.7</v>
      </c>
      <c r="I229" s="10">
        <v>0.11600000000000001</v>
      </c>
      <c r="J229" s="10">
        <v>0.15620000000000001</v>
      </c>
      <c r="K229" s="10">
        <v>0.18909999999999899</v>
      </c>
      <c r="L229" s="10">
        <v>9.1130000000000003E-2</v>
      </c>
      <c r="M229" s="10">
        <v>0.19289999999999899</v>
      </c>
      <c r="N229" s="10">
        <v>6.744E-2</v>
      </c>
      <c r="O229" s="10">
        <v>0.64700000000000002</v>
      </c>
      <c r="P229" s="10">
        <v>1.331</v>
      </c>
      <c r="Q229" s="10">
        <v>4.6749999999999901</v>
      </c>
      <c r="R229" s="10">
        <v>66.909999999999897</v>
      </c>
      <c r="S229" s="10">
        <v>7.2690000000000003E-3</v>
      </c>
      <c r="T229" s="10">
        <v>2.928E-2</v>
      </c>
      <c r="U229" s="10">
        <v>4.972E-2</v>
      </c>
      <c r="V229" s="10">
        <v>1.6389999999999901E-2</v>
      </c>
      <c r="W229" s="10">
        <v>1.8519999999999901E-2</v>
      </c>
      <c r="X229" s="10">
        <v>4.2319999999999901E-3</v>
      </c>
      <c r="Y229" s="10">
        <v>21.1999999999999</v>
      </c>
      <c r="Z229" s="10">
        <v>29.41</v>
      </c>
      <c r="AA229" s="10">
        <v>142.099999999999</v>
      </c>
      <c r="AB229" s="10">
        <v>1359</v>
      </c>
      <c r="AC229" s="10">
        <v>0.1681</v>
      </c>
      <c r="AD229" s="10">
        <v>0.39129999999999898</v>
      </c>
      <c r="AE229" s="10">
        <v>0.55530000000000002</v>
      </c>
      <c r="AF229" s="10">
        <v>0.21210000000000001</v>
      </c>
      <c r="AG229" s="10">
        <v>0.31869999999999898</v>
      </c>
      <c r="AH229">
        <v>0.1019</v>
      </c>
    </row>
    <row r="230" spans="3:34">
      <c r="C230" s="11" t="s">
        <v>535</v>
      </c>
      <c r="D230" s="10" t="s">
        <v>1</v>
      </c>
      <c r="E230" s="10">
        <v>13.71</v>
      </c>
      <c r="F230" s="10">
        <v>17.18</v>
      </c>
      <c r="G230" s="10">
        <v>89.75</v>
      </c>
      <c r="H230" s="10">
        <v>609.1</v>
      </c>
      <c r="I230" s="10">
        <v>8.0449999999999897E-2</v>
      </c>
      <c r="J230" s="10">
        <v>5.3609999999999901E-2</v>
      </c>
      <c r="K230" s="10">
        <v>2.681E-2</v>
      </c>
      <c r="L230" s="10">
        <v>3.25099999999999E-2</v>
      </c>
      <c r="M230" s="10">
        <v>0.1641</v>
      </c>
      <c r="N230" s="10">
        <v>5.76399999999999E-2</v>
      </c>
      <c r="O230" s="10">
        <v>0.15040000000000001</v>
      </c>
      <c r="P230" s="10">
        <v>1.6850000000000001</v>
      </c>
      <c r="Q230" s="10">
        <v>1.2370000000000001</v>
      </c>
      <c r="R230" s="10">
        <v>12.67</v>
      </c>
      <c r="S230" s="10">
        <v>5.3709999999999904E-3</v>
      </c>
      <c r="T230" s="10">
        <v>1.273E-2</v>
      </c>
      <c r="U230" s="10">
        <v>1.132E-2</v>
      </c>
      <c r="V230" s="10">
        <v>9.1549999999999895E-3</v>
      </c>
      <c r="W230" s="10">
        <v>1.719E-2</v>
      </c>
      <c r="X230" s="10">
        <v>1.444E-3</v>
      </c>
      <c r="Y230" s="10">
        <v>14.92</v>
      </c>
      <c r="Z230" s="10">
        <v>25.34</v>
      </c>
      <c r="AA230" s="10">
        <v>96.42</v>
      </c>
      <c r="AB230" s="10">
        <v>684.5</v>
      </c>
      <c r="AC230" s="10">
        <v>0.1066</v>
      </c>
      <c r="AD230" s="10">
        <v>0.1231</v>
      </c>
      <c r="AE230" s="10">
        <v>8.4599999999999898E-2</v>
      </c>
      <c r="AF230" s="10">
        <v>7.911E-2</v>
      </c>
      <c r="AG230" s="10">
        <v>0.25230000000000002</v>
      </c>
      <c r="AH230">
        <v>6.6089999999999899E-2</v>
      </c>
    </row>
    <row r="231" spans="3:34">
      <c r="C231" s="11" t="s">
        <v>536</v>
      </c>
      <c r="D231" s="10" t="s">
        <v>1</v>
      </c>
      <c r="E231" s="10">
        <v>13.71</v>
      </c>
      <c r="F231" s="10">
        <v>18.89</v>
      </c>
      <c r="G231" s="10">
        <v>88.099999999999895</v>
      </c>
      <c r="H231" s="10">
        <v>558.1</v>
      </c>
      <c r="I231" s="10">
        <v>0.10589999999999899</v>
      </c>
      <c r="J231" s="10">
        <v>0.1147</v>
      </c>
      <c r="K231" s="10">
        <v>8.5800000000000001E-2</v>
      </c>
      <c r="L231" s="10">
        <v>5.38099999999999E-2</v>
      </c>
      <c r="M231" s="10">
        <v>0.18060000000000001</v>
      </c>
      <c r="N231" s="10">
        <v>6.07899999999999E-2</v>
      </c>
      <c r="O231" s="10">
        <v>0.21360000000000001</v>
      </c>
      <c r="P231" s="10">
        <v>1.3320000000000001</v>
      </c>
      <c r="Q231" s="10">
        <v>1.5129999999999899</v>
      </c>
      <c r="R231" s="10">
        <v>19.2899999999999</v>
      </c>
      <c r="S231" s="10">
        <v>5.4419999999999902E-3</v>
      </c>
      <c r="T231" s="10">
        <v>1.9570000000000001E-2</v>
      </c>
      <c r="U231" s="10">
        <v>3.304E-2</v>
      </c>
      <c r="V231" s="10">
        <v>1.367E-2</v>
      </c>
      <c r="W231" s="10">
        <v>1.315E-2</v>
      </c>
      <c r="X231" s="10">
        <v>2.464E-3</v>
      </c>
      <c r="Y231" s="10">
        <v>14.8</v>
      </c>
      <c r="Z231" s="10">
        <v>27.1999999999999</v>
      </c>
      <c r="AA231" s="10">
        <v>97.329999999999899</v>
      </c>
      <c r="AB231" s="10">
        <v>675.2</v>
      </c>
      <c r="AC231" s="10">
        <v>0.14280000000000001</v>
      </c>
      <c r="AD231" s="10">
        <v>0.25700000000000001</v>
      </c>
      <c r="AE231" s="10">
        <v>0.343799999999999</v>
      </c>
      <c r="AF231" s="10">
        <v>0.14530000000000001</v>
      </c>
      <c r="AG231" s="10">
        <v>0.2666</v>
      </c>
      <c r="AH231">
        <v>7.6859999999999901E-2</v>
      </c>
    </row>
    <row r="232" spans="3:34">
      <c r="C232" s="11" t="s">
        <v>537</v>
      </c>
      <c r="D232" s="10" t="s">
        <v>1</v>
      </c>
      <c r="E232" s="10">
        <v>13.71</v>
      </c>
      <c r="F232" s="10">
        <v>17.46</v>
      </c>
      <c r="G232" s="10">
        <v>83.049999999999898</v>
      </c>
      <c r="H232" s="10">
        <v>508.3</v>
      </c>
      <c r="I232" s="10">
        <v>8.04399999999999E-2</v>
      </c>
      <c r="J232" s="10">
        <v>8.8950000000000001E-2</v>
      </c>
      <c r="K232" s="10">
        <v>7.3899999999999896E-2</v>
      </c>
      <c r="L232" s="10">
        <v>4.0829999999999901E-2</v>
      </c>
      <c r="M232" s="10">
        <v>0.15740000000000001</v>
      </c>
      <c r="N232" s="10">
        <v>5.7500000000000002E-2</v>
      </c>
      <c r="O232" s="10">
        <v>0.3639</v>
      </c>
      <c r="P232" s="10">
        <v>1.2649999999999899</v>
      </c>
      <c r="Q232" s="10">
        <v>2.6680000000000001</v>
      </c>
      <c r="R232" s="10">
        <v>30.57</v>
      </c>
      <c r="S232" s="10">
        <v>5.4209999999999901E-3</v>
      </c>
      <c r="T232" s="10">
        <v>3.4770000000000002E-2</v>
      </c>
      <c r="U232" s="10">
        <v>4.54499999999999E-2</v>
      </c>
      <c r="V232" s="10">
        <v>1.384E-2</v>
      </c>
      <c r="W232" s="10">
        <v>1.8689999999999901E-2</v>
      </c>
      <c r="X232" s="10">
        <v>4.0670000000000003E-3</v>
      </c>
      <c r="Y232" s="10">
        <v>13.74</v>
      </c>
      <c r="Z232" s="10">
        <v>21.059999999999899</v>
      </c>
      <c r="AA232" s="10">
        <v>90.719999999999899</v>
      </c>
      <c r="AB232" s="10">
        <v>591</v>
      </c>
      <c r="AC232" s="10">
        <v>9.5339999999999897E-2</v>
      </c>
      <c r="AD232" s="10">
        <v>0.1812</v>
      </c>
      <c r="AE232" s="10">
        <v>0.19009999999999899</v>
      </c>
      <c r="AF232" s="10">
        <v>8.2960000000000006E-2</v>
      </c>
      <c r="AG232" s="10">
        <v>0.1988</v>
      </c>
      <c r="AH232">
        <v>7.0529999999999898E-2</v>
      </c>
    </row>
    <row r="233" spans="3:34">
      <c r="C233" s="11" t="s">
        <v>538</v>
      </c>
      <c r="D233" s="10" t="s">
        <v>1</v>
      </c>
      <c r="E233" s="10">
        <v>13.71</v>
      </c>
      <c r="F233" s="10">
        <v>14.83</v>
      </c>
      <c r="G233" s="10">
        <v>70.31</v>
      </c>
      <c r="H233" s="10">
        <v>378.19999999999902</v>
      </c>
      <c r="I233" s="10">
        <v>7.7410000000000007E-2</v>
      </c>
      <c r="J233" s="10">
        <v>4.768E-2</v>
      </c>
      <c r="K233" s="10">
        <v>2.7119999999999901E-2</v>
      </c>
      <c r="L233" s="10">
        <v>7.2459999999999903E-3</v>
      </c>
      <c r="M233" s="10">
        <v>0.1535</v>
      </c>
      <c r="N233" s="10">
        <v>6.2140000000000001E-2</v>
      </c>
      <c r="O233" s="10">
        <v>0.1855</v>
      </c>
      <c r="P233" s="10">
        <v>0.68810000000000004</v>
      </c>
      <c r="Q233" s="10">
        <v>1.2629999999999899</v>
      </c>
      <c r="R233" s="10">
        <v>12.98</v>
      </c>
      <c r="S233" s="10">
        <v>4.2589999999999902E-3</v>
      </c>
      <c r="T233" s="10">
        <v>1.469E-2</v>
      </c>
      <c r="U233" s="10">
        <v>1.9400000000000001E-2</v>
      </c>
      <c r="V233" s="10">
        <v>4.1679999999999903E-3</v>
      </c>
      <c r="W233" s="10">
        <v>1.191E-2</v>
      </c>
      <c r="X233" s="10">
        <v>3.5370000000000002E-3</v>
      </c>
      <c r="Y233" s="10">
        <v>12.68</v>
      </c>
      <c r="Z233" s="10">
        <v>20.350000000000001</v>
      </c>
      <c r="AA233" s="10">
        <v>80.790000000000006</v>
      </c>
      <c r="AB233" s="10">
        <v>496.69999999999902</v>
      </c>
      <c r="AC233" s="10">
        <v>0.112</v>
      </c>
      <c r="AD233" s="10">
        <v>0.18790000000000001</v>
      </c>
      <c r="AE233" s="10">
        <v>0.2079</v>
      </c>
      <c r="AF233" s="10">
        <v>5.5559999999999901E-2</v>
      </c>
      <c r="AG233" s="10">
        <v>0.25900000000000001</v>
      </c>
      <c r="AH233">
        <v>9.1579999999999898E-2</v>
      </c>
    </row>
    <row r="234" spans="3:34">
      <c r="C234" s="11" t="s">
        <v>539</v>
      </c>
      <c r="D234" s="10" t="s">
        <v>1</v>
      </c>
      <c r="E234" s="10">
        <v>13.71</v>
      </c>
      <c r="F234" s="10">
        <v>17.260000000000002</v>
      </c>
      <c r="G234" s="10">
        <v>75.260000000000005</v>
      </c>
      <c r="H234" s="10">
        <v>431.89999999999901</v>
      </c>
      <c r="I234" s="10">
        <v>9.0870000000000006E-2</v>
      </c>
      <c r="J234" s="10">
        <v>6.232E-2</v>
      </c>
      <c r="K234" s="10">
        <v>2.853E-2</v>
      </c>
      <c r="L234" s="10">
        <v>1.6379999999999902E-2</v>
      </c>
      <c r="M234" s="10">
        <v>0.1847</v>
      </c>
      <c r="N234" s="10">
        <v>6.019E-2</v>
      </c>
      <c r="O234" s="10">
        <v>0.343799999999999</v>
      </c>
      <c r="P234" s="10">
        <v>1.1399999999999899</v>
      </c>
      <c r="Q234" s="10">
        <v>2.2250000000000001</v>
      </c>
      <c r="R234" s="10">
        <v>25.059999999999899</v>
      </c>
      <c r="S234" s="10">
        <v>5.463E-3</v>
      </c>
      <c r="T234" s="10">
        <v>1.9640000000000001E-2</v>
      </c>
      <c r="U234" s="10">
        <v>2.0789999999999899E-2</v>
      </c>
      <c r="V234" s="10">
        <v>5.398E-3</v>
      </c>
      <c r="W234" s="10">
        <v>1.477E-2</v>
      </c>
      <c r="X234" s="10">
        <v>3.07099999999999E-3</v>
      </c>
      <c r="Y234" s="10">
        <v>13.4499999999999</v>
      </c>
      <c r="Z234" s="10">
        <v>24.489999999999899</v>
      </c>
      <c r="AA234" s="10">
        <v>86</v>
      </c>
      <c r="AB234" s="10">
        <v>562</v>
      </c>
      <c r="AC234" s="10">
        <v>0.1244</v>
      </c>
      <c r="AD234" s="10">
        <v>0.1726</v>
      </c>
      <c r="AE234" s="10">
        <v>0.1449</v>
      </c>
      <c r="AF234" s="10">
        <v>5.3560000000000003E-2</v>
      </c>
      <c r="AG234" s="10">
        <v>0.27789999999999898</v>
      </c>
      <c r="AH234">
        <v>8.1210000000000004E-2</v>
      </c>
    </row>
    <row r="235" spans="3:34">
      <c r="C235" s="11" t="s">
        <v>541</v>
      </c>
      <c r="D235" s="10" t="s">
        <v>1</v>
      </c>
      <c r="E235" s="10">
        <v>13.71</v>
      </c>
      <c r="F235" s="10">
        <v>10.91</v>
      </c>
      <c r="G235" s="10">
        <v>76.14</v>
      </c>
      <c r="H235" s="10">
        <v>442.69999999999902</v>
      </c>
      <c r="I235" s="10">
        <v>8.8719999999999896E-2</v>
      </c>
      <c r="J235" s="10">
        <v>5.2420000000000001E-2</v>
      </c>
      <c r="K235" s="10">
        <v>2.606E-2</v>
      </c>
      <c r="L235" s="10">
        <v>1.796E-2</v>
      </c>
      <c r="M235" s="10">
        <v>0.16009999999999899</v>
      </c>
      <c r="N235" s="10">
        <v>5.5410000000000001E-2</v>
      </c>
      <c r="O235" s="10">
        <v>0.25219999999999898</v>
      </c>
      <c r="P235" s="10">
        <v>1.0449999999999899</v>
      </c>
      <c r="Q235" s="10">
        <v>1.649</v>
      </c>
      <c r="R235" s="10">
        <v>18.9499999999999</v>
      </c>
      <c r="S235" s="10">
        <v>6.1749999999999904E-3</v>
      </c>
      <c r="T235" s="10">
        <v>1.204E-2</v>
      </c>
      <c r="U235" s="10">
        <v>1.376E-2</v>
      </c>
      <c r="V235" s="10">
        <v>5.8320000000000004E-3</v>
      </c>
      <c r="W235" s="10">
        <v>1.09599999999999E-2</v>
      </c>
      <c r="X235" s="10">
        <v>1.85699999999999E-3</v>
      </c>
      <c r="Y235" s="10">
        <v>13.8</v>
      </c>
      <c r="Z235" s="10">
        <v>20.14</v>
      </c>
      <c r="AA235" s="10">
        <v>87.64</v>
      </c>
      <c r="AB235" s="10">
        <v>589.5</v>
      </c>
      <c r="AC235" s="10">
        <v>0.137399999999999</v>
      </c>
      <c r="AD235" s="10">
        <v>0.1575</v>
      </c>
      <c r="AE235" s="10">
        <v>0.15140000000000001</v>
      </c>
      <c r="AF235" s="10">
        <v>6.8760000000000002E-2</v>
      </c>
      <c r="AG235" s="10">
        <v>0.246</v>
      </c>
      <c r="AH235">
        <v>7.2620000000000004E-2</v>
      </c>
    </row>
    <row r="236" spans="3:34">
      <c r="C236" s="11" t="s">
        <v>543</v>
      </c>
      <c r="D236" s="10" t="s">
        <v>1</v>
      </c>
      <c r="E236" s="10">
        <v>13.71</v>
      </c>
      <c r="F236" s="10">
        <v>16.170000000000002</v>
      </c>
      <c r="G236" s="10">
        <v>83.18</v>
      </c>
      <c r="H236" s="10">
        <v>507.6</v>
      </c>
      <c r="I236" s="10">
        <v>9.8790000000000003E-2</v>
      </c>
      <c r="J236" s="10">
        <v>8.8359999999999897E-2</v>
      </c>
      <c r="K236" s="10">
        <v>3.2960000000000003E-2</v>
      </c>
      <c r="L236" s="10">
        <v>2.3900000000000001E-2</v>
      </c>
      <c r="M236" s="10">
        <v>0.17349999999999899</v>
      </c>
      <c r="N236" s="10">
        <v>6.2E-2</v>
      </c>
      <c r="O236" s="10">
        <v>0.14580000000000001</v>
      </c>
      <c r="P236" s="10">
        <v>0.90500000000000003</v>
      </c>
      <c r="Q236" s="10">
        <v>0.99750000000000005</v>
      </c>
      <c r="R236" s="10">
        <v>11.3599999999999</v>
      </c>
      <c r="S236" s="10">
        <v>2.8869999999999898E-3</v>
      </c>
      <c r="T236" s="10">
        <v>1.285E-2</v>
      </c>
      <c r="U236" s="10">
        <v>1.6129999999999901E-2</v>
      </c>
      <c r="V236" s="10">
        <v>7.3080000000000003E-3</v>
      </c>
      <c r="W236" s="10">
        <v>1.8700000000000001E-2</v>
      </c>
      <c r="X236" s="10">
        <v>1.9719999999999898E-3</v>
      </c>
      <c r="Y236" s="10">
        <v>13.8599999999999</v>
      </c>
      <c r="Z236" s="10">
        <v>23.02</v>
      </c>
      <c r="AA236" s="10">
        <v>89.689999999999898</v>
      </c>
      <c r="AB236" s="10">
        <v>580.89999999999895</v>
      </c>
      <c r="AC236" s="10">
        <v>0.1172</v>
      </c>
      <c r="AD236" s="10">
        <v>0.1958</v>
      </c>
      <c r="AE236" s="10">
        <v>0.180999999999999</v>
      </c>
      <c r="AF236" s="10">
        <v>8.3879999999999899E-2</v>
      </c>
      <c r="AG236" s="10">
        <v>0.32969999999999899</v>
      </c>
      <c r="AH236">
        <v>7.8340000000000007E-2</v>
      </c>
    </row>
    <row r="237" spans="3:34">
      <c r="C237" s="11" t="s">
        <v>547</v>
      </c>
      <c r="D237" s="10" t="s">
        <v>1</v>
      </c>
      <c r="E237" s="10">
        <v>13.71</v>
      </c>
      <c r="F237" s="10">
        <v>21.37</v>
      </c>
      <c r="G237" s="10">
        <v>82.629999999999896</v>
      </c>
      <c r="H237" s="10">
        <v>514.5</v>
      </c>
      <c r="I237" s="10">
        <v>7.5509999999999897E-2</v>
      </c>
      <c r="J237" s="10">
        <v>8.3159999999999901E-2</v>
      </c>
      <c r="K237" s="10">
        <v>6.1260000000000002E-2</v>
      </c>
      <c r="L237" s="10">
        <v>1.8669999999999898E-2</v>
      </c>
      <c r="M237" s="10">
        <v>0.158</v>
      </c>
      <c r="N237" s="10">
        <v>6.114E-2</v>
      </c>
      <c r="O237" s="10">
        <v>0.49930000000000002</v>
      </c>
      <c r="P237" s="10">
        <v>1.798</v>
      </c>
      <c r="Q237" s="10">
        <v>2.552</v>
      </c>
      <c r="R237" s="10">
        <v>41.24</v>
      </c>
      <c r="S237" s="10">
        <v>6.0109999999999903E-3</v>
      </c>
      <c r="T237" s="10">
        <v>4.48E-2</v>
      </c>
      <c r="U237" s="10">
        <v>5.17499999999999E-2</v>
      </c>
      <c r="V237" s="10">
        <v>1.341E-2</v>
      </c>
      <c r="W237" s="10">
        <v>2.6689999999999901E-2</v>
      </c>
      <c r="X237" s="10">
        <v>7.731E-3</v>
      </c>
      <c r="Y237" s="10">
        <v>14.4</v>
      </c>
      <c r="Z237" s="10">
        <v>27.01</v>
      </c>
      <c r="AA237" s="10">
        <v>91.629999999999896</v>
      </c>
      <c r="AB237" s="10">
        <v>645.79999999999905</v>
      </c>
      <c r="AC237" s="10">
        <v>9.4020000000000006E-2</v>
      </c>
      <c r="AD237" s="10">
        <v>0.193599999999999</v>
      </c>
      <c r="AE237" s="10">
        <v>0.18379999999999899</v>
      </c>
      <c r="AF237" s="10">
        <v>5.60099999999999E-2</v>
      </c>
      <c r="AG237" s="10">
        <v>0.24879999999999899</v>
      </c>
      <c r="AH237">
        <v>8.1509999999999902E-2</v>
      </c>
    </row>
    <row r="238" spans="3:34">
      <c r="C238" s="11" t="s">
        <v>548</v>
      </c>
      <c r="D238" s="10" t="s">
        <v>0</v>
      </c>
      <c r="E238" s="10">
        <v>13.71</v>
      </c>
      <c r="F238" s="10">
        <v>20.66</v>
      </c>
      <c r="G238" s="10">
        <v>117.8</v>
      </c>
      <c r="H238" s="10">
        <v>991.7</v>
      </c>
      <c r="I238" s="10">
        <v>0.1036</v>
      </c>
      <c r="J238" s="10">
        <v>0.13039999999999899</v>
      </c>
      <c r="K238" s="10">
        <v>0.1201</v>
      </c>
      <c r="L238" s="10">
        <v>8.8239999999999902E-2</v>
      </c>
      <c r="M238" s="10">
        <v>0.19919999999999899</v>
      </c>
      <c r="N238" s="10">
        <v>6.0690000000000001E-2</v>
      </c>
      <c r="O238" s="10">
        <v>0.45369999999999899</v>
      </c>
      <c r="P238" s="10">
        <v>0.87329999999999897</v>
      </c>
      <c r="Q238" s="10">
        <v>3.0609999999999902</v>
      </c>
      <c r="R238" s="10">
        <v>49.81</v>
      </c>
      <c r="S238" s="10">
        <v>7.23099999999999E-3</v>
      </c>
      <c r="T238" s="10">
        <v>2.7720000000000002E-2</v>
      </c>
      <c r="U238" s="10">
        <v>2.5090000000000001E-2</v>
      </c>
      <c r="V238" s="10">
        <v>1.4800000000000001E-2</v>
      </c>
      <c r="W238" s="10">
        <v>1.414E-2</v>
      </c>
      <c r="X238" s="10">
        <v>3.336E-3</v>
      </c>
      <c r="Y238" s="10">
        <v>21.079999999999899</v>
      </c>
      <c r="Z238" s="10">
        <v>25.41</v>
      </c>
      <c r="AA238" s="10">
        <v>138.099999999999</v>
      </c>
      <c r="AB238" s="10">
        <v>1349</v>
      </c>
      <c r="AC238" s="10">
        <v>0.1482</v>
      </c>
      <c r="AD238" s="10">
        <v>0.3735</v>
      </c>
      <c r="AE238" s="10">
        <v>0.3301</v>
      </c>
      <c r="AF238" s="10">
        <v>0.19739999999999899</v>
      </c>
      <c r="AG238" s="10">
        <v>0.305999999999999</v>
      </c>
      <c r="AH238">
        <v>8.5029999999999897E-2</v>
      </c>
    </row>
    <row r="239" spans="3:34">
      <c r="C239" s="11" t="s">
        <v>551</v>
      </c>
      <c r="D239" s="10" t="s">
        <v>1</v>
      </c>
      <c r="E239" s="10">
        <v>13.71</v>
      </c>
      <c r="F239" s="10">
        <v>16.829999999999899</v>
      </c>
      <c r="G239" s="10">
        <v>70.92</v>
      </c>
      <c r="H239" s="10">
        <v>373.19999999999902</v>
      </c>
      <c r="I239" s="10">
        <v>0.1077</v>
      </c>
      <c r="J239" s="10">
        <v>7.8039999999999901E-2</v>
      </c>
      <c r="K239" s="10">
        <v>3.0460000000000001E-2</v>
      </c>
      <c r="L239" s="10">
        <v>2.4799999999999899E-2</v>
      </c>
      <c r="M239" s="10">
        <v>0.1714</v>
      </c>
      <c r="N239" s="10">
        <v>6.3399999999999901E-2</v>
      </c>
      <c r="O239" s="10">
        <v>0.19670000000000001</v>
      </c>
      <c r="P239" s="10">
        <v>1.387</v>
      </c>
      <c r="Q239" s="10">
        <v>1.3420000000000001</v>
      </c>
      <c r="R239" s="10">
        <v>13.5399999999999</v>
      </c>
      <c r="S239" s="10">
        <v>5.1580000000000003E-3</v>
      </c>
      <c r="T239" s="10">
        <v>9.3550000000000005E-3</v>
      </c>
      <c r="U239" s="10">
        <v>1.056E-2</v>
      </c>
      <c r="V239" s="10">
        <v>7.4830000000000001E-3</v>
      </c>
      <c r="W239" s="10">
        <v>1.7180000000000001E-2</v>
      </c>
      <c r="X239" s="10">
        <v>2.1979999999999899E-3</v>
      </c>
      <c r="Y239" s="10">
        <v>12.41</v>
      </c>
      <c r="Z239" s="10">
        <v>26.44</v>
      </c>
      <c r="AA239" s="10">
        <v>79.930000000000007</v>
      </c>
      <c r="AB239" s="10">
        <v>471.39999999999901</v>
      </c>
      <c r="AC239" s="10">
        <v>0.13689999999999899</v>
      </c>
      <c r="AD239" s="10">
        <v>0.1482</v>
      </c>
      <c r="AE239" s="10">
        <v>0.1067</v>
      </c>
      <c r="AF239" s="10">
        <v>7.4310000000000001E-2</v>
      </c>
      <c r="AG239" s="10">
        <v>0.29980000000000001</v>
      </c>
      <c r="AH239">
        <v>7.8810000000000005E-2</v>
      </c>
    </row>
    <row r="240" spans="3:34">
      <c r="C240" s="11" t="s">
        <v>552</v>
      </c>
      <c r="D240" s="10" t="s">
        <v>1</v>
      </c>
      <c r="E240" s="10">
        <v>13.71</v>
      </c>
      <c r="F240" s="10">
        <v>21.68</v>
      </c>
      <c r="G240" s="10">
        <v>59.75</v>
      </c>
      <c r="H240" s="10">
        <v>268.8</v>
      </c>
      <c r="I240" s="10">
        <v>7.96899999999999E-2</v>
      </c>
      <c r="J240" s="10">
        <v>6.053E-2</v>
      </c>
      <c r="K240" s="10">
        <v>3.7350000000000001E-2</v>
      </c>
      <c r="L240" s="10">
        <v>5.1279999999999902E-3</v>
      </c>
      <c r="M240" s="10">
        <v>0.12740000000000001</v>
      </c>
      <c r="N240" s="10">
        <v>6.7239999999999897E-2</v>
      </c>
      <c r="O240" s="10">
        <v>0.1186</v>
      </c>
      <c r="P240" s="10">
        <v>1.1819999999999899</v>
      </c>
      <c r="Q240" s="10">
        <v>1.1739999999999899</v>
      </c>
      <c r="R240" s="10">
        <v>6.8019999999999898</v>
      </c>
      <c r="S240" s="10">
        <v>5.5149999999999904E-3</v>
      </c>
      <c r="T240" s="10">
        <v>2.674E-2</v>
      </c>
      <c r="U240" s="10">
        <v>3.7350000000000001E-2</v>
      </c>
      <c r="V240" s="10">
        <v>5.1279999999999902E-3</v>
      </c>
      <c r="W240" s="10">
        <v>1.951E-2</v>
      </c>
      <c r="X240" s="10">
        <v>4.5830000000000003E-3</v>
      </c>
      <c r="Y240" s="10">
        <v>9.9649999999999892</v>
      </c>
      <c r="Z240" s="10">
        <v>27.989999999999899</v>
      </c>
      <c r="AA240" s="10">
        <v>66.6099999999999</v>
      </c>
      <c r="AB240" s="10">
        <v>301</v>
      </c>
      <c r="AC240" s="10">
        <v>0.1086</v>
      </c>
      <c r="AD240" s="10">
        <v>0.18870000000000001</v>
      </c>
      <c r="AE240" s="10">
        <v>0.18679999999999899</v>
      </c>
      <c r="AF240" s="10">
        <v>2.564E-2</v>
      </c>
      <c r="AG240" s="10">
        <v>0.23760000000000001</v>
      </c>
      <c r="AH240">
        <v>9.2060000000000003E-2</v>
      </c>
    </row>
    <row r="241" spans="3:34">
      <c r="C241" s="11" t="s">
        <v>553</v>
      </c>
      <c r="D241" s="10" t="s">
        <v>1</v>
      </c>
      <c r="E241" s="10">
        <v>13.71</v>
      </c>
      <c r="F241" s="10">
        <v>22.1099999999999</v>
      </c>
      <c r="G241" s="10">
        <v>97.53</v>
      </c>
      <c r="H241" s="10">
        <v>693.7</v>
      </c>
      <c r="I241" s="10">
        <v>8.5150000000000003E-2</v>
      </c>
      <c r="J241" s="10">
        <v>0.10249999999999899</v>
      </c>
      <c r="K241" s="10">
        <v>6.8589999999999901E-2</v>
      </c>
      <c r="L241" s="10">
        <v>3.8760000000000003E-2</v>
      </c>
      <c r="M241" s="10">
        <v>0.19439999999999899</v>
      </c>
      <c r="N241" s="10">
        <v>5.9130000000000002E-2</v>
      </c>
      <c r="O241" s="10">
        <v>0.318599999999999</v>
      </c>
      <c r="P241" s="10">
        <v>1.3360000000000001</v>
      </c>
      <c r="Q241" s="10">
        <v>2.31</v>
      </c>
      <c r="R241" s="10">
        <v>28.51</v>
      </c>
      <c r="S241" s="10">
        <v>4.4489999999999903E-3</v>
      </c>
      <c r="T241" s="10">
        <v>2.8080000000000001E-2</v>
      </c>
      <c r="U241" s="10">
        <v>3.31199999999999E-2</v>
      </c>
      <c r="V241" s="10">
        <v>1.196E-2</v>
      </c>
      <c r="W241" s="10">
        <v>1.9060000000000001E-2</v>
      </c>
      <c r="X241" s="10">
        <v>4.0150000000000003E-3</v>
      </c>
      <c r="Y241" s="10">
        <v>16.760000000000002</v>
      </c>
      <c r="Z241" s="10">
        <v>31.55</v>
      </c>
      <c r="AA241" s="10">
        <v>110.2</v>
      </c>
      <c r="AB241" s="10">
        <v>867.1</v>
      </c>
      <c r="AC241" s="10">
        <v>0.1077</v>
      </c>
      <c r="AD241" s="10">
        <v>0.33450000000000002</v>
      </c>
      <c r="AE241" s="10">
        <v>0.31140000000000001</v>
      </c>
      <c r="AF241" s="10">
        <v>0.1308</v>
      </c>
      <c r="AG241" s="10">
        <v>0.31630000000000003</v>
      </c>
      <c r="AH241">
        <v>9.2509999999999898E-2</v>
      </c>
    </row>
    <row r="242" spans="3:34">
      <c r="C242" s="11" t="s">
        <v>554</v>
      </c>
      <c r="D242" s="10" t="s">
        <v>0</v>
      </c>
      <c r="E242" s="10">
        <v>13.71</v>
      </c>
      <c r="F242" s="10">
        <v>29.809999999999899</v>
      </c>
      <c r="G242" s="10">
        <v>96.709999999999894</v>
      </c>
      <c r="H242" s="10">
        <v>719.5</v>
      </c>
      <c r="I242" s="10">
        <v>8.3199999999999899E-2</v>
      </c>
      <c r="J242" s="10">
        <v>4.6050000000000001E-2</v>
      </c>
      <c r="K242" s="10">
        <v>4.6859999999999902E-2</v>
      </c>
      <c r="L242" s="10">
        <v>2.7390000000000001E-2</v>
      </c>
      <c r="M242" s="10">
        <v>0.1852</v>
      </c>
      <c r="N242" s="10">
        <v>5.2940000000000001E-2</v>
      </c>
      <c r="O242" s="10">
        <v>0.46810000000000002</v>
      </c>
      <c r="P242" s="10">
        <v>1.627</v>
      </c>
      <c r="Q242" s="10">
        <v>3.0430000000000001</v>
      </c>
      <c r="R242" s="10">
        <v>45.38</v>
      </c>
      <c r="S242" s="10">
        <v>6.8310000000000003E-3</v>
      </c>
      <c r="T242" s="10">
        <v>1.427E-2</v>
      </c>
      <c r="U242" s="10">
        <v>2.4889999999999898E-2</v>
      </c>
      <c r="V242" s="10">
        <v>9.0869999999999892E-3</v>
      </c>
      <c r="W242" s="10">
        <v>3.1510000000000003E-2</v>
      </c>
      <c r="X242" s="10">
        <v>1.75E-3</v>
      </c>
      <c r="Y242" s="10">
        <v>17.260000000000002</v>
      </c>
      <c r="Z242" s="10">
        <v>36.909999999999897</v>
      </c>
      <c r="AA242" s="10">
        <v>110.099999999999</v>
      </c>
      <c r="AB242" s="10">
        <v>931.39999999999895</v>
      </c>
      <c r="AC242" s="10">
        <v>0.1148</v>
      </c>
      <c r="AD242" s="10">
        <v>9.8659999999999901E-2</v>
      </c>
      <c r="AE242" s="10">
        <v>0.1547</v>
      </c>
      <c r="AF242" s="10">
        <v>6.5750000000000003E-2</v>
      </c>
      <c r="AG242" s="10">
        <v>0.32329999999999898</v>
      </c>
      <c r="AH242">
        <v>6.1650000000000003E-2</v>
      </c>
    </row>
    <row r="243" spans="3:34">
      <c r="C243" s="11" t="s">
        <v>555</v>
      </c>
      <c r="D243" s="10" t="s">
        <v>1</v>
      </c>
      <c r="E243" s="10">
        <v>13.71</v>
      </c>
      <c r="F243" s="10">
        <v>21.17</v>
      </c>
      <c r="G243" s="10">
        <v>76.39</v>
      </c>
      <c r="H243" s="10">
        <v>433.8</v>
      </c>
      <c r="I243" s="10">
        <v>9.77299999999999E-2</v>
      </c>
      <c r="J243" s="10">
        <v>8.1199999999999897E-2</v>
      </c>
      <c r="K243" s="10">
        <v>2.555E-2</v>
      </c>
      <c r="L243" s="10">
        <v>2.179E-2</v>
      </c>
      <c r="M243" s="10">
        <v>0.2019</v>
      </c>
      <c r="N243" s="10">
        <v>6.28999999999999E-2</v>
      </c>
      <c r="O243" s="10">
        <v>0.2747</v>
      </c>
      <c r="P243" s="10">
        <v>1.2030000000000001</v>
      </c>
      <c r="Q243" s="10">
        <v>1.9299999999999899</v>
      </c>
      <c r="R243" s="10">
        <v>19.53</v>
      </c>
      <c r="S243" s="10">
        <v>9.8949999999999906E-3</v>
      </c>
      <c r="T243" s="10">
        <v>3.0530000000000002E-2</v>
      </c>
      <c r="U243" s="10">
        <v>1.6299999999999901E-2</v>
      </c>
      <c r="V243" s="10">
        <v>9.2759999999999908E-3</v>
      </c>
      <c r="W243" s="10">
        <v>2.2579999999999899E-2</v>
      </c>
      <c r="X243" s="10">
        <v>2.2720000000000001E-3</v>
      </c>
      <c r="Y243" s="10">
        <v>13.05</v>
      </c>
      <c r="Z243" s="10">
        <v>27.21</v>
      </c>
      <c r="AA243" s="10">
        <v>85.09</v>
      </c>
      <c r="AB243" s="10">
        <v>522.89999999999895</v>
      </c>
      <c r="AC243" s="10">
        <v>0.1426</v>
      </c>
      <c r="AD243" s="10">
        <v>0.21870000000000001</v>
      </c>
      <c r="AE243" s="10">
        <v>0.1164</v>
      </c>
      <c r="AF243" s="10">
        <v>8.2629999999999898E-2</v>
      </c>
      <c r="AG243" s="10">
        <v>0.3075</v>
      </c>
      <c r="AH243">
        <v>7.3510000000000006E-2</v>
      </c>
    </row>
    <row r="244" spans="3:34">
      <c r="C244" s="11" t="s">
        <v>557</v>
      </c>
      <c r="D244" s="10" t="s">
        <v>0</v>
      </c>
      <c r="E244" s="10">
        <v>13.71</v>
      </c>
      <c r="F244" s="10">
        <v>21.079999999999899</v>
      </c>
      <c r="G244" s="10">
        <v>102.9</v>
      </c>
      <c r="H244" s="10">
        <v>803.1</v>
      </c>
      <c r="I244" s="10">
        <v>0.112</v>
      </c>
      <c r="J244" s="10">
        <v>0.15709999999999899</v>
      </c>
      <c r="K244" s="10">
        <v>0.1522</v>
      </c>
      <c r="L244" s="10">
        <v>8.4809999999999899E-2</v>
      </c>
      <c r="M244" s="10">
        <v>0.20849999999999899</v>
      </c>
      <c r="N244" s="10">
        <v>6.8640000000000007E-2</v>
      </c>
      <c r="O244" s="10">
        <v>1.37</v>
      </c>
      <c r="P244" s="10">
        <v>1.2130000000000001</v>
      </c>
      <c r="Q244" s="10">
        <v>9.4239999999999906</v>
      </c>
      <c r="R244" s="10">
        <v>176.5</v>
      </c>
      <c r="S244" s="10">
        <v>8.1980000000000004E-3</v>
      </c>
      <c r="T244" s="10">
        <v>3.8890000000000001E-2</v>
      </c>
      <c r="U244" s="10">
        <v>4.4929999999999901E-2</v>
      </c>
      <c r="V244" s="10">
        <v>2.1389999999999899E-2</v>
      </c>
      <c r="W244" s="10">
        <v>2.018E-2</v>
      </c>
      <c r="X244" s="10">
        <v>5.8149999999999903E-3</v>
      </c>
      <c r="Y244" s="10">
        <v>23.17</v>
      </c>
      <c r="Z244" s="10">
        <v>27.649999999999899</v>
      </c>
      <c r="AA244" s="10">
        <v>157.099999999999</v>
      </c>
      <c r="AB244" s="10">
        <v>1748</v>
      </c>
      <c r="AC244" s="10">
        <v>0.1517</v>
      </c>
      <c r="AD244" s="10">
        <v>0.4002</v>
      </c>
      <c r="AE244" s="10">
        <v>0.42109999999999898</v>
      </c>
      <c r="AF244" s="10">
        <v>0.21340000000000001</v>
      </c>
      <c r="AG244" s="10">
        <v>0.30030000000000001</v>
      </c>
      <c r="AH244">
        <v>0.1048</v>
      </c>
    </row>
    <row r="245" spans="3:34">
      <c r="C245" s="11" t="s">
        <v>559</v>
      </c>
      <c r="D245" s="10" t="s">
        <v>1</v>
      </c>
      <c r="E245" s="10">
        <v>13.71</v>
      </c>
      <c r="F245" s="10">
        <v>21.41</v>
      </c>
      <c r="G245" s="10">
        <v>70.95</v>
      </c>
      <c r="H245" s="10">
        <v>380.3</v>
      </c>
      <c r="I245" s="10">
        <v>0.1018</v>
      </c>
      <c r="J245" s="10">
        <v>5.978E-2</v>
      </c>
      <c r="K245" s="10">
        <v>8.9549999999999907E-3</v>
      </c>
      <c r="L245" s="10">
        <v>1.076E-2</v>
      </c>
      <c r="M245" s="10">
        <v>0.1615</v>
      </c>
      <c r="N245" s="10">
        <v>6.1440000000000002E-2</v>
      </c>
      <c r="O245" s="10">
        <v>0.28649999999999898</v>
      </c>
      <c r="P245" s="10">
        <v>1.6779999999999899</v>
      </c>
      <c r="Q245" s="10">
        <v>1.968</v>
      </c>
      <c r="R245" s="10">
        <v>18.989999999999899</v>
      </c>
      <c r="S245" s="10">
        <v>6.9080000000000001E-3</v>
      </c>
      <c r="T245" s="10">
        <v>9.4420000000000007E-3</v>
      </c>
      <c r="U245" s="10">
        <v>6.9719999999999904E-3</v>
      </c>
      <c r="V245" s="10">
        <v>6.1590000000000004E-3</v>
      </c>
      <c r="W245" s="10">
        <v>2.6939999999999902E-2</v>
      </c>
      <c r="X245" s="10">
        <v>2.0600000000000002E-3</v>
      </c>
      <c r="Y245" s="10">
        <v>12.3599999999999</v>
      </c>
      <c r="Z245" s="10">
        <v>28.92</v>
      </c>
      <c r="AA245" s="10">
        <v>79.260000000000005</v>
      </c>
      <c r="AB245" s="10">
        <v>458</v>
      </c>
      <c r="AC245" s="10">
        <v>0.12820000000000001</v>
      </c>
      <c r="AD245" s="10">
        <v>0.1108</v>
      </c>
      <c r="AE245" s="10">
        <v>3.5819999999999901E-2</v>
      </c>
      <c r="AF245" s="10">
        <v>4.3060000000000001E-2</v>
      </c>
      <c r="AG245" s="10">
        <v>0.29759999999999898</v>
      </c>
      <c r="AH245">
        <v>7.1230000000000002E-2</v>
      </c>
    </row>
    <row r="246" spans="3:34">
      <c r="C246" s="11" t="s">
        <v>566</v>
      </c>
      <c r="D246" s="10" t="s">
        <v>1</v>
      </c>
      <c r="E246" s="10">
        <v>13.71</v>
      </c>
      <c r="F246" s="10">
        <v>14.98</v>
      </c>
      <c r="G246" s="10">
        <v>67.489999999999895</v>
      </c>
      <c r="H246" s="10">
        <v>333.6</v>
      </c>
      <c r="I246" s="10">
        <v>9.81599999999999E-2</v>
      </c>
      <c r="J246" s="10">
        <v>0.1013</v>
      </c>
      <c r="K246" s="10">
        <v>6.3350000000000004E-2</v>
      </c>
      <c r="L246" s="10">
        <v>2.2179999999999901E-2</v>
      </c>
      <c r="M246" s="10">
        <v>0.1925</v>
      </c>
      <c r="N246" s="10">
        <v>6.9150000000000003E-2</v>
      </c>
      <c r="O246" s="10">
        <v>0.3276</v>
      </c>
      <c r="P246" s="10">
        <v>1.127</v>
      </c>
      <c r="Q246" s="10">
        <v>2.5640000000000001</v>
      </c>
      <c r="R246" s="10">
        <v>20.77</v>
      </c>
      <c r="S246" s="10">
        <v>7.3639999999999903E-3</v>
      </c>
      <c r="T246" s="10">
        <v>3.8670000000000003E-2</v>
      </c>
      <c r="U246" s="10">
        <v>5.2630000000000003E-2</v>
      </c>
      <c r="V246" s="10">
        <v>1.264E-2</v>
      </c>
      <c r="W246" s="10">
        <v>2.1610000000000001E-2</v>
      </c>
      <c r="X246" s="10">
        <v>4.8300000000000001E-3</v>
      </c>
      <c r="Y246" s="10">
        <v>12.13</v>
      </c>
      <c r="Z246" s="10">
        <v>21.57</v>
      </c>
      <c r="AA246" s="10">
        <v>81.409999999999897</v>
      </c>
      <c r="AB246" s="10">
        <v>440.39999999999901</v>
      </c>
      <c r="AC246" s="10">
        <v>0.13270000000000001</v>
      </c>
      <c r="AD246" s="10">
        <v>0.29959999999999898</v>
      </c>
      <c r="AE246" s="10">
        <v>0.293899999999999</v>
      </c>
      <c r="AF246" s="10">
        <v>9.3100000000000002E-2</v>
      </c>
      <c r="AG246" s="10">
        <v>0.30199999999999899</v>
      </c>
      <c r="AH246">
        <v>9.6460000000000004E-2</v>
      </c>
    </row>
    <row r="247" spans="3:34">
      <c r="C247" s="11" t="s">
        <v>568</v>
      </c>
      <c r="D247" s="10" t="s">
        <v>1</v>
      </c>
      <c r="E247" s="10">
        <v>13.71</v>
      </c>
      <c r="F247" s="10">
        <v>16.62</v>
      </c>
      <c r="G247" s="10">
        <v>70.469999999999899</v>
      </c>
      <c r="H247" s="10">
        <v>381.1</v>
      </c>
      <c r="I247" s="10">
        <v>8.1509999999999902E-2</v>
      </c>
      <c r="J247" s="10">
        <v>3.8339999999999902E-2</v>
      </c>
      <c r="K247" s="10">
        <v>1.3690000000000001E-2</v>
      </c>
      <c r="L247" s="10">
        <v>1.37E-2</v>
      </c>
      <c r="M247" s="10">
        <v>0.15110000000000001</v>
      </c>
      <c r="N247" s="10">
        <v>6.148E-2</v>
      </c>
      <c r="O247" s="10">
        <v>0.14149999999999899</v>
      </c>
      <c r="P247" s="10">
        <v>0.96709999999999896</v>
      </c>
      <c r="Q247" s="10">
        <v>0.96799999999999897</v>
      </c>
      <c r="R247" s="10">
        <v>9.7040000000000006</v>
      </c>
      <c r="S247" s="10">
        <v>5.8830000000000002E-3</v>
      </c>
      <c r="T247" s="10">
        <v>6.2630000000000003E-3</v>
      </c>
      <c r="U247" s="10">
        <v>9.3980000000000001E-3</v>
      </c>
      <c r="V247" s="10">
        <v>6.1890000000000001E-3</v>
      </c>
      <c r="W247" s="10">
        <v>2.009E-2</v>
      </c>
      <c r="X247" s="10">
        <v>2.3770000000000002E-3</v>
      </c>
      <c r="Y247" s="10">
        <v>11.68</v>
      </c>
      <c r="Z247" s="10">
        <v>20.2899999999999</v>
      </c>
      <c r="AA247" s="10">
        <v>74.349999999999895</v>
      </c>
      <c r="AB247" s="10">
        <v>421.1</v>
      </c>
      <c r="AC247" s="10">
        <v>0.102999999999999</v>
      </c>
      <c r="AD247" s="10">
        <v>6.2190000000000002E-2</v>
      </c>
      <c r="AE247" s="10">
        <v>4.58E-2</v>
      </c>
      <c r="AF247" s="10">
        <v>4.04399999999999E-2</v>
      </c>
      <c r="AG247" s="10">
        <v>0.23830000000000001</v>
      </c>
      <c r="AH247">
        <v>7.0830000000000004E-2</v>
      </c>
    </row>
    <row r="248" spans="3:34">
      <c r="C248" s="11" t="s">
        <v>570</v>
      </c>
      <c r="D248" s="10" t="s">
        <v>0</v>
      </c>
      <c r="E248" s="10">
        <v>13.71</v>
      </c>
      <c r="F248" s="10">
        <v>22.53</v>
      </c>
      <c r="G248" s="10">
        <v>102.099999999999</v>
      </c>
      <c r="H248" s="10">
        <v>685</v>
      </c>
      <c r="I248" s="10">
        <v>9.9470000000000003E-2</v>
      </c>
      <c r="J248" s="10">
        <v>0.2225</v>
      </c>
      <c r="K248" s="10">
        <v>0.27329999999999899</v>
      </c>
      <c r="L248" s="10">
        <v>9.7110000000000002E-2</v>
      </c>
      <c r="M248" s="10">
        <v>0.2041</v>
      </c>
      <c r="N248" s="10">
        <v>6.898E-2</v>
      </c>
      <c r="O248" s="10">
        <v>0.253</v>
      </c>
      <c r="P248" s="10">
        <v>0.87490000000000001</v>
      </c>
      <c r="Q248" s="10">
        <v>3.4660000000000002</v>
      </c>
      <c r="R248" s="10">
        <v>24.19</v>
      </c>
      <c r="S248" s="10">
        <v>6.9649999999999903E-3</v>
      </c>
      <c r="T248" s="10">
        <v>6.2129999999999901E-2</v>
      </c>
      <c r="U248" s="10">
        <v>7.92599999999999E-2</v>
      </c>
      <c r="V248" s="10">
        <v>2.2339999999999902E-2</v>
      </c>
      <c r="W248" s="10">
        <v>1.499E-2</v>
      </c>
      <c r="X248" s="10">
        <v>5.7840000000000001E-3</v>
      </c>
      <c r="Y248" s="10">
        <v>16.350000000000001</v>
      </c>
      <c r="Z248" s="10">
        <v>27.57</v>
      </c>
      <c r="AA248" s="10">
        <v>125.4</v>
      </c>
      <c r="AB248" s="10">
        <v>832.7</v>
      </c>
      <c r="AC248" s="10">
        <v>0.1419</v>
      </c>
      <c r="AD248" s="10">
        <v>0.70899999999999896</v>
      </c>
      <c r="AE248" s="10">
        <v>0.90190000000000003</v>
      </c>
      <c r="AF248" s="10">
        <v>0.2475</v>
      </c>
      <c r="AG248" s="10">
        <v>0.28660000000000002</v>
      </c>
      <c r="AH248">
        <v>0.11550000000000001</v>
      </c>
    </row>
    <row r="249" spans="3:34">
      <c r="C249" s="11" t="s">
        <v>571</v>
      </c>
      <c r="D249" s="10" t="s">
        <v>1</v>
      </c>
      <c r="E249" s="10">
        <v>13.71</v>
      </c>
      <c r="F249" s="10">
        <v>17.68</v>
      </c>
      <c r="G249" s="10">
        <v>81.469999999999899</v>
      </c>
      <c r="H249" s="10">
        <v>467.8</v>
      </c>
      <c r="I249" s="10">
        <v>0.10539999999999899</v>
      </c>
      <c r="J249" s="10">
        <v>0.131599999999999</v>
      </c>
      <c r="K249" s="10">
        <v>7.7410000000000007E-2</v>
      </c>
      <c r="L249" s="10">
        <v>2.7990000000000001E-2</v>
      </c>
      <c r="M249" s="10">
        <v>0.18110000000000001</v>
      </c>
      <c r="N249" s="10">
        <v>7.102E-2</v>
      </c>
      <c r="O249" s="10">
        <v>0.1767</v>
      </c>
      <c r="P249" s="10">
        <v>1.46</v>
      </c>
      <c r="Q249" s="10">
        <v>2.2040000000000002</v>
      </c>
      <c r="R249" s="10">
        <v>15.43</v>
      </c>
      <c r="S249" s="10">
        <v>0.01</v>
      </c>
      <c r="T249" s="10">
        <v>3.295E-2</v>
      </c>
      <c r="U249" s="10">
        <v>4.861E-2</v>
      </c>
      <c r="V249" s="10">
        <v>1.167E-2</v>
      </c>
      <c r="W249" s="10">
        <v>2.1870000000000001E-2</v>
      </c>
      <c r="X249" s="10">
        <v>6.0049999999999904E-3</v>
      </c>
      <c r="Y249" s="10">
        <v>12.88</v>
      </c>
      <c r="Z249" s="10">
        <v>22.91</v>
      </c>
      <c r="AA249" s="10">
        <v>89.6099999999999</v>
      </c>
      <c r="AB249" s="10">
        <v>515.79999999999905</v>
      </c>
      <c r="AC249" s="10">
        <v>0.14499999999999899</v>
      </c>
      <c r="AD249" s="10">
        <v>0.26290000000000002</v>
      </c>
      <c r="AE249" s="10">
        <v>0.24030000000000001</v>
      </c>
      <c r="AF249" s="10">
        <v>7.3700000000000002E-2</v>
      </c>
      <c r="AG249" s="10">
        <v>0.25559999999999899</v>
      </c>
      <c r="AH249">
        <v>9.3590000000000007E-2</v>
      </c>
    </row>
    <row r="250" spans="3:34">
      <c r="C250" s="11" t="s">
        <v>572</v>
      </c>
      <c r="D250" s="10" t="s">
        <v>0</v>
      </c>
      <c r="E250" s="10">
        <v>13.71</v>
      </c>
      <c r="F250" s="10">
        <v>19.5399999999999</v>
      </c>
      <c r="G250" s="10">
        <v>133.80000000000001</v>
      </c>
      <c r="H250" s="10">
        <v>1250</v>
      </c>
      <c r="I250" s="10">
        <v>0.1133</v>
      </c>
      <c r="J250" s="10">
        <v>0.1489</v>
      </c>
      <c r="K250" s="10">
        <v>0.21329999999999899</v>
      </c>
      <c r="L250" s="10">
        <v>0.12590000000000001</v>
      </c>
      <c r="M250" s="10">
        <v>0.1724</v>
      </c>
      <c r="N250" s="10">
        <v>6.053E-2</v>
      </c>
      <c r="O250" s="10">
        <v>0.43309999999999899</v>
      </c>
      <c r="P250" s="10">
        <v>1.0009999999999899</v>
      </c>
      <c r="Q250" s="10">
        <v>3.008</v>
      </c>
      <c r="R250" s="10">
        <v>52.49</v>
      </c>
      <c r="S250" s="10">
        <v>9.0869999999999892E-3</v>
      </c>
      <c r="T250" s="10">
        <v>2.7150000000000001E-2</v>
      </c>
      <c r="U250" s="10">
        <v>5.5460000000000002E-2</v>
      </c>
      <c r="V250" s="10">
        <v>1.9099999999999898E-2</v>
      </c>
      <c r="W250" s="10">
        <v>2.4510000000000001E-2</v>
      </c>
      <c r="X250" s="10">
        <v>4.0049999999999903E-3</v>
      </c>
      <c r="Y250" s="10">
        <v>22.03</v>
      </c>
      <c r="Z250" s="10">
        <v>25.07</v>
      </c>
      <c r="AA250" s="10">
        <v>146</v>
      </c>
      <c r="AB250" s="10">
        <v>1479</v>
      </c>
      <c r="AC250" s="10">
        <v>0.16650000000000001</v>
      </c>
      <c r="AD250" s="10">
        <v>0.29420000000000002</v>
      </c>
      <c r="AE250" s="10">
        <v>0.53080000000000005</v>
      </c>
      <c r="AF250" s="10">
        <v>0.21729999999999899</v>
      </c>
      <c r="AG250" s="10">
        <v>0.30320000000000003</v>
      </c>
      <c r="AH250">
        <v>8.0750000000000002E-2</v>
      </c>
    </row>
    <row r="251" spans="3:34">
      <c r="C251" s="11" t="s">
        <v>573</v>
      </c>
      <c r="D251" s="10" t="s">
        <v>0</v>
      </c>
      <c r="E251" s="10">
        <v>13.71</v>
      </c>
      <c r="F251" s="10">
        <v>21.969999999999899</v>
      </c>
      <c r="G251" s="10">
        <v>123.7</v>
      </c>
      <c r="H251" s="10">
        <v>1110</v>
      </c>
      <c r="I251" s="10">
        <v>0.1018</v>
      </c>
      <c r="J251" s="10">
        <v>0.1389</v>
      </c>
      <c r="K251" s="10">
        <v>0.15939999999999899</v>
      </c>
      <c r="L251" s="10">
        <v>8.7440000000000004E-2</v>
      </c>
      <c r="M251" s="10">
        <v>0.1943</v>
      </c>
      <c r="N251" s="10">
        <v>6.132E-2</v>
      </c>
      <c r="O251" s="10">
        <v>0.81910000000000005</v>
      </c>
      <c r="P251" s="10">
        <v>1.931</v>
      </c>
      <c r="Q251" s="10">
        <v>4.4930000000000003</v>
      </c>
      <c r="R251" s="10">
        <v>103.9</v>
      </c>
      <c r="S251" s="10">
        <v>8.0739999999999892E-3</v>
      </c>
      <c r="T251" s="10">
        <v>4.088E-2</v>
      </c>
      <c r="U251" s="10">
        <v>5.321E-2</v>
      </c>
      <c r="V251" s="10">
        <v>1.8339999999999902E-2</v>
      </c>
      <c r="W251" s="10">
        <v>2.383E-2</v>
      </c>
      <c r="X251" s="10">
        <v>4.5149999999999904E-3</v>
      </c>
      <c r="Y251" s="10">
        <v>22.66</v>
      </c>
      <c r="Z251" s="10">
        <v>30.93</v>
      </c>
      <c r="AA251" s="10">
        <v>145.30000000000001</v>
      </c>
      <c r="AB251" s="10">
        <v>1603</v>
      </c>
      <c r="AC251" s="10">
        <v>0.13900000000000001</v>
      </c>
      <c r="AD251" s="10">
        <v>0.3463</v>
      </c>
      <c r="AE251" s="10">
        <v>0.39119999999999899</v>
      </c>
      <c r="AF251" s="10">
        <v>0.17080000000000001</v>
      </c>
      <c r="AG251" s="10">
        <v>0.30070000000000002</v>
      </c>
      <c r="AH251">
        <v>8.3140000000000006E-2</v>
      </c>
    </row>
    <row r="252" spans="3:34">
      <c r="C252" s="11" t="s">
        <v>575</v>
      </c>
      <c r="D252" s="10" t="s">
        <v>0</v>
      </c>
      <c r="E252" s="10">
        <v>13.71</v>
      </c>
      <c r="F252" s="10">
        <v>19.62</v>
      </c>
      <c r="G252" s="10">
        <v>91.12</v>
      </c>
      <c r="H252" s="10">
        <v>599.5</v>
      </c>
      <c r="I252" s="10">
        <v>0.106</v>
      </c>
      <c r="J252" s="10">
        <v>0.1133</v>
      </c>
      <c r="K252" s="10">
        <v>0.11260000000000001</v>
      </c>
      <c r="L252" s="10">
        <v>6.4630000000000007E-2</v>
      </c>
      <c r="M252" s="10">
        <v>0.16689999999999899</v>
      </c>
      <c r="N252" s="10">
        <v>6.5439999999999901E-2</v>
      </c>
      <c r="O252" s="10">
        <v>0.2208</v>
      </c>
      <c r="P252" s="10">
        <v>0.95330000000000004</v>
      </c>
      <c r="Q252" s="10">
        <v>1.6020000000000001</v>
      </c>
      <c r="R252" s="10">
        <v>18.850000000000001</v>
      </c>
      <c r="S252" s="10">
        <v>5.3140000000000001E-3</v>
      </c>
      <c r="T252" s="10">
        <v>1.7909999999999902E-2</v>
      </c>
      <c r="U252" s="10">
        <v>2.1850000000000001E-2</v>
      </c>
      <c r="V252" s="10">
        <v>9.5670000000000009E-3</v>
      </c>
      <c r="W252" s="10">
        <v>1.223E-2</v>
      </c>
      <c r="X252" s="10">
        <v>2.846E-3</v>
      </c>
      <c r="Y252" s="10">
        <v>17.0399999999999</v>
      </c>
      <c r="Z252" s="10">
        <v>30.8</v>
      </c>
      <c r="AA252" s="10">
        <v>113.9</v>
      </c>
      <c r="AB252" s="10">
        <v>869.29999999999905</v>
      </c>
      <c r="AC252" s="10">
        <v>0.1613</v>
      </c>
      <c r="AD252" s="10">
        <v>0.35680000000000001</v>
      </c>
      <c r="AE252" s="10">
        <v>0.40689999999999898</v>
      </c>
      <c r="AF252" s="10">
        <v>0.1827</v>
      </c>
      <c r="AG252" s="10">
        <v>0.31790000000000002</v>
      </c>
      <c r="AH252">
        <v>0.1055</v>
      </c>
    </row>
    <row r="253" spans="3:34">
      <c r="C253" s="11" t="s">
        <v>576</v>
      </c>
      <c r="D253" s="10" t="s">
        <v>1</v>
      </c>
      <c r="E253" s="10">
        <v>13.71</v>
      </c>
      <c r="F253" s="10">
        <v>19.5399999999999</v>
      </c>
      <c r="G253" s="10">
        <v>82.67</v>
      </c>
      <c r="H253" s="10">
        <v>509.19999999999902</v>
      </c>
      <c r="I253" s="10">
        <v>9.13599999999999E-2</v>
      </c>
      <c r="J253" s="10">
        <v>7.88299999999999E-2</v>
      </c>
      <c r="K253" s="10">
        <v>1.797E-2</v>
      </c>
      <c r="L253" s="10">
        <v>2.0899999999999901E-2</v>
      </c>
      <c r="M253" s="10">
        <v>0.18609999999999899</v>
      </c>
      <c r="N253" s="10">
        <v>6.3469999999999901E-2</v>
      </c>
      <c r="O253" s="10">
        <v>0.36649999999999899</v>
      </c>
      <c r="P253" s="10">
        <v>0.76929999999999898</v>
      </c>
      <c r="Q253" s="10">
        <v>2.597</v>
      </c>
      <c r="R253" s="10">
        <v>26.5</v>
      </c>
      <c r="S253" s="10">
        <v>5.9100000000000003E-3</v>
      </c>
      <c r="T253" s="10">
        <v>1.362E-2</v>
      </c>
      <c r="U253" s="10">
        <v>7.0660000000000002E-3</v>
      </c>
      <c r="V253" s="10">
        <v>6.502E-3</v>
      </c>
      <c r="W253" s="10">
        <v>2.223E-2</v>
      </c>
      <c r="X253" s="10">
        <v>2.3779999999999899E-3</v>
      </c>
      <c r="Y253" s="10">
        <v>14.4499999999999</v>
      </c>
      <c r="Z253" s="10">
        <v>24.3799999999999</v>
      </c>
      <c r="AA253" s="10">
        <v>95.14</v>
      </c>
      <c r="AB253" s="10">
        <v>626.89999999999895</v>
      </c>
      <c r="AC253" s="10">
        <v>0.12139999999999899</v>
      </c>
      <c r="AD253" s="10">
        <v>0.16520000000000001</v>
      </c>
      <c r="AE253" s="10">
        <v>7.127E-2</v>
      </c>
      <c r="AF253" s="10">
        <v>6.3839999999999897E-2</v>
      </c>
      <c r="AG253" s="10">
        <v>0.33129999999999898</v>
      </c>
      <c r="AH253">
        <v>7.7350000000000002E-2</v>
      </c>
    </row>
    <row r="254" spans="3:34">
      <c r="C254" s="11" t="s">
        <v>580</v>
      </c>
      <c r="D254" s="10" t="s">
        <v>1</v>
      </c>
      <c r="E254" s="10">
        <v>13.71</v>
      </c>
      <c r="F254" s="10">
        <v>17.1999999999999</v>
      </c>
      <c r="G254" s="10">
        <v>71.73</v>
      </c>
      <c r="H254" s="10">
        <v>371.5</v>
      </c>
      <c r="I254" s="10">
        <v>8.9149999999999896E-2</v>
      </c>
      <c r="J254" s="10">
        <v>0.1113</v>
      </c>
      <c r="K254" s="10">
        <v>9.4570000000000001E-2</v>
      </c>
      <c r="L254" s="10">
        <v>3.6130000000000002E-2</v>
      </c>
      <c r="M254" s="10">
        <v>0.1489</v>
      </c>
      <c r="N254" s="10">
        <v>6.6400000000000001E-2</v>
      </c>
      <c r="O254" s="10">
        <v>0.25740000000000002</v>
      </c>
      <c r="P254" s="10">
        <v>1.3759999999999899</v>
      </c>
      <c r="Q254" s="10">
        <v>2.806</v>
      </c>
      <c r="R254" s="10">
        <v>18.149999999999899</v>
      </c>
      <c r="S254" s="10">
        <v>8.5649999999999893E-3</v>
      </c>
      <c r="T254" s="10">
        <v>4.63799999999999E-2</v>
      </c>
      <c r="U254" s="10">
        <v>6.4299999999999899E-2</v>
      </c>
      <c r="V254" s="10">
        <v>1.7680000000000001E-2</v>
      </c>
      <c r="W254" s="10">
        <v>1.516E-2</v>
      </c>
      <c r="X254" s="10">
        <v>4.9760000000000004E-3</v>
      </c>
      <c r="Y254" s="10">
        <v>12.3599999999999</v>
      </c>
      <c r="Z254" s="10">
        <v>26.87</v>
      </c>
      <c r="AA254" s="10">
        <v>90.14</v>
      </c>
      <c r="AB254" s="10">
        <v>476.39999999999901</v>
      </c>
      <c r="AC254" s="10">
        <v>0.1391</v>
      </c>
      <c r="AD254" s="10">
        <v>0.40820000000000001</v>
      </c>
      <c r="AE254" s="10">
        <v>0.47789999999999899</v>
      </c>
      <c r="AF254" s="10">
        <v>0.1555</v>
      </c>
      <c r="AG254" s="10">
        <v>0.254</v>
      </c>
      <c r="AH254">
        <v>9.5320000000000002E-2</v>
      </c>
    </row>
    <row r="255" spans="3:34">
      <c r="C255" s="11" t="s">
        <v>582</v>
      </c>
      <c r="D255" s="10" t="s">
        <v>1</v>
      </c>
      <c r="E255" s="10">
        <v>13.71</v>
      </c>
      <c r="F255" s="10">
        <v>15.7899999999999</v>
      </c>
      <c r="G255" s="10">
        <v>88.37</v>
      </c>
      <c r="H255" s="10">
        <v>585.89999999999895</v>
      </c>
      <c r="I255" s="10">
        <v>8.8169999999999901E-2</v>
      </c>
      <c r="J255" s="10">
        <v>6.7180000000000004E-2</v>
      </c>
      <c r="K255" s="10">
        <v>1.055E-2</v>
      </c>
      <c r="L255" s="10">
        <v>9.9369999999999892E-3</v>
      </c>
      <c r="M255" s="10">
        <v>0.14050000000000001</v>
      </c>
      <c r="N255" s="10">
        <v>5.84799999999999E-2</v>
      </c>
      <c r="O255" s="10">
        <v>0.35630000000000001</v>
      </c>
      <c r="P255" s="10">
        <v>0.48330000000000001</v>
      </c>
      <c r="Q255" s="10">
        <v>2.2349999999999901</v>
      </c>
      <c r="R255" s="10">
        <v>29.34</v>
      </c>
      <c r="S255" s="10">
        <v>6.4320000000000002E-3</v>
      </c>
      <c r="T255" s="10">
        <v>1.1560000000000001E-2</v>
      </c>
      <c r="U255" s="10">
        <v>7.7409999999999901E-3</v>
      </c>
      <c r="V255" s="10">
        <v>5.6569999999999902E-3</v>
      </c>
      <c r="W255" s="10">
        <v>1.227E-2</v>
      </c>
      <c r="X255" s="10">
        <v>2.5639999999999899E-3</v>
      </c>
      <c r="Y255" s="10">
        <v>15.27</v>
      </c>
      <c r="Z255" s="10">
        <v>17.5</v>
      </c>
      <c r="AA255" s="10">
        <v>97.9</v>
      </c>
      <c r="AB255" s="10">
        <v>706.6</v>
      </c>
      <c r="AC255" s="10">
        <v>0.1072</v>
      </c>
      <c r="AD255" s="10">
        <v>0.1071</v>
      </c>
      <c r="AE255" s="10">
        <v>3.517E-2</v>
      </c>
      <c r="AF255" s="10">
        <v>3.31199999999999E-2</v>
      </c>
      <c r="AG255" s="10">
        <v>0.18590000000000001</v>
      </c>
      <c r="AH255">
        <v>6.8099999999999897E-2</v>
      </c>
    </row>
    <row r="256" spans="3:34">
      <c r="C256" s="11" t="s">
        <v>583</v>
      </c>
      <c r="D256" s="10" t="s">
        <v>1</v>
      </c>
      <c r="E256" s="10">
        <v>13.71</v>
      </c>
      <c r="F256" s="10">
        <v>18.32</v>
      </c>
      <c r="G256" s="10">
        <v>66.819999999999894</v>
      </c>
      <c r="H256" s="10">
        <v>340.89999999999901</v>
      </c>
      <c r="I256" s="10">
        <v>8.1420000000000006E-2</v>
      </c>
      <c r="J256" s="10">
        <v>4.462E-2</v>
      </c>
      <c r="K256" s="10">
        <v>1.993E-2</v>
      </c>
      <c r="L256" s="10">
        <v>1.111E-2</v>
      </c>
      <c r="M256" s="10">
        <v>0.23719999999999899</v>
      </c>
      <c r="N256" s="10">
        <v>5.7680000000000002E-2</v>
      </c>
      <c r="O256" s="10">
        <v>0.18179999999999899</v>
      </c>
      <c r="P256" s="10">
        <v>2.54199999999999</v>
      </c>
      <c r="Q256" s="10">
        <v>1.2769999999999899</v>
      </c>
      <c r="R256" s="10">
        <v>13.1199999999999</v>
      </c>
      <c r="S256" s="10">
        <v>1.072E-2</v>
      </c>
      <c r="T256" s="10">
        <v>1.3310000000000001E-2</v>
      </c>
      <c r="U256" s="10">
        <v>1.993E-2</v>
      </c>
      <c r="V256" s="10">
        <v>1.111E-2</v>
      </c>
      <c r="W256" s="10">
        <v>1.7170000000000001E-2</v>
      </c>
      <c r="X256" s="10">
        <v>4.4920000000000003E-3</v>
      </c>
      <c r="Y256" s="10">
        <v>10.94</v>
      </c>
      <c r="Z256" s="10">
        <v>23.309999999999899</v>
      </c>
      <c r="AA256" s="10">
        <v>69.349999999999895</v>
      </c>
      <c r="AB256" s="10">
        <v>366.3</v>
      </c>
      <c r="AC256" s="10">
        <v>9.7939999999999902E-2</v>
      </c>
      <c r="AD256" s="10">
        <v>6.5420000000000006E-2</v>
      </c>
      <c r="AE256" s="10">
        <v>3.986E-2</v>
      </c>
      <c r="AF256" s="10">
        <v>2.222E-2</v>
      </c>
      <c r="AG256" s="10">
        <v>0.26989999999999897</v>
      </c>
      <c r="AH256">
        <v>6.7360000000000003E-2</v>
      </c>
    </row>
    <row r="257" spans="3:34">
      <c r="C257" s="11" t="s">
        <v>584</v>
      </c>
      <c r="D257" s="10" t="s">
        <v>0</v>
      </c>
      <c r="E257" s="10">
        <v>13.71</v>
      </c>
      <c r="F257" s="10">
        <v>16.850000000000001</v>
      </c>
      <c r="G257" s="10">
        <v>117.5</v>
      </c>
      <c r="H257" s="10">
        <v>990</v>
      </c>
      <c r="I257" s="10">
        <v>8.9469999999999897E-2</v>
      </c>
      <c r="J257" s="10">
        <v>0.1232</v>
      </c>
      <c r="K257" s="10">
        <v>0.109</v>
      </c>
      <c r="L257" s="10">
        <v>6.2539999999999901E-2</v>
      </c>
      <c r="M257" s="10">
        <v>0.17199999999999899</v>
      </c>
      <c r="N257" s="10">
        <v>5.77999999999999E-2</v>
      </c>
      <c r="O257" s="10">
        <v>0.29859999999999898</v>
      </c>
      <c r="P257" s="10">
        <v>0.59060000000000001</v>
      </c>
      <c r="Q257" s="10">
        <v>1.921</v>
      </c>
      <c r="R257" s="10">
        <v>35.770000000000003</v>
      </c>
      <c r="S257" s="10">
        <v>4.117E-3</v>
      </c>
      <c r="T257" s="10">
        <v>1.55999999999999E-2</v>
      </c>
      <c r="U257" s="10">
        <v>2.9749999999999902E-2</v>
      </c>
      <c r="V257" s="10">
        <v>9.7529999999999908E-3</v>
      </c>
      <c r="W257" s="10">
        <v>1.295E-2</v>
      </c>
      <c r="X257" s="10">
        <v>2.4359999999999898E-3</v>
      </c>
      <c r="Y257" s="10">
        <v>20.3799999999999</v>
      </c>
      <c r="Z257" s="10">
        <v>22.02</v>
      </c>
      <c r="AA257" s="10">
        <v>133.30000000000001</v>
      </c>
      <c r="AB257" s="10">
        <v>1292</v>
      </c>
      <c r="AC257" s="10">
        <v>0.1263</v>
      </c>
      <c r="AD257" s="10">
        <v>0.2666</v>
      </c>
      <c r="AE257" s="10">
        <v>0.42899999999999899</v>
      </c>
      <c r="AF257" s="10">
        <v>0.1535</v>
      </c>
      <c r="AG257" s="10">
        <v>0.28420000000000001</v>
      </c>
      <c r="AH257">
        <v>8.2250000000000004E-2</v>
      </c>
    </row>
    <row r="258" spans="3:34">
      <c r="C258" s="11" t="s">
        <v>585</v>
      </c>
      <c r="D258" s="10" t="s">
        <v>1</v>
      </c>
      <c r="E258" s="10">
        <v>13.71</v>
      </c>
      <c r="F258" s="10">
        <v>24.89</v>
      </c>
      <c r="G258" s="10">
        <v>77.6099999999999</v>
      </c>
      <c r="H258" s="10">
        <v>441.3</v>
      </c>
      <c r="I258" s="10">
        <v>0.102999999999999</v>
      </c>
      <c r="J258" s="10">
        <v>9.2179999999999901E-2</v>
      </c>
      <c r="K258" s="10">
        <v>5.441E-2</v>
      </c>
      <c r="L258" s="10">
        <v>4.274E-2</v>
      </c>
      <c r="M258" s="10">
        <v>0.182</v>
      </c>
      <c r="N258" s="10">
        <v>6.8500000000000005E-2</v>
      </c>
      <c r="O258" s="10">
        <v>0.26229999999999898</v>
      </c>
      <c r="P258" s="10">
        <v>1.204</v>
      </c>
      <c r="Q258" s="10">
        <v>1.865</v>
      </c>
      <c r="R258" s="10">
        <v>19.39</v>
      </c>
      <c r="S258" s="10">
        <v>8.3199999999999906E-3</v>
      </c>
      <c r="T258" s="10">
        <v>2.0250000000000001E-2</v>
      </c>
      <c r="U258" s="10">
        <v>2.334E-2</v>
      </c>
      <c r="V258" s="10">
        <v>1.6650000000000002E-2</v>
      </c>
      <c r="W258" s="10">
        <v>2.094E-2</v>
      </c>
      <c r="X258" s="10">
        <v>3.6740000000000002E-3</v>
      </c>
      <c r="Y258" s="10">
        <v>12.98</v>
      </c>
      <c r="Z258" s="10">
        <v>30.3599999999999</v>
      </c>
      <c r="AA258" s="10">
        <v>84.48</v>
      </c>
      <c r="AB258" s="10">
        <v>513.89999999999895</v>
      </c>
      <c r="AC258" s="10">
        <v>0.131099999999999</v>
      </c>
      <c r="AD258" s="10">
        <v>0.1822</v>
      </c>
      <c r="AE258" s="10">
        <v>0.16089999999999899</v>
      </c>
      <c r="AF258" s="10">
        <v>0.1202</v>
      </c>
      <c r="AG258" s="10">
        <v>0.25990000000000002</v>
      </c>
      <c r="AH258">
        <v>8.251E-2</v>
      </c>
    </row>
    <row r="259" spans="3:34">
      <c r="C259" s="11" t="s">
        <v>587</v>
      </c>
      <c r="D259" s="10" t="s">
        <v>1</v>
      </c>
      <c r="E259" s="10">
        <v>13.71</v>
      </c>
      <c r="F259" s="10">
        <v>17.66</v>
      </c>
      <c r="G259" s="10">
        <v>95.879999999999896</v>
      </c>
      <c r="H259" s="10">
        <v>674.79999999999905</v>
      </c>
      <c r="I259" s="10">
        <v>9.1789999999999899E-2</v>
      </c>
      <c r="J259" s="10">
        <v>8.8900000000000007E-2</v>
      </c>
      <c r="K259" s="10">
        <v>4.06899999999999E-2</v>
      </c>
      <c r="L259" s="10">
        <v>2.2599999999999901E-2</v>
      </c>
      <c r="M259" s="10">
        <v>0.1893</v>
      </c>
      <c r="N259" s="10">
        <v>5.8860000000000003E-2</v>
      </c>
      <c r="O259" s="10">
        <v>0.22040000000000001</v>
      </c>
      <c r="P259" s="10">
        <v>0.62209999999999899</v>
      </c>
      <c r="Q259" s="10">
        <v>1.482</v>
      </c>
      <c r="R259" s="10">
        <v>19.75</v>
      </c>
      <c r="S259" s="10">
        <v>4.7959999999999904E-3</v>
      </c>
      <c r="T259" s="10">
        <v>1.171E-2</v>
      </c>
      <c r="U259" s="10">
        <v>1.7579999999999901E-2</v>
      </c>
      <c r="V259" s="10">
        <v>6.8970000000000004E-3</v>
      </c>
      <c r="W259" s="10">
        <v>2.2540000000000001E-2</v>
      </c>
      <c r="X259" s="10">
        <v>1.9710000000000001E-3</v>
      </c>
      <c r="Y259" s="10">
        <v>16.43</v>
      </c>
      <c r="Z259" s="10">
        <v>22.739999999999899</v>
      </c>
      <c r="AA259" s="10">
        <v>105.9</v>
      </c>
      <c r="AB259" s="10">
        <v>829.5</v>
      </c>
      <c r="AC259" s="10">
        <v>0.1226</v>
      </c>
      <c r="AD259" s="10">
        <v>0.18809999999999899</v>
      </c>
      <c r="AE259" s="10">
        <v>0.20599999999999899</v>
      </c>
      <c r="AF259" s="10">
        <v>8.3080000000000001E-2</v>
      </c>
      <c r="AG259" s="10">
        <v>0.35999999999999899</v>
      </c>
      <c r="AH259">
        <v>7.2849999999999901E-2</v>
      </c>
    </row>
    <row r="260" spans="3:34">
      <c r="C260" s="11" t="s">
        <v>588</v>
      </c>
      <c r="D260" s="10" t="s">
        <v>1</v>
      </c>
      <c r="E260" s="10">
        <v>13.71</v>
      </c>
      <c r="F260" s="10">
        <v>19.34</v>
      </c>
      <c r="G260" s="10">
        <v>94.25</v>
      </c>
      <c r="H260" s="10">
        <v>659.7</v>
      </c>
      <c r="I260" s="10">
        <v>8.3879999999999899E-2</v>
      </c>
      <c r="J260" s="10">
        <v>7.8E-2</v>
      </c>
      <c r="K260" s="10">
        <v>8.8169999999999901E-2</v>
      </c>
      <c r="L260" s="10">
        <v>2.9250000000000002E-2</v>
      </c>
      <c r="M260" s="10">
        <v>0.14729999999999899</v>
      </c>
      <c r="N260" s="10">
        <v>5.74599999999999E-2</v>
      </c>
      <c r="O260" s="10">
        <v>0.2535</v>
      </c>
      <c r="P260" s="10">
        <v>1.3540000000000001</v>
      </c>
      <c r="Q260" s="10">
        <v>1.994</v>
      </c>
      <c r="R260" s="10">
        <v>23.0399999999999</v>
      </c>
      <c r="S260" s="10">
        <v>4.1469999999999901E-3</v>
      </c>
      <c r="T260" s="10">
        <v>2.0480000000000002E-2</v>
      </c>
      <c r="U260" s="10">
        <v>3.3790000000000001E-2</v>
      </c>
      <c r="V260" s="10">
        <v>8.848E-3</v>
      </c>
      <c r="W260" s="10">
        <v>1.39399999999999E-2</v>
      </c>
      <c r="X260" s="10">
        <v>2.3270000000000001E-3</v>
      </c>
      <c r="Y260" s="10">
        <v>16.3</v>
      </c>
      <c r="Z260" s="10">
        <v>28.39</v>
      </c>
      <c r="AA260" s="10">
        <v>108.099999999999</v>
      </c>
      <c r="AB260" s="10">
        <v>830.5</v>
      </c>
      <c r="AC260" s="10">
        <v>0.1089</v>
      </c>
      <c r="AD260" s="10">
        <v>0.26490000000000002</v>
      </c>
      <c r="AE260" s="10">
        <v>0.37790000000000001</v>
      </c>
      <c r="AF260" s="10">
        <v>9.59399999999999E-2</v>
      </c>
      <c r="AG260" s="10">
        <v>0.24709999999999899</v>
      </c>
      <c r="AH260">
        <v>7.4630000000000002E-2</v>
      </c>
    </row>
    <row r="261" spans="3:34">
      <c r="C261" s="11" t="s">
        <v>590</v>
      </c>
      <c r="D261" s="10" t="s">
        <v>1</v>
      </c>
      <c r="E261" s="10">
        <v>13.71</v>
      </c>
      <c r="F261" s="10">
        <v>21.5399999999999</v>
      </c>
      <c r="G261" s="10">
        <v>76.829999999999899</v>
      </c>
      <c r="H261" s="10">
        <v>432</v>
      </c>
      <c r="I261" s="10">
        <v>6.6129999999999897E-2</v>
      </c>
      <c r="J261" s="10">
        <v>0.106399999999999</v>
      </c>
      <c r="K261" s="10">
        <v>8.7770000000000001E-2</v>
      </c>
      <c r="L261" s="10">
        <v>2.3859999999999899E-2</v>
      </c>
      <c r="M261" s="10">
        <v>0.13489999999999899</v>
      </c>
      <c r="N261" s="10">
        <v>6.6119999999999901E-2</v>
      </c>
      <c r="O261" s="10">
        <v>0.25600000000000001</v>
      </c>
      <c r="P261" s="10">
        <v>1.554</v>
      </c>
      <c r="Q261" s="10">
        <v>1.9550000000000001</v>
      </c>
      <c r="R261" s="10">
        <v>20.239999999999899</v>
      </c>
      <c r="S261" s="10">
        <v>6.8539999999999903E-3</v>
      </c>
      <c r="T261" s="10">
        <v>6.0630000000000003E-2</v>
      </c>
      <c r="U261" s="10">
        <v>6.6629999999999898E-2</v>
      </c>
      <c r="V261" s="10">
        <v>1.553E-2</v>
      </c>
      <c r="W261" s="10">
        <v>2.3539999999999901E-2</v>
      </c>
      <c r="X261" s="10">
        <v>8.9250000000000006E-3</v>
      </c>
      <c r="Y261" s="10">
        <v>12.7899999999999</v>
      </c>
      <c r="Z261" s="10">
        <v>28.18</v>
      </c>
      <c r="AA261" s="10">
        <v>83.51</v>
      </c>
      <c r="AB261" s="10">
        <v>507.19999999999902</v>
      </c>
      <c r="AC261" s="10">
        <v>9.4570000000000001E-2</v>
      </c>
      <c r="AD261" s="10">
        <v>0.33989999999999898</v>
      </c>
      <c r="AE261" s="10">
        <v>0.32179999999999898</v>
      </c>
      <c r="AF261" s="10">
        <v>8.7499999999999897E-2</v>
      </c>
      <c r="AG261" s="10">
        <v>0.23050000000000001</v>
      </c>
      <c r="AH261">
        <v>9.95199999999999E-2</v>
      </c>
    </row>
    <row r="262" spans="3:34">
      <c r="C262" s="11" t="s">
        <v>591</v>
      </c>
      <c r="D262" s="10" t="s">
        <v>0</v>
      </c>
      <c r="E262" s="10">
        <v>13.71</v>
      </c>
      <c r="F262" s="10">
        <v>25</v>
      </c>
      <c r="G262" s="10">
        <v>127.7</v>
      </c>
      <c r="H262" s="10">
        <v>1191</v>
      </c>
      <c r="I262" s="10">
        <v>0.1032</v>
      </c>
      <c r="J262" s="10">
        <v>9.8710000000000006E-2</v>
      </c>
      <c r="K262" s="10">
        <v>0.16550000000000001</v>
      </c>
      <c r="L262" s="10">
        <v>9.0630000000000002E-2</v>
      </c>
      <c r="M262" s="10">
        <v>0.1663</v>
      </c>
      <c r="N262" s="10">
        <v>5.391E-2</v>
      </c>
      <c r="O262" s="10">
        <v>0.46739999999999898</v>
      </c>
      <c r="P262" s="10">
        <v>1.375</v>
      </c>
      <c r="Q262" s="10">
        <v>2.9159999999999902</v>
      </c>
      <c r="R262" s="10">
        <v>56.18</v>
      </c>
      <c r="S262" s="10">
        <v>1.1900000000000001E-2</v>
      </c>
      <c r="T262" s="10">
        <v>1.9290000000000002E-2</v>
      </c>
      <c r="U262" s="10">
        <v>4.9070000000000003E-2</v>
      </c>
      <c r="V262" s="10">
        <v>1.499E-2</v>
      </c>
      <c r="W262" s="10">
        <v>1.6410000000000001E-2</v>
      </c>
      <c r="X262" s="10">
        <v>1.807E-3</v>
      </c>
      <c r="Y262" s="10">
        <v>21.44</v>
      </c>
      <c r="Z262" s="10">
        <v>30.96</v>
      </c>
      <c r="AA262" s="10">
        <v>139.80000000000001</v>
      </c>
      <c r="AB262" s="10">
        <v>1421</v>
      </c>
      <c r="AC262" s="10">
        <v>0.15279999999999899</v>
      </c>
      <c r="AD262" s="10">
        <v>0.1845</v>
      </c>
      <c r="AE262" s="10">
        <v>0.3977</v>
      </c>
      <c r="AF262" s="10">
        <v>0.14660000000000001</v>
      </c>
      <c r="AG262" s="10">
        <v>0.2293</v>
      </c>
      <c r="AH262">
        <v>6.0909999999999902E-2</v>
      </c>
    </row>
    <row r="263" spans="3:34">
      <c r="C263" s="11" t="s">
        <v>592</v>
      </c>
      <c r="D263" s="10" t="s">
        <v>1</v>
      </c>
      <c r="E263" s="10">
        <v>13.71</v>
      </c>
      <c r="F263" s="10">
        <v>28.23</v>
      </c>
      <c r="G263" s="10">
        <v>76.769999999999897</v>
      </c>
      <c r="H263" s="10">
        <v>442.5</v>
      </c>
      <c r="I263" s="10">
        <v>8.4370000000000001E-2</v>
      </c>
      <c r="J263" s="10">
        <v>6.4500000000000002E-2</v>
      </c>
      <c r="K263" s="10">
        <v>4.0550000000000003E-2</v>
      </c>
      <c r="L263" s="10">
        <v>1.9449999999999901E-2</v>
      </c>
      <c r="M263" s="10">
        <v>0.1615</v>
      </c>
      <c r="N263" s="10">
        <v>6.10399999999999E-2</v>
      </c>
      <c r="O263" s="10">
        <v>0.19120000000000001</v>
      </c>
      <c r="P263" s="10">
        <v>1.7050000000000001</v>
      </c>
      <c r="Q263" s="10">
        <v>1.516</v>
      </c>
      <c r="R263" s="10">
        <v>13.8599999999999</v>
      </c>
      <c r="S263" s="10">
        <v>7.3340000000000002E-3</v>
      </c>
      <c r="T263" s="10">
        <v>2.589E-2</v>
      </c>
      <c r="U263" s="10">
        <v>2.9409999999999901E-2</v>
      </c>
      <c r="V263" s="10">
        <v>9.1660000000000005E-3</v>
      </c>
      <c r="W263" s="10">
        <v>1.745E-2</v>
      </c>
      <c r="X263" s="10">
        <v>4.3020000000000003E-3</v>
      </c>
      <c r="Y263" s="10">
        <v>13.09</v>
      </c>
      <c r="Z263" s="10">
        <v>37.880000000000003</v>
      </c>
      <c r="AA263" s="10">
        <v>85.069999999999894</v>
      </c>
      <c r="AB263" s="10">
        <v>523.70000000000005</v>
      </c>
      <c r="AC263" s="10">
        <v>0.1208</v>
      </c>
      <c r="AD263" s="10">
        <v>0.18559999999999899</v>
      </c>
      <c r="AE263" s="10">
        <v>0.18110000000000001</v>
      </c>
      <c r="AF263" s="10">
        <v>7.1160000000000001E-2</v>
      </c>
      <c r="AG263" s="10">
        <v>0.2447</v>
      </c>
      <c r="AH263">
        <v>8.1939999999999902E-2</v>
      </c>
    </row>
    <row r="264" spans="3:34">
      <c r="C264" s="11" t="s">
        <v>593</v>
      </c>
      <c r="D264" s="10" t="s">
        <v>1</v>
      </c>
      <c r="E264" s="10">
        <v>13.71</v>
      </c>
      <c r="F264" s="10">
        <v>13.98</v>
      </c>
      <c r="G264" s="10">
        <v>93.8599999999999</v>
      </c>
      <c r="H264" s="10">
        <v>644.20000000000005</v>
      </c>
      <c r="I264" s="10">
        <v>0.1099</v>
      </c>
      <c r="J264" s="10">
        <v>9.2420000000000002E-2</v>
      </c>
      <c r="K264" s="10">
        <v>6.89499999999999E-2</v>
      </c>
      <c r="L264" s="10">
        <v>6.4949999999999897E-2</v>
      </c>
      <c r="M264" s="10">
        <v>0.16500000000000001</v>
      </c>
      <c r="N264" s="10">
        <v>6.1210000000000001E-2</v>
      </c>
      <c r="O264" s="10">
        <v>0.305999999999999</v>
      </c>
      <c r="P264" s="10">
        <v>0.72130000000000005</v>
      </c>
      <c r="Q264" s="10">
        <v>2.14299999999999</v>
      </c>
      <c r="R264" s="10">
        <v>25.6999999999999</v>
      </c>
      <c r="S264" s="10">
        <v>6.1330000000000004E-3</v>
      </c>
      <c r="T264" s="10">
        <v>1.251E-2</v>
      </c>
      <c r="U264" s="10">
        <v>1.6150000000000001E-2</v>
      </c>
      <c r="V264" s="10">
        <v>1.136E-2</v>
      </c>
      <c r="W264" s="10">
        <v>2.2069999999999899E-2</v>
      </c>
      <c r="X264" s="10">
        <v>3.5630000000000002E-3</v>
      </c>
      <c r="Y264" s="10">
        <v>15.8</v>
      </c>
      <c r="Z264" s="10">
        <v>16.93</v>
      </c>
      <c r="AA264" s="10">
        <v>103.099999999999</v>
      </c>
      <c r="AB264" s="10">
        <v>749.89999999999895</v>
      </c>
      <c r="AC264" s="10">
        <v>0.13469999999999899</v>
      </c>
      <c r="AD264" s="10">
        <v>0.14779999999999899</v>
      </c>
      <c r="AE264" s="10">
        <v>0.13730000000000001</v>
      </c>
      <c r="AF264" s="10">
        <v>0.1069</v>
      </c>
      <c r="AG264" s="10">
        <v>0.2606</v>
      </c>
      <c r="AH264">
        <v>7.8100000000000003E-2</v>
      </c>
    </row>
    <row r="265" spans="3:34">
      <c r="C265" s="11" t="s">
        <v>594</v>
      </c>
      <c r="D265" s="10" t="s">
        <v>1</v>
      </c>
      <c r="E265" s="10">
        <v>13.71</v>
      </c>
      <c r="F265" s="10">
        <v>17.149999999999899</v>
      </c>
      <c r="G265" s="10">
        <v>80.62</v>
      </c>
      <c r="H265" s="10">
        <v>492.89999999999901</v>
      </c>
      <c r="I265" s="10">
        <v>8.5830000000000004E-2</v>
      </c>
      <c r="J265" s="10">
        <v>5.4300000000000001E-2</v>
      </c>
      <c r="K265" s="10">
        <v>2.9659999999999902E-2</v>
      </c>
      <c r="L265" s="10">
        <v>2.2720000000000001E-2</v>
      </c>
      <c r="M265" s="10">
        <v>0.1799</v>
      </c>
      <c r="N265" s="10">
        <v>5.8259999999999902E-2</v>
      </c>
      <c r="O265" s="10">
        <v>0.16919999999999899</v>
      </c>
      <c r="P265" s="10">
        <v>0.66739999999999899</v>
      </c>
      <c r="Q265" s="10">
        <v>1.1160000000000001</v>
      </c>
      <c r="R265" s="10">
        <v>13.32</v>
      </c>
      <c r="S265" s="10">
        <v>3.888E-3</v>
      </c>
      <c r="T265" s="10">
        <v>8.5389999999999893E-3</v>
      </c>
      <c r="U265" s="10">
        <v>1.256E-2</v>
      </c>
      <c r="V265" s="10">
        <v>6.888E-3</v>
      </c>
      <c r="W265" s="10">
        <v>1.6080000000000001E-2</v>
      </c>
      <c r="X265" s="10">
        <v>1.6379999999999899E-3</v>
      </c>
      <c r="Y265" s="10">
        <v>14.34</v>
      </c>
      <c r="Z265" s="10">
        <v>22.149999999999899</v>
      </c>
      <c r="AA265" s="10">
        <v>91.62</v>
      </c>
      <c r="AB265" s="10">
        <v>633.5</v>
      </c>
      <c r="AC265" s="10">
        <v>0.1225</v>
      </c>
      <c r="AD265" s="10">
        <v>0.1517</v>
      </c>
      <c r="AE265" s="10">
        <v>0.18870000000000001</v>
      </c>
      <c r="AF265" s="10">
        <v>9.851E-2</v>
      </c>
      <c r="AG265" s="10">
        <v>0.32700000000000001</v>
      </c>
      <c r="AH265">
        <v>7.3300000000000004E-2</v>
      </c>
    </row>
    <row r="266" spans="3:34">
      <c r="C266" s="11" t="s">
        <v>601</v>
      </c>
      <c r="D266" s="10" t="s">
        <v>0</v>
      </c>
      <c r="E266" s="10">
        <v>13.71</v>
      </c>
      <c r="F266" s="10">
        <v>26.27</v>
      </c>
      <c r="G266" s="10">
        <v>186.9</v>
      </c>
      <c r="H266" s="10">
        <v>2501</v>
      </c>
      <c r="I266" s="10">
        <v>0.1084</v>
      </c>
      <c r="J266" s="10">
        <v>0.1988</v>
      </c>
      <c r="K266" s="10">
        <v>0.36349999999999899</v>
      </c>
      <c r="L266" s="10">
        <v>0.168899999999999</v>
      </c>
      <c r="M266" s="10">
        <v>0.20610000000000001</v>
      </c>
      <c r="N266" s="10">
        <v>5.6230000000000002E-2</v>
      </c>
      <c r="O266" s="10">
        <v>2.5470000000000002</v>
      </c>
      <c r="P266" s="10">
        <v>1.306</v>
      </c>
      <c r="Q266" s="10">
        <v>18.649999999999899</v>
      </c>
      <c r="R266" s="10">
        <v>542.20000000000005</v>
      </c>
      <c r="S266" s="10">
        <v>7.6499999999999901E-3</v>
      </c>
      <c r="T266" s="10">
        <v>5.3740000000000003E-2</v>
      </c>
      <c r="U266" s="10">
        <v>8.0549999999999899E-2</v>
      </c>
      <c r="V266" s="10">
        <v>2.598E-2</v>
      </c>
      <c r="W266" s="10">
        <v>1.6969999999999898E-2</v>
      </c>
      <c r="X266" s="10">
        <v>4.5580000000000004E-3</v>
      </c>
      <c r="Y266" s="10">
        <v>36.0399999999999</v>
      </c>
      <c r="Z266" s="10">
        <v>31.37</v>
      </c>
      <c r="AA266" s="10">
        <v>251.19999999999899</v>
      </c>
      <c r="AB266" s="10">
        <v>4254</v>
      </c>
      <c r="AC266" s="10">
        <v>0.13569999999999899</v>
      </c>
      <c r="AD266" s="10">
        <v>0.42559999999999898</v>
      </c>
      <c r="AE266" s="10">
        <v>0.68330000000000002</v>
      </c>
      <c r="AF266" s="10">
        <v>0.26250000000000001</v>
      </c>
      <c r="AG266" s="10">
        <v>0.2641</v>
      </c>
      <c r="AH266">
        <v>7.4270000000000003E-2</v>
      </c>
    </row>
    <row r="267" spans="3:34">
      <c r="C267" s="11" t="s">
        <v>603</v>
      </c>
      <c r="D267" s="10" t="s">
        <v>1</v>
      </c>
      <c r="E267" s="10">
        <v>13.71</v>
      </c>
      <c r="F267" s="10">
        <v>18.3599999999999</v>
      </c>
      <c r="G267" s="10">
        <v>73.879999999999896</v>
      </c>
      <c r="H267" s="10">
        <v>412.69999999999902</v>
      </c>
      <c r="I267" s="10">
        <v>8.5080000000000003E-2</v>
      </c>
      <c r="J267" s="10">
        <v>5.8549999999999901E-2</v>
      </c>
      <c r="K267" s="10">
        <v>3.3669999999999901E-2</v>
      </c>
      <c r="L267" s="10">
        <v>1.7770000000000001E-2</v>
      </c>
      <c r="M267" s="10">
        <v>0.15160000000000001</v>
      </c>
      <c r="N267" s="10">
        <v>5.8590000000000003E-2</v>
      </c>
      <c r="O267" s="10">
        <v>0.18160000000000001</v>
      </c>
      <c r="P267" s="10">
        <v>0.76559999999999895</v>
      </c>
      <c r="Q267" s="10">
        <v>1.3029999999999899</v>
      </c>
      <c r="R267" s="10">
        <v>12.89</v>
      </c>
      <c r="S267" s="10">
        <v>6.7089999999999901E-3</v>
      </c>
      <c r="T267" s="10">
        <v>1.7010000000000001E-2</v>
      </c>
      <c r="U267" s="10">
        <v>2.0799999999999898E-2</v>
      </c>
      <c r="V267" s="10">
        <v>7.4970000000000002E-3</v>
      </c>
      <c r="W267" s="10">
        <v>2.1239999999999901E-2</v>
      </c>
      <c r="X267" s="10">
        <v>2.7680000000000001E-3</v>
      </c>
      <c r="Y267" s="10">
        <v>12.77</v>
      </c>
      <c r="Z267" s="10">
        <v>24.02</v>
      </c>
      <c r="AA267" s="10">
        <v>82.68</v>
      </c>
      <c r="AB267" s="10">
        <v>495.1</v>
      </c>
      <c r="AC267" s="10">
        <v>0.13420000000000001</v>
      </c>
      <c r="AD267" s="10">
        <v>0.18079999999999899</v>
      </c>
      <c r="AE267" s="10">
        <v>0.186</v>
      </c>
      <c r="AF267" s="10">
        <v>8.2879999999999898E-2</v>
      </c>
      <c r="AG267" s="10">
        <v>0.32100000000000001</v>
      </c>
      <c r="AH267">
        <v>7.8630000000000005E-2</v>
      </c>
    </row>
    <row r="268" spans="3:34">
      <c r="C268" s="11" t="s">
        <v>604</v>
      </c>
      <c r="D268" s="10" t="s">
        <v>1</v>
      </c>
      <c r="E268" s="10">
        <v>13.71</v>
      </c>
      <c r="F268" s="10">
        <v>18.219999999999899</v>
      </c>
      <c r="G268" s="10">
        <v>84.28</v>
      </c>
      <c r="H268" s="10">
        <v>537.29999999999905</v>
      </c>
      <c r="I268" s="10">
        <v>7.4660000000000004E-2</v>
      </c>
      <c r="J268" s="10">
        <v>5.994E-2</v>
      </c>
      <c r="K268" s="10">
        <v>4.8590000000000001E-2</v>
      </c>
      <c r="L268" s="10">
        <v>2.87E-2</v>
      </c>
      <c r="M268" s="10">
        <v>0.1454</v>
      </c>
      <c r="N268" s="10">
        <v>5.5489999999999901E-2</v>
      </c>
      <c r="O268" s="10">
        <v>0.20230000000000001</v>
      </c>
      <c r="P268" s="10">
        <v>0.68500000000000005</v>
      </c>
      <c r="Q268" s="10">
        <v>1.236</v>
      </c>
      <c r="R268" s="10">
        <v>16.89</v>
      </c>
      <c r="S268" s="10">
        <v>5.9690000000000003E-3</v>
      </c>
      <c r="T268" s="10">
        <v>1.4930000000000001E-2</v>
      </c>
      <c r="U268" s="10">
        <v>1.5640000000000001E-2</v>
      </c>
      <c r="V268" s="10">
        <v>8.463E-3</v>
      </c>
      <c r="W268" s="10">
        <v>1.093E-2</v>
      </c>
      <c r="X268" s="10">
        <v>1.6720000000000001E-3</v>
      </c>
      <c r="Y268" s="10">
        <v>14.9</v>
      </c>
      <c r="Z268" s="10">
        <v>23.89</v>
      </c>
      <c r="AA268" s="10">
        <v>95.099999999999895</v>
      </c>
      <c r="AB268" s="10">
        <v>687.6</v>
      </c>
      <c r="AC268" s="10">
        <v>0.12820000000000001</v>
      </c>
      <c r="AD268" s="10">
        <v>0.19650000000000001</v>
      </c>
      <c r="AE268" s="10">
        <v>0.18759999999999899</v>
      </c>
      <c r="AF268" s="10">
        <v>0.1045</v>
      </c>
      <c r="AG268" s="10">
        <v>0.2235</v>
      </c>
      <c r="AH268">
        <v>6.9250000000000006E-2</v>
      </c>
    </row>
    <row r="269" spans="3:34">
      <c r="C269" s="11" t="s">
        <v>605</v>
      </c>
      <c r="D269" s="10" t="s">
        <v>1</v>
      </c>
      <c r="E269" s="10">
        <v>13.71</v>
      </c>
      <c r="F269" s="10">
        <v>20.1299999999999</v>
      </c>
      <c r="G269" s="10">
        <v>86.87</v>
      </c>
      <c r="H269" s="10">
        <v>542.89999999999895</v>
      </c>
      <c r="I269" s="10">
        <v>8.28399999999999E-2</v>
      </c>
      <c r="J269" s="10">
        <v>0.12230000000000001</v>
      </c>
      <c r="K269" s="10">
        <v>0.10100000000000001</v>
      </c>
      <c r="L269" s="10">
        <v>2.8330000000000001E-2</v>
      </c>
      <c r="M269" s="10">
        <v>0.16009999999999899</v>
      </c>
      <c r="N269" s="10">
        <v>6.4320000000000002E-2</v>
      </c>
      <c r="O269" s="10">
        <v>0.28100000000000003</v>
      </c>
      <c r="P269" s="10">
        <v>0.8135</v>
      </c>
      <c r="Q269" s="10">
        <v>3.3690000000000002</v>
      </c>
      <c r="R269" s="10">
        <v>23.809999999999899</v>
      </c>
      <c r="S269" s="10">
        <v>4.9290000000000002E-3</v>
      </c>
      <c r="T269" s="10">
        <v>6.6570000000000004E-2</v>
      </c>
      <c r="U269" s="10">
        <v>7.6829999999999898E-2</v>
      </c>
      <c r="V269" s="10">
        <v>1.3679999999999901E-2</v>
      </c>
      <c r="W269" s="10">
        <v>1.52599999999999E-2</v>
      </c>
      <c r="X269" s="10">
        <v>8.1329999999999892E-3</v>
      </c>
      <c r="Y269" s="10">
        <v>15.44</v>
      </c>
      <c r="Z269" s="10">
        <v>25.5</v>
      </c>
      <c r="AA269" s="10">
        <v>115</v>
      </c>
      <c r="AB269" s="10">
        <v>733.5</v>
      </c>
      <c r="AC269" s="10">
        <v>0.1201</v>
      </c>
      <c r="AD269" s="10">
        <v>0.56459999999999899</v>
      </c>
      <c r="AE269" s="10">
        <v>0.65559999999999896</v>
      </c>
      <c r="AF269" s="10">
        <v>0.13569999999999899</v>
      </c>
      <c r="AG269" s="10">
        <v>0.28449999999999898</v>
      </c>
      <c r="AH269">
        <v>0.1249</v>
      </c>
    </row>
    <row r="270" spans="3:34">
      <c r="C270" s="11" t="s">
        <v>613</v>
      </c>
      <c r="D270" s="10" t="s">
        <v>1</v>
      </c>
      <c r="E270" s="10">
        <v>13.71</v>
      </c>
      <c r="F270" s="10">
        <v>29.969999999999899</v>
      </c>
      <c r="G270" s="10">
        <v>77.42</v>
      </c>
      <c r="H270" s="10">
        <v>465.39999999999901</v>
      </c>
      <c r="I270" s="10">
        <v>7.6990000000000003E-2</v>
      </c>
      <c r="J270" s="10">
        <v>3.3980000000000003E-2</v>
      </c>
      <c r="K270" s="10">
        <v>0</v>
      </c>
      <c r="L270" s="10">
        <v>0</v>
      </c>
      <c r="M270" s="10">
        <v>0.1701</v>
      </c>
      <c r="N270" s="10">
        <v>5.96E-2</v>
      </c>
      <c r="O270" s="10">
        <v>0.44550000000000001</v>
      </c>
      <c r="P270" s="10">
        <v>3.64699999999999</v>
      </c>
      <c r="Q270" s="10">
        <v>2.8839999999999901</v>
      </c>
      <c r="R270" s="10">
        <v>35.130000000000003</v>
      </c>
      <c r="S270" s="10">
        <v>7.339E-3</v>
      </c>
      <c r="T270" s="10">
        <v>8.2430000000000003E-3</v>
      </c>
      <c r="U270" s="10">
        <v>0</v>
      </c>
      <c r="V270" s="10">
        <v>0</v>
      </c>
      <c r="W270" s="10">
        <v>3.141E-2</v>
      </c>
      <c r="X270" s="10">
        <v>3.1359999999999899E-3</v>
      </c>
      <c r="Y270" s="10">
        <v>13.4499999999999</v>
      </c>
      <c r="Z270" s="10">
        <v>38.049999999999898</v>
      </c>
      <c r="AA270" s="10">
        <v>85.079999999999899</v>
      </c>
      <c r="AB270" s="10">
        <v>558.89999999999895</v>
      </c>
      <c r="AC270" s="10">
        <v>9.4219999999999901E-2</v>
      </c>
      <c r="AD270" s="10">
        <v>5.2130000000000003E-2</v>
      </c>
      <c r="AE270" s="10">
        <v>0</v>
      </c>
      <c r="AF270" s="10">
        <v>0</v>
      </c>
      <c r="AG270" s="10">
        <v>0.2409</v>
      </c>
      <c r="AH270">
        <v>6.7430000000000004E-2</v>
      </c>
    </row>
    <row r="271" spans="3:34">
      <c r="C271" s="11" t="s">
        <v>614</v>
      </c>
      <c r="D271" s="10" t="s">
        <v>1</v>
      </c>
      <c r="E271" s="10">
        <v>13.71</v>
      </c>
      <c r="F271" s="10">
        <v>15.6199999999999</v>
      </c>
      <c r="G271" s="10">
        <v>70.409999999999897</v>
      </c>
      <c r="H271" s="10">
        <v>358.89999999999901</v>
      </c>
      <c r="I271" s="10">
        <v>0.1007</v>
      </c>
      <c r="J271" s="10">
        <v>0.1069</v>
      </c>
      <c r="K271" s="10">
        <v>5.1150000000000001E-2</v>
      </c>
      <c r="L271" s="10">
        <v>1.5709999999999901E-2</v>
      </c>
      <c r="M271" s="10">
        <v>0.18609999999999899</v>
      </c>
      <c r="N271" s="10">
        <v>6.837E-2</v>
      </c>
      <c r="O271" s="10">
        <v>0.1482</v>
      </c>
      <c r="P271" s="10">
        <v>0.53800000000000003</v>
      </c>
      <c r="Q271" s="10">
        <v>1.3009999999999899</v>
      </c>
      <c r="R271" s="10">
        <v>9.5969999999999906</v>
      </c>
      <c r="S271" s="10">
        <v>4.4739999999999901E-3</v>
      </c>
      <c r="T271" s="10">
        <v>3.0929999999999899E-2</v>
      </c>
      <c r="U271" s="10">
        <v>2.7570000000000001E-2</v>
      </c>
      <c r="V271" s="10">
        <v>6.6909999999999904E-3</v>
      </c>
      <c r="W271" s="10">
        <v>1.2120000000000001E-2</v>
      </c>
      <c r="X271" s="10">
        <v>4.6719999999999904E-3</v>
      </c>
      <c r="Y271" s="10">
        <v>11.94</v>
      </c>
      <c r="Z271" s="10">
        <v>19.350000000000001</v>
      </c>
      <c r="AA271" s="10">
        <v>80.78</v>
      </c>
      <c r="AB271" s="10">
        <v>433.1</v>
      </c>
      <c r="AC271" s="10">
        <v>0.13320000000000001</v>
      </c>
      <c r="AD271" s="10">
        <v>0.38979999999999898</v>
      </c>
      <c r="AE271" s="10">
        <v>0.33650000000000002</v>
      </c>
      <c r="AF271" s="10">
        <v>7.9659999999999898E-2</v>
      </c>
      <c r="AG271" s="10">
        <v>0.2581</v>
      </c>
      <c r="AH271">
        <v>0.108</v>
      </c>
    </row>
    <row r="272" spans="3:34">
      <c r="C272" s="11" t="s">
        <v>616</v>
      </c>
      <c r="D272" s="10" t="s">
        <v>1</v>
      </c>
      <c r="E272" s="10">
        <v>13.71</v>
      </c>
      <c r="F272" s="10">
        <v>20.53</v>
      </c>
      <c r="G272" s="10">
        <v>92.409999999999897</v>
      </c>
      <c r="H272" s="10">
        <v>618.39999999999895</v>
      </c>
      <c r="I272" s="10">
        <v>8.931E-2</v>
      </c>
      <c r="J272" s="10">
        <v>0.1108</v>
      </c>
      <c r="K272" s="10">
        <v>5.0630000000000001E-2</v>
      </c>
      <c r="L272" s="10">
        <v>3.058E-2</v>
      </c>
      <c r="M272" s="10">
        <v>0.15060000000000001</v>
      </c>
      <c r="N272" s="10">
        <v>6.00899999999999E-2</v>
      </c>
      <c r="O272" s="10">
        <v>0.3478</v>
      </c>
      <c r="P272" s="10">
        <v>1.018</v>
      </c>
      <c r="Q272" s="10">
        <v>2.7490000000000001</v>
      </c>
      <c r="R272" s="10">
        <v>31.01</v>
      </c>
      <c r="S272" s="10">
        <v>4.1070000000000004E-3</v>
      </c>
      <c r="T272" s="10">
        <v>3.288E-2</v>
      </c>
      <c r="U272" s="10">
        <v>2.8209999999999898E-2</v>
      </c>
      <c r="V272" s="10">
        <v>1.35E-2</v>
      </c>
      <c r="W272" s="10">
        <v>1.61E-2</v>
      </c>
      <c r="X272" s="10">
        <v>2.7439999999999899E-3</v>
      </c>
      <c r="Y272" s="10">
        <v>16.4499999999999</v>
      </c>
      <c r="Z272" s="10">
        <v>27.26</v>
      </c>
      <c r="AA272" s="10">
        <v>112.099999999999</v>
      </c>
      <c r="AB272" s="10">
        <v>828.5</v>
      </c>
      <c r="AC272" s="10">
        <v>0.1153</v>
      </c>
      <c r="AD272" s="10">
        <v>0.34289999999999898</v>
      </c>
      <c r="AE272" s="10">
        <v>0.25119999999999898</v>
      </c>
      <c r="AF272" s="10">
        <v>0.13389999999999899</v>
      </c>
      <c r="AG272" s="10">
        <v>0.25340000000000001</v>
      </c>
      <c r="AH272">
        <v>7.85799999999999E-2</v>
      </c>
    </row>
    <row r="273" spans="3:34">
      <c r="C273" s="11" t="s">
        <v>617</v>
      </c>
      <c r="D273" s="10" t="s">
        <v>1</v>
      </c>
      <c r="E273" s="10">
        <v>13.71</v>
      </c>
      <c r="F273" s="10">
        <v>16.62</v>
      </c>
      <c r="G273" s="10">
        <v>88.969999999999899</v>
      </c>
      <c r="H273" s="10">
        <v>599.39999999999895</v>
      </c>
      <c r="I273" s="10">
        <v>6.8279999999999896E-2</v>
      </c>
      <c r="J273" s="10">
        <v>5.3190000000000001E-2</v>
      </c>
      <c r="K273" s="10">
        <v>2.2239999999999899E-2</v>
      </c>
      <c r="L273" s="10">
        <v>1.3390000000000001E-2</v>
      </c>
      <c r="M273" s="10">
        <v>0.18129999999999899</v>
      </c>
      <c r="N273" s="10">
        <v>5.5359999999999902E-2</v>
      </c>
      <c r="O273" s="10">
        <v>0.1555</v>
      </c>
      <c r="P273" s="10">
        <v>0.57620000000000005</v>
      </c>
      <c r="Q273" s="10">
        <v>1.3919999999999899</v>
      </c>
      <c r="R273" s="10">
        <v>14.0299999999999</v>
      </c>
      <c r="S273" s="10">
        <v>3.3080000000000002E-3</v>
      </c>
      <c r="T273" s="10">
        <v>1.315E-2</v>
      </c>
      <c r="U273" s="10">
        <v>9.9039999999999892E-3</v>
      </c>
      <c r="V273" s="10">
        <v>4.8320000000000004E-3</v>
      </c>
      <c r="W273" s="10">
        <v>1.316E-2</v>
      </c>
      <c r="X273" s="10">
        <v>2.0950000000000001E-3</v>
      </c>
      <c r="Y273" s="10">
        <v>15.14</v>
      </c>
      <c r="Z273" s="10">
        <v>21.8</v>
      </c>
      <c r="AA273" s="10">
        <v>101.2</v>
      </c>
      <c r="AB273" s="10">
        <v>718.89999999999895</v>
      </c>
      <c r="AC273" s="10">
        <v>9.3840000000000007E-2</v>
      </c>
      <c r="AD273" s="10">
        <v>0.2006</v>
      </c>
      <c r="AE273" s="10">
        <v>0.1384</v>
      </c>
      <c r="AF273" s="10">
        <v>6.22199999999999E-2</v>
      </c>
      <c r="AG273" s="10">
        <v>0.26790000000000003</v>
      </c>
      <c r="AH273">
        <v>7.6980000000000007E-2</v>
      </c>
    </row>
    <row r="274" spans="3:34">
      <c r="C274" s="11" t="s">
        <v>618</v>
      </c>
      <c r="D274" s="10" t="s">
        <v>1</v>
      </c>
      <c r="E274" s="10">
        <v>13.71</v>
      </c>
      <c r="F274" s="10">
        <v>14.59</v>
      </c>
      <c r="G274" s="10">
        <v>73.989999999999895</v>
      </c>
      <c r="H274" s="10">
        <v>404.89999999999901</v>
      </c>
      <c r="I274" s="10">
        <v>0.1046</v>
      </c>
      <c r="J274" s="10">
        <v>8.2280000000000006E-2</v>
      </c>
      <c r="K274" s="10">
        <v>5.3080000000000002E-2</v>
      </c>
      <c r="L274" s="10">
        <v>1.9689999999999899E-2</v>
      </c>
      <c r="M274" s="10">
        <v>0.1779</v>
      </c>
      <c r="N274" s="10">
        <v>6.5740000000000007E-2</v>
      </c>
      <c r="O274" s="10">
        <v>0.2034</v>
      </c>
      <c r="P274" s="10">
        <v>1.1659999999999899</v>
      </c>
      <c r="Q274" s="10">
        <v>1.56699999999999</v>
      </c>
      <c r="R274" s="10">
        <v>14.34</v>
      </c>
      <c r="S274" s="10">
        <v>4.9569999999999901E-3</v>
      </c>
      <c r="T274" s="10">
        <v>2.1139999999999898E-2</v>
      </c>
      <c r="U274" s="10">
        <v>4.156E-2</v>
      </c>
      <c r="V274" s="10">
        <v>8.038E-3</v>
      </c>
      <c r="W274" s="10">
        <v>1.8429999999999901E-2</v>
      </c>
      <c r="X274" s="10">
        <v>3.614E-3</v>
      </c>
      <c r="Y274" s="10">
        <v>12.4</v>
      </c>
      <c r="Z274" s="10">
        <v>21.899999999999899</v>
      </c>
      <c r="AA274" s="10">
        <v>82.04</v>
      </c>
      <c r="AB274" s="10">
        <v>467.6</v>
      </c>
      <c r="AC274" s="10">
        <v>0.13519999999999899</v>
      </c>
      <c r="AD274" s="10">
        <v>0.20100000000000001</v>
      </c>
      <c r="AE274" s="10">
        <v>0.2596</v>
      </c>
      <c r="AF274" s="10">
        <v>7.4310000000000001E-2</v>
      </c>
      <c r="AG274" s="10">
        <v>0.29409999999999897</v>
      </c>
      <c r="AH274">
        <v>9.1800000000000007E-2</v>
      </c>
    </row>
    <row r="275" spans="3:34">
      <c r="C275" s="11" t="s">
        <v>620</v>
      </c>
      <c r="D275" s="10" t="s">
        <v>1</v>
      </c>
      <c r="E275" s="10">
        <v>13.71</v>
      </c>
      <c r="F275" s="10">
        <v>18.03</v>
      </c>
      <c r="G275" s="10">
        <v>78.290000000000006</v>
      </c>
      <c r="H275" s="10">
        <v>455.3</v>
      </c>
      <c r="I275" s="10">
        <v>9.0870000000000006E-2</v>
      </c>
      <c r="J275" s="10">
        <v>7.8380000000000005E-2</v>
      </c>
      <c r="K275" s="10">
        <v>2.9159999999999901E-2</v>
      </c>
      <c r="L275" s="10">
        <v>1.5270000000000001E-2</v>
      </c>
      <c r="M275" s="10">
        <v>0.1464</v>
      </c>
      <c r="N275" s="10">
        <v>6.2839999999999896E-2</v>
      </c>
      <c r="O275" s="10">
        <v>0.21940000000000001</v>
      </c>
      <c r="P275" s="10">
        <v>1.18999999999999</v>
      </c>
      <c r="Q275" s="10">
        <v>1.6779999999999899</v>
      </c>
      <c r="R275" s="10">
        <v>16.260000000000002</v>
      </c>
      <c r="S275" s="10">
        <v>4.91099999999999E-3</v>
      </c>
      <c r="T275" s="10">
        <v>1.6660000000000001E-2</v>
      </c>
      <c r="U275" s="10">
        <v>1.397E-2</v>
      </c>
      <c r="V275" s="10">
        <v>5.1609999999999902E-3</v>
      </c>
      <c r="W275" s="10">
        <v>1.4540000000000001E-2</v>
      </c>
      <c r="X275" s="10">
        <v>1.8580000000000001E-3</v>
      </c>
      <c r="Y275" s="10">
        <v>13.34</v>
      </c>
      <c r="Z275" s="10">
        <v>27.87</v>
      </c>
      <c r="AA275" s="10">
        <v>88.829999999999899</v>
      </c>
      <c r="AB275" s="10">
        <v>547.39999999999895</v>
      </c>
      <c r="AC275" s="10">
        <v>0.1208</v>
      </c>
      <c r="AD275" s="10">
        <v>0.22789999999999899</v>
      </c>
      <c r="AE275" s="10">
        <v>0.16200000000000001</v>
      </c>
      <c r="AF275" s="10">
        <v>5.6899999999999902E-2</v>
      </c>
      <c r="AG275" s="10">
        <v>0.24060000000000001</v>
      </c>
      <c r="AH275">
        <v>7.72899999999999E-2</v>
      </c>
    </row>
    <row r="276" spans="3:34">
      <c r="C276" s="11" t="s">
        <v>621</v>
      </c>
      <c r="D276" s="10" t="s">
        <v>1</v>
      </c>
      <c r="E276" s="10">
        <v>13.71</v>
      </c>
      <c r="F276" s="10">
        <v>19.239999999999899</v>
      </c>
      <c r="G276" s="10">
        <v>88.73</v>
      </c>
      <c r="H276" s="10">
        <v>602.89999999999895</v>
      </c>
      <c r="I276" s="10">
        <v>7.9909999999999898E-2</v>
      </c>
      <c r="J276" s="10">
        <v>5.3260000000000002E-2</v>
      </c>
      <c r="K276" s="10">
        <v>2.9950000000000001E-2</v>
      </c>
      <c r="L276" s="10">
        <v>2.07E-2</v>
      </c>
      <c r="M276" s="10">
        <v>0.15790000000000001</v>
      </c>
      <c r="N276" s="10">
        <v>5.59399999999999E-2</v>
      </c>
      <c r="O276" s="10">
        <v>0.33160000000000001</v>
      </c>
      <c r="P276" s="10">
        <v>0.9264</v>
      </c>
      <c r="Q276" s="10">
        <v>2.056</v>
      </c>
      <c r="R276" s="10">
        <v>28.41</v>
      </c>
      <c r="S276" s="10">
        <v>3.7039999999999899E-3</v>
      </c>
      <c r="T276" s="10">
        <v>2.5503945422535201E-2</v>
      </c>
      <c r="U276" s="10">
        <v>1.52999999999999E-2</v>
      </c>
      <c r="V276" s="10">
        <v>6.2750000000000002E-3</v>
      </c>
      <c r="W276" s="10">
        <v>1.06199999999999E-2</v>
      </c>
      <c r="X276" s="10">
        <v>2.2169999999999898E-3</v>
      </c>
      <c r="Y276" s="10">
        <v>16.41</v>
      </c>
      <c r="Z276" s="10">
        <v>26.42</v>
      </c>
      <c r="AA276" s="10">
        <v>104.4</v>
      </c>
      <c r="AB276" s="10">
        <v>830.5</v>
      </c>
      <c r="AC276" s="10">
        <v>0.106399999999999</v>
      </c>
      <c r="AD276" s="10">
        <v>0.14149999999999899</v>
      </c>
      <c r="AE276" s="10">
        <v>0.1673</v>
      </c>
      <c r="AF276" s="10">
        <v>8.1500000000000003E-2</v>
      </c>
      <c r="AG276" s="10">
        <v>0.2356</v>
      </c>
      <c r="AH276">
        <v>7.603E-2</v>
      </c>
    </row>
    <row r="277" spans="3:34">
      <c r="C277" s="11" t="s">
        <v>624</v>
      </c>
      <c r="D277" s="10" t="s">
        <v>1</v>
      </c>
      <c r="E277" s="10">
        <v>13.71</v>
      </c>
      <c r="F277" s="10">
        <v>11.2799999999999</v>
      </c>
      <c r="G277" s="10">
        <v>102.8</v>
      </c>
      <c r="H277" s="10">
        <v>747.2</v>
      </c>
      <c r="I277" s="10">
        <v>0.1043</v>
      </c>
      <c r="J277" s="10">
        <v>0.12989999999999899</v>
      </c>
      <c r="K277" s="10">
        <v>0.1191</v>
      </c>
      <c r="L277" s="10">
        <v>6.2109999999999901E-2</v>
      </c>
      <c r="M277" s="10">
        <v>0.1784</v>
      </c>
      <c r="N277" s="10">
        <v>6.2590000000000007E-2</v>
      </c>
      <c r="O277" s="10">
        <v>0.16300000000000001</v>
      </c>
      <c r="P277" s="10">
        <v>0.3871</v>
      </c>
      <c r="Q277" s="10">
        <v>1.143</v>
      </c>
      <c r="R277" s="10">
        <v>13.8699999999999</v>
      </c>
      <c r="S277" s="10">
        <v>6.0340000000000003E-3</v>
      </c>
      <c r="T277" s="10">
        <v>1.8200000000000001E-2</v>
      </c>
      <c r="U277" s="10">
        <v>3.3360000000000001E-2</v>
      </c>
      <c r="V277" s="10">
        <v>1.0670000000000001E-2</v>
      </c>
      <c r="W277" s="10">
        <v>1.175E-2</v>
      </c>
      <c r="X277" s="10">
        <v>2.2560000000000002E-3</v>
      </c>
      <c r="Y277" s="10">
        <v>17.010000000000002</v>
      </c>
      <c r="Z277" s="10">
        <v>14.1999999999999</v>
      </c>
      <c r="AA277" s="10">
        <v>112.5</v>
      </c>
      <c r="AB277" s="10">
        <v>854.29999999999905</v>
      </c>
      <c r="AC277" s="10">
        <v>0.15409999999999899</v>
      </c>
      <c r="AD277" s="10">
        <v>0.2979</v>
      </c>
      <c r="AE277" s="10">
        <v>0.40039999999999898</v>
      </c>
      <c r="AF277" s="10">
        <v>0.1452</v>
      </c>
      <c r="AG277" s="10">
        <v>0.25569999999999898</v>
      </c>
      <c r="AH277">
        <v>8.1809999999999897E-2</v>
      </c>
    </row>
    <row r="278" spans="3:34">
      <c r="C278" s="11" t="s">
        <v>627</v>
      </c>
      <c r="D278" s="10" t="s">
        <v>0</v>
      </c>
      <c r="E278" s="10">
        <v>13.71</v>
      </c>
      <c r="F278" s="10">
        <v>18.82</v>
      </c>
      <c r="G278" s="10">
        <v>128.099999999999</v>
      </c>
      <c r="H278" s="10">
        <v>1167</v>
      </c>
      <c r="I278" s="10">
        <v>0.1089</v>
      </c>
      <c r="J278" s="10">
        <v>0.14480000000000001</v>
      </c>
      <c r="K278" s="10">
        <v>0.225599999999999</v>
      </c>
      <c r="L278" s="10">
        <v>0.11940000000000001</v>
      </c>
      <c r="M278" s="10">
        <v>0.18229999999999899</v>
      </c>
      <c r="N278" s="10">
        <v>6.1150000000000003E-2</v>
      </c>
      <c r="O278" s="10">
        <v>0.56589999999999896</v>
      </c>
      <c r="P278" s="10">
        <v>1.4079999999999899</v>
      </c>
      <c r="Q278" s="10">
        <v>3.63099999999999</v>
      </c>
      <c r="R278" s="10">
        <v>67.739999999999895</v>
      </c>
      <c r="S278" s="10">
        <v>5.2880000000000002E-3</v>
      </c>
      <c r="T278" s="10">
        <v>2.8330000000000001E-2</v>
      </c>
      <c r="U278" s="10">
        <v>4.2560000000000001E-2</v>
      </c>
      <c r="V278" s="10">
        <v>1.176E-2</v>
      </c>
      <c r="W278" s="10">
        <v>1.7170000000000001E-2</v>
      </c>
      <c r="X278" s="10">
        <v>3.2109999999999899E-3</v>
      </c>
      <c r="Y278" s="10">
        <v>23.96</v>
      </c>
      <c r="Z278" s="10">
        <v>30.39</v>
      </c>
      <c r="AA278" s="10">
        <v>153.9</v>
      </c>
      <c r="AB278" s="10">
        <v>1740</v>
      </c>
      <c r="AC278" s="10">
        <v>0.15140000000000001</v>
      </c>
      <c r="AD278" s="10">
        <v>0.3725</v>
      </c>
      <c r="AE278" s="10">
        <v>0.59360000000000002</v>
      </c>
      <c r="AF278" s="10">
        <v>0.20599999999999899</v>
      </c>
      <c r="AG278" s="10">
        <v>0.3266</v>
      </c>
      <c r="AH278">
        <v>9.0090000000000003E-2</v>
      </c>
    </row>
    <row r="279" spans="3:34">
      <c r="C279" s="11" t="s">
        <v>630</v>
      </c>
      <c r="D279" s="10" t="s">
        <v>1</v>
      </c>
      <c r="E279" s="10">
        <v>13.71</v>
      </c>
      <c r="F279" s="10">
        <v>22.44</v>
      </c>
      <c r="G279" s="10">
        <v>78.180000000000007</v>
      </c>
      <c r="H279" s="10">
        <v>466.5</v>
      </c>
      <c r="I279" s="10">
        <v>8.1920000000000007E-2</v>
      </c>
      <c r="J279" s="10">
        <v>5.19999999999999E-2</v>
      </c>
      <c r="K279" s="10">
        <v>1.7139999999999898E-2</v>
      </c>
      <c r="L279" s="10">
        <v>1.261E-2</v>
      </c>
      <c r="M279" s="10">
        <v>0.15440000000000001</v>
      </c>
      <c r="N279" s="10">
        <v>5.9760000000000001E-2</v>
      </c>
      <c r="O279" s="10">
        <v>0.22389999999999899</v>
      </c>
      <c r="P279" s="10">
        <v>1.139</v>
      </c>
      <c r="Q279" s="10">
        <v>1.577</v>
      </c>
      <c r="R279" s="10">
        <v>18.0399999999999</v>
      </c>
      <c r="S279" s="10">
        <v>5.0959999999999903E-3</v>
      </c>
      <c r="T279" s="10">
        <v>1.205E-2</v>
      </c>
      <c r="U279" s="10">
        <v>9.41E-3</v>
      </c>
      <c r="V279" s="10">
        <v>4.5510000000000004E-3</v>
      </c>
      <c r="W279" s="10">
        <v>1.6080000000000001E-2</v>
      </c>
      <c r="X279" s="10">
        <v>2.3990000000000001E-3</v>
      </c>
      <c r="Y279" s="10">
        <v>14.17</v>
      </c>
      <c r="Z279" s="10">
        <v>31.989999999999899</v>
      </c>
      <c r="AA279" s="10">
        <v>92.739999999999895</v>
      </c>
      <c r="AB279" s="10">
        <v>622.89999999999895</v>
      </c>
      <c r="AC279" s="10">
        <v>0.12559999999999899</v>
      </c>
      <c r="AD279" s="10">
        <v>0.1804</v>
      </c>
      <c r="AE279" s="10">
        <v>0.123</v>
      </c>
      <c r="AF279" s="10">
        <v>6.3350000000000004E-2</v>
      </c>
      <c r="AG279" s="10">
        <v>0.31</v>
      </c>
      <c r="AH279">
        <v>8.2030000000000006E-2</v>
      </c>
    </row>
    <row r="280" spans="3:34">
      <c r="C280" s="11" t="s">
        <v>633</v>
      </c>
      <c r="D280" s="10" t="s">
        <v>1</v>
      </c>
      <c r="E280" s="10">
        <v>13.71</v>
      </c>
      <c r="F280" s="10">
        <v>12.83</v>
      </c>
      <c r="G280" s="10">
        <v>78.829999999999899</v>
      </c>
      <c r="H280" s="10">
        <v>477.3</v>
      </c>
      <c r="I280" s="10">
        <v>7.3719999999999897E-2</v>
      </c>
      <c r="J280" s="10">
        <v>4.0430000000000001E-2</v>
      </c>
      <c r="K280" s="10">
        <v>7.1729999999999901E-3</v>
      </c>
      <c r="L280" s="10">
        <v>1.149E-2</v>
      </c>
      <c r="M280" s="10">
        <v>0.1613</v>
      </c>
      <c r="N280" s="10">
        <v>6.0130000000000003E-2</v>
      </c>
      <c r="O280" s="10">
        <v>0.3276</v>
      </c>
      <c r="P280" s="10">
        <v>1.486</v>
      </c>
      <c r="Q280" s="10">
        <v>2.1080000000000001</v>
      </c>
      <c r="R280" s="10">
        <v>24.6</v>
      </c>
      <c r="S280" s="10">
        <v>1.039E-2</v>
      </c>
      <c r="T280" s="10">
        <v>1.0030000000000001E-2</v>
      </c>
      <c r="U280" s="10">
        <v>6.4159999999999903E-3</v>
      </c>
      <c r="V280" s="10">
        <v>7.8949999999999906E-3</v>
      </c>
      <c r="W280" s="10">
        <v>2.869E-2</v>
      </c>
      <c r="X280" s="10">
        <v>4.8209999999999902E-3</v>
      </c>
      <c r="Y280" s="10">
        <v>13.19</v>
      </c>
      <c r="Z280" s="10">
        <v>16.3599999999999</v>
      </c>
      <c r="AA280" s="10">
        <v>83.239999999999895</v>
      </c>
      <c r="AB280" s="10">
        <v>534</v>
      </c>
      <c r="AC280" s="10">
        <v>9.4390000000000002E-2</v>
      </c>
      <c r="AD280" s="10">
        <v>6.4769999999999897E-2</v>
      </c>
      <c r="AE280" s="10">
        <v>1.6740000000000001E-2</v>
      </c>
      <c r="AF280" s="10">
        <v>2.6800000000000001E-2</v>
      </c>
      <c r="AG280" s="10">
        <v>0.22800000000000001</v>
      </c>
      <c r="AH280">
        <v>7.0279999999999898E-2</v>
      </c>
    </row>
    <row r="281" spans="3:34">
      <c r="C281" s="11" t="s">
        <v>634</v>
      </c>
      <c r="D281" s="10" t="s">
        <v>1</v>
      </c>
      <c r="E281" s="10">
        <v>13.71</v>
      </c>
      <c r="F281" s="10">
        <v>20.5399999999999</v>
      </c>
      <c r="G281" s="10">
        <v>84.06</v>
      </c>
      <c r="H281" s="10">
        <v>538.70000000000005</v>
      </c>
      <c r="I281" s="10">
        <v>7.3349999999999901E-2</v>
      </c>
      <c r="J281" s="10">
        <v>5.2749999999999901E-2</v>
      </c>
      <c r="K281" s="10">
        <v>1.7999999999999901E-2</v>
      </c>
      <c r="L281" s="10">
        <v>1.256E-2</v>
      </c>
      <c r="M281" s="10">
        <v>0.17130000000000001</v>
      </c>
      <c r="N281" s="10">
        <v>5.8880000000000002E-2</v>
      </c>
      <c r="O281" s="10">
        <v>0.32369999999999899</v>
      </c>
      <c r="P281" s="10">
        <v>1.4730000000000001</v>
      </c>
      <c r="Q281" s="10">
        <v>2.3260000000000001</v>
      </c>
      <c r="R281" s="10">
        <v>26.07</v>
      </c>
      <c r="S281" s="10">
        <v>7.8019999999999904E-3</v>
      </c>
      <c r="T281" s="10">
        <v>2.052E-2</v>
      </c>
      <c r="U281" s="10">
        <v>1.341E-2</v>
      </c>
      <c r="V281" s="10">
        <v>5.5640000000000004E-3</v>
      </c>
      <c r="W281" s="10">
        <v>2.086E-2</v>
      </c>
      <c r="X281" s="10">
        <v>2.7009999999999899E-3</v>
      </c>
      <c r="Y281" s="10">
        <v>14.5</v>
      </c>
      <c r="Z281" s="10">
        <v>28.46</v>
      </c>
      <c r="AA281" s="10">
        <v>95.29</v>
      </c>
      <c r="AB281" s="10">
        <v>648.29999999999905</v>
      </c>
      <c r="AC281" s="10">
        <v>0.1118</v>
      </c>
      <c r="AD281" s="10">
        <v>0.1646</v>
      </c>
      <c r="AE281" s="10">
        <v>7.6980000000000007E-2</v>
      </c>
      <c r="AF281" s="10">
        <v>4.1950000000000001E-2</v>
      </c>
      <c r="AG281" s="10">
        <v>0.268699999999999</v>
      </c>
      <c r="AH281">
        <v>7.4289999999999898E-2</v>
      </c>
    </row>
    <row r="282" spans="3:34">
      <c r="C282" s="11" t="s">
        <v>635</v>
      </c>
      <c r="D282" s="10" t="s">
        <v>1</v>
      </c>
      <c r="E282" s="10">
        <v>13.71</v>
      </c>
      <c r="F282" s="10">
        <v>20.21</v>
      </c>
      <c r="G282" s="10">
        <v>96.12</v>
      </c>
      <c r="H282" s="10">
        <v>680.89999999999895</v>
      </c>
      <c r="I282" s="10">
        <v>9.58699999999999E-2</v>
      </c>
      <c r="J282" s="10">
        <v>8.3449999999999899E-2</v>
      </c>
      <c r="K282" s="10">
        <v>6.8239999999999898E-2</v>
      </c>
      <c r="L282" s="10">
        <v>4.9509999999999901E-2</v>
      </c>
      <c r="M282" s="10">
        <v>0.1487</v>
      </c>
      <c r="N282" s="10">
        <v>5.7480000000000003E-2</v>
      </c>
      <c r="O282" s="10">
        <v>0.23230000000000001</v>
      </c>
      <c r="P282" s="10">
        <v>1.6359999999999899</v>
      </c>
      <c r="Q282" s="10">
        <v>1.5960000000000001</v>
      </c>
      <c r="R282" s="10">
        <v>21.84</v>
      </c>
      <c r="S282" s="10">
        <v>5.4149999999999901E-3</v>
      </c>
      <c r="T282" s="10">
        <v>1.371E-2</v>
      </c>
      <c r="U282" s="10">
        <v>2.1530000000000001E-2</v>
      </c>
      <c r="V282" s="10">
        <v>1.183E-2</v>
      </c>
      <c r="W282" s="10">
        <v>1.959E-2</v>
      </c>
      <c r="X282" s="10">
        <v>1.812E-3</v>
      </c>
      <c r="Y282" s="10">
        <v>16.010000000000002</v>
      </c>
      <c r="Z282" s="10">
        <v>28.48</v>
      </c>
      <c r="AA282" s="10">
        <v>103.9</v>
      </c>
      <c r="AB282" s="10">
        <v>783.6</v>
      </c>
      <c r="AC282" s="10">
        <v>0.1216</v>
      </c>
      <c r="AD282" s="10">
        <v>0.13880000000000001</v>
      </c>
      <c r="AE282" s="10">
        <v>0.17</v>
      </c>
      <c r="AF282" s="10">
        <v>0.1017</v>
      </c>
      <c r="AG282" s="10">
        <v>0.2369</v>
      </c>
      <c r="AH282">
        <v>6.5989999999999896E-2</v>
      </c>
    </row>
    <row r="283" spans="3:34">
      <c r="C283" s="11" t="s">
        <v>637</v>
      </c>
      <c r="D283" s="10" t="s">
        <v>1</v>
      </c>
      <c r="E283" s="10">
        <v>13.71</v>
      </c>
      <c r="F283" s="10">
        <v>17.309999999999899</v>
      </c>
      <c r="G283" s="10">
        <v>80.45</v>
      </c>
      <c r="H283" s="10">
        <v>480.1</v>
      </c>
      <c r="I283" s="10">
        <v>8.9279999999999901E-2</v>
      </c>
      <c r="J283" s="10">
        <v>7.6300000000000007E-2</v>
      </c>
      <c r="K283" s="10">
        <v>3.60899999999999E-2</v>
      </c>
      <c r="L283" s="10">
        <v>2.3689999999999899E-2</v>
      </c>
      <c r="M283" s="10">
        <v>0.15260000000000001</v>
      </c>
      <c r="N283" s="10">
        <v>6.046E-2</v>
      </c>
      <c r="O283" s="10">
        <v>0.1532</v>
      </c>
      <c r="P283" s="10">
        <v>0.78100000000000003</v>
      </c>
      <c r="Q283" s="10">
        <v>1.2529999999999899</v>
      </c>
      <c r="R283" s="10">
        <v>11.91</v>
      </c>
      <c r="S283" s="10">
        <v>3.7959999999999899E-3</v>
      </c>
      <c r="T283" s="10">
        <v>1.371E-2</v>
      </c>
      <c r="U283" s="10">
        <v>1.346E-2</v>
      </c>
      <c r="V283" s="10">
        <v>7.0959999999999903E-3</v>
      </c>
      <c r="W283" s="10">
        <v>1.536E-2</v>
      </c>
      <c r="X283" s="10">
        <v>1.5410000000000001E-3</v>
      </c>
      <c r="Y283" s="10">
        <v>14.06</v>
      </c>
      <c r="Z283" s="10">
        <v>24.34</v>
      </c>
      <c r="AA283" s="10">
        <v>92.819999999999894</v>
      </c>
      <c r="AB283" s="10">
        <v>607.29999999999905</v>
      </c>
      <c r="AC283" s="10">
        <v>0.12759999999999899</v>
      </c>
      <c r="AD283" s="10">
        <v>0.25059999999999899</v>
      </c>
      <c r="AE283" s="10">
        <v>0.20280000000000001</v>
      </c>
      <c r="AF283" s="10">
        <v>0.1053</v>
      </c>
      <c r="AG283" s="10">
        <v>0.30349999999999899</v>
      </c>
      <c r="AH283">
        <v>7.66099999999999E-2</v>
      </c>
    </row>
    <row r="284" spans="3:34">
      <c r="C284" s="11" t="s">
        <v>640</v>
      </c>
      <c r="D284" s="10" t="s">
        <v>1</v>
      </c>
      <c r="E284" s="10">
        <v>13.71</v>
      </c>
      <c r="F284" s="10">
        <v>16.739999999999899</v>
      </c>
      <c r="G284" s="10">
        <v>98.73</v>
      </c>
      <c r="H284" s="10">
        <v>689.39999999999895</v>
      </c>
      <c r="I284" s="10">
        <v>9.8830000000000001E-2</v>
      </c>
      <c r="J284" s="10">
        <v>0.13639999999999899</v>
      </c>
      <c r="K284" s="10">
        <v>7.7210000000000001E-2</v>
      </c>
      <c r="L284" s="10">
        <v>6.1420000000000002E-2</v>
      </c>
      <c r="M284" s="10">
        <v>0.1668</v>
      </c>
      <c r="N284" s="10">
        <v>6.8690000000000001E-2</v>
      </c>
      <c r="O284" s="10">
        <v>0.372</v>
      </c>
      <c r="P284" s="10">
        <v>0.84230000000000005</v>
      </c>
      <c r="Q284" s="10">
        <v>2.3039999999999901</v>
      </c>
      <c r="R284" s="10">
        <v>34.840000000000003</v>
      </c>
      <c r="S284" s="10">
        <v>4.1229999999999904E-3</v>
      </c>
      <c r="T284" s="10">
        <v>1.8190000000000001E-2</v>
      </c>
      <c r="U284" s="10">
        <v>1.9959999999999901E-2</v>
      </c>
      <c r="V284" s="10">
        <v>1.004E-2</v>
      </c>
      <c r="W284" s="10">
        <v>1.055E-2</v>
      </c>
      <c r="X284" s="10">
        <v>3.2369999999999899E-3</v>
      </c>
      <c r="Y284" s="10">
        <v>16.760000000000002</v>
      </c>
      <c r="Z284" s="10">
        <v>20.43</v>
      </c>
      <c r="AA284" s="10">
        <v>109.7</v>
      </c>
      <c r="AB284" s="10">
        <v>856.89999999999895</v>
      </c>
      <c r="AC284" s="10">
        <v>0.1135</v>
      </c>
      <c r="AD284" s="10">
        <v>0.21759999999999899</v>
      </c>
      <c r="AE284" s="10">
        <v>0.18559999999999899</v>
      </c>
      <c r="AF284" s="10">
        <v>0.1018</v>
      </c>
      <c r="AG284" s="10">
        <v>0.2177</v>
      </c>
      <c r="AH284">
        <v>8.5489999999999899E-2</v>
      </c>
    </row>
    <row r="285" spans="3:34">
      <c r="C285" s="11" t="s">
        <v>642</v>
      </c>
      <c r="D285" s="10" t="s">
        <v>1</v>
      </c>
      <c r="E285" s="10">
        <v>13.71</v>
      </c>
      <c r="F285" s="10">
        <v>16.32</v>
      </c>
      <c r="G285" s="10">
        <v>81.25</v>
      </c>
      <c r="H285" s="10">
        <v>476.3</v>
      </c>
      <c r="I285" s="10">
        <v>0.1158</v>
      </c>
      <c r="J285" s="10">
        <v>0.1085</v>
      </c>
      <c r="K285" s="10">
        <v>5.9279999999999902E-2</v>
      </c>
      <c r="L285" s="10">
        <v>3.279E-2</v>
      </c>
      <c r="M285" s="10">
        <v>0.1943</v>
      </c>
      <c r="N285" s="10">
        <v>6.6119999999999901E-2</v>
      </c>
      <c r="O285" s="10">
        <v>0.25769999999999899</v>
      </c>
      <c r="P285" s="10">
        <v>1.095</v>
      </c>
      <c r="Q285" s="10">
        <v>1.5660000000000001</v>
      </c>
      <c r="R285" s="10">
        <v>18.489999999999899</v>
      </c>
      <c r="S285" s="10">
        <v>9.7020000000000006E-3</v>
      </c>
      <c r="T285" s="10">
        <v>1.567E-2</v>
      </c>
      <c r="U285" s="10">
        <v>2.5749999999999901E-2</v>
      </c>
      <c r="V285" s="10">
        <v>1.1610000000000001E-2</v>
      </c>
      <c r="W285" s="10">
        <v>2.801E-2</v>
      </c>
      <c r="X285" s="10">
        <v>2.48E-3</v>
      </c>
      <c r="Y285" s="10">
        <v>13.57</v>
      </c>
      <c r="Z285" s="10">
        <v>21.399999999999899</v>
      </c>
      <c r="AA285" s="10">
        <v>86.67</v>
      </c>
      <c r="AB285" s="10">
        <v>552</v>
      </c>
      <c r="AC285" s="10">
        <v>0.158</v>
      </c>
      <c r="AD285" s="10">
        <v>0.17510000000000001</v>
      </c>
      <c r="AE285" s="10">
        <v>0.18890000000000001</v>
      </c>
      <c r="AF285" s="10">
        <v>8.4110000000000004E-2</v>
      </c>
      <c r="AG285" s="10">
        <v>0.3155</v>
      </c>
      <c r="AH285">
        <v>7.5380000000000003E-2</v>
      </c>
    </row>
    <row r="286" spans="3:34">
      <c r="C286" s="11" t="s">
        <v>643</v>
      </c>
      <c r="D286" s="10" t="s">
        <v>0</v>
      </c>
      <c r="E286" s="10">
        <v>13.71</v>
      </c>
      <c r="F286" s="10">
        <v>19.829999999999899</v>
      </c>
      <c r="G286" s="10">
        <v>152.099999999999</v>
      </c>
      <c r="H286" s="10">
        <v>1682</v>
      </c>
      <c r="I286" s="10">
        <v>9.3420000000000003E-2</v>
      </c>
      <c r="J286" s="10">
        <v>0.1275</v>
      </c>
      <c r="K286" s="10">
        <v>0.1676</v>
      </c>
      <c r="L286" s="10">
        <v>0.1003</v>
      </c>
      <c r="M286" s="10">
        <v>0.150499999999999</v>
      </c>
      <c r="N286" s="10">
        <v>5.484E-2</v>
      </c>
      <c r="O286" s="10">
        <v>1.2909999999999899</v>
      </c>
      <c r="P286" s="10">
        <v>0.74519999999999897</v>
      </c>
      <c r="Q286" s="10">
        <v>9.6349999999999891</v>
      </c>
      <c r="R286" s="10">
        <v>180.19999999999899</v>
      </c>
      <c r="S286" s="10">
        <v>5.7530000000000003E-3</v>
      </c>
      <c r="T286" s="10">
        <v>3.356E-2</v>
      </c>
      <c r="U286" s="10">
        <v>3.97599999999999E-2</v>
      </c>
      <c r="V286" s="10">
        <v>2.1559999999999899E-2</v>
      </c>
      <c r="W286" s="10">
        <v>2.2009999999999901E-2</v>
      </c>
      <c r="X286" s="10">
        <v>2.8969999999999899E-3</v>
      </c>
      <c r="Y286" s="10">
        <v>30.7899999999999</v>
      </c>
      <c r="Z286" s="10">
        <v>23.87</v>
      </c>
      <c r="AA286" s="10">
        <v>211.5</v>
      </c>
      <c r="AB286" s="10">
        <v>2782</v>
      </c>
      <c r="AC286" s="10">
        <v>0.11990000000000001</v>
      </c>
      <c r="AD286" s="10">
        <v>0.36249999999999899</v>
      </c>
      <c r="AE286" s="10">
        <v>0.37940000000000002</v>
      </c>
      <c r="AF286" s="10">
        <v>0.22639999999999899</v>
      </c>
      <c r="AG286" s="10">
        <v>0.2908</v>
      </c>
      <c r="AH286">
        <v>7.2770000000000001E-2</v>
      </c>
    </row>
    <row r="287" spans="3:34">
      <c r="C287" s="11" t="s">
        <v>649</v>
      </c>
      <c r="D287" s="10" t="s">
        <v>0</v>
      </c>
      <c r="E287" s="10">
        <v>13.71</v>
      </c>
      <c r="F287" s="10">
        <v>23.9499999999999</v>
      </c>
      <c r="G287" s="10">
        <v>103.8</v>
      </c>
      <c r="H287" s="10">
        <v>731.29999999999905</v>
      </c>
      <c r="I287" s="10">
        <v>0.1183</v>
      </c>
      <c r="J287" s="10">
        <v>0.187</v>
      </c>
      <c r="K287" s="10">
        <v>0.20300000000000001</v>
      </c>
      <c r="L287" s="10">
        <v>8.5199999999999901E-2</v>
      </c>
      <c r="M287" s="10">
        <v>0.1807</v>
      </c>
      <c r="N287" s="10">
        <v>7.0830000000000004E-2</v>
      </c>
      <c r="O287" s="10">
        <v>0.33310000000000001</v>
      </c>
      <c r="P287" s="10">
        <v>1.9610000000000001</v>
      </c>
      <c r="Q287" s="10">
        <v>2.9369999999999901</v>
      </c>
      <c r="R287" s="10">
        <v>32.520000000000003</v>
      </c>
      <c r="S287" s="10">
        <v>9.5379999999999892E-3</v>
      </c>
      <c r="T287" s="10">
        <v>4.9399999999999902E-2</v>
      </c>
      <c r="U287" s="10">
        <v>6.019E-2</v>
      </c>
      <c r="V287" s="10">
        <v>2.0410000000000001E-2</v>
      </c>
      <c r="W287" s="10">
        <v>2.1049999999999899E-2</v>
      </c>
      <c r="X287" s="10">
        <v>6.0000000000000001E-3</v>
      </c>
      <c r="Y287" s="10">
        <v>17.1099999999999</v>
      </c>
      <c r="Z287" s="10">
        <v>36.329999999999899</v>
      </c>
      <c r="AA287" s="10">
        <v>117.7</v>
      </c>
      <c r="AB287" s="10">
        <v>909.39999999999895</v>
      </c>
      <c r="AC287" s="10">
        <v>0.17319999999999899</v>
      </c>
      <c r="AD287" s="10">
        <v>0.49669999999999898</v>
      </c>
      <c r="AE287" s="10">
        <v>0.59109999999999896</v>
      </c>
      <c r="AF287" s="10">
        <v>0.21629999999999899</v>
      </c>
      <c r="AG287" s="10">
        <v>0.30130000000000001</v>
      </c>
      <c r="AH287">
        <v>0.1067</v>
      </c>
    </row>
    <row r="288" spans="3:34">
      <c r="C288" s="11" t="s">
        <v>650</v>
      </c>
      <c r="D288" s="10" t="s">
        <v>1</v>
      </c>
      <c r="E288" s="10">
        <v>13.71</v>
      </c>
      <c r="F288" s="10">
        <v>14.69</v>
      </c>
      <c r="G288" s="10">
        <v>76.31</v>
      </c>
      <c r="H288" s="10">
        <v>426</v>
      </c>
      <c r="I288" s="10">
        <v>8.0990000000000006E-2</v>
      </c>
      <c r="J288" s="10">
        <v>9.6610000000000001E-2</v>
      </c>
      <c r="K288" s="10">
        <v>6.726E-2</v>
      </c>
      <c r="L288" s="10">
        <v>2.639E-2</v>
      </c>
      <c r="M288" s="10">
        <v>0.14990000000000001</v>
      </c>
      <c r="N288" s="10">
        <v>6.7580000000000001E-2</v>
      </c>
      <c r="O288" s="10">
        <v>0.19239999999999899</v>
      </c>
      <c r="P288" s="10">
        <v>0.64170000000000005</v>
      </c>
      <c r="Q288" s="10">
        <v>1.345</v>
      </c>
      <c r="R288" s="10">
        <v>13.0399999999999</v>
      </c>
      <c r="S288" s="10">
        <v>6.9820000000000004E-3</v>
      </c>
      <c r="T288" s="10">
        <v>3.916E-2</v>
      </c>
      <c r="U288" s="10">
        <v>4.01699999999999E-2</v>
      </c>
      <c r="V288" s="10">
        <v>1.528E-2</v>
      </c>
      <c r="W288" s="10">
        <v>2.2599999999999901E-2</v>
      </c>
      <c r="X288" s="10">
        <v>6.8219999999999904E-3</v>
      </c>
      <c r="Y288" s="10">
        <v>12.4499999999999</v>
      </c>
      <c r="Z288" s="10">
        <v>17.600000000000001</v>
      </c>
      <c r="AA288" s="10">
        <v>81.25</v>
      </c>
      <c r="AB288" s="10">
        <v>473.8</v>
      </c>
      <c r="AC288" s="10">
        <v>0.10730000000000001</v>
      </c>
      <c r="AD288" s="10">
        <v>0.27929999999999899</v>
      </c>
      <c r="AE288" s="10">
        <v>0.26900000000000002</v>
      </c>
      <c r="AF288" s="10">
        <v>0.1056</v>
      </c>
      <c r="AG288" s="10">
        <v>0.26040000000000002</v>
      </c>
      <c r="AH288">
        <v>9.8790000000000003E-2</v>
      </c>
    </row>
    <row r="289" spans="3:34">
      <c r="C289" s="11" t="s">
        <v>653</v>
      </c>
      <c r="D289" s="10" t="s">
        <v>1</v>
      </c>
      <c r="E289" s="10">
        <v>13.71</v>
      </c>
      <c r="F289" s="10">
        <v>13.66</v>
      </c>
      <c r="G289" s="10">
        <v>94.29</v>
      </c>
      <c r="H289" s="10">
        <v>658.79999999999905</v>
      </c>
      <c r="I289" s="10">
        <v>9.8320000000000005E-2</v>
      </c>
      <c r="J289" s="10">
        <v>8.9179999999999898E-2</v>
      </c>
      <c r="K289" s="10">
        <v>8.2220000000000001E-2</v>
      </c>
      <c r="L289" s="10">
        <v>4.3490000000000001E-2</v>
      </c>
      <c r="M289" s="10">
        <v>0.1739</v>
      </c>
      <c r="N289" s="10">
        <v>5.6399999999999902E-2</v>
      </c>
      <c r="O289" s="10">
        <v>0.41649999999999898</v>
      </c>
      <c r="P289" s="10">
        <v>0.62370000000000003</v>
      </c>
      <c r="Q289" s="10">
        <v>2.5609999999999902</v>
      </c>
      <c r="R289" s="10">
        <v>37.1099999999999</v>
      </c>
      <c r="S289" s="10">
        <v>4.9529999999999904E-3</v>
      </c>
      <c r="T289" s="10">
        <v>1.8120000000000001E-2</v>
      </c>
      <c r="U289" s="10">
        <v>3.0349999999999901E-2</v>
      </c>
      <c r="V289" s="10">
        <v>8.6479999999999908E-3</v>
      </c>
      <c r="W289" s="10">
        <v>1.53899999999999E-2</v>
      </c>
      <c r="X289" s="10">
        <v>2.281E-3</v>
      </c>
      <c r="Y289" s="10">
        <v>16.760000000000002</v>
      </c>
      <c r="Z289" s="10">
        <v>17.239999999999899</v>
      </c>
      <c r="AA289" s="10">
        <v>108.5</v>
      </c>
      <c r="AB289" s="10">
        <v>862</v>
      </c>
      <c r="AC289" s="10">
        <v>0.12230000000000001</v>
      </c>
      <c r="AD289" s="10">
        <v>0.1928</v>
      </c>
      <c r="AE289" s="10">
        <v>0.2492</v>
      </c>
      <c r="AF289" s="10">
        <v>9.18599999999999E-2</v>
      </c>
      <c r="AG289" s="10">
        <v>0.2626</v>
      </c>
      <c r="AH289">
        <v>7.0480000000000001E-2</v>
      </c>
    </row>
    <row r="290" spans="3:34">
      <c r="C290" s="11" t="s">
        <v>657</v>
      </c>
      <c r="D290" s="10" t="s">
        <v>0</v>
      </c>
      <c r="E290" s="10">
        <v>13.71</v>
      </c>
      <c r="F290" s="10">
        <v>20.260000000000002</v>
      </c>
      <c r="G290" s="10">
        <v>130.5</v>
      </c>
      <c r="H290" s="10">
        <v>1214</v>
      </c>
      <c r="I290" s="10">
        <v>0.1037</v>
      </c>
      <c r="J290" s="10">
        <v>0.13100000000000001</v>
      </c>
      <c r="K290" s="10">
        <v>0.1411</v>
      </c>
      <c r="L290" s="10">
        <v>9.4310000000000005E-2</v>
      </c>
      <c r="M290" s="10">
        <v>0.1802</v>
      </c>
      <c r="N290" s="10">
        <v>6.18799999999999E-2</v>
      </c>
      <c r="O290" s="10">
        <v>0.50790000000000002</v>
      </c>
      <c r="P290" s="10">
        <v>0.87370000000000003</v>
      </c>
      <c r="Q290" s="10">
        <v>3.6539999999999901</v>
      </c>
      <c r="R290" s="10">
        <v>59.7</v>
      </c>
      <c r="S290" s="10">
        <v>5.0889999999999902E-3</v>
      </c>
      <c r="T290" s="10">
        <v>2.3029999999999901E-2</v>
      </c>
      <c r="U290" s="10">
        <v>3.0519999999999901E-2</v>
      </c>
      <c r="V290" s="10">
        <v>1.1780000000000001E-2</v>
      </c>
      <c r="W290" s="10">
        <v>1.057E-2</v>
      </c>
      <c r="X290" s="10">
        <v>3.3909999999999899E-3</v>
      </c>
      <c r="Y290" s="10">
        <v>23.73</v>
      </c>
      <c r="Z290" s="10">
        <v>25.23</v>
      </c>
      <c r="AA290" s="10">
        <v>160.5</v>
      </c>
      <c r="AB290" s="10">
        <v>1646</v>
      </c>
      <c r="AC290" s="10">
        <v>0.14169999999999899</v>
      </c>
      <c r="AD290" s="10">
        <v>0.33090000000000003</v>
      </c>
      <c r="AE290" s="10">
        <v>0.41849999999999898</v>
      </c>
      <c r="AF290" s="10">
        <v>0.1613</v>
      </c>
      <c r="AG290" s="10">
        <v>0.25490000000000002</v>
      </c>
      <c r="AH290">
        <v>9.13599999999999E-2</v>
      </c>
    </row>
    <row r="291" spans="3:34">
      <c r="C291" s="11" t="s">
        <v>658</v>
      </c>
      <c r="D291" s="10" t="s">
        <v>1</v>
      </c>
      <c r="E291" s="10">
        <v>13.71</v>
      </c>
      <c r="F291" s="10">
        <v>18.219999999999899</v>
      </c>
      <c r="G291" s="10">
        <v>84.45</v>
      </c>
      <c r="H291" s="10">
        <v>493.1</v>
      </c>
      <c r="I291" s="10">
        <v>0.12180000000000001</v>
      </c>
      <c r="J291" s="10">
        <v>0.1661</v>
      </c>
      <c r="K291" s="10">
        <v>4.8250000000000001E-2</v>
      </c>
      <c r="L291" s="10">
        <v>5.3030000000000001E-2</v>
      </c>
      <c r="M291" s="10">
        <v>0.1709</v>
      </c>
      <c r="N291" s="10">
        <v>7.25299999999999E-2</v>
      </c>
      <c r="O291" s="10">
        <v>0.44259999999999899</v>
      </c>
      <c r="P291" s="10">
        <v>1.169</v>
      </c>
      <c r="Q291" s="10">
        <v>3.1760000000000002</v>
      </c>
      <c r="R291" s="10">
        <v>34.369999999999898</v>
      </c>
      <c r="S291" s="10">
        <v>5.2729999999999904E-3</v>
      </c>
      <c r="T291" s="10">
        <v>2.3290000000000002E-2</v>
      </c>
      <c r="U291" s="10">
        <v>1.405E-2</v>
      </c>
      <c r="V291" s="10">
        <v>1.244E-2</v>
      </c>
      <c r="W291" s="10">
        <v>1.8159999999999898E-2</v>
      </c>
      <c r="X291" s="10">
        <v>3.2989999999999899E-3</v>
      </c>
      <c r="Y291" s="10">
        <v>15.05</v>
      </c>
      <c r="Z291" s="10">
        <v>24.37</v>
      </c>
      <c r="AA291" s="10">
        <v>99.31</v>
      </c>
      <c r="AB291" s="10">
        <v>674.7</v>
      </c>
      <c r="AC291" s="10">
        <v>0.14560000000000001</v>
      </c>
      <c r="AD291" s="10">
        <v>0.29609999999999898</v>
      </c>
      <c r="AE291" s="10">
        <v>0.1246</v>
      </c>
      <c r="AF291" s="10">
        <v>0.1096</v>
      </c>
      <c r="AG291" s="10">
        <v>0.25819999999999899</v>
      </c>
      <c r="AH291">
        <v>8.8929999999999898E-2</v>
      </c>
    </row>
    <row r="292" spans="3:34">
      <c r="C292" s="11" t="s">
        <v>659</v>
      </c>
      <c r="D292" s="10" t="s">
        <v>1</v>
      </c>
      <c r="E292" s="10">
        <v>13.71</v>
      </c>
      <c r="F292" s="10">
        <v>16.6999999999999</v>
      </c>
      <c r="G292" s="10">
        <v>82.51</v>
      </c>
      <c r="H292" s="10">
        <v>493.8</v>
      </c>
      <c r="I292" s="10">
        <v>0.1125</v>
      </c>
      <c r="J292" s="10">
        <v>0.11169999999999899</v>
      </c>
      <c r="K292" s="10">
        <v>3.8800000000000001E-2</v>
      </c>
      <c r="L292" s="10">
        <v>2.9950000000000001E-2</v>
      </c>
      <c r="M292" s="10">
        <v>0.21199999999999899</v>
      </c>
      <c r="N292" s="10">
        <v>6.62299999999999E-2</v>
      </c>
      <c r="O292" s="10">
        <v>0.38340000000000002</v>
      </c>
      <c r="P292" s="10">
        <v>1.0029999999999899</v>
      </c>
      <c r="Q292" s="10">
        <v>2.4950000000000001</v>
      </c>
      <c r="R292" s="10">
        <v>28.62</v>
      </c>
      <c r="S292" s="10">
        <v>7.509E-3</v>
      </c>
      <c r="T292" s="10">
        <v>1.5610000000000001E-2</v>
      </c>
      <c r="U292" s="10">
        <v>1.9769999999999899E-2</v>
      </c>
      <c r="V292" s="10">
        <v>9.1990000000000006E-3</v>
      </c>
      <c r="W292" s="10">
        <v>1.805E-2</v>
      </c>
      <c r="X292" s="10">
        <v>3.6289999999999899E-3</v>
      </c>
      <c r="Y292" s="10">
        <v>14.4499999999999</v>
      </c>
      <c r="Z292" s="10">
        <v>21.739999999999899</v>
      </c>
      <c r="AA292" s="10">
        <v>93.629999999999896</v>
      </c>
      <c r="AB292" s="10">
        <v>624.1</v>
      </c>
      <c r="AC292" s="10">
        <v>0.14749999999999899</v>
      </c>
      <c r="AD292" s="10">
        <v>0.19789999999999899</v>
      </c>
      <c r="AE292" s="10">
        <v>0.14230000000000001</v>
      </c>
      <c r="AF292" s="10">
        <v>8.0449999999999897E-2</v>
      </c>
      <c r="AG292" s="10">
        <v>0.30709999999999898</v>
      </c>
      <c r="AH292">
        <v>8.5569999999999896E-2</v>
      </c>
    </row>
    <row r="293" spans="3:34">
      <c r="C293" s="11" t="s">
        <v>661</v>
      </c>
      <c r="D293" s="10" t="s">
        <v>0</v>
      </c>
      <c r="E293" s="10">
        <v>13.71</v>
      </c>
      <c r="F293" s="10">
        <v>21.6</v>
      </c>
      <c r="G293" s="10">
        <v>165.5</v>
      </c>
      <c r="H293" s="10">
        <v>1841</v>
      </c>
      <c r="I293" s="10">
        <v>0.102999999999999</v>
      </c>
      <c r="J293" s="10">
        <v>0.21060000000000001</v>
      </c>
      <c r="K293" s="10">
        <v>0.23100000000000001</v>
      </c>
      <c r="L293" s="10">
        <v>0.14710000000000001</v>
      </c>
      <c r="M293" s="10">
        <v>0.1991</v>
      </c>
      <c r="N293" s="10">
        <v>6.7390000000000005E-2</v>
      </c>
      <c r="O293" s="10">
        <v>0.99150000000000005</v>
      </c>
      <c r="P293" s="10">
        <v>0.90039999999999898</v>
      </c>
      <c r="Q293" s="10">
        <v>7.0499999999999901</v>
      </c>
      <c r="R293" s="10">
        <v>139.9</v>
      </c>
      <c r="S293" s="10">
        <v>4.9890000000000004E-3</v>
      </c>
      <c r="T293" s="10">
        <v>3.2120000000000003E-2</v>
      </c>
      <c r="U293" s="10">
        <v>3.5709999999999902E-2</v>
      </c>
      <c r="V293" s="10">
        <v>1.5970000000000002E-2</v>
      </c>
      <c r="W293" s="10">
        <v>1.8790000000000001E-2</v>
      </c>
      <c r="X293" s="10">
        <v>4.7600000000000003E-3</v>
      </c>
      <c r="Y293" s="10">
        <v>29.92</v>
      </c>
      <c r="Z293" s="10">
        <v>26.93</v>
      </c>
      <c r="AA293" s="10">
        <v>205.69999999999899</v>
      </c>
      <c r="AB293" s="10">
        <v>2642</v>
      </c>
      <c r="AC293" s="10">
        <v>0.13420000000000001</v>
      </c>
      <c r="AD293" s="10">
        <v>0.41880000000000001</v>
      </c>
      <c r="AE293" s="10">
        <v>0.46579999999999899</v>
      </c>
      <c r="AF293" s="10">
        <v>0.2475</v>
      </c>
      <c r="AG293" s="10">
        <v>0.31569999999999898</v>
      </c>
      <c r="AH293">
        <v>9.6710000000000004E-2</v>
      </c>
    </row>
    <row r="294" spans="3:34">
      <c r="C294" s="11" t="s">
        <v>663</v>
      </c>
      <c r="D294" s="10" t="s">
        <v>1</v>
      </c>
      <c r="E294" s="10">
        <v>13.71</v>
      </c>
      <c r="F294" s="10">
        <v>18.68</v>
      </c>
      <c r="G294" s="10">
        <v>88.73</v>
      </c>
      <c r="H294" s="10">
        <v>571</v>
      </c>
      <c r="I294" s="10">
        <v>9.9159999999999901E-2</v>
      </c>
      <c r="J294" s="10">
        <v>0.107</v>
      </c>
      <c r="K294" s="10">
        <v>5.3850000000000002E-2</v>
      </c>
      <c r="L294" s="10">
        <v>3.7830000000000003E-2</v>
      </c>
      <c r="M294" s="10">
        <v>0.1714</v>
      </c>
      <c r="N294" s="10">
        <v>6.8430000000000005E-2</v>
      </c>
      <c r="O294" s="10">
        <v>0.319099999999999</v>
      </c>
      <c r="P294" s="10">
        <v>1.2490000000000001</v>
      </c>
      <c r="Q294" s="10">
        <v>2.28399999999999</v>
      </c>
      <c r="R294" s="10">
        <v>26.4499999999999</v>
      </c>
      <c r="S294" s="10">
        <v>6.7390000000000002E-3</v>
      </c>
      <c r="T294" s="10">
        <v>2.2509999999999902E-2</v>
      </c>
      <c r="U294" s="10">
        <v>2.086E-2</v>
      </c>
      <c r="V294" s="10">
        <v>1.3520000000000001E-2</v>
      </c>
      <c r="W294" s="10">
        <v>1.8700000000000001E-2</v>
      </c>
      <c r="X294" s="10">
        <v>3.7469999999999899E-3</v>
      </c>
      <c r="Y294" s="10">
        <v>15.1099999999999</v>
      </c>
      <c r="Z294" s="10">
        <v>25.6299999999999</v>
      </c>
      <c r="AA294" s="10">
        <v>99.43</v>
      </c>
      <c r="AB294" s="10">
        <v>701.89999999999895</v>
      </c>
      <c r="AC294" s="10">
        <v>0.14249999999999899</v>
      </c>
      <c r="AD294" s="10">
        <v>0.256599999999999</v>
      </c>
      <c r="AE294" s="10">
        <v>0.19350000000000001</v>
      </c>
      <c r="AF294" s="10">
        <v>0.12839999999999899</v>
      </c>
      <c r="AG294" s="10">
        <v>0.28489999999999899</v>
      </c>
      <c r="AH294">
        <v>9.0310000000000001E-2</v>
      </c>
    </row>
    <row r="295" spans="3:34">
      <c r="C295" s="11" t="s">
        <v>664</v>
      </c>
      <c r="D295" s="10" t="s">
        <v>1</v>
      </c>
      <c r="E295" s="10">
        <v>13.71</v>
      </c>
      <c r="F295" s="10">
        <v>15.68</v>
      </c>
      <c r="G295" s="10">
        <v>63</v>
      </c>
      <c r="H295" s="10">
        <v>293.19999999999902</v>
      </c>
      <c r="I295" s="10">
        <v>9.4920000000000004E-2</v>
      </c>
      <c r="J295" s="10">
        <v>8.4190000000000001E-2</v>
      </c>
      <c r="K295" s="10">
        <v>2.3300000000000001E-2</v>
      </c>
      <c r="L295" s="10">
        <v>2.4160000000000001E-2</v>
      </c>
      <c r="M295" s="10">
        <v>0.13869999999999899</v>
      </c>
      <c r="N295" s="10">
        <v>6.8909999999999902E-2</v>
      </c>
      <c r="O295" s="10">
        <v>0.249799999999999</v>
      </c>
      <c r="P295" s="10">
        <v>1.216</v>
      </c>
      <c r="Q295" s="10">
        <v>1.976</v>
      </c>
      <c r="R295" s="10">
        <v>15.24</v>
      </c>
      <c r="S295" s="10">
        <v>8.7320000000000002E-3</v>
      </c>
      <c r="T295" s="10">
        <v>2.0420000000000001E-2</v>
      </c>
      <c r="U295" s="10">
        <v>1.06199999999999E-2</v>
      </c>
      <c r="V295" s="10">
        <v>6.8009999999999902E-3</v>
      </c>
      <c r="W295" s="10">
        <v>1.8239999999999899E-2</v>
      </c>
      <c r="X295" s="10">
        <v>3.4940000000000001E-3</v>
      </c>
      <c r="Y295" s="10">
        <v>11.24</v>
      </c>
      <c r="Z295" s="10">
        <v>22.989999999999899</v>
      </c>
      <c r="AA295" s="10">
        <v>74.319999999999894</v>
      </c>
      <c r="AB295" s="10">
        <v>376.5</v>
      </c>
      <c r="AC295" s="10">
        <v>0.1419</v>
      </c>
      <c r="AD295" s="10">
        <v>0.2243</v>
      </c>
      <c r="AE295" s="10">
        <v>8.4339999999999901E-2</v>
      </c>
      <c r="AF295" s="10">
        <v>6.5280000000000005E-2</v>
      </c>
      <c r="AG295" s="10">
        <v>0.25019999999999898</v>
      </c>
      <c r="AH295">
        <v>9.2090000000000005E-2</v>
      </c>
    </row>
    <row r="296" spans="3:34">
      <c r="C296" s="11" t="s">
        <v>666</v>
      </c>
      <c r="D296" s="10" t="s">
        <v>1</v>
      </c>
      <c r="E296" s="10">
        <v>13.71</v>
      </c>
      <c r="F296" s="10">
        <v>18.75</v>
      </c>
      <c r="G296" s="10">
        <v>87.439999999999898</v>
      </c>
      <c r="H296" s="10">
        <v>551.1</v>
      </c>
      <c r="I296" s="10">
        <v>0.1075</v>
      </c>
      <c r="J296" s="10">
        <v>0.1138</v>
      </c>
      <c r="K296" s="10">
        <v>4.2009999999999902E-2</v>
      </c>
      <c r="L296" s="10">
        <v>3.1519999999999902E-2</v>
      </c>
      <c r="M296" s="10">
        <v>0.17230000000000001</v>
      </c>
      <c r="N296" s="10">
        <v>6.3170000000000004E-2</v>
      </c>
      <c r="O296" s="10">
        <v>0.19980000000000001</v>
      </c>
      <c r="P296" s="10">
        <v>0.60680000000000001</v>
      </c>
      <c r="Q296" s="10">
        <v>1.4430000000000001</v>
      </c>
      <c r="R296" s="10">
        <v>16.07</v>
      </c>
      <c r="S296" s="10">
        <v>4.4130000000000003E-3</v>
      </c>
      <c r="T296" s="10">
        <v>1.443E-2</v>
      </c>
      <c r="U296" s="10">
        <v>1.50899999999999E-2</v>
      </c>
      <c r="V296" s="10">
        <v>7.3689999999999901E-3</v>
      </c>
      <c r="W296" s="10">
        <v>1.354E-2</v>
      </c>
      <c r="X296" s="10">
        <v>1.787E-3</v>
      </c>
      <c r="Y296" s="10">
        <v>15.35</v>
      </c>
      <c r="Z296" s="10">
        <v>25.16</v>
      </c>
      <c r="AA296" s="10">
        <v>101.9</v>
      </c>
      <c r="AB296" s="10">
        <v>719.79999999999905</v>
      </c>
      <c r="AC296" s="10">
        <v>0.16239999999999899</v>
      </c>
      <c r="AD296" s="10">
        <v>0.31240000000000001</v>
      </c>
      <c r="AE296" s="10">
        <v>0.26540000000000002</v>
      </c>
      <c r="AF296" s="10">
        <v>0.14269999999999899</v>
      </c>
      <c r="AG296" s="10">
        <v>0.3518</v>
      </c>
      <c r="AH296">
        <v>8.6650000000000005E-2</v>
      </c>
    </row>
    <row r="297" spans="3:34">
      <c r="C297" s="11" t="s">
        <v>670</v>
      </c>
      <c r="D297" s="10" t="s">
        <v>1</v>
      </c>
      <c r="E297" s="10">
        <v>13.71</v>
      </c>
      <c r="F297" s="10">
        <v>17.559999999999899</v>
      </c>
      <c r="G297" s="10">
        <v>75.89</v>
      </c>
      <c r="H297" s="10">
        <v>422.89999999999901</v>
      </c>
      <c r="I297" s="10">
        <v>0.10730000000000001</v>
      </c>
      <c r="J297" s="10">
        <v>9.7129999999999897E-2</v>
      </c>
      <c r="K297" s="10">
        <v>5.2819999999999902E-2</v>
      </c>
      <c r="L297" s="10">
        <v>4.4400000000000002E-2</v>
      </c>
      <c r="M297" s="10">
        <v>0.1598</v>
      </c>
      <c r="N297" s="10">
        <v>6.6769999999999899E-2</v>
      </c>
      <c r="O297" s="10">
        <v>0.43840000000000001</v>
      </c>
      <c r="P297" s="10">
        <v>1.907</v>
      </c>
      <c r="Q297" s="10">
        <v>3.149</v>
      </c>
      <c r="R297" s="10">
        <v>30.66</v>
      </c>
      <c r="S297" s="10">
        <v>6.587E-3</v>
      </c>
      <c r="T297" s="10">
        <v>1.8149999999999899E-2</v>
      </c>
      <c r="U297" s="10">
        <v>1.737E-2</v>
      </c>
      <c r="V297" s="10">
        <v>1.316E-2</v>
      </c>
      <c r="W297" s="10">
        <v>1.8350000000000002E-2</v>
      </c>
      <c r="X297" s="10">
        <v>2.3180000000000002E-3</v>
      </c>
      <c r="Y297" s="10">
        <v>13.5</v>
      </c>
      <c r="Z297" s="10">
        <v>27.98</v>
      </c>
      <c r="AA297" s="10">
        <v>88.519999999999897</v>
      </c>
      <c r="AB297" s="10">
        <v>552.29999999999905</v>
      </c>
      <c r="AC297" s="10">
        <v>0.13489999999999899</v>
      </c>
      <c r="AD297" s="10">
        <v>0.18540000000000001</v>
      </c>
      <c r="AE297" s="10">
        <v>0.1366</v>
      </c>
      <c r="AF297" s="10">
        <v>0.10100000000000001</v>
      </c>
      <c r="AG297" s="10">
        <v>0.24779999999999899</v>
      </c>
      <c r="AH297">
        <v>7.757E-2</v>
      </c>
    </row>
    <row r="298" spans="3:34">
      <c r="C298" s="11" t="s">
        <v>673</v>
      </c>
      <c r="D298" s="10" t="s">
        <v>0</v>
      </c>
      <c r="E298" s="10">
        <v>13.71</v>
      </c>
      <c r="F298" s="10">
        <v>20.67</v>
      </c>
      <c r="G298" s="10">
        <v>134.69999999999899</v>
      </c>
      <c r="H298" s="10">
        <v>1299</v>
      </c>
      <c r="I298" s="10">
        <v>9.1560000000000002E-2</v>
      </c>
      <c r="J298" s="10">
        <v>0.1313</v>
      </c>
      <c r="K298" s="10">
        <v>0.15229999999999899</v>
      </c>
      <c r="L298" s="10">
        <v>0.10150000000000001</v>
      </c>
      <c r="M298" s="10">
        <v>0.21659999999999899</v>
      </c>
      <c r="N298" s="10">
        <v>5.4190000000000002E-2</v>
      </c>
      <c r="O298" s="10">
        <v>0.83360000000000001</v>
      </c>
      <c r="P298" s="10">
        <v>1.736</v>
      </c>
      <c r="Q298" s="10">
        <v>5.1680000000000001</v>
      </c>
      <c r="R298" s="10">
        <v>100.4</v>
      </c>
      <c r="S298" s="10">
        <v>4.9379999999999901E-3</v>
      </c>
      <c r="T298" s="10">
        <v>3.0890000000000001E-2</v>
      </c>
      <c r="U298" s="10">
        <v>4.0930000000000001E-2</v>
      </c>
      <c r="V298" s="10">
        <v>1.6990000000000002E-2</v>
      </c>
      <c r="W298" s="10">
        <v>2.8160000000000001E-2</v>
      </c>
      <c r="X298" s="10">
        <v>2.7190000000000001E-3</v>
      </c>
      <c r="Y298" s="10">
        <v>23.23</v>
      </c>
      <c r="Z298" s="10">
        <v>27.149999999999899</v>
      </c>
      <c r="AA298" s="10">
        <v>152</v>
      </c>
      <c r="AB298" s="10">
        <v>1645</v>
      </c>
      <c r="AC298" s="10">
        <v>0.10970000000000001</v>
      </c>
      <c r="AD298" s="10">
        <v>0.25340000000000001</v>
      </c>
      <c r="AE298" s="10">
        <v>0.30919999999999898</v>
      </c>
      <c r="AF298" s="10">
        <v>0.1613</v>
      </c>
      <c r="AG298" s="10">
        <v>0.32200000000000001</v>
      </c>
      <c r="AH298">
        <v>6.386E-2</v>
      </c>
    </row>
    <row r="299" spans="3:34">
      <c r="C299" s="11" t="s">
        <v>674</v>
      </c>
      <c r="D299" s="10" t="s">
        <v>1</v>
      </c>
      <c r="E299" s="10">
        <v>13.71</v>
      </c>
      <c r="F299" s="10">
        <v>17.62</v>
      </c>
      <c r="G299" s="10">
        <v>70.790000000000006</v>
      </c>
      <c r="H299" s="10">
        <v>365.6</v>
      </c>
      <c r="I299" s="10">
        <v>9.6869999999999901E-2</v>
      </c>
      <c r="J299" s="10">
        <v>9.7519999999999898E-2</v>
      </c>
      <c r="K299" s="10">
        <v>5.2630000000000003E-2</v>
      </c>
      <c r="L299" s="10">
        <v>2.7879999999999901E-2</v>
      </c>
      <c r="M299" s="10">
        <v>0.16189999999999899</v>
      </c>
      <c r="N299" s="10">
        <v>6.4079999999999901E-2</v>
      </c>
      <c r="O299" s="10">
        <v>0.1507</v>
      </c>
      <c r="P299" s="10">
        <v>1.583</v>
      </c>
      <c r="Q299" s="10">
        <v>1.165</v>
      </c>
      <c r="R299" s="10">
        <v>10.09</v>
      </c>
      <c r="S299" s="10">
        <v>9.5010000000000008E-3</v>
      </c>
      <c r="T299" s="10">
        <v>3.37799999999999E-2</v>
      </c>
      <c r="U299" s="10">
        <v>4.4010000000000001E-2</v>
      </c>
      <c r="V299" s="10">
        <v>1.346E-2</v>
      </c>
      <c r="W299" s="10">
        <v>1.3220000000000001E-2</v>
      </c>
      <c r="X299" s="10">
        <v>3.5339999999999898E-3</v>
      </c>
      <c r="Y299" s="10">
        <v>11.6199999999999</v>
      </c>
      <c r="Z299" s="10">
        <v>26.51</v>
      </c>
      <c r="AA299" s="10">
        <v>76.430000000000007</v>
      </c>
      <c r="AB299" s="10">
        <v>407.5</v>
      </c>
      <c r="AC299" s="10">
        <v>0.14280000000000001</v>
      </c>
      <c r="AD299" s="10">
        <v>0.251</v>
      </c>
      <c r="AE299" s="10">
        <v>0.21229999999999899</v>
      </c>
      <c r="AF299" s="10">
        <v>9.8610000000000003E-2</v>
      </c>
      <c r="AG299" s="10">
        <v>0.22889999999999899</v>
      </c>
      <c r="AH299">
        <v>8.2780000000000006E-2</v>
      </c>
    </row>
    <row r="300" spans="3:34">
      <c r="C300" s="11" t="s">
        <v>676</v>
      </c>
      <c r="D300" s="10" t="s">
        <v>0</v>
      </c>
      <c r="E300" s="10">
        <v>13.71</v>
      </c>
      <c r="F300" s="10">
        <v>22.55</v>
      </c>
      <c r="G300" s="10">
        <v>93.769999999999897</v>
      </c>
      <c r="H300" s="10">
        <v>629.79999999999905</v>
      </c>
      <c r="I300" s="10">
        <v>0.1038</v>
      </c>
      <c r="J300" s="10">
        <v>0.1154</v>
      </c>
      <c r="K300" s="10">
        <v>0.14630000000000001</v>
      </c>
      <c r="L300" s="10">
        <v>6.139E-2</v>
      </c>
      <c r="M300" s="10">
        <v>0.19259999999999899</v>
      </c>
      <c r="N300" s="10">
        <v>5.9819999999999901E-2</v>
      </c>
      <c r="O300" s="10">
        <v>0.20269999999999899</v>
      </c>
      <c r="P300" s="10">
        <v>1.851</v>
      </c>
      <c r="Q300" s="10">
        <v>1.895</v>
      </c>
      <c r="R300" s="10">
        <v>18.5399999999999</v>
      </c>
      <c r="S300" s="10">
        <v>6.1130000000000004E-3</v>
      </c>
      <c r="T300" s="10">
        <v>2.5829999999999902E-2</v>
      </c>
      <c r="U300" s="10">
        <v>4.6449999999999901E-2</v>
      </c>
      <c r="V300" s="10">
        <v>1.2760000000000001E-2</v>
      </c>
      <c r="W300" s="10">
        <v>1.451E-2</v>
      </c>
      <c r="X300" s="10">
        <v>3.7559999999999898E-3</v>
      </c>
      <c r="Y300" s="10">
        <v>15.2899999999999</v>
      </c>
      <c r="Z300" s="10">
        <v>34.270000000000003</v>
      </c>
      <c r="AA300" s="10">
        <v>104.3</v>
      </c>
      <c r="AB300" s="10">
        <v>728.29999999999905</v>
      </c>
      <c r="AC300" s="10">
        <v>0.13800000000000001</v>
      </c>
      <c r="AD300" s="10">
        <v>0.27329999999999899</v>
      </c>
      <c r="AE300" s="10">
        <v>0.4234</v>
      </c>
      <c r="AF300" s="10">
        <v>0.13619999999999899</v>
      </c>
      <c r="AG300" s="10">
        <v>0.26979999999999899</v>
      </c>
      <c r="AH300">
        <v>8.3510000000000001E-2</v>
      </c>
    </row>
    <row r="301" spans="3:34">
      <c r="C301" s="11" t="s">
        <v>677</v>
      </c>
      <c r="D301" s="10" t="s">
        <v>1</v>
      </c>
      <c r="E301" s="10">
        <v>13.71</v>
      </c>
      <c r="F301" s="10">
        <v>24.44</v>
      </c>
      <c r="G301" s="10">
        <v>76.37</v>
      </c>
      <c r="H301" s="10">
        <v>406.39999999999901</v>
      </c>
      <c r="I301" s="10">
        <v>0.1236</v>
      </c>
      <c r="J301" s="10">
        <v>0.1552</v>
      </c>
      <c r="K301" s="10">
        <v>4.5150000000000003E-2</v>
      </c>
      <c r="L301" s="10">
        <v>4.5310000000000003E-2</v>
      </c>
      <c r="M301" s="10">
        <v>0.21310000000000001</v>
      </c>
      <c r="N301" s="10">
        <v>7.4050000000000005E-2</v>
      </c>
      <c r="O301" s="10">
        <v>0.29570000000000002</v>
      </c>
      <c r="P301" s="10">
        <v>1.978</v>
      </c>
      <c r="Q301" s="10">
        <v>2.1579999999999901</v>
      </c>
      <c r="R301" s="10">
        <v>20.9499999999999</v>
      </c>
      <c r="S301" s="10">
        <v>1.2880000000000001E-2</v>
      </c>
      <c r="T301" s="10">
        <v>3.4950000000000002E-2</v>
      </c>
      <c r="U301" s="10">
        <v>1.865E-2</v>
      </c>
      <c r="V301" s="10">
        <v>1.7659999999999901E-2</v>
      </c>
      <c r="W301" s="10">
        <v>1.55999999999999E-2</v>
      </c>
      <c r="X301" s="10">
        <v>5.8240000000000002E-3</v>
      </c>
      <c r="Y301" s="10">
        <v>12.98</v>
      </c>
      <c r="Z301" s="10">
        <v>32.189999999999898</v>
      </c>
      <c r="AA301" s="10">
        <v>86.12</v>
      </c>
      <c r="AB301" s="10">
        <v>487.69999999999902</v>
      </c>
      <c r="AC301" s="10">
        <v>0.17680000000000001</v>
      </c>
      <c r="AD301" s="10">
        <v>0.3251</v>
      </c>
      <c r="AE301" s="10">
        <v>0.13950000000000001</v>
      </c>
      <c r="AF301" s="10">
        <v>0.1308</v>
      </c>
      <c r="AG301" s="10">
        <v>0.28029999999999899</v>
      </c>
      <c r="AH301">
        <v>9.96999999999999E-2</v>
      </c>
    </row>
    <row r="302" spans="3:34">
      <c r="C302" s="11" t="s">
        <v>685</v>
      </c>
      <c r="D302" s="10" t="s">
        <v>1</v>
      </c>
      <c r="E302" s="10">
        <v>13.71</v>
      </c>
      <c r="F302" s="10">
        <v>23.23</v>
      </c>
      <c r="G302" s="10">
        <v>87.189999999999898</v>
      </c>
      <c r="H302" s="10">
        <v>573.20000000000005</v>
      </c>
      <c r="I302" s="10">
        <v>9.2460000000000001E-2</v>
      </c>
      <c r="J302" s="10">
        <v>6.7470000000000002E-2</v>
      </c>
      <c r="K302" s="10">
        <v>2.9739999999999898E-2</v>
      </c>
      <c r="L302" s="10">
        <v>2.443E-2</v>
      </c>
      <c r="M302" s="10">
        <v>0.16639999999999899</v>
      </c>
      <c r="N302" s="10">
        <v>5.8009999999999902E-2</v>
      </c>
      <c r="O302" s="10">
        <v>0.34599999999999898</v>
      </c>
      <c r="P302" s="10">
        <v>1.3360000000000001</v>
      </c>
      <c r="Q302" s="10">
        <v>2.0659999999999901</v>
      </c>
      <c r="R302" s="10">
        <v>31.239999999999899</v>
      </c>
      <c r="S302" s="10">
        <v>5.868E-3</v>
      </c>
      <c r="T302" s="10">
        <v>2.0990000000000002E-2</v>
      </c>
      <c r="U302" s="10">
        <v>2.0209999999999902E-2</v>
      </c>
      <c r="V302" s="10">
        <v>9.0639999999999905E-3</v>
      </c>
      <c r="W302" s="10">
        <v>2.087E-2</v>
      </c>
      <c r="X302" s="10">
        <v>2.5829999999999898E-3</v>
      </c>
      <c r="Y302" s="10">
        <v>15.35</v>
      </c>
      <c r="Z302" s="10">
        <v>29.09</v>
      </c>
      <c r="AA302" s="10">
        <v>97.579999999999899</v>
      </c>
      <c r="AB302" s="10">
        <v>729.79999999999905</v>
      </c>
      <c r="AC302" s="10">
        <v>0.1216</v>
      </c>
      <c r="AD302" s="10">
        <v>0.1517</v>
      </c>
      <c r="AE302" s="10">
        <v>0.10489999999999899</v>
      </c>
      <c r="AF302" s="10">
        <v>7.1739999999999901E-2</v>
      </c>
      <c r="AG302" s="10">
        <v>0.26419999999999899</v>
      </c>
      <c r="AH302">
        <v>6.9529999999999897E-2</v>
      </c>
    </row>
    <row r="303" spans="3:34">
      <c r="C303" s="11" t="s">
        <v>686</v>
      </c>
      <c r="D303" s="10" t="s">
        <v>1</v>
      </c>
      <c r="E303" s="10">
        <v>13.71</v>
      </c>
      <c r="F303" s="10">
        <v>16.350000000000001</v>
      </c>
      <c r="G303" s="10">
        <v>65.31</v>
      </c>
      <c r="H303" s="10">
        <v>324.89999999999901</v>
      </c>
      <c r="I303" s="10">
        <v>9.4339999999999896E-2</v>
      </c>
      <c r="J303" s="10">
        <v>4.9939999999999901E-2</v>
      </c>
      <c r="K303" s="10">
        <v>1.0120000000000001E-2</v>
      </c>
      <c r="L303" s="10">
        <v>5.4949999999999903E-3</v>
      </c>
      <c r="M303" s="10">
        <v>0.1885</v>
      </c>
      <c r="N303" s="10">
        <v>6.2010000000000003E-2</v>
      </c>
      <c r="O303" s="10">
        <v>0.2104</v>
      </c>
      <c r="P303" s="10">
        <v>0.96699999999999897</v>
      </c>
      <c r="Q303" s="10">
        <v>1.3560000000000001</v>
      </c>
      <c r="R303" s="10">
        <v>12.97</v>
      </c>
      <c r="S303" s="10">
        <v>7.0860000000000003E-3</v>
      </c>
      <c r="T303" s="10">
        <v>7.247E-3</v>
      </c>
      <c r="U303" s="10">
        <v>1.0120000000000001E-2</v>
      </c>
      <c r="V303" s="10">
        <v>5.4949999999999903E-3</v>
      </c>
      <c r="W303" s="10">
        <v>1.55999999999999E-2</v>
      </c>
      <c r="X303" s="10">
        <v>2.6059999999999898E-3</v>
      </c>
      <c r="Y303" s="10">
        <v>11.25</v>
      </c>
      <c r="Z303" s="10">
        <v>21.77</v>
      </c>
      <c r="AA303" s="10">
        <v>71.12</v>
      </c>
      <c r="AB303" s="10">
        <v>384.89999999999901</v>
      </c>
      <c r="AC303" s="10">
        <v>0.1285</v>
      </c>
      <c r="AD303" s="10">
        <v>8.8419999999999901E-2</v>
      </c>
      <c r="AE303" s="10">
        <v>4.38399999999999E-2</v>
      </c>
      <c r="AF303" s="10">
        <v>2.3810000000000001E-2</v>
      </c>
      <c r="AG303" s="10">
        <v>0.2681</v>
      </c>
      <c r="AH303">
        <v>7.399E-2</v>
      </c>
    </row>
    <row r="304" spans="3:34">
      <c r="C304" s="11" t="s">
        <v>688</v>
      </c>
      <c r="D304" s="10" t="s">
        <v>1</v>
      </c>
      <c r="E304" s="10">
        <v>13.71</v>
      </c>
      <c r="F304" s="10">
        <v>19.34</v>
      </c>
      <c r="G304" s="10">
        <v>61.049999999999898</v>
      </c>
      <c r="H304" s="10">
        <v>285.69999999999902</v>
      </c>
      <c r="I304" s="10">
        <v>8.4909999999999902E-2</v>
      </c>
      <c r="J304" s="10">
        <v>5.02999999999999E-2</v>
      </c>
      <c r="K304" s="10">
        <v>2.3369999999999901E-2</v>
      </c>
      <c r="L304" s="10">
        <v>9.6150000000000003E-3</v>
      </c>
      <c r="M304" s="10">
        <v>0.158</v>
      </c>
      <c r="N304" s="10">
        <v>6.2350000000000003E-2</v>
      </c>
      <c r="O304" s="10">
        <v>0.29570000000000002</v>
      </c>
      <c r="P304" s="10">
        <v>1.363</v>
      </c>
      <c r="Q304" s="10">
        <v>2.0539999999999901</v>
      </c>
      <c r="R304" s="10">
        <v>18.239999999999899</v>
      </c>
      <c r="S304" s="10">
        <v>7.4400000000000004E-3</v>
      </c>
      <c r="T304" s="10">
        <v>1.123E-2</v>
      </c>
      <c r="U304" s="10">
        <v>2.3369999999999901E-2</v>
      </c>
      <c r="V304" s="10">
        <v>9.6150000000000003E-3</v>
      </c>
      <c r="W304" s="10">
        <v>2.2030000000000001E-2</v>
      </c>
      <c r="X304" s="10">
        <v>4.1539999999999902E-3</v>
      </c>
      <c r="Y304" s="10">
        <v>10.93</v>
      </c>
      <c r="Z304" s="10">
        <v>25.59</v>
      </c>
      <c r="AA304" s="10">
        <v>69.099999999999895</v>
      </c>
      <c r="AB304" s="10">
        <v>364.19999999999902</v>
      </c>
      <c r="AC304" s="10">
        <v>0.11990000000000001</v>
      </c>
      <c r="AD304" s="10">
        <v>9.5460000000000003E-2</v>
      </c>
      <c r="AE304" s="10">
        <v>9.35E-2</v>
      </c>
      <c r="AF304" s="10">
        <v>3.8460000000000001E-2</v>
      </c>
      <c r="AG304" s="10">
        <v>0.25519999999999898</v>
      </c>
      <c r="AH304">
        <v>7.9200000000000007E-2</v>
      </c>
    </row>
    <row r="305" spans="3:34">
      <c r="C305" s="11" t="s">
        <v>691</v>
      </c>
      <c r="D305" s="10" t="s">
        <v>1</v>
      </c>
      <c r="E305" s="10">
        <v>13.71</v>
      </c>
      <c r="F305" s="10">
        <v>22.44</v>
      </c>
      <c r="G305" s="10">
        <v>71.489999999999895</v>
      </c>
      <c r="H305" s="10">
        <v>378.39999999999901</v>
      </c>
      <c r="I305" s="10">
        <v>9.5659999999999898E-2</v>
      </c>
      <c r="J305" s="10">
        <v>8.1939999999999902E-2</v>
      </c>
      <c r="K305" s="10">
        <v>4.8239999999999901E-2</v>
      </c>
      <c r="L305" s="10">
        <v>2.257E-2</v>
      </c>
      <c r="M305" s="10">
        <v>0.20300000000000001</v>
      </c>
      <c r="N305" s="10">
        <v>6.5519999999999898E-2</v>
      </c>
      <c r="O305" s="10">
        <v>0.28000000000000003</v>
      </c>
      <c r="P305" s="10">
        <v>1.4670000000000001</v>
      </c>
      <c r="Q305" s="10">
        <v>1.994</v>
      </c>
      <c r="R305" s="10">
        <v>17.850000000000001</v>
      </c>
      <c r="S305" s="10">
        <v>3.4949999999999899E-3</v>
      </c>
      <c r="T305" s="10">
        <v>3.0509999999999898E-2</v>
      </c>
      <c r="U305" s="10">
        <v>3.4450000000000001E-2</v>
      </c>
      <c r="V305" s="10">
        <v>1.0240000000000001E-2</v>
      </c>
      <c r="W305" s="10">
        <v>2.912E-2</v>
      </c>
      <c r="X305" s="10">
        <v>4.7229999999999902E-3</v>
      </c>
      <c r="Y305" s="10">
        <v>12.02</v>
      </c>
      <c r="Z305" s="10">
        <v>28.26</v>
      </c>
      <c r="AA305" s="10">
        <v>77.799999999999898</v>
      </c>
      <c r="AB305" s="10">
        <v>436.6</v>
      </c>
      <c r="AC305" s="10">
        <v>0.1087</v>
      </c>
      <c r="AD305" s="10">
        <v>0.1782</v>
      </c>
      <c r="AE305" s="10">
        <v>0.15640000000000001</v>
      </c>
      <c r="AF305" s="10">
        <v>6.4130000000000006E-2</v>
      </c>
      <c r="AG305" s="10">
        <v>0.31690000000000002</v>
      </c>
      <c r="AH305">
        <v>8.0320000000000003E-2</v>
      </c>
    </row>
    <row r="306" spans="3:34">
      <c r="C306" s="11" t="s">
        <v>692</v>
      </c>
      <c r="D306" s="10" t="s">
        <v>1</v>
      </c>
      <c r="E306" s="10">
        <v>13.71</v>
      </c>
      <c r="F306" s="10">
        <v>29.43</v>
      </c>
      <c r="G306" s="10">
        <v>81.349999999999895</v>
      </c>
      <c r="H306" s="10">
        <v>507.89999999999901</v>
      </c>
      <c r="I306" s="10">
        <v>8.276E-2</v>
      </c>
      <c r="J306" s="10">
        <v>4.2340000000000003E-2</v>
      </c>
      <c r="K306" s="10">
        <v>1.9970000000000002E-2</v>
      </c>
      <c r="L306" s="10">
        <v>1.499E-2</v>
      </c>
      <c r="M306" s="10">
        <v>0.15390000000000001</v>
      </c>
      <c r="N306" s="10">
        <v>5.6370000000000003E-2</v>
      </c>
      <c r="O306" s="10">
        <v>0.2409</v>
      </c>
      <c r="P306" s="10">
        <v>1.367</v>
      </c>
      <c r="Q306" s="10">
        <v>1.4770000000000001</v>
      </c>
      <c r="R306" s="10">
        <v>18.760000000000002</v>
      </c>
      <c r="S306" s="10">
        <v>8.8350000000000008E-3</v>
      </c>
      <c r="T306" s="10">
        <v>1.2330000000000001E-2</v>
      </c>
      <c r="U306" s="10">
        <v>1.328E-2</v>
      </c>
      <c r="V306" s="10">
        <v>9.3050000000000008E-3</v>
      </c>
      <c r="W306" s="10">
        <v>1.8970000000000001E-2</v>
      </c>
      <c r="X306" s="10">
        <v>1.7260000000000001E-3</v>
      </c>
      <c r="Y306" s="10">
        <v>13.8699999999999</v>
      </c>
      <c r="Z306" s="10">
        <v>36</v>
      </c>
      <c r="AA306" s="10">
        <v>88.099999999999895</v>
      </c>
      <c r="AB306" s="10">
        <v>594.70000000000005</v>
      </c>
      <c r="AC306" s="10">
        <v>0.1234</v>
      </c>
      <c r="AD306" s="10">
        <v>0.106399999999999</v>
      </c>
      <c r="AE306" s="10">
        <v>8.6529999999999899E-2</v>
      </c>
      <c r="AF306" s="10">
        <v>6.4979999999999899E-2</v>
      </c>
      <c r="AG306" s="10">
        <v>0.2407</v>
      </c>
      <c r="AH306">
        <v>6.4839999999999898E-2</v>
      </c>
    </row>
    <row r="307" spans="3:34">
      <c r="C307" s="11" t="s">
        <v>694</v>
      </c>
      <c r="D307" s="10" t="s">
        <v>1</v>
      </c>
      <c r="E307" s="10">
        <v>13.71</v>
      </c>
      <c r="F307" s="10">
        <v>28.92</v>
      </c>
      <c r="G307" s="10">
        <v>82.5</v>
      </c>
      <c r="H307" s="10">
        <v>514.29999999999905</v>
      </c>
      <c r="I307" s="10">
        <v>8.12299999999999E-2</v>
      </c>
      <c r="J307" s="10">
        <v>5.824E-2</v>
      </c>
      <c r="K307" s="10">
        <v>6.1949999999999901E-2</v>
      </c>
      <c r="L307" s="10">
        <v>2.3429999999999899E-2</v>
      </c>
      <c r="M307" s="10">
        <v>0.15659999999999899</v>
      </c>
      <c r="N307" s="10">
        <v>5.7079999999999902E-2</v>
      </c>
      <c r="O307" s="10">
        <v>0.21160000000000001</v>
      </c>
      <c r="P307" s="10">
        <v>1.36</v>
      </c>
      <c r="Q307" s="10">
        <v>1.502</v>
      </c>
      <c r="R307" s="10">
        <v>16.829999999999899</v>
      </c>
      <c r="S307" s="10">
        <v>8.4119999999999907E-3</v>
      </c>
      <c r="T307" s="10">
        <v>2.1530000000000001E-2</v>
      </c>
      <c r="U307" s="10">
        <v>3.8980000000000001E-2</v>
      </c>
      <c r="V307" s="10">
        <v>7.62E-3</v>
      </c>
      <c r="W307" s="10">
        <v>1.695E-2</v>
      </c>
      <c r="X307" s="10">
        <v>2.8010000000000001E-3</v>
      </c>
      <c r="Y307" s="10">
        <v>13.89</v>
      </c>
      <c r="Z307" s="10">
        <v>35.74</v>
      </c>
      <c r="AA307" s="10">
        <v>88.84</v>
      </c>
      <c r="AB307" s="10">
        <v>595.70000000000005</v>
      </c>
      <c r="AC307" s="10">
        <v>0.1227</v>
      </c>
      <c r="AD307" s="10">
        <v>0.16200000000000001</v>
      </c>
      <c r="AE307" s="10">
        <v>0.24390000000000001</v>
      </c>
      <c r="AF307" s="10">
        <v>6.4930000000000002E-2</v>
      </c>
      <c r="AG307" s="10">
        <v>0.23719999999999899</v>
      </c>
      <c r="AH307">
        <v>7.2419999999999901E-2</v>
      </c>
    </row>
    <row r="308" spans="3:34">
      <c r="C308" s="11" t="s">
        <v>695</v>
      </c>
      <c r="D308" s="10" t="s">
        <v>1</v>
      </c>
      <c r="E308" s="10">
        <v>13.71</v>
      </c>
      <c r="F308" s="10">
        <v>27.6099999999999</v>
      </c>
      <c r="G308" s="10">
        <v>65.67</v>
      </c>
      <c r="H308" s="10">
        <v>321.39999999999901</v>
      </c>
      <c r="I308" s="10">
        <v>9.0300000000000005E-2</v>
      </c>
      <c r="J308" s="10">
        <v>7.6579999999999898E-2</v>
      </c>
      <c r="K308" s="10">
        <v>5.9990000000000002E-2</v>
      </c>
      <c r="L308" s="10">
        <v>2.7380000000000002E-2</v>
      </c>
      <c r="M308" s="10">
        <v>0.1593</v>
      </c>
      <c r="N308" s="10">
        <v>6.1269999999999901E-2</v>
      </c>
      <c r="O308" s="10">
        <v>0.21990000000000001</v>
      </c>
      <c r="P308" s="10">
        <v>2.2389999999999901</v>
      </c>
      <c r="Q308" s="10">
        <v>1.4370000000000001</v>
      </c>
      <c r="R308" s="10">
        <v>14.46</v>
      </c>
      <c r="S308" s="10">
        <v>1.205E-2</v>
      </c>
      <c r="T308" s="10">
        <v>2.7359999999999898E-2</v>
      </c>
      <c r="U308" s="10">
        <v>4.8039999999999902E-2</v>
      </c>
      <c r="V308" s="10">
        <v>1.721E-2</v>
      </c>
      <c r="W308" s="10">
        <v>1.8429999999999901E-2</v>
      </c>
      <c r="X308" s="10">
        <v>4.9379999999999901E-3</v>
      </c>
      <c r="Y308" s="10">
        <v>10.84</v>
      </c>
      <c r="Z308" s="10">
        <v>34.909999999999897</v>
      </c>
      <c r="AA308" s="10">
        <v>69.569999999999894</v>
      </c>
      <c r="AB308" s="10">
        <v>357.6</v>
      </c>
      <c r="AC308" s="10">
        <v>0.1384</v>
      </c>
      <c r="AD308" s="10">
        <v>0.17100000000000001</v>
      </c>
      <c r="AE308" s="10">
        <v>0.2</v>
      </c>
      <c r="AF308" s="10">
        <v>9.1270000000000004E-2</v>
      </c>
      <c r="AG308" s="10">
        <v>0.22259999999999899</v>
      </c>
      <c r="AH308">
        <v>8.2830000000000001E-2</v>
      </c>
    </row>
    <row r="309" spans="3:34">
      <c r="C309" s="11" t="s">
        <v>698</v>
      </c>
      <c r="D309" s="10" t="s">
        <v>1</v>
      </c>
      <c r="E309" s="10">
        <v>13.71</v>
      </c>
      <c r="F309" s="10">
        <v>22.68</v>
      </c>
      <c r="G309" s="10">
        <v>96.39</v>
      </c>
      <c r="H309" s="10">
        <v>657.1</v>
      </c>
      <c r="I309" s="10">
        <v>8.473E-2</v>
      </c>
      <c r="J309" s="10">
        <v>0.13300000000000001</v>
      </c>
      <c r="K309" s="10">
        <v>0.10290000000000001</v>
      </c>
      <c r="L309" s="10">
        <v>3.73599999999999E-2</v>
      </c>
      <c r="M309" s="10">
        <v>0.1454</v>
      </c>
      <c r="N309" s="10">
        <v>6.14699999999999E-2</v>
      </c>
      <c r="O309" s="10">
        <v>0.22539999999999899</v>
      </c>
      <c r="P309" s="10">
        <v>1.1080000000000001</v>
      </c>
      <c r="Q309" s="10">
        <v>2.2240000000000002</v>
      </c>
      <c r="R309" s="10">
        <v>19.5399999999999</v>
      </c>
      <c r="S309" s="10">
        <v>4.2420000000000001E-3</v>
      </c>
      <c r="T309" s="10">
        <v>4.6390000000000001E-2</v>
      </c>
      <c r="U309" s="10">
        <v>6.5780000000000005E-2</v>
      </c>
      <c r="V309" s="10">
        <v>1.6060000000000001E-2</v>
      </c>
      <c r="W309" s="10">
        <v>1.6379999999999902E-2</v>
      </c>
      <c r="X309" s="10">
        <v>4.4060000000000002E-3</v>
      </c>
      <c r="Y309" s="10">
        <v>15.48</v>
      </c>
      <c r="Z309" s="10">
        <v>27.27</v>
      </c>
      <c r="AA309" s="10">
        <v>105.9</v>
      </c>
      <c r="AB309" s="10">
        <v>733.5</v>
      </c>
      <c r="AC309" s="10">
        <v>0.1026</v>
      </c>
      <c r="AD309" s="10">
        <v>0.31709999999999899</v>
      </c>
      <c r="AE309" s="10">
        <v>0.36620000000000003</v>
      </c>
      <c r="AF309" s="10">
        <v>0.1105</v>
      </c>
      <c r="AG309" s="10">
        <v>0.2258</v>
      </c>
      <c r="AH309">
        <v>8.004E-2</v>
      </c>
    </row>
    <row r="310" spans="3:34">
      <c r="C310" s="11" t="s">
        <v>700</v>
      </c>
      <c r="D310" s="10" t="s">
        <v>1</v>
      </c>
      <c r="E310" s="10">
        <v>13.71</v>
      </c>
      <c r="F310" s="10">
        <v>27.149999999999899</v>
      </c>
      <c r="G310" s="10">
        <v>91.379999999999896</v>
      </c>
      <c r="H310" s="10">
        <v>600.39999999999895</v>
      </c>
      <c r="I310" s="10">
        <v>9.9290000000000003E-2</v>
      </c>
      <c r="J310" s="10">
        <v>0.11260000000000001</v>
      </c>
      <c r="K310" s="10">
        <v>4.462E-2</v>
      </c>
      <c r="L310" s="10">
        <v>4.3040000000000002E-2</v>
      </c>
      <c r="M310" s="10">
        <v>0.1537</v>
      </c>
      <c r="N310" s="10">
        <v>6.1710000000000001E-2</v>
      </c>
      <c r="O310" s="10">
        <v>0.36449999999999899</v>
      </c>
      <c r="P310" s="10">
        <v>1.492</v>
      </c>
      <c r="Q310" s="10">
        <v>2.8879999999999901</v>
      </c>
      <c r="R310" s="10">
        <v>29.84</v>
      </c>
      <c r="S310" s="10">
        <v>7.2560000000000003E-3</v>
      </c>
      <c r="T310" s="10">
        <v>2.6780000000000002E-2</v>
      </c>
      <c r="U310" s="10">
        <v>2.0709999999999899E-2</v>
      </c>
      <c r="V310" s="10">
        <v>1.626E-2</v>
      </c>
      <c r="W310" s="10">
        <v>2.0799999999999898E-2</v>
      </c>
      <c r="X310" s="10">
        <v>5.3039999999999901E-3</v>
      </c>
      <c r="Y310" s="10">
        <v>15.3</v>
      </c>
      <c r="Z310" s="10">
        <v>33.17</v>
      </c>
      <c r="AA310" s="10">
        <v>100.2</v>
      </c>
      <c r="AB310" s="10">
        <v>706.7</v>
      </c>
      <c r="AC310" s="10">
        <v>0.1241</v>
      </c>
      <c r="AD310" s="10">
        <v>0.22639999999999899</v>
      </c>
      <c r="AE310" s="10">
        <v>0.1326</v>
      </c>
      <c r="AF310" s="10">
        <v>0.1048</v>
      </c>
      <c r="AG310" s="10">
        <v>0.22500000000000001</v>
      </c>
      <c r="AH310">
        <v>8.3210000000000006E-2</v>
      </c>
    </row>
    <row r="311" spans="3:34">
      <c r="C311" s="11" t="s">
        <v>702</v>
      </c>
      <c r="D311" s="10" t="s">
        <v>0</v>
      </c>
      <c r="E311" s="10">
        <v>13.71</v>
      </c>
      <c r="F311" s="10">
        <v>30.62</v>
      </c>
      <c r="G311" s="10">
        <v>103.4</v>
      </c>
      <c r="H311" s="10">
        <v>716.89999999999895</v>
      </c>
      <c r="I311" s="10">
        <v>9.6345422535211098E-2</v>
      </c>
      <c r="J311" s="10">
        <v>0.2087</v>
      </c>
      <c r="K311" s="10">
        <v>0.255</v>
      </c>
      <c r="L311" s="10">
        <v>9.4289999999999902E-2</v>
      </c>
      <c r="M311" s="10">
        <v>0.21279999999999899</v>
      </c>
      <c r="N311" s="10">
        <v>7.152E-2</v>
      </c>
      <c r="O311" s="10">
        <v>0.26019999999999899</v>
      </c>
      <c r="P311" s="10">
        <v>1.2050000000000001</v>
      </c>
      <c r="Q311" s="10">
        <v>2.3620000000000001</v>
      </c>
      <c r="R311" s="10">
        <v>22.649999999999899</v>
      </c>
      <c r="S311" s="10">
        <v>4.6249999999999902E-3</v>
      </c>
      <c r="T311" s="10">
        <v>4.84399999999999E-2</v>
      </c>
      <c r="U311" s="10">
        <v>7.3590000000000003E-2</v>
      </c>
      <c r="V311" s="10">
        <v>1.6080000000000001E-2</v>
      </c>
      <c r="W311" s="10">
        <v>2.137E-2</v>
      </c>
      <c r="X311" s="10">
        <v>6.1419999999999903E-3</v>
      </c>
      <c r="Y311" s="10">
        <v>17.52</v>
      </c>
      <c r="Z311" s="10">
        <v>42.7899999999999</v>
      </c>
      <c r="AA311" s="10">
        <v>128.69999999999899</v>
      </c>
      <c r="AB311" s="10">
        <v>915</v>
      </c>
      <c r="AC311" s="10">
        <v>0.14169999999999899</v>
      </c>
      <c r="AD311" s="10">
        <v>0.79169999999999896</v>
      </c>
      <c r="AE311" s="10">
        <v>1.1699999999999899</v>
      </c>
      <c r="AF311" s="10">
        <v>0.2356</v>
      </c>
      <c r="AG311" s="10">
        <v>0.40889999999999899</v>
      </c>
      <c r="AH311">
        <v>0.1409</v>
      </c>
    </row>
    <row r="312" spans="3:34">
      <c r="C312" s="11" t="s">
        <v>703</v>
      </c>
      <c r="D312" s="10" t="s">
        <v>0</v>
      </c>
      <c r="E312" s="10">
        <v>13.71</v>
      </c>
      <c r="F312" s="10">
        <v>25.09</v>
      </c>
      <c r="G312" s="10">
        <v>143</v>
      </c>
      <c r="H312" s="10">
        <v>1347</v>
      </c>
      <c r="I312" s="10">
        <v>0.1099</v>
      </c>
      <c r="J312" s="10">
        <v>0.22359999999999899</v>
      </c>
      <c r="K312" s="10">
        <v>0.31740000000000002</v>
      </c>
      <c r="L312" s="10">
        <v>0.1474</v>
      </c>
      <c r="M312" s="10">
        <v>0.21490000000000001</v>
      </c>
      <c r="N312" s="10">
        <v>6.8790000000000004E-2</v>
      </c>
      <c r="O312" s="10">
        <v>0.96220000000000006</v>
      </c>
      <c r="P312" s="10">
        <v>1.026</v>
      </c>
      <c r="Q312" s="10">
        <v>8.7579999999999902</v>
      </c>
      <c r="R312" s="10">
        <v>118.8</v>
      </c>
      <c r="S312" s="10">
        <v>6.3990000000000002E-3</v>
      </c>
      <c r="T312" s="10">
        <v>4.3099999999999902E-2</v>
      </c>
      <c r="U312" s="10">
        <v>7.8450000000000006E-2</v>
      </c>
      <c r="V312" s="10">
        <v>2.6239999999999899E-2</v>
      </c>
      <c r="W312" s="10">
        <v>2.0570000000000001E-2</v>
      </c>
      <c r="X312" s="10">
        <v>6.2129999999999902E-3</v>
      </c>
      <c r="Y312" s="10">
        <v>24.2899999999999</v>
      </c>
      <c r="Z312" s="10">
        <v>29.41</v>
      </c>
      <c r="AA312" s="10">
        <v>179.099999999999</v>
      </c>
      <c r="AB312" s="10">
        <v>1819</v>
      </c>
      <c r="AC312" s="10">
        <v>0.14069999999999899</v>
      </c>
      <c r="AD312" s="10">
        <v>0.41860000000000003</v>
      </c>
      <c r="AE312" s="10">
        <v>0.65990000000000004</v>
      </c>
      <c r="AF312" s="10">
        <v>0.25419999999999898</v>
      </c>
      <c r="AG312" s="10">
        <v>0.29289999999999899</v>
      </c>
      <c r="AH312">
        <v>9.8729999999999901E-2</v>
      </c>
    </row>
    <row r="313" spans="3:34">
      <c r="C313" s="11" t="s">
        <v>284</v>
      </c>
      <c r="D313" s="10" t="s">
        <v>1</v>
      </c>
      <c r="E313" s="10">
        <v>13.71</v>
      </c>
      <c r="F313" s="10">
        <v>14.97</v>
      </c>
      <c r="G313" s="10">
        <v>68.260000000000005</v>
      </c>
      <c r="H313" s="10">
        <v>355.3</v>
      </c>
      <c r="I313" s="10">
        <v>7.7929999999999902E-2</v>
      </c>
      <c r="J313" s="10">
        <v>5.1389999999999901E-2</v>
      </c>
      <c r="K313" s="10">
        <v>2.2509999999999902E-2</v>
      </c>
      <c r="L313" s="10">
        <v>7.8750000000000001E-3</v>
      </c>
      <c r="M313" s="10">
        <v>0.1399</v>
      </c>
      <c r="N313" s="10">
        <v>5.688E-2</v>
      </c>
      <c r="O313" s="10">
        <v>0.2525</v>
      </c>
      <c r="P313" s="10">
        <v>1.2390000000000001</v>
      </c>
      <c r="Q313" s="10">
        <v>1.806</v>
      </c>
      <c r="R313" s="10">
        <v>17.739999999999899</v>
      </c>
      <c r="S313" s="10">
        <v>6.5469999999999903E-3</v>
      </c>
      <c r="T313" s="10">
        <v>1.7809999999999899E-2</v>
      </c>
      <c r="U313" s="10">
        <v>2.018E-2</v>
      </c>
      <c r="V313" s="10">
        <v>5.6119999999999903E-3</v>
      </c>
      <c r="W313" s="10">
        <v>1.6709999999999899E-2</v>
      </c>
      <c r="X313" s="10">
        <v>2.3600000000000001E-3</v>
      </c>
      <c r="Y313" s="10">
        <v>11.9499999999999</v>
      </c>
      <c r="Z313" s="10">
        <v>20.719999999999899</v>
      </c>
      <c r="AA313" s="10">
        <v>77.790000000000006</v>
      </c>
      <c r="AB313" s="10">
        <v>441.19999999999902</v>
      </c>
      <c r="AC313" s="10">
        <v>0.1076</v>
      </c>
      <c r="AD313" s="10">
        <v>0.12230000000000001</v>
      </c>
      <c r="AE313" s="10">
        <v>9.7549999999999901E-2</v>
      </c>
      <c r="AF313" s="10">
        <v>3.4130000000000001E-2</v>
      </c>
      <c r="AG313" s="10">
        <v>0.23</v>
      </c>
      <c r="AH313">
        <v>6.769E-2</v>
      </c>
    </row>
    <row r="314" spans="3:34">
      <c r="C314" s="11" t="s">
        <v>669</v>
      </c>
      <c r="D314" s="10" t="s">
        <v>1</v>
      </c>
      <c r="E314" s="10">
        <v>13.71</v>
      </c>
      <c r="F314" s="10">
        <v>13.44</v>
      </c>
      <c r="G314" s="10">
        <v>77.829999999999899</v>
      </c>
      <c r="H314" s="10">
        <v>445.19999999999902</v>
      </c>
      <c r="I314" s="10">
        <v>0.11</v>
      </c>
      <c r="J314" s="10">
        <v>9.0090000000000003E-2</v>
      </c>
      <c r="K314" s="10">
        <v>3.7810000000000003E-2</v>
      </c>
      <c r="L314" s="10">
        <v>2.7980000000000001E-2</v>
      </c>
      <c r="M314" s="10">
        <v>0.16569999999999899</v>
      </c>
      <c r="N314" s="10">
        <v>6.608E-2</v>
      </c>
      <c r="O314" s="10">
        <v>0.25130000000000002</v>
      </c>
      <c r="P314" s="10">
        <v>0.504</v>
      </c>
      <c r="Q314" s="10">
        <v>1.714</v>
      </c>
      <c r="R314" s="10">
        <v>18.5399999999999</v>
      </c>
      <c r="S314" s="10">
        <v>7.3270000000000002E-3</v>
      </c>
      <c r="T314" s="10">
        <v>1.153E-2</v>
      </c>
      <c r="U314" s="10">
        <v>1.7979999999999899E-2</v>
      </c>
      <c r="V314" s="10">
        <v>7.986E-3</v>
      </c>
      <c r="W314" s="10">
        <v>1.9619999999999901E-2</v>
      </c>
      <c r="X314" s="10">
        <v>2.2339999999999899E-3</v>
      </c>
      <c r="Y314" s="10">
        <v>13.4499999999999</v>
      </c>
      <c r="Z314" s="10">
        <v>15.77</v>
      </c>
      <c r="AA314" s="10">
        <v>86.92</v>
      </c>
      <c r="AB314" s="10">
        <v>549.89999999999895</v>
      </c>
      <c r="AC314" s="10">
        <v>0.15210000000000001</v>
      </c>
      <c r="AD314" s="10">
        <v>0.16320000000000001</v>
      </c>
      <c r="AE314" s="10">
        <v>0.16220000000000001</v>
      </c>
      <c r="AF314" s="10">
        <v>7.3929999999999899E-2</v>
      </c>
      <c r="AG314" s="10">
        <v>0.27810000000000001</v>
      </c>
      <c r="AH314">
        <v>8.0519999999999897E-2</v>
      </c>
    </row>
    <row r="315" spans="3:34">
      <c r="C315" s="11" t="s">
        <v>530</v>
      </c>
      <c r="D315" s="10" t="s">
        <v>1</v>
      </c>
      <c r="E315" s="10">
        <v>13.71</v>
      </c>
      <c r="F315" s="10">
        <v>12.22</v>
      </c>
      <c r="G315" s="10">
        <v>65.75</v>
      </c>
      <c r="H315" s="10">
        <v>321.60000000000002</v>
      </c>
      <c r="I315" s="10">
        <v>9.9959999999999896E-2</v>
      </c>
      <c r="J315" s="10">
        <v>7.5420000000000001E-2</v>
      </c>
      <c r="K315" s="10">
        <v>1.9230000000000001E-2</v>
      </c>
      <c r="L315" s="10">
        <v>1.968E-2</v>
      </c>
      <c r="M315" s="10">
        <v>0.17999999999999899</v>
      </c>
      <c r="N315" s="10">
        <v>6.5689999999999901E-2</v>
      </c>
      <c r="O315" s="10">
        <v>0.19109999999999899</v>
      </c>
      <c r="P315" s="10">
        <v>0.54769999999999897</v>
      </c>
      <c r="Q315" s="10">
        <v>1.3480000000000001</v>
      </c>
      <c r="R315" s="10">
        <v>11.88</v>
      </c>
      <c r="S315" s="10">
        <v>5.6820000000000004E-3</v>
      </c>
      <c r="T315" s="10">
        <v>1.3650000000000001E-2</v>
      </c>
      <c r="U315" s="10">
        <v>8.4960000000000001E-3</v>
      </c>
      <c r="V315" s="10">
        <v>6.9290000000000003E-3</v>
      </c>
      <c r="W315" s="10">
        <v>1.9380000000000001E-2</v>
      </c>
      <c r="X315" s="10">
        <v>2.3709999999999899E-3</v>
      </c>
      <c r="Y315" s="10">
        <v>11.38</v>
      </c>
      <c r="Z315" s="10">
        <v>15.65</v>
      </c>
      <c r="AA315" s="10">
        <v>73.23</v>
      </c>
      <c r="AB315" s="10">
        <v>394.5</v>
      </c>
      <c r="AC315" s="10">
        <v>0.1343</v>
      </c>
      <c r="AD315" s="10">
        <v>0.16500000000000001</v>
      </c>
      <c r="AE315" s="10">
        <v>8.6150000000000004E-2</v>
      </c>
      <c r="AF315" s="10">
        <v>6.6960000000000006E-2</v>
      </c>
      <c r="AG315" s="10">
        <v>0.29370000000000002</v>
      </c>
      <c r="AH315">
        <v>7.72199999999999E-2</v>
      </c>
    </row>
    <row r="316" spans="3:34">
      <c r="C316" s="11" t="s">
        <v>684</v>
      </c>
      <c r="D316" s="10" t="s">
        <v>1</v>
      </c>
      <c r="E316" s="10">
        <v>13.71</v>
      </c>
      <c r="F316" s="10">
        <v>20.6999999999999</v>
      </c>
      <c r="G316" s="10">
        <v>89.769999999999897</v>
      </c>
      <c r="H316" s="10">
        <v>584.79999999999905</v>
      </c>
      <c r="I316" s="10">
        <v>9.5780000000000004E-2</v>
      </c>
      <c r="J316" s="10">
        <v>0.1018</v>
      </c>
      <c r="K316" s="10">
        <v>3.6880000000000003E-2</v>
      </c>
      <c r="L316" s="10">
        <v>2.3689999999999899E-2</v>
      </c>
      <c r="M316" s="10">
        <v>0.16200000000000001</v>
      </c>
      <c r="N316" s="10">
        <v>6.6879999999999898E-2</v>
      </c>
      <c r="O316" s="10">
        <v>0.27200000000000002</v>
      </c>
      <c r="P316" s="10">
        <v>1.0469999999999899</v>
      </c>
      <c r="Q316" s="10">
        <v>2.0760000000000001</v>
      </c>
      <c r="R316" s="10">
        <v>23.12</v>
      </c>
      <c r="S316" s="10">
        <v>6.2979999999999902E-3</v>
      </c>
      <c r="T316" s="10">
        <v>2.172E-2</v>
      </c>
      <c r="U316" s="10">
        <v>2.615E-2</v>
      </c>
      <c r="V316" s="10">
        <v>9.0609999999999892E-3</v>
      </c>
      <c r="W316" s="10">
        <v>1.49E-2</v>
      </c>
      <c r="X316" s="10">
        <v>3.5990000000000002E-3</v>
      </c>
      <c r="Y316" s="10">
        <v>15.05</v>
      </c>
      <c r="Z316" s="10">
        <v>24.75</v>
      </c>
      <c r="AA316" s="10">
        <v>99.17</v>
      </c>
      <c r="AB316" s="10">
        <v>688.6</v>
      </c>
      <c r="AC316" s="10">
        <v>0.12640000000000001</v>
      </c>
      <c r="AD316" s="10">
        <v>0.20369999999999899</v>
      </c>
      <c r="AE316" s="10">
        <v>0.13769999999999899</v>
      </c>
      <c r="AF316" s="10">
        <v>6.84499999999999E-2</v>
      </c>
      <c r="AG316" s="10">
        <v>0.22489999999999899</v>
      </c>
      <c r="AH316">
        <v>8.4919999999999898E-2</v>
      </c>
    </row>
    <row r="317" spans="3:34">
      <c r="C317" s="11" t="s">
        <v>178</v>
      </c>
      <c r="D317" s="10" t="s">
        <v>0</v>
      </c>
      <c r="E317" s="10">
        <v>13.71</v>
      </c>
      <c r="F317" s="10">
        <v>25.1999999999999</v>
      </c>
      <c r="G317" s="10">
        <v>95.54</v>
      </c>
      <c r="H317" s="10">
        <v>698.79999999999905</v>
      </c>
      <c r="I317" s="10">
        <v>9.3869999999999898E-2</v>
      </c>
      <c r="J317" s="10">
        <v>5.1310000000000001E-2</v>
      </c>
      <c r="K317" s="10">
        <v>2.3980000000000001E-2</v>
      </c>
      <c r="L317" s="10">
        <v>2.8989999999999901E-2</v>
      </c>
      <c r="M317" s="10">
        <v>0.1565</v>
      </c>
      <c r="N317" s="10">
        <v>5.5039999999999902E-2</v>
      </c>
      <c r="O317" s="10">
        <v>1.214</v>
      </c>
      <c r="P317" s="10">
        <v>2.1880000000000002</v>
      </c>
      <c r="Q317" s="10">
        <v>8.077</v>
      </c>
      <c r="R317" s="10">
        <v>106</v>
      </c>
      <c r="S317" s="10">
        <v>6.8830000000000002E-3</v>
      </c>
      <c r="T317" s="10">
        <v>1.094E-2</v>
      </c>
      <c r="U317" s="10">
        <v>1.8180000000000002E-2</v>
      </c>
      <c r="V317" s="10">
        <v>1.917E-2</v>
      </c>
      <c r="W317" s="10">
        <v>7.8820000000000001E-3</v>
      </c>
      <c r="X317" s="10">
        <v>1.7539999999999899E-3</v>
      </c>
      <c r="Y317" s="10">
        <v>14.99</v>
      </c>
      <c r="Z317" s="10">
        <v>25.1999999999999</v>
      </c>
      <c r="AA317" s="10">
        <v>95.54</v>
      </c>
      <c r="AB317" s="10">
        <v>698.79999999999905</v>
      </c>
      <c r="AC317" s="10">
        <v>9.3869999999999898E-2</v>
      </c>
      <c r="AD317" s="10">
        <v>5.1310000000000001E-2</v>
      </c>
      <c r="AE317" s="10">
        <v>2.3980000000000001E-2</v>
      </c>
      <c r="AF317" s="10">
        <v>2.8989999999999901E-2</v>
      </c>
      <c r="AG317" s="10">
        <v>0.1565</v>
      </c>
      <c r="AH317">
        <v>5.5039999999999902E-2</v>
      </c>
    </row>
    <row r="318" spans="3:34">
      <c r="C318" s="11" t="s">
        <v>564</v>
      </c>
      <c r="D318" s="10" t="s">
        <v>1</v>
      </c>
      <c r="E318" s="10">
        <v>13.71</v>
      </c>
      <c r="F318" s="10">
        <v>19.12</v>
      </c>
      <c r="G318" s="10">
        <v>61.93</v>
      </c>
      <c r="H318" s="10">
        <v>289.69999999999902</v>
      </c>
      <c r="I318" s="10">
        <v>0.1075</v>
      </c>
      <c r="J318" s="10">
        <v>8.3330000000000001E-2</v>
      </c>
      <c r="K318" s="10">
        <v>8.9339999999999906E-3</v>
      </c>
      <c r="L318" s="10">
        <v>1.967E-2</v>
      </c>
      <c r="M318" s="10">
        <v>0.25380000000000003</v>
      </c>
      <c r="N318" s="10">
        <v>7.0290000000000005E-2</v>
      </c>
      <c r="O318" s="10">
        <v>0.69650000000000001</v>
      </c>
      <c r="P318" s="10">
        <v>1.7470000000000001</v>
      </c>
      <c r="Q318" s="10">
        <v>4.6070000000000002</v>
      </c>
      <c r="R318" s="10">
        <v>43.52</v>
      </c>
      <c r="S318" s="10">
        <v>1.307E-2</v>
      </c>
      <c r="T318" s="10">
        <v>1.8849999999999902E-2</v>
      </c>
      <c r="U318" s="10">
        <v>6.0210000000000003E-3</v>
      </c>
      <c r="V318" s="10">
        <v>1.052E-2</v>
      </c>
      <c r="W318" s="10">
        <v>3.1E-2</v>
      </c>
      <c r="X318" s="10">
        <v>4.22499999999999E-3</v>
      </c>
      <c r="Y318" s="10">
        <v>11.21</v>
      </c>
      <c r="Z318" s="10">
        <v>23.17</v>
      </c>
      <c r="AA318" s="10">
        <v>71.790000000000006</v>
      </c>
      <c r="AB318" s="10">
        <v>380.89999999999901</v>
      </c>
      <c r="AC318" s="10">
        <v>0.13980000000000001</v>
      </c>
      <c r="AD318" s="10">
        <v>0.13519999999999899</v>
      </c>
      <c r="AE318" s="10">
        <v>2.085E-2</v>
      </c>
      <c r="AF318" s="10">
        <v>4.589E-2</v>
      </c>
      <c r="AG318" s="10">
        <v>0.3196</v>
      </c>
      <c r="AH318">
        <v>8.0089999999999897E-2</v>
      </c>
    </row>
    <row r="319" spans="3:34">
      <c r="C319" s="11" t="s">
        <v>443</v>
      </c>
      <c r="D319" s="10" t="s">
        <v>1</v>
      </c>
      <c r="E319" s="10">
        <v>13.71</v>
      </c>
      <c r="F319" s="10">
        <v>18.6099999999999</v>
      </c>
      <c r="G319" s="10">
        <v>66.8599999999999</v>
      </c>
      <c r="H319" s="10">
        <v>334.3</v>
      </c>
      <c r="I319" s="10">
        <v>0.10680000000000001</v>
      </c>
      <c r="J319" s="10">
        <v>6.6780000000000006E-2</v>
      </c>
      <c r="K319" s="10">
        <v>2.2970000000000001E-2</v>
      </c>
      <c r="L319" s="10">
        <v>1.78E-2</v>
      </c>
      <c r="M319" s="10">
        <v>0.1482</v>
      </c>
      <c r="N319" s="10">
        <v>6.6000000000000003E-2</v>
      </c>
      <c r="O319" s="10">
        <v>0.14849999999999899</v>
      </c>
      <c r="P319" s="10">
        <v>1.56299999999999</v>
      </c>
      <c r="Q319" s="10">
        <v>1.0349999999999899</v>
      </c>
      <c r="R319" s="10">
        <v>10.08</v>
      </c>
      <c r="S319" s="10">
        <v>8.8749999999999905E-3</v>
      </c>
      <c r="T319" s="10">
        <v>9.3620000000000005E-3</v>
      </c>
      <c r="U319" s="10">
        <v>1.8079999999999902E-2</v>
      </c>
      <c r="V319" s="10">
        <v>9.1990000000000006E-3</v>
      </c>
      <c r="W319" s="10">
        <v>1.7909999999999902E-2</v>
      </c>
      <c r="X319" s="10">
        <v>3.3170000000000001E-3</v>
      </c>
      <c r="Y319" s="10">
        <v>11.06</v>
      </c>
      <c r="Z319" s="10">
        <v>24.5399999999999</v>
      </c>
      <c r="AA319" s="10">
        <v>70.760000000000005</v>
      </c>
      <c r="AB319" s="10">
        <v>375.39999999999901</v>
      </c>
      <c r="AC319" s="10">
        <v>0.14130000000000001</v>
      </c>
      <c r="AD319" s="10">
        <v>0.10440000000000001</v>
      </c>
      <c r="AE319" s="10">
        <v>8.4229999999999902E-2</v>
      </c>
      <c r="AF319" s="10">
        <v>6.5280000000000005E-2</v>
      </c>
      <c r="AG319" s="10">
        <v>0.2213</v>
      </c>
      <c r="AH319">
        <v>7.8420000000000004E-2</v>
      </c>
    </row>
    <row r="320" spans="3:34">
      <c r="C320" s="11" t="s">
        <v>307</v>
      </c>
      <c r="D320" s="10" t="s">
        <v>0</v>
      </c>
      <c r="E320" s="10">
        <v>13.71</v>
      </c>
      <c r="F320" s="10">
        <v>18.8</v>
      </c>
      <c r="G320" s="10">
        <v>109.3</v>
      </c>
      <c r="H320" s="10">
        <v>886.29999999999905</v>
      </c>
      <c r="I320" s="10">
        <v>8.8650000000000007E-2</v>
      </c>
      <c r="J320" s="10">
        <v>9.1819999999999902E-2</v>
      </c>
      <c r="K320" s="10">
        <v>8.4220000000000003E-2</v>
      </c>
      <c r="L320" s="10">
        <v>6.5759999999999902E-2</v>
      </c>
      <c r="M320" s="10">
        <v>0.1893</v>
      </c>
      <c r="N320" s="10">
        <v>5.534E-2</v>
      </c>
      <c r="O320" s="10">
        <v>0.59899999999999898</v>
      </c>
      <c r="P320" s="10">
        <v>1.391</v>
      </c>
      <c r="Q320" s="10">
        <v>4.1289999999999898</v>
      </c>
      <c r="R320" s="10">
        <v>67.34</v>
      </c>
      <c r="S320" s="10">
        <v>6.123E-3</v>
      </c>
      <c r="T320" s="10">
        <v>2.47E-2</v>
      </c>
      <c r="U320" s="10">
        <v>2.6259999999999901E-2</v>
      </c>
      <c r="V320" s="10">
        <v>1.6039999999999902E-2</v>
      </c>
      <c r="W320" s="10">
        <v>2.0910000000000002E-2</v>
      </c>
      <c r="X320" s="10">
        <v>3.493E-3</v>
      </c>
      <c r="Y320" s="10">
        <v>20.05</v>
      </c>
      <c r="Z320" s="10">
        <v>26.3</v>
      </c>
      <c r="AA320" s="10">
        <v>130.69999999999899</v>
      </c>
      <c r="AB320" s="10">
        <v>1260</v>
      </c>
      <c r="AC320" s="10">
        <v>0.1168</v>
      </c>
      <c r="AD320" s="10">
        <v>0.21190000000000001</v>
      </c>
      <c r="AE320" s="10">
        <v>0.23180000000000001</v>
      </c>
      <c r="AF320" s="10">
        <v>0.1474</v>
      </c>
      <c r="AG320" s="10">
        <v>0.28100000000000003</v>
      </c>
      <c r="AH320">
        <v>7.22799999999999E-2</v>
      </c>
    </row>
    <row r="321" spans="3:34">
      <c r="C321" s="11" t="s">
        <v>360</v>
      </c>
      <c r="D321" s="10" t="s">
        <v>1</v>
      </c>
      <c r="E321" s="10">
        <v>13.71</v>
      </c>
      <c r="F321" s="10">
        <v>13.16</v>
      </c>
      <c r="G321" s="10">
        <v>87.879999999999896</v>
      </c>
      <c r="H321" s="10">
        <v>568.89999999999895</v>
      </c>
      <c r="I321" s="10">
        <v>9.6460000000000004E-2</v>
      </c>
      <c r="J321" s="10">
        <v>8.7110000000000007E-2</v>
      </c>
      <c r="K321" s="10">
        <v>3.8879999999999901E-2</v>
      </c>
      <c r="L321" s="10">
        <v>2.563E-2</v>
      </c>
      <c r="M321" s="10">
        <v>0.13600000000000001</v>
      </c>
      <c r="N321" s="10">
        <v>6.3439999999999899E-2</v>
      </c>
      <c r="O321" s="10">
        <v>0.2102</v>
      </c>
      <c r="P321" s="10">
        <v>0.43359999999999899</v>
      </c>
      <c r="Q321" s="10">
        <v>1.391</v>
      </c>
      <c r="R321" s="10">
        <v>17.399999999999899</v>
      </c>
      <c r="S321" s="10">
        <v>4.1330000000000004E-3</v>
      </c>
      <c r="T321" s="10">
        <v>1.695E-2</v>
      </c>
      <c r="U321" s="10">
        <v>1.652E-2</v>
      </c>
      <c r="V321" s="10">
        <v>6.659E-3</v>
      </c>
      <c r="W321" s="10">
        <v>1.371E-2</v>
      </c>
      <c r="X321" s="10">
        <v>2.735E-3</v>
      </c>
      <c r="Y321" s="10">
        <v>15.34</v>
      </c>
      <c r="Z321" s="10">
        <v>16.350000000000001</v>
      </c>
      <c r="AA321" s="10">
        <v>99.709999999999894</v>
      </c>
      <c r="AB321" s="10">
        <v>706.2</v>
      </c>
      <c r="AC321" s="10">
        <v>0.131099999999999</v>
      </c>
      <c r="AD321" s="10">
        <v>0.24740000000000001</v>
      </c>
      <c r="AE321" s="10">
        <v>0.1759</v>
      </c>
      <c r="AF321" s="10">
        <v>8.0560000000000007E-2</v>
      </c>
      <c r="AG321" s="10">
        <v>0.23799999999999899</v>
      </c>
      <c r="AH321">
        <v>8.7179999999999896E-2</v>
      </c>
    </row>
    <row r="322" spans="3:34">
      <c r="C322" s="11" t="s">
        <v>269</v>
      </c>
      <c r="D322" s="10" t="s">
        <v>0</v>
      </c>
      <c r="E322" s="10">
        <v>13.71</v>
      </c>
      <c r="F322" s="10">
        <v>25.12</v>
      </c>
      <c r="G322" s="10">
        <v>130.4</v>
      </c>
      <c r="H322" s="10">
        <v>1192</v>
      </c>
      <c r="I322" s="10">
        <v>0.10150000000000001</v>
      </c>
      <c r="J322" s="10">
        <v>0.15890000000000001</v>
      </c>
      <c r="K322" s="10">
        <v>0.2545</v>
      </c>
      <c r="L322" s="10">
        <v>0.1149</v>
      </c>
      <c r="M322" s="10">
        <v>0.22020000000000001</v>
      </c>
      <c r="N322" s="10">
        <v>6.11299999999999E-2</v>
      </c>
      <c r="O322" s="10">
        <v>0.49530000000000002</v>
      </c>
      <c r="P322" s="10">
        <v>1.1990000000000001</v>
      </c>
      <c r="Q322" s="10">
        <v>2.7650000000000001</v>
      </c>
      <c r="R322" s="10">
        <v>63.329999999999899</v>
      </c>
      <c r="S322" s="10">
        <v>5.0330000000000001E-3</v>
      </c>
      <c r="T322" s="10">
        <v>3.1789999999999902E-2</v>
      </c>
      <c r="U322" s="10">
        <v>4.7550000000000002E-2</v>
      </c>
      <c r="V322" s="10">
        <v>1.043E-2</v>
      </c>
      <c r="W322" s="10">
        <v>1.5779999999999898E-2</v>
      </c>
      <c r="X322" s="10">
        <v>3.2239999999999899E-3</v>
      </c>
      <c r="Y322" s="10">
        <v>22.6299999999999</v>
      </c>
      <c r="Z322" s="10">
        <v>33.579999999999899</v>
      </c>
      <c r="AA322" s="10">
        <v>148.69999999999899</v>
      </c>
      <c r="AB322" s="10">
        <v>1589</v>
      </c>
      <c r="AC322" s="10">
        <v>0.1275</v>
      </c>
      <c r="AD322" s="10">
        <v>0.3861</v>
      </c>
      <c r="AE322" s="10">
        <v>0.56730000000000003</v>
      </c>
      <c r="AF322" s="10">
        <v>0.17319999999999899</v>
      </c>
      <c r="AG322" s="10">
        <v>0.33050000000000002</v>
      </c>
      <c r="AH322">
        <v>8.4650000000000003E-2</v>
      </c>
    </row>
    <row r="323" spans="3:34">
      <c r="C323" s="11" t="s">
        <v>384</v>
      </c>
      <c r="D323" s="10" t="s">
        <v>0</v>
      </c>
      <c r="E323" s="10">
        <v>13.71</v>
      </c>
      <c r="F323" s="10">
        <v>23.5</v>
      </c>
      <c r="G323" s="10">
        <v>129.099999999999</v>
      </c>
      <c r="H323" s="10">
        <v>1155</v>
      </c>
      <c r="I323" s="10">
        <v>0.1027</v>
      </c>
      <c r="J323" s="10">
        <v>0.15579999999999899</v>
      </c>
      <c r="K323" s="10">
        <v>0.2049</v>
      </c>
      <c r="L323" s="10">
        <v>8.8859999999999897E-2</v>
      </c>
      <c r="M323" s="10">
        <v>0.1978</v>
      </c>
      <c r="N323" s="10">
        <v>5.9999999999999901E-2</v>
      </c>
      <c r="O323" s="10">
        <v>0.52429999999999899</v>
      </c>
      <c r="P323" s="10">
        <v>1.802</v>
      </c>
      <c r="Q323" s="10">
        <v>4.0369999999999902</v>
      </c>
      <c r="R323" s="10">
        <v>60.409999999999897</v>
      </c>
      <c r="S323" s="10">
        <v>1.061E-2</v>
      </c>
      <c r="T323" s="10">
        <v>3.252E-2</v>
      </c>
      <c r="U323" s="10">
        <v>3.91499999999999E-2</v>
      </c>
      <c r="V323" s="10">
        <v>1.559E-2</v>
      </c>
      <c r="W323" s="10">
        <v>2.1860000000000001E-2</v>
      </c>
      <c r="X323" s="10">
        <v>3.9490000000000003E-3</v>
      </c>
      <c r="Y323" s="10">
        <v>21.649999999999899</v>
      </c>
      <c r="Z323" s="10">
        <v>30.53</v>
      </c>
      <c r="AA323" s="10">
        <v>144.9</v>
      </c>
      <c r="AB323" s="10">
        <v>1417</v>
      </c>
      <c r="AC323" s="10">
        <v>0.14630000000000001</v>
      </c>
      <c r="AD323" s="10">
        <v>0.29680000000000001</v>
      </c>
      <c r="AE323" s="10">
        <v>0.3458</v>
      </c>
      <c r="AF323" s="10">
        <v>0.15640000000000001</v>
      </c>
      <c r="AG323" s="10">
        <v>0.29199999999999898</v>
      </c>
      <c r="AH323">
        <v>7.6139999999999902E-2</v>
      </c>
    </row>
    <row r="324" spans="3:34">
      <c r="C324" s="11" t="s">
        <v>334</v>
      </c>
      <c r="D324" s="10" t="s">
        <v>0</v>
      </c>
      <c r="E324" s="10">
        <v>13.71</v>
      </c>
      <c r="F324" s="10">
        <v>23.21</v>
      </c>
      <c r="G324" s="10">
        <v>100.4</v>
      </c>
      <c r="H324" s="10">
        <v>671.39999999999895</v>
      </c>
      <c r="I324" s="10">
        <v>0.10440000000000001</v>
      </c>
      <c r="J324" s="10">
        <v>0.19800000000000001</v>
      </c>
      <c r="K324" s="10">
        <v>0.16969999999999899</v>
      </c>
      <c r="L324" s="10">
        <v>8.8779999999999901E-2</v>
      </c>
      <c r="M324" s="10">
        <v>0.17369999999999899</v>
      </c>
      <c r="N324" s="10">
        <v>6.6720000000000002E-2</v>
      </c>
      <c r="O324" s="10">
        <v>0.27960000000000002</v>
      </c>
      <c r="P324" s="10">
        <v>0.96220000000000006</v>
      </c>
      <c r="Q324" s="10">
        <v>3.5910000000000002</v>
      </c>
      <c r="R324" s="10">
        <v>25.1999999999999</v>
      </c>
      <c r="S324" s="10">
        <v>8.0809999999999892E-3</v>
      </c>
      <c r="T324" s="10">
        <v>5.1220000000000002E-2</v>
      </c>
      <c r="U324" s="10">
        <v>5.55099999999999E-2</v>
      </c>
      <c r="V324" s="10">
        <v>1.883E-2</v>
      </c>
      <c r="W324" s="10">
        <v>2.545E-2</v>
      </c>
      <c r="X324" s="10">
        <v>4.3119999999999903E-3</v>
      </c>
      <c r="Y324" s="10">
        <v>16.079999999999899</v>
      </c>
      <c r="Z324" s="10">
        <v>27.78</v>
      </c>
      <c r="AA324" s="10">
        <v>118.599999999999</v>
      </c>
      <c r="AB324" s="10">
        <v>784.7</v>
      </c>
      <c r="AC324" s="10">
        <v>0.131599999999999</v>
      </c>
      <c r="AD324" s="10">
        <v>0.46479999999999899</v>
      </c>
      <c r="AE324" s="10">
        <v>0.45889999999999898</v>
      </c>
      <c r="AF324" s="10">
        <v>0.17269999999999899</v>
      </c>
      <c r="AG324" s="10">
        <v>0.29999999999999899</v>
      </c>
      <c r="AH324">
        <v>8.7010000000000004E-2</v>
      </c>
    </row>
    <row r="325" spans="3:34">
      <c r="C325" s="11" t="s">
        <v>707</v>
      </c>
      <c r="D325" s="10" t="s">
        <v>0</v>
      </c>
      <c r="E325" s="10">
        <v>13.71</v>
      </c>
      <c r="F325" s="10">
        <v>29.329999999999899</v>
      </c>
      <c r="G325" s="10">
        <v>140.099999999999</v>
      </c>
      <c r="H325" s="10">
        <v>1265</v>
      </c>
      <c r="I325" s="10">
        <v>0.1178</v>
      </c>
      <c r="J325" s="10">
        <v>0.27700000000000002</v>
      </c>
      <c r="K325" s="10">
        <v>0.35139999999999899</v>
      </c>
      <c r="L325" s="10">
        <v>0.152</v>
      </c>
      <c r="M325" s="10">
        <v>0.2397</v>
      </c>
      <c r="N325" s="10">
        <v>7.016E-2</v>
      </c>
      <c r="O325" s="10">
        <v>0.72599999999999898</v>
      </c>
      <c r="P325" s="10">
        <v>1.595</v>
      </c>
      <c r="Q325" s="10">
        <v>5.7720000000000002</v>
      </c>
      <c r="R325" s="10">
        <v>86.219999999999899</v>
      </c>
      <c r="S325" s="10">
        <v>6.522E-3</v>
      </c>
      <c r="T325" s="10">
        <v>6.1580000000000003E-2</v>
      </c>
      <c r="U325" s="10">
        <v>7.11699999999999E-2</v>
      </c>
      <c r="V325" s="10">
        <v>1.6639999999999901E-2</v>
      </c>
      <c r="W325" s="10">
        <v>2.324E-2</v>
      </c>
      <c r="X325" s="10">
        <v>6.1850000000000004E-3</v>
      </c>
      <c r="Y325" s="10">
        <v>25.739999999999899</v>
      </c>
      <c r="Z325" s="10">
        <v>39.42</v>
      </c>
      <c r="AA325" s="10">
        <v>184.599999999999</v>
      </c>
      <c r="AB325" s="10">
        <v>1821</v>
      </c>
      <c r="AC325" s="10">
        <v>0.16500000000000001</v>
      </c>
      <c r="AD325" s="10">
        <v>0.86809999999999898</v>
      </c>
      <c r="AE325" s="10">
        <v>0.93869999999999898</v>
      </c>
      <c r="AF325" s="10">
        <v>0.26500000000000001</v>
      </c>
      <c r="AG325" s="10">
        <v>0.40870000000000001</v>
      </c>
      <c r="AH325">
        <v>0.124</v>
      </c>
    </row>
    <row r="326" spans="3:34">
      <c r="C326" s="11" t="s">
        <v>607</v>
      </c>
      <c r="D326" s="10" t="s">
        <v>1</v>
      </c>
      <c r="E326" s="10">
        <v>13.71</v>
      </c>
      <c r="F326" s="10">
        <v>18.100000000000001</v>
      </c>
      <c r="G326" s="10">
        <v>61.06</v>
      </c>
      <c r="H326" s="10">
        <v>286.3</v>
      </c>
      <c r="I326" s="10">
        <v>8.3110000000000003E-2</v>
      </c>
      <c r="J326" s="10">
        <v>5.4280000000000002E-2</v>
      </c>
      <c r="K326" s="10">
        <v>1.47899999999999E-2</v>
      </c>
      <c r="L326" s="10">
        <v>5.7689999999999903E-3</v>
      </c>
      <c r="M326" s="10">
        <v>0.16800000000000001</v>
      </c>
      <c r="N326" s="10">
        <v>6.4119999999999899E-2</v>
      </c>
      <c r="O326" s="10">
        <v>0.34160000000000001</v>
      </c>
      <c r="P326" s="10">
        <v>1.3120000000000001</v>
      </c>
      <c r="Q326" s="10">
        <v>2.2749999999999901</v>
      </c>
      <c r="R326" s="10">
        <v>20.98</v>
      </c>
      <c r="S326" s="10">
        <v>1.098E-2</v>
      </c>
      <c r="T326" s="10">
        <v>1.257E-2</v>
      </c>
      <c r="U326" s="10">
        <v>1.031E-2</v>
      </c>
      <c r="V326" s="10">
        <v>3.934E-3</v>
      </c>
      <c r="W326" s="10">
        <v>2.6929999999999898E-2</v>
      </c>
      <c r="X326" s="10">
        <v>2.9789999999999899E-3</v>
      </c>
      <c r="Y326" s="10">
        <v>11.15</v>
      </c>
      <c r="Z326" s="10">
        <v>24.62</v>
      </c>
      <c r="AA326" s="10">
        <v>71.1099999999999</v>
      </c>
      <c r="AB326" s="10">
        <v>380.19999999999902</v>
      </c>
      <c r="AC326" s="10">
        <v>0.13880000000000001</v>
      </c>
      <c r="AD326" s="10">
        <v>0.1255</v>
      </c>
      <c r="AE326" s="10">
        <v>6.4089999999999897E-2</v>
      </c>
      <c r="AF326" s="10">
        <v>2.5000000000000001E-2</v>
      </c>
      <c r="AG326" s="10">
        <v>0.30570000000000003</v>
      </c>
      <c r="AH326">
        <v>7.8750000000000001E-2</v>
      </c>
    </row>
    <row r="327" spans="3:34">
      <c r="C327" s="11" t="s">
        <v>246</v>
      </c>
      <c r="D327" s="10" t="s">
        <v>1</v>
      </c>
      <c r="E327" s="10">
        <v>13.71</v>
      </c>
      <c r="F327" s="10">
        <v>18.329999999999899</v>
      </c>
      <c r="G327" s="10">
        <v>75.17</v>
      </c>
      <c r="H327" s="10">
        <v>412.5</v>
      </c>
      <c r="I327" s="10">
        <v>0.1142</v>
      </c>
      <c r="J327" s="10">
        <v>0.1017</v>
      </c>
      <c r="K327" s="10">
        <v>7.0699999999999902E-2</v>
      </c>
      <c r="L327" s="10">
        <v>3.4849999999999902E-2</v>
      </c>
      <c r="M327" s="10">
        <v>0.18010000000000001</v>
      </c>
      <c r="N327" s="10">
        <v>6.5199999999999897E-2</v>
      </c>
      <c r="O327" s="10">
        <v>0.305999999999999</v>
      </c>
      <c r="P327" s="10">
        <v>1.657</v>
      </c>
      <c r="Q327" s="10">
        <v>2.15499999999999</v>
      </c>
      <c r="R327" s="10">
        <v>20.62</v>
      </c>
      <c r="S327" s="10">
        <v>8.5400000000000007E-3</v>
      </c>
      <c r="T327" s="10">
        <v>2.3099999999999898E-2</v>
      </c>
      <c r="U327" s="10">
        <v>2.945E-2</v>
      </c>
      <c r="V327" s="10">
        <v>1.39799999999999E-2</v>
      </c>
      <c r="W327" s="10">
        <v>1.5650000000000001E-2</v>
      </c>
      <c r="X327" s="10">
        <v>3.8400000000000001E-3</v>
      </c>
      <c r="Y327" s="10">
        <v>13.14</v>
      </c>
      <c r="Z327" s="10">
        <v>29.26</v>
      </c>
      <c r="AA327" s="10">
        <v>85.51</v>
      </c>
      <c r="AB327" s="10">
        <v>521.70000000000005</v>
      </c>
      <c r="AC327" s="10">
        <v>0.16880000000000001</v>
      </c>
      <c r="AD327" s="10">
        <v>0.26600000000000001</v>
      </c>
      <c r="AE327" s="10">
        <v>0.2873</v>
      </c>
      <c r="AF327" s="10">
        <v>0.12180000000000001</v>
      </c>
      <c r="AG327" s="10">
        <v>0.28060000000000002</v>
      </c>
      <c r="AH327">
        <v>9.0969999999999898E-2</v>
      </c>
    </row>
    <row r="328" spans="3:34">
      <c r="C328" s="11" t="s">
        <v>574</v>
      </c>
      <c r="D328" s="10" t="s">
        <v>1</v>
      </c>
      <c r="E328" s="10">
        <v>13.71</v>
      </c>
      <c r="F328" s="10">
        <v>16.940000000000001</v>
      </c>
      <c r="G328" s="10">
        <v>94.89</v>
      </c>
      <c r="H328" s="10">
        <v>673.7</v>
      </c>
      <c r="I328" s="10">
        <v>8.924E-2</v>
      </c>
      <c r="J328" s="10">
        <v>7.07399999999999E-2</v>
      </c>
      <c r="K328" s="10">
        <v>3.34599999999999E-2</v>
      </c>
      <c r="L328" s="10">
        <v>2.877E-2</v>
      </c>
      <c r="M328" s="10">
        <v>0.1573</v>
      </c>
      <c r="N328" s="10">
        <v>5.70299999999999E-2</v>
      </c>
      <c r="O328" s="10">
        <v>0.30280000000000001</v>
      </c>
      <c r="P328" s="10">
        <v>0.66830000000000001</v>
      </c>
      <c r="Q328" s="10">
        <v>1.6120000000000001</v>
      </c>
      <c r="R328" s="10">
        <v>23.92</v>
      </c>
      <c r="S328" s="10">
        <v>5.7559999999999903E-3</v>
      </c>
      <c r="T328" s="10">
        <v>1.6650000000000002E-2</v>
      </c>
      <c r="U328" s="10">
        <v>1.461E-2</v>
      </c>
      <c r="V328" s="10">
        <v>8.2810000000000002E-3</v>
      </c>
      <c r="W328" s="10">
        <v>1.5509999999999901E-2</v>
      </c>
      <c r="X328" s="10">
        <v>2.1679999999999898E-3</v>
      </c>
      <c r="Y328" s="10">
        <v>16.309999999999899</v>
      </c>
      <c r="Z328" s="10">
        <v>20.5399999999999</v>
      </c>
      <c r="AA328" s="10">
        <v>102.3</v>
      </c>
      <c r="AB328" s="10">
        <v>777.5</v>
      </c>
      <c r="AC328" s="10">
        <v>0.12180000000000001</v>
      </c>
      <c r="AD328" s="10">
        <v>0.155</v>
      </c>
      <c r="AE328" s="10">
        <v>0.122</v>
      </c>
      <c r="AF328" s="10">
        <v>7.9710000000000003E-2</v>
      </c>
      <c r="AG328" s="10">
        <v>0.2525</v>
      </c>
      <c r="AH328">
        <v>6.82699999999999E-2</v>
      </c>
    </row>
    <row r="329" spans="3:34">
      <c r="C329" s="11" t="s">
        <v>645</v>
      </c>
      <c r="D329" s="10" t="s">
        <v>1</v>
      </c>
      <c r="E329" s="10">
        <v>13.71</v>
      </c>
      <c r="F329" s="10">
        <v>13.14</v>
      </c>
      <c r="G329" s="10">
        <v>64.12</v>
      </c>
      <c r="H329" s="10">
        <v>272.5</v>
      </c>
      <c r="I329" s="10">
        <v>0.1255</v>
      </c>
      <c r="J329" s="10">
        <v>0.22040000000000001</v>
      </c>
      <c r="K329" s="10">
        <v>0.1188</v>
      </c>
      <c r="L329" s="10">
        <v>7.0379999999999901E-2</v>
      </c>
      <c r="M329" s="10">
        <v>0.20569999999999899</v>
      </c>
      <c r="N329" s="10">
        <v>9.5750000000000002E-2</v>
      </c>
      <c r="O329" s="10">
        <v>0.27439999999999898</v>
      </c>
      <c r="P329" s="10">
        <v>1.3899999999999899</v>
      </c>
      <c r="Q329" s="10">
        <v>1.7869999999999899</v>
      </c>
      <c r="R329" s="10">
        <v>17.670000000000002</v>
      </c>
      <c r="S329" s="10">
        <v>2.1770000000000001E-2</v>
      </c>
      <c r="T329" s="10">
        <v>4.888E-2</v>
      </c>
      <c r="U329" s="10">
        <v>5.1889999999999901E-2</v>
      </c>
      <c r="V329" s="10">
        <v>1.4500000000000001E-2</v>
      </c>
      <c r="W329" s="10">
        <v>2.632E-2</v>
      </c>
      <c r="X329" s="10">
        <v>1.1480000000000001E-2</v>
      </c>
      <c r="Y329" s="10">
        <v>10.6</v>
      </c>
      <c r="Z329" s="10">
        <v>18.0399999999999</v>
      </c>
      <c r="AA329" s="10">
        <v>69.469999999999899</v>
      </c>
      <c r="AB329" s="10">
        <v>328.1</v>
      </c>
      <c r="AC329" s="10">
        <v>0.2006</v>
      </c>
      <c r="AD329" s="10">
        <v>0.36630000000000001</v>
      </c>
      <c r="AE329" s="10">
        <v>0.2913</v>
      </c>
      <c r="AF329" s="10">
        <v>0.1075</v>
      </c>
      <c r="AG329" s="10">
        <v>0.2848</v>
      </c>
      <c r="AH329">
        <v>0.13639999999999899</v>
      </c>
    </row>
    <row r="330" spans="3:34">
      <c r="C330" s="11" t="s">
        <v>665</v>
      </c>
      <c r="D330" s="10" t="s">
        <v>1</v>
      </c>
      <c r="E330" s="10">
        <v>13.71</v>
      </c>
      <c r="F330" s="10">
        <v>13.1</v>
      </c>
      <c r="G330" s="10">
        <v>54.53</v>
      </c>
      <c r="H330" s="10">
        <v>221.3</v>
      </c>
      <c r="I330" s="10">
        <v>0.1036</v>
      </c>
      <c r="J330" s="10">
        <v>7.6319999999999902E-2</v>
      </c>
      <c r="K330" s="10">
        <v>2.5649999999999899E-2</v>
      </c>
      <c r="L330" s="10">
        <v>1.5100000000000001E-2</v>
      </c>
      <c r="M330" s="10">
        <v>0.1678</v>
      </c>
      <c r="N330" s="10">
        <v>7.1260000000000004E-2</v>
      </c>
      <c r="O330" s="10">
        <v>0.12670000000000001</v>
      </c>
      <c r="P330" s="10">
        <v>0.67930000000000001</v>
      </c>
      <c r="Q330" s="10">
        <v>1.069</v>
      </c>
      <c r="R330" s="10">
        <v>7.2539999999999898</v>
      </c>
      <c r="S330" s="10">
        <v>7.8969999999999908E-3</v>
      </c>
      <c r="T330" s="10">
        <v>1.762E-2</v>
      </c>
      <c r="U330" s="10">
        <v>1.8010000000000002E-2</v>
      </c>
      <c r="V330" s="10">
        <v>7.3200000000000001E-3</v>
      </c>
      <c r="W330" s="10">
        <v>1.592E-2</v>
      </c>
      <c r="X330" s="10">
        <v>3.9249999999999901E-3</v>
      </c>
      <c r="Y330" s="10">
        <v>9.4730000000000008</v>
      </c>
      <c r="Z330" s="10">
        <v>18.4499999999999</v>
      </c>
      <c r="AA330" s="10">
        <v>63.299999999999898</v>
      </c>
      <c r="AB330" s="10">
        <v>275.60000000000002</v>
      </c>
      <c r="AC330" s="10">
        <v>0.1641</v>
      </c>
      <c r="AD330" s="10">
        <v>0.2235</v>
      </c>
      <c r="AE330" s="10">
        <v>0.1754</v>
      </c>
      <c r="AF330" s="10">
        <v>8.5120000000000001E-2</v>
      </c>
      <c r="AG330" s="10">
        <v>0.29830000000000001</v>
      </c>
      <c r="AH330">
        <v>0.10489999999999899</v>
      </c>
    </row>
    <row r="331" spans="3:34">
      <c r="C331" s="11" t="s">
        <v>353</v>
      </c>
      <c r="D331" s="10" t="s">
        <v>0</v>
      </c>
      <c r="E331" s="10">
        <v>13.71</v>
      </c>
      <c r="F331" s="10">
        <v>25.559999999999899</v>
      </c>
      <c r="G331" s="10">
        <v>114.5</v>
      </c>
      <c r="H331" s="10">
        <v>948</v>
      </c>
      <c r="I331" s="10">
        <v>0.100599999999999</v>
      </c>
      <c r="J331" s="10">
        <v>0.11459999999999899</v>
      </c>
      <c r="K331" s="10">
        <v>0.16819999999999899</v>
      </c>
      <c r="L331" s="10">
        <v>6.5970000000000001E-2</v>
      </c>
      <c r="M331" s="10">
        <v>0.1308</v>
      </c>
      <c r="N331" s="10">
        <v>5.86599999999999E-2</v>
      </c>
      <c r="O331" s="10">
        <v>0.52959999999999896</v>
      </c>
      <c r="P331" s="10">
        <v>1.667</v>
      </c>
      <c r="Q331" s="10">
        <v>3.7669999999999901</v>
      </c>
      <c r="R331" s="10">
        <v>58.53</v>
      </c>
      <c r="S331" s="10">
        <v>3.1130000000000001E-2</v>
      </c>
      <c r="T331" s="10">
        <v>8.5550000000000001E-2</v>
      </c>
      <c r="U331" s="10">
        <v>0.14380000000000001</v>
      </c>
      <c r="V331" s="10">
        <v>3.9269999999999902E-2</v>
      </c>
      <c r="W331" s="10">
        <v>2.1749999999999901E-2</v>
      </c>
      <c r="X331" s="10">
        <v>1.256E-2</v>
      </c>
      <c r="Y331" s="10">
        <v>18.07</v>
      </c>
      <c r="Z331" s="10">
        <v>28.07</v>
      </c>
      <c r="AA331" s="10">
        <v>120.4</v>
      </c>
      <c r="AB331" s="10">
        <v>1021</v>
      </c>
      <c r="AC331" s="10">
        <v>0.12429999999999899</v>
      </c>
      <c r="AD331" s="10">
        <v>0.17929999999999899</v>
      </c>
      <c r="AE331" s="10">
        <v>0.28029999999999899</v>
      </c>
      <c r="AF331" s="10">
        <v>0.1099</v>
      </c>
      <c r="AG331" s="10">
        <v>0.1603</v>
      </c>
      <c r="AH331">
        <v>6.8180000000000004E-2</v>
      </c>
    </row>
    <row r="332" spans="3:34">
      <c r="C332" s="11" t="s">
        <v>690</v>
      </c>
      <c r="D332" s="10" t="s">
        <v>1</v>
      </c>
      <c r="E332" s="10">
        <v>13.71</v>
      </c>
      <c r="F332" s="10">
        <v>21.48</v>
      </c>
      <c r="G332" s="10">
        <v>68.510000000000005</v>
      </c>
      <c r="H332" s="10">
        <v>360.5</v>
      </c>
      <c r="I332" s="10">
        <v>7.4310000000000001E-2</v>
      </c>
      <c r="J332" s="10">
        <v>4.2270000000000002E-2</v>
      </c>
      <c r="K332" s="10">
        <v>0</v>
      </c>
      <c r="L332" s="10">
        <v>0</v>
      </c>
      <c r="M332" s="10">
        <v>0.1661</v>
      </c>
      <c r="N332" s="10">
        <v>5.9479999999999901E-2</v>
      </c>
      <c r="O332" s="10">
        <v>0.31630000000000003</v>
      </c>
      <c r="P332" s="10">
        <v>1.304</v>
      </c>
      <c r="Q332" s="10">
        <v>2.1150000000000002</v>
      </c>
      <c r="R332" s="10">
        <v>20.67</v>
      </c>
      <c r="S332" s="10">
        <v>9.5790000000000007E-3</v>
      </c>
      <c r="T332" s="10">
        <v>1.1039999999999901E-2</v>
      </c>
      <c r="U332" s="10">
        <v>0</v>
      </c>
      <c r="V332" s="10">
        <v>0</v>
      </c>
      <c r="W332" s="10">
        <v>3.0040000000000001E-2</v>
      </c>
      <c r="X332" s="10">
        <v>2.22799999999999E-3</v>
      </c>
      <c r="Y332" s="10">
        <v>11.66</v>
      </c>
      <c r="Z332" s="10">
        <v>24.77</v>
      </c>
      <c r="AA332" s="10">
        <v>74.079999999999899</v>
      </c>
      <c r="AB332" s="10">
        <v>412.3</v>
      </c>
      <c r="AC332" s="10">
        <v>0.100099999999999</v>
      </c>
      <c r="AD332" s="10">
        <v>7.3480000000000004E-2</v>
      </c>
      <c r="AE332" s="10">
        <v>0</v>
      </c>
      <c r="AF332" s="10">
        <v>0</v>
      </c>
      <c r="AG332" s="10">
        <v>0.24579999999999899</v>
      </c>
      <c r="AH332">
        <v>6.5920000000000006E-2</v>
      </c>
    </row>
    <row r="333" spans="3:34">
      <c r="C333" s="11" t="s">
        <v>357</v>
      </c>
      <c r="D333" s="10" t="s">
        <v>1</v>
      </c>
      <c r="E333" s="10">
        <v>13.71</v>
      </c>
      <c r="F333" s="10">
        <v>17.48</v>
      </c>
      <c r="G333" s="10">
        <v>65.049999999999898</v>
      </c>
      <c r="H333" s="10">
        <v>321.19999999999902</v>
      </c>
      <c r="I333" s="10">
        <v>8.054E-2</v>
      </c>
      <c r="J333" s="10">
        <v>5.90699999999999E-2</v>
      </c>
      <c r="K333" s="10">
        <v>5.774E-2</v>
      </c>
      <c r="L333" s="10">
        <v>1.0710000000000001E-2</v>
      </c>
      <c r="M333" s="10">
        <v>0.19639999999999899</v>
      </c>
      <c r="N333" s="10">
        <v>6.3149999999999901E-2</v>
      </c>
      <c r="O333" s="10">
        <v>0.35670000000000002</v>
      </c>
      <c r="P333" s="10">
        <v>1.9219999999999899</v>
      </c>
      <c r="Q333" s="10">
        <v>2.7469999999999901</v>
      </c>
      <c r="R333" s="10">
        <v>22.7899999999999</v>
      </c>
      <c r="S333" s="10">
        <v>4.6800000000000001E-3</v>
      </c>
      <c r="T333" s="10">
        <v>3.1199999999999901E-2</v>
      </c>
      <c r="U333" s="10">
        <v>5.774E-2</v>
      </c>
      <c r="V333" s="10">
        <v>1.0710000000000001E-2</v>
      </c>
      <c r="W333" s="10">
        <v>2.5600000000000001E-2</v>
      </c>
      <c r="X333" s="10">
        <v>4.6129999999999904E-3</v>
      </c>
      <c r="Y333" s="10">
        <v>11.48</v>
      </c>
      <c r="Z333" s="10">
        <v>24.469999999999899</v>
      </c>
      <c r="AA333" s="10">
        <v>75.400000000000006</v>
      </c>
      <c r="AB333" s="10">
        <v>403.69999999999902</v>
      </c>
      <c r="AC333" s="10">
        <v>9.5269999999999896E-2</v>
      </c>
      <c r="AD333" s="10">
        <v>0.13969999999999899</v>
      </c>
      <c r="AE333" s="10">
        <v>0.1925</v>
      </c>
      <c r="AF333" s="10">
        <v>3.5709999999999902E-2</v>
      </c>
      <c r="AG333" s="10">
        <v>0.2868</v>
      </c>
      <c r="AH333">
        <v>7.8090000000000007E-2</v>
      </c>
    </row>
    <row r="334" spans="3:34">
      <c r="C334" s="11" t="s">
        <v>297</v>
      </c>
      <c r="D334" s="10" t="s">
        <v>1</v>
      </c>
      <c r="E334" s="10">
        <v>13.71</v>
      </c>
      <c r="F334" s="10">
        <v>19.46</v>
      </c>
      <c r="G334" s="10">
        <v>108.4</v>
      </c>
      <c r="H334" s="10">
        <v>880.2</v>
      </c>
      <c r="I334" s="10">
        <v>7.4450000000000002E-2</v>
      </c>
      <c r="J334" s="10">
        <v>7.2230000000000003E-2</v>
      </c>
      <c r="K334" s="10">
        <v>5.14999999999999E-2</v>
      </c>
      <c r="L334" s="10">
        <v>2.7709999999999901E-2</v>
      </c>
      <c r="M334" s="10">
        <v>0.18440000000000001</v>
      </c>
      <c r="N334" s="10">
        <v>5.2679999999999901E-2</v>
      </c>
      <c r="O334" s="10">
        <v>0.47889999999999899</v>
      </c>
      <c r="P334" s="10">
        <v>2.06</v>
      </c>
      <c r="Q334" s="10">
        <v>3.4790000000000001</v>
      </c>
      <c r="R334" s="10">
        <v>46.6099999999999</v>
      </c>
      <c r="S334" s="10">
        <v>3.4429999999999899E-3</v>
      </c>
      <c r="T334" s="10">
        <v>2.6610000000000002E-2</v>
      </c>
      <c r="U334" s="10">
        <v>3.056E-2</v>
      </c>
      <c r="V334" s="10">
        <v>1.11E-2</v>
      </c>
      <c r="W334" s="10">
        <v>1.52E-2</v>
      </c>
      <c r="X334" s="10">
        <v>1.519E-3</v>
      </c>
      <c r="Y334" s="10">
        <v>18.219999999999899</v>
      </c>
      <c r="Z334" s="10">
        <v>28.07</v>
      </c>
      <c r="AA334" s="10">
        <v>120.3</v>
      </c>
      <c r="AB334" s="10">
        <v>1032</v>
      </c>
      <c r="AC334" s="10">
        <v>8.7739999999999901E-2</v>
      </c>
      <c r="AD334" s="10">
        <v>0.17100000000000001</v>
      </c>
      <c r="AE334" s="10">
        <v>0.18820000000000001</v>
      </c>
      <c r="AF334" s="10">
        <v>8.4360000000000004E-2</v>
      </c>
      <c r="AG334" s="10">
        <v>0.25269999999999898</v>
      </c>
      <c r="AH334">
        <v>5.9720000000000002E-2</v>
      </c>
    </row>
    <row r="335" spans="3:34">
      <c r="C335" s="11" t="s">
        <v>469</v>
      </c>
      <c r="D335" s="10" t="s">
        <v>0</v>
      </c>
      <c r="E335" s="10">
        <v>13.71</v>
      </c>
      <c r="F335" s="10">
        <v>21.8799999999999</v>
      </c>
      <c r="G335" s="10">
        <v>107.5</v>
      </c>
      <c r="H335" s="10">
        <v>826.79999999999905</v>
      </c>
      <c r="I335" s="10">
        <v>0.11650000000000001</v>
      </c>
      <c r="J335" s="10">
        <v>0.1283</v>
      </c>
      <c r="K335" s="10">
        <v>0.1799</v>
      </c>
      <c r="L335" s="10">
        <v>7.9810000000000006E-2</v>
      </c>
      <c r="M335" s="10">
        <v>0.18690000000000001</v>
      </c>
      <c r="N335" s="10">
        <v>6.5320000000000003E-2</v>
      </c>
      <c r="O335" s="10">
        <v>0.5706</v>
      </c>
      <c r="P335" s="10">
        <v>1.4570000000000001</v>
      </c>
      <c r="Q335" s="10">
        <v>2.9609999999999901</v>
      </c>
      <c r="R335" s="10">
        <v>57.719999999999899</v>
      </c>
      <c r="S335" s="10">
        <v>1.056E-2</v>
      </c>
      <c r="T335" s="10">
        <v>3.7560000000000003E-2</v>
      </c>
      <c r="U335" s="10">
        <v>5.83899999999999E-2</v>
      </c>
      <c r="V335" s="10">
        <v>1.1860000000000001E-2</v>
      </c>
      <c r="W335" s="10">
        <v>4.0219999999999902E-2</v>
      </c>
      <c r="X335" s="10">
        <v>6.1869999999999903E-3</v>
      </c>
      <c r="Y335" s="10">
        <v>17.73</v>
      </c>
      <c r="Z335" s="10">
        <v>25.21</v>
      </c>
      <c r="AA335" s="10">
        <v>113.7</v>
      </c>
      <c r="AB335" s="10">
        <v>975.2</v>
      </c>
      <c r="AC335" s="10">
        <v>0.1426</v>
      </c>
      <c r="AD335" s="10">
        <v>0.21160000000000001</v>
      </c>
      <c r="AE335" s="10">
        <v>0.33439999999999898</v>
      </c>
      <c r="AF335" s="10">
        <v>0.1047</v>
      </c>
      <c r="AG335" s="10">
        <v>0.27360000000000001</v>
      </c>
      <c r="AH335">
        <v>7.9530000000000003E-2</v>
      </c>
    </row>
    <row r="336" spans="3:34">
      <c r="C336" s="11" t="s">
        <v>509</v>
      </c>
      <c r="D336" s="10" t="s">
        <v>0</v>
      </c>
      <c r="E336" s="10">
        <v>13.71</v>
      </c>
      <c r="F336" s="10">
        <v>21.899999999999899</v>
      </c>
      <c r="G336" s="10">
        <v>147.19999999999899</v>
      </c>
      <c r="H336" s="10">
        <v>1482</v>
      </c>
      <c r="I336" s="10">
        <v>0.10630000000000001</v>
      </c>
      <c r="J336" s="10">
        <v>0.19539999999999899</v>
      </c>
      <c r="K336" s="10">
        <v>0.24479999999999899</v>
      </c>
      <c r="L336" s="10">
        <v>0.15010000000000001</v>
      </c>
      <c r="M336" s="10">
        <v>0.18240000000000001</v>
      </c>
      <c r="N336" s="10">
        <v>6.1400000000000003E-2</v>
      </c>
      <c r="O336" s="10">
        <v>1.008</v>
      </c>
      <c r="P336" s="10">
        <v>0.69989999999999897</v>
      </c>
      <c r="Q336" s="10">
        <v>7.5609999999999902</v>
      </c>
      <c r="R336" s="10">
        <v>130.19999999999899</v>
      </c>
      <c r="S336" s="10">
        <v>3.9779999999999902E-3</v>
      </c>
      <c r="T336" s="10">
        <v>2.8209999999999898E-2</v>
      </c>
      <c r="U336" s="10">
        <v>3.576E-2</v>
      </c>
      <c r="V336" s="10">
        <v>1.4710000000000001E-2</v>
      </c>
      <c r="W336" s="10">
        <v>1.5180000000000001E-2</v>
      </c>
      <c r="X336" s="10">
        <v>3.7959999999999899E-3</v>
      </c>
      <c r="Y336" s="10">
        <v>27.66</v>
      </c>
      <c r="Z336" s="10">
        <v>25.8</v>
      </c>
      <c r="AA336" s="10">
        <v>195</v>
      </c>
      <c r="AB336" s="10">
        <v>2227</v>
      </c>
      <c r="AC336" s="10">
        <v>0.12939999999999899</v>
      </c>
      <c r="AD336" s="10">
        <v>0.38850000000000001</v>
      </c>
      <c r="AE336" s="10">
        <v>0.47560000000000002</v>
      </c>
      <c r="AF336" s="10">
        <v>0.2432</v>
      </c>
      <c r="AG336" s="10">
        <v>0.27410000000000001</v>
      </c>
      <c r="AH336">
        <v>8.57399999999999E-2</v>
      </c>
    </row>
    <row r="337" spans="3:34">
      <c r="C337" s="11" t="s">
        <v>244</v>
      </c>
      <c r="D337" s="10" t="s">
        <v>1</v>
      </c>
      <c r="E337" s="10">
        <v>13.71</v>
      </c>
      <c r="F337" s="10">
        <v>19.2899999999999</v>
      </c>
      <c r="G337" s="10">
        <v>67.409999999999897</v>
      </c>
      <c r="H337" s="10">
        <v>336.1</v>
      </c>
      <c r="I337" s="10">
        <v>9.9890000000000007E-2</v>
      </c>
      <c r="J337" s="10">
        <v>8.5779999999999898E-2</v>
      </c>
      <c r="K337" s="10">
        <v>2.9950000000000001E-2</v>
      </c>
      <c r="L337" s="10">
        <v>1.201E-2</v>
      </c>
      <c r="M337" s="10">
        <v>0.22170000000000001</v>
      </c>
      <c r="N337" s="10">
        <v>6.4810000000000006E-2</v>
      </c>
      <c r="O337" s="10">
        <v>0.35499999999999898</v>
      </c>
      <c r="P337" s="10">
        <v>1.534</v>
      </c>
      <c r="Q337" s="10">
        <v>2.302</v>
      </c>
      <c r="R337" s="10">
        <v>23.1299999999999</v>
      </c>
      <c r="S337" s="10">
        <v>7.5950000000000002E-3</v>
      </c>
      <c r="T337" s="10">
        <v>2.2190000000000001E-2</v>
      </c>
      <c r="U337" s="10">
        <v>2.8799999999999899E-2</v>
      </c>
      <c r="V337" s="10">
        <v>8.6140000000000001E-3</v>
      </c>
      <c r="W337" s="10">
        <v>2.7099999999999898E-2</v>
      </c>
      <c r="X337" s="10">
        <v>3.4510000000000001E-3</v>
      </c>
      <c r="Y337" s="10">
        <v>11.5399999999999</v>
      </c>
      <c r="Z337" s="10">
        <v>23.309999999999899</v>
      </c>
      <c r="AA337" s="10">
        <v>74.219999999999899</v>
      </c>
      <c r="AB337" s="10">
        <v>402.8</v>
      </c>
      <c r="AC337" s="10">
        <v>0.121899999999999</v>
      </c>
      <c r="AD337" s="10">
        <v>0.14860000000000001</v>
      </c>
      <c r="AE337" s="10">
        <v>7.9869999999999899E-2</v>
      </c>
      <c r="AF337" s="10">
        <v>3.2030000000000003E-2</v>
      </c>
      <c r="AG337" s="10">
        <v>0.28260000000000002</v>
      </c>
      <c r="AH337">
        <v>7.5520000000000004E-2</v>
      </c>
    </row>
    <row r="338" spans="3:34">
      <c r="C338" s="11" t="s">
        <v>577</v>
      </c>
      <c r="D338" s="10" t="s">
        <v>1</v>
      </c>
      <c r="E338" s="10">
        <v>13.71</v>
      </c>
      <c r="F338" s="10">
        <v>15.98</v>
      </c>
      <c r="G338" s="10">
        <v>89.78</v>
      </c>
      <c r="H338" s="10">
        <v>611.20000000000005</v>
      </c>
      <c r="I338" s="10">
        <v>8.4580000000000002E-2</v>
      </c>
      <c r="J338" s="10">
        <v>5.8950000000000002E-2</v>
      </c>
      <c r="K338" s="10">
        <v>3.5340000000000003E-2</v>
      </c>
      <c r="L338" s="10">
        <v>2.9440000000000001E-2</v>
      </c>
      <c r="M338" s="10">
        <v>0.1714</v>
      </c>
      <c r="N338" s="10">
        <v>5.8979999999999901E-2</v>
      </c>
      <c r="O338" s="10">
        <v>0.38919999999999899</v>
      </c>
      <c r="P338" s="10">
        <v>1.046</v>
      </c>
      <c r="Q338" s="10">
        <v>2.6440000000000001</v>
      </c>
      <c r="R338" s="10">
        <v>32.74</v>
      </c>
      <c r="S338" s="10">
        <v>7.9760000000000005E-3</v>
      </c>
      <c r="T338" s="10">
        <v>1.295E-2</v>
      </c>
      <c r="U338" s="10">
        <v>1.6080000000000001E-2</v>
      </c>
      <c r="V338" s="10">
        <v>9.0460000000000002E-3</v>
      </c>
      <c r="W338" s="10">
        <v>2.0049999999999901E-2</v>
      </c>
      <c r="X338" s="10">
        <v>2.8300000000000001E-3</v>
      </c>
      <c r="Y338" s="10">
        <v>15.66</v>
      </c>
      <c r="Z338" s="10">
        <v>21.579999999999899</v>
      </c>
      <c r="AA338" s="10">
        <v>101.2</v>
      </c>
      <c r="AB338" s="10">
        <v>750</v>
      </c>
      <c r="AC338" s="10">
        <v>0.1195</v>
      </c>
      <c r="AD338" s="10">
        <v>0.12520000000000001</v>
      </c>
      <c r="AE338" s="10">
        <v>0.11169999999999899</v>
      </c>
      <c r="AF338" s="10">
        <v>7.4529999999999902E-2</v>
      </c>
      <c r="AG338" s="10">
        <v>0.27250000000000002</v>
      </c>
      <c r="AH338">
        <v>7.2340000000000002E-2</v>
      </c>
    </row>
    <row r="339" spans="3:34">
      <c r="C339" s="11" t="s">
        <v>476</v>
      </c>
      <c r="D339" s="10" t="s">
        <v>1</v>
      </c>
      <c r="E339" s="10">
        <v>13.71</v>
      </c>
      <c r="F339" s="10">
        <v>14.23</v>
      </c>
      <c r="G339" s="10">
        <v>84.079999999999899</v>
      </c>
      <c r="H339" s="10">
        <v>514.29999999999905</v>
      </c>
      <c r="I339" s="10">
        <v>9.4619999999999899E-2</v>
      </c>
      <c r="J339" s="10">
        <v>9.9650000000000002E-2</v>
      </c>
      <c r="K339" s="10">
        <v>3.7379999999999899E-2</v>
      </c>
      <c r="L339" s="10">
        <v>2.0979999999999902E-2</v>
      </c>
      <c r="M339" s="10">
        <v>0.16520000000000001</v>
      </c>
      <c r="N339" s="10">
        <v>7.238E-2</v>
      </c>
      <c r="O339" s="10">
        <v>0.18140000000000001</v>
      </c>
      <c r="P339" s="10">
        <v>0.64119999999999899</v>
      </c>
      <c r="Q339" s="10">
        <v>0.92190000000000005</v>
      </c>
      <c r="R339" s="10">
        <v>14.41</v>
      </c>
      <c r="S339" s="10">
        <v>5.2310000000000004E-3</v>
      </c>
      <c r="T339" s="10">
        <v>2.3050000000000001E-2</v>
      </c>
      <c r="U339" s="10">
        <v>3.1130000000000001E-2</v>
      </c>
      <c r="V339" s="10">
        <v>7.3150000000000003E-3</v>
      </c>
      <c r="W339" s="10">
        <v>1.6389999999999901E-2</v>
      </c>
      <c r="X339" s="10">
        <v>5.7010000000000003E-3</v>
      </c>
      <c r="Y339" s="10">
        <v>13.72</v>
      </c>
      <c r="Z339" s="10">
        <v>16.91</v>
      </c>
      <c r="AA339" s="10">
        <v>87.379999999999896</v>
      </c>
      <c r="AB339" s="10">
        <v>576</v>
      </c>
      <c r="AC339" s="10">
        <v>0.1142</v>
      </c>
      <c r="AD339" s="10">
        <v>0.19750000000000001</v>
      </c>
      <c r="AE339" s="10">
        <v>0.14499999999999899</v>
      </c>
      <c r="AF339" s="10">
        <v>5.8500000000000003E-2</v>
      </c>
      <c r="AG339" s="10">
        <v>0.2432</v>
      </c>
      <c r="AH339">
        <v>0.1009</v>
      </c>
    </row>
    <row r="340" spans="3:34">
      <c r="C340" s="11" t="s">
        <v>586</v>
      </c>
      <c r="D340" s="10" t="s">
        <v>0</v>
      </c>
      <c r="E340" s="10">
        <v>13.71</v>
      </c>
      <c r="F340" s="10">
        <v>28.03</v>
      </c>
      <c r="G340" s="10">
        <v>117.3</v>
      </c>
      <c r="H340" s="10">
        <v>981.6</v>
      </c>
      <c r="I340" s="10">
        <v>9.9970000000000003E-2</v>
      </c>
      <c r="J340" s="10">
        <v>0.13139999999999899</v>
      </c>
      <c r="K340" s="10">
        <v>0.16980000000000001</v>
      </c>
      <c r="L340" s="10">
        <v>8.2930000000000004E-2</v>
      </c>
      <c r="M340" s="10">
        <v>0.17130000000000001</v>
      </c>
      <c r="N340" s="10">
        <v>5.91599999999999E-2</v>
      </c>
      <c r="O340" s="10">
        <v>0.38969999999999899</v>
      </c>
      <c r="P340" s="10">
        <v>1.077</v>
      </c>
      <c r="Q340" s="10">
        <v>2.8730000000000002</v>
      </c>
      <c r="R340" s="10">
        <v>43.95</v>
      </c>
      <c r="S340" s="10">
        <v>4.7140000000000003E-3</v>
      </c>
      <c r="T340" s="10">
        <v>2.0150000000000001E-2</v>
      </c>
      <c r="U340" s="10">
        <v>3.6970000000000003E-2</v>
      </c>
      <c r="V340" s="10">
        <v>1.11E-2</v>
      </c>
      <c r="W340" s="10">
        <v>1.2370000000000001E-2</v>
      </c>
      <c r="X340" s="10">
        <v>2.5560000000000001E-3</v>
      </c>
      <c r="Y340" s="10">
        <v>21.53</v>
      </c>
      <c r="Z340" s="10">
        <v>38.5399999999999</v>
      </c>
      <c r="AA340" s="10">
        <v>145.4</v>
      </c>
      <c r="AB340" s="10">
        <v>1437</v>
      </c>
      <c r="AC340" s="10">
        <v>0.1401</v>
      </c>
      <c r="AD340" s="10">
        <v>0.37619999999999898</v>
      </c>
      <c r="AE340" s="10">
        <v>0.63990000000000002</v>
      </c>
      <c r="AF340" s="10">
        <v>0.19700000000000001</v>
      </c>
      <c r="AG340" s="10">
        <v>0.29720000000000002</v>
      </c>
      <c r="AH340">
        <v>9.07499999999999E-2</v>
      </c>
    </row>
    <row r="341" spans="3:34">
      <c r="C341" s="11" t="s">
        <v>499</v>
      </c>
      <c r="D341" s="10" t="s">
        <v>1</v>
      </c>
      <c r="E341" s="10">
        <v>13.71</v>
      </c>
      <c r="F341" s="10">
        <v>18.32</v>
      </c>
      <c r="G341" s="10">
        <v>59.82</v>
      </c>
      <c r="H341" s="10">
        <v>278.60000000000002</v>
      </c>
      <c r="I341" s="10">
        <v>0.1009</v>
      </c>
      <c r="J341" s="10">
        <v>5.9560000000000002E-2</v>
      </c>
      <c r="K341" s="10">
        <v>2.7099999999999898E-2</v>
      </c>
      <c r="L341" s="10">
        <v>1.406E-2</v>
      </c>
      <c r="M341" s="10">
        <v>0.15060000000000001</v>
      </c>
      <c r="N341" s="10">
        <v>6.9589999999999902E-2</v>
      </c>
      <c r="O341" s="10">
        <v>0.50790000000000002</v>
      </c>
      <c r="P341" s="10">
        <v>1.2470000000000001</v>
      </c>
      <c r="Q341" s="10">
        <v>3.2669999999999901</v>
      </c>
      <c r="R341" s="10">
        <v>30.48</v>
      </c>
      <c r="S341" s="10">
        <v>6.8360000000000001E-3</v>
      </c>
      <c r="T341" s="10">
        <v>8.9820000000000004E-3</v>
      </c>
      <c r="U341" s="10">
        <v>2.3480000000000001E-2</v>
      </c>
      <c r="V341" s="10">
        <v>6.5649999999999901E-3</v>
      </c>
      <c r="W341" s="10">
        <v>1.942E-2</v>
      </c>
      <c r="X341" s="10">
        <v>2.7130000000000001E-3</v>
      </c>
      <c r="Y341" s="10">
        <v>12.02</v>
      </c>
      <c r="Z341" s="10">
        <v>25.02</v>
      </c>
      <c r="AA341" s="10">
        <v>75.790000000000006</v>
      </c>
      <c r="AB341" s="10">
        <v>439.6</v>
      </c>
      <c r="AC341" s="10">
        <v>0.1333</v>
      </c>
      <c r="AD341" s="10">
        <v>0.10489999999999899</v>
      </c>
      <c r="AE341" s="10">
        <v>0.1144</v>
      </c>
      <c r="AF341" s="10">
        <v>5.0520000000000002E-2</v>
      </c>
      <c r="AG341" s="10">
        <v>0.24540000000000001</v>
      </c>
      <c r="AH341">
        <v>8.1360000000000002E-2</v>
      </c>
    </row>
    <row r="342" spans="3:34">
      <c r="C342" s="11" t="s">
        <v>527</v>
      </c>
      <c r="D342" s="10" t="s">
        <v>1</v>
      </c>
      <c r="E342" s="10">
        <v>13.71</v>
      </c>
      <c r="F342" s="10">
        <v>16.16</v>
      </c>
      <c r="G342" s="10">
        <v>88.37</v>
      </c>
      <c r="H342" s="10">
        <v>596.6</v>
      </c>
      <c r="I342" s="10">
        <v>7.0260000000000003E-2</v>
      </c>
      <c r="J342" s="10">
        <v>4.8309999999999902E-2</v>
      </c>
      <c r="K342" s="10">
        <v>2.0449999999999899E-2</v>
      </c>
      <c r="L342" s="10">
        <v>8.5070000000000007E-3</v>
      </c>
      <c r="M342" s="10">
        <v>0.16070000000000001</v>
      </c>
      <c r="N342" s="10">
        <v>5.47399999999999E-2</v>
      </c>
      <c r="O342" s="10">
        <v>0.25409999999999899</v>
      </c>
      <c r="P342" s="10">
        <v>0.62180000000000002</v>
      </c>
      <c r="Q342" s="10">
        <v>1.7090000000000001</v>
      </c>
      <c r="R342" s="10">
        <v>23.12</v>
      </c>
      <c r="S342" s="10">
        <v>3.728E-3</v>
      </c>
      <c r="T342" s="10">
        <v>1.4149999999999901E-2</v>
      </c>
      <c r="U342" s="10">
        <v>1.9879999999999901E-2</v>
      </c>
      <c r="V342" s="10">
        <v>7.0159999999999901E-3</v>
      </c>
      <c r="W342" s="10">
        <v>1.6469999999999901E-2</v>
      </c>
      <c r="X342" s="10">
        <v>1.97E-3</v>
      </c>
      <c r="Y342" s="10">
        <v>15.51</v>
      </c>
      <c r="Z342" s="10">
        <v>19.969999999999899</v>
      </c>
      <c r="AA342" s="10">
        <v>99.659999999999897</v>
      </c>
      <c r="AB342" s="10">
        <v>745.29999999999905</v>
      </c>
      <c r="AC342" s="10">
        <v>8.4839999999999902E-2</v>
      </c>
      <c r="AD342" s="10">
        <v>0.12330000000000001</v>
      </c>
      <c r="AE342" s="10">
        <v>0.1091</v>
      </c>
      <c r="AF342" s="10">
        <v>4.5370000000000001E-2</v>
      </c>
      <c r="AG342" s="10">
        <v>0.25419999999999898</v>
      </c>
      <c r="AH342">
        <v>6.62299999999999E-2</v>
      </c>
    </row>
    <row r="343" spans="3:34">
      <c r="C343" s="11" t="s">
        <v>542</v>
      </c>
      <c r="D343" s="10" t="s">
        <v>1</v>
      </c>
      <c r="E343" s="10">
        <v>13.71</v>
      </c>
      <c r="F343" s="10">
        <v>18.2899999999999</v>
      </c>
      <c r="G343" s="10">
        <v>84.18</v>
      </c>
      <c r="H343" s="10">
        <v>525.20000000000005</v>
      </c>
      <c r="I343" s="10">
        <v>7.3510000000000006E-2</v>
      </c>
      <c r="J343" s="10">
        <v>7.8990000000000005E-2</v>
      </c>
      <c r="K343" s="10">
        <v>4.0570000000000002E-2</v>
      </c>
      <c r="L343" s="10">
        <v>1.883E-2</v>
      </c>
      <c r="M343" s="10">
        <v>0.18740000000000001</v>
      </c>
      <c r="N343" s="10">
        <v>5.8990000000000001E-2</v>
      </c>
      <c r="O343" s="10">
        <v>0.23569999999999899</v>
      </c>
      <c r="P343" s="10">
        <v>1.2989999999999899</v>
      </c>
      <c r="Q343" s="10">
        <v>2.39699999999999</v>
      </c>
      <c r="R343" s="10">
        <v>20.21</v>
      </c>
      <c r="S343" s="10">
        <v>3.6289999999999899E-3</v>
      </c>
      <c r="T343" s="10">
        <v>3.7130000000000003E-2</v>
      </c>
      <c r="U343" s="10">
        <v>3.4520000000000002E-2</v>
      </c>
      <c r="V343" s="10">
        <v>1.065E-2</v>
      </c>
      <c r="W343" s="10">
        <v>2.632E-2</v>
      </c>
      <c r="X343" s="10">
        <v>3.705E-3</v>
      </c>
      <c r="Y343" s="10">
        <v>14.13</v>
      </c>
      <c r="Z343" s="10">
        <v>24.6099999999999</v>
      </c>
      <c r="AA343" s="10">
        <v>96.31</v>
      </c>
      <c r="AB343" s="10">
        <v>621.89999999999895</v>
      </c>
      <c r="AC343" s="10">
        <v>9.3289999999999901E-2</v>
      </c>
      <c r="AD343" s="10">
        <v>0.23180000000000001</v>
      </c>
      <c r="AE343" s="10">
        <v>0.16039999999999899</v>
      </c>
      <c r="AF343" s="10">
        <v>6.608E-2</v>
      </c>
      <c r="AG343" s="10">
        <v>0.32069999999999899</v>
      </c>
      <c r="AH343">
        <v>7.2470000000000007E-2</v>
      </c>
    </row>
    <row r="344" spans="3:34">
      <c r="C344" s="11" t="s">
        <v>209</v>
      </c>
      <c r="D344" s="10" t="s">
        <v>1</v>
      </c>
      <c r="E344" s="10">
        <v>13.71</v>
      </c>
      <c r="F344" s="10">
        <v>16.489999999999899</v>
      </c>
      <c r="G344" s="10">
        <v>81.37</v>
      </c>
      <c r="H344" s="10">
        <v>502.5</v>
      </c>
      <c r="I344" s="10">
        <v>9.8309999999999897E-2</v>
      </c>
      <c r="J344" s="10">
        <v>5.23399999999999E-2</v>
      </c>
      <c r="K344" s="10">
        <v>3.653E-2</v>
      </c>
      <c r="L344" s="10">
        <v>2.8639999999999902E-2</v>
      </c>
      <c r="M344" s="10">
        <v>0.159</v>
      </c>
      <c r="N344" s="10">
        <v>5.65299999999999E-2</v>
      </c>
      <c r="O344" s="10">
        <v>0.23680000000000001</v>
      </c>
      <c r="P344" s="10">
        <v>0.87319999999999898</v>
      </c>
      <c r="Q344" s="10">
        <v>1.4710000000000001</v>
      </c>
      <c r="R344" s="10">
        <v>18.329999999999899</v>
      </c>
      <c r="S344" s="10">
        <v>7.9620000000000003E-3</v>
      </c>
      <c r="T344" s="10">
        <v>5.6119999999999903E-3</v>
      </c>
      <c r="U344" s="10">
        <v>1.585E-2</v>
      </c>
      <c r="V344" s="10">
        <v>8.6619999999999892E-3</v>
      </c>
      <c r="W344" s="10">
        <v>2.2540000000000001E-2</v>
      </c>
      <c r="X344" s="10">
        <v>1.90599999999999E-3</v>
      </c>
      <c r="Y344" s="10">
        <v>13.46</v>
      </c>
      <c r="Z344" s="10">
        <v>19.760000000000002</v>
      </c>
      <c r="AA344" s="10">
        <v>85.67</v>
      </c>
      <c r="AB344" s="10">
        <v>554.89999999999895</v>
      </c>
      <c r="AC344" s="10">
        <v>0.12959999999999899</v>
      </c>
      <c r="AD344" s="10">
        <v>7.0610000000000006E-2</v>
      </c>
      <c r="AE344" s="10">
        <v>0.10390000000000001</v>
      </c>
      <c r="AF344" s="10">
        <v>5.88199999999999E-2</v>
      </c>
      <c r="AG344" s="10">
        <v>0.23830000000000001</v>
      </c>
      <c r="AH344">
        <v>6.4100000000000004E-2</v>
      </c>
    </row>
    <row r="345" spans="3:34">
      <c r="C345" s="11" t="s">
        <v>638</v>
      </c>
      <c r="D345" s="10" t="s">
        <v>0</v>
      </c>
      <c r="E345" s="10">
        <v>13.71</v>
      </c>
      <c r="F345" s="10">
        <v>17.52</v>
      </c>
      <c r="G345" s="10">
        <v>121.3</v>
      </c>
      <c r="H345" s="10">
        <v>1068</v>
      </c>
      <c r="I345" s="10">
        <v>0.1012</v>
      </c>
      <c r="J345" s="10">
        <v>0.13170000000000001</v>
      </c>
      <c r="K345" s="10">
        <v>0.14910000000000001</v>
      </c>
      <c r="L345" s="10">
        <v>9.1829999999999898E-2</v>
      </c>
      <c r="M345" s="10">
        <v>0.1832</v>
      </c>
      <c r="N345" s="10">
        <v>6.6970000000000002E-2</v>
      </c>
      <c r="O345" s="10">
        <v>0.7923</v>
      </c>
      <c r="P345" s="10">
        <v>1.0449999999999899</v>
      </c>
      <c r="Q345" s="10">
        <v>4.851</v>
      </c>
      <c r="R345" s="10">
        <v>95.769999999999897</v>
      </c>
      <c r="S345" s="10">
        <v>7.9740000000000002E-3</v>
      </c>
      <c r="T345" s="10">
        <v>3.2140000000000002E-2</v>
      </c>
      <c r="U345" s="10">
        <v>4.4350000000000001E-2</v>
      </c>
      <c r="V345" s="10">
        <v>1.5730000000000001E-2</v>
      </c>
      <c r="W345" s="10">
        <v>1.617E-2</v>
      </c>
      <c r="X345" s="10">
        <v>5.2550000000000001E-3</v>
      </c>
      <c r="Y345" s="10">
        <v>22.75</v>
      </c>
      <c r="Z345" s="10">
        <v>22.8799999999999</v>
      </c>
      <c r="AA345" s="10">
        <v>146.4</v>
      </c>
      <c r="AB345" s="10">
        <v>1600</v>
      </c>
      <c r="AC345" s="10">
        <v>0.14119999999999899</v>
      </c>
      <c r="AD345" s="10">
        <v>0.30890000000000001</v>
      </c>
      <c r="AE345" s="10">
        <v>0.3533</v>
      </c>
      <c r="AF345" s="10">
        <v>0.1663</v>
      </c>
      <c r="AG345" s="10">
        <v>0.251</v>
      </c>
      <c r="AH345">
        <v>9.4450000000000006E-2</v>
      </c>
    </row>
    <row r="346" spans="3:34">
      <c r="C346" s="11" t="s">
        <v>434</v>
      </c>
      <c r="D346" s="10" t="s">
        <v>1</v>
      </c>
      <c r="E346" s="10">
        <v>13.71</v>
      </c>
      <c r="F346" s="10">
        <v>13.7799999999999</v>
      </c>
      <c r="G346" s="10">
        <v>81.78</v>
      </c>
      <c r="H346" s="10">
        <v>492.1</v>
      </c>
      <c r="I346" s="10">
        <v>9.6670000000000006E-2</v>
      </c>
      <c r="J346" s="10">
        <v>8.3930000000000005E-2</v>
      </c>
      <c r="K346" s="10">
        <v>1.2880000000000001E-2</v>
      </c>
      <c r="L346" s="10">
        <v>1.924E-2</v>
      </c>
      <c r="M346" s="10">
        <v>0.1638</v>
      </c>
      <c r="N346" s="10">
        <v>6.0999999999999902E-2</v>
      </c>
      <c r="O346" s="10">
        <v>0.1807</v>
      </c>
      <c r="P346" s="10">
        <v>0.69310000000000005</v>
      </c>
      <c r="Q346" s="10">
        <v>1.34</v>
      </c>
      <c r="R346" s="10">
        <v>13.38</v>
      </c>
      <c r="S346" s="10">
        <v>6.0639999999999904E-3</v>
      </c>
      <c r="T346" s="10">
        <v>1.18E-2</v>
      </c>
      <c r="U346" s="10">
        <v>6.5640000000000004E-3</v>
      </c>
      <c r="V346" s="10">
        <v>7.9780000000000007E-3</v>
      </c>
      <c r="W346" s="10">
        <v>1.374E-2</v>
      </c>
      <c r="X346" s="10">
        <v>1.392E-3</v>
      </c>
      <c r="Y346" s="10">
        <v>13.5</v>
      </c>
      <c r="Z346" s="10">
        <v>17.48</v>
      </c>
      <c r="AA346" s="10">
        <v>88.54</v>
      </c>
      <c r="AB346" s="10">
        <v>553.70000000000005</v>
      </c>
      <c r="AC346" s="10">
        <v>0.1298</v>
      </c>
      <c r="AD346" s="10">
        <v>0.1472</v>
      </c>
      <c r="AE346" s="10">
        <v>5.2330000000000002E-2</v>
      </c>
      <c r="AF346" s="10">
        <v>6.343E-2</v>
      </c>
      <c r="AG346" s="10">
        <v>0.2369</v>
      </c>
      <c r="AH346">
        <v>6.9220000000000004E-2</v>
      </c>
    </row>
    <row r="347" spans="3:34">
      <c r="C347" s="11" t="s">
        <v>662</v>
      </c>
      <c r="D347" s="10" t="s">
        <v>1</v>
      </c>
      <c r="E347" s="10">
        <v>13.71</v>
      </c>
      <c r="F347" s="10">
        <v>19.829999999999899</v>
      </c>
      <c r="G347" s="10">
        <v>71.299999999999898</v>
      </c>
      <c r="H347" s="10">
        <v>388.1</v>
      </c>
      <c r="I347" s="10">
        <v>8.5110000000000005E-2</v>
      </c>
      <c r="J347" s="10">
        <v>4.4130000000000003E-2</v>
      </c>
      <c r="K347" s="10">
        <v>5.0670000000000003E-3</v>
      </c>
      <c r="L347" s="10">
        <v>5.6639999999999902E-3</v>
      </c>
      <c r="M347" s="10">
        <v>0.16370000000000001</v>
      </c>
      <c r="N347" s="10">
        <v>6.343E-2</v>
      </c>
      <c r="O347" s="10">
        <v>0.13439999999999899</v>
      </c>
      <c r="P347" s="10">
        <v>1.083</v>
      </c>
      <c r="Q347" s="10">
        <v>0.98119999999999896</v>
      </c>
      <c r="R347" s="10">
        <v>9.3320000000000007</v>
      </c>
      <c r="S347" s="10">
        <v>4.1999999999999902E-3</v>
      </c>
      <c r="T347" s="10">
        <v>5.8999999999999903E-3</v>
      </c>
      <c r="U347" s="10">
        <v>3.846E-3</v>
      </c>
      <c r="V347" s="10">
        <v>4.065E-3</v>
      </c>
      <c r="W347" s="10">
        <v>1.487E-2</v>
      </c>
      <c r="X347" s="10">
        <v>2.2950000000000002E-3</v>
      </c>
      <c r="Y347" s="10">
        <v>11.93</v>
      </c>
      <c r="Z347" s="10">
        <v>26.43</v>
      </c>
      <c r="AA347" s="10">
        <v>76.379999999999896</v>
      </c>
      <c r="AB347" s="10">
        <v>435.89999999999901</v>
      </c>
      <c r="AC347" s="10">
        <v>0.1108</v>
      </c>
      <c r="AD347" s="10">
        <v>7.7229999999999896E-2</v>
      </c>
      <c r="AE347" s="10">
        <v>2.5329999999999901E-2</v>
      </c>
      <c r="AF347" s="10">
        <v>2.8320000000000001E-2</v>
      </c>
      <c r="AG347" s="10">
        <v>0.25569999999999898</v>
      </c>
      <c r="AH347">
        <v>7.6130000000000003E-2</v>
      </c>
    </row>
    <row r="348" spans="3:34">
      <c r="C348" s="11" t="s">
        <v>363</v>
      </c>
      <c r="D348" s="10" t="s">
        <v>0</v>
      </c>
      <c r="E348" s="10">
        <v>13.71</v>
      </c>
      <c r="F348" s="10">
        <v>20.25</v>
      </c>
      <c r="G348" s="10">
        <v>102.599999999999</v>
      </c>
      <c r="H348" s="10">
        <v>761.29999999999905</v>
      </c>
      <c r="I348" s="10">
        <v>0.10249999999999899</v>
      </c>
      <c r="J348" s="10">
        <v>0.12039999999999899</v>
      </c>
      <c r="K348" s="10">
        <v>0.1147</v>
      </c>
      <c r="L348" s="10">
        <v>6.46199999999999E-2</v>
      </c>
      <c r="M348" s="10">
        <v>0.19350000000000001</v>
      </c>
      <c r="N348" s="10">
        <v>6.3030000000000003E-2</v>
      </c>
      <c r="O348" s="10">
        <v>0.3473</v>
      </c>
      <c r="P348" s="10">
        <v>0.92090000000000005</v>
      </c>
      <c r="Q348" s="10">
        <v>2.2440000000000002</v>
      </c>
      <c r="R348" s="10">
        <v>32.189999999999898</v>
      </c>
      <c r="S348" s="10">
        <v>4.7660000000000003E-3</v>
      </c>
      <c r="T348" s="10">
        <v>2.3740000000000001E-2</v>
      </c>
      <c r="U348" s="10">
        <v>2.384E-2</v>
      </c>
      <c r="V348" s="10">
        <v>8.6370000000000006E-3</v>
      </c>
      <c r="W348" s="10">
        <v>1.772E-2</v>
      </c>
      <c r="X348" s="10">
        <v>3.1310000000000001E-3</v>
      </c>
      <c r="Y348" s="10">
        <v>19.559999999999899</v>
      </c>
      <c r="Z348" s="10">
        <v>30.2899999999999</v>
      </c>
      <c r="AA348" s="10">
        <v>125.9</v>
      </c>
      <c r="AB348" s="10">
        <v>1088</v>
      </c>
      <c r="AC348" s="10">
        <v>0.1552</v>
      </c>
      <c r="AD348" s="10">
        <v>0.44800000000000001</v>
      </c>
      <c r="AE348" s="10">
        <v>0.39760000000000001</v>
      </c>
      <c r="AF348" s="10">
        <v>0.1479</v>
      </c>
      <c r="AG348" s="10">
        <v>0.39929999999999899</v>
      </c>
      <c r="AH348">
        <v>0.106399999999999</v>
      </c>
    </row>
    <row r="349" spans="3:34">
      <c r="C349" s="11" t="s">
        <v>531</v>
      </c>
      <c r="D349" s="10" t="s">
        <v>1</v>
      </c>
      <c r="E349" s="10">
        <v>13.71</v>
      </c>
      <c r="F349" s="10">
        <v>16.84</v>
      </c>
      <c r="G349" s="10">
        <v>55.27</v>
      </c>
      <c r="H349" s="10">
        <v>234.3</v>
      </c>
      <c r="I349" s="10">
        <v>0.10390000000000001</v>
      </c>
      <c r="J349" s="10">
        <v>7.4279999999999902E-2</v>
      </c>
      <c r="K349" s="10">
        <v>0</v>
      </c>
      <c r="L349" s="10">
        <v>0</v>
      </c>
      <c r="M349" s="10">
        <v>0.19850000000000001</v>
      </c>
      <c r="N349" s="10">
        <v>7.0980000000000001E-2</v>
      </c>
      <c r="O349" s="10">
        <v>0.51690000000000003</v>
      </c>
      <c r="P349" s="10">
        <v>2.0790000000000002</v>
      </c>
      <c r="Q349" s="10">
        <v>3.16699999999999</v>
      </c>
      <c r="R349" s="10">
        <v>28.85</v>
      </c>
      <c r="S349" s="10">
        <v>1.5820000000000001E-2</v>
      </c>
      <c r="T349" s="10">
        <v>1.966E-2</v>
      </c>
      <c r="U349" s="10">
        <v>0</v>
      </c>
      <c r="V349" s="10">
        <v>0</v>
      </c>
      <c r="W349" s="10">
        <v>1.865E-2</v>
      </c>
      <c r="X349" s="10">
        <v>6.7359999999999903E-3</v>
      </c>
      <c r="Y349" s="10">
        <v>10.17</v>
      </c>
      <c r="Z349" s="10">
        <v>22.8</v>
      </c>
      <c r="AA349" s="10">
        <v>64.010000000000005</v>
      </c>
      <c r="AB349" s="10">
        <v>317</v>
      </c>
      <c r="AC349" s="10">
        <v>0.14599999999999899</v>
      </c>
      <c r="AD349" s="10">
        <v>0.13100000000000001</v>
      </c>
      <c r="AE349" s="10">
        <v>0</v>
      </c>
      <c r="AF349" s="10">
        <v>0</v>
      </c>
      <c r="AG349" s="10">
        <v>0.2445</v>
      </c>
      <c r="AH349">
        <v>8.8650000000000007E-2</v>
      </c>
    </row>
    <row r="350" spans="3:34">
      <c r="C350" s="11" t="s">
        <v>189</v>
      </c>
      <c r="D350" s="10" t="s">
        <v>1</v>
      </c>
      <c r="E350" s="10">
        <v>13.71</v>
      </c>
      <c r="F350" s="10">
        <v>22.3</v>
      </c>
      <c r="G350" s="10">
        <v>86.909999999999897</v>
      </c>
      <c r="H350" s="10">
        <v>561</v>
      </c>
      <c r="I350" s="10">
        <v>8.7520000000000001E-2</v>
      </c>
      <c r="J350" s="10">
        <v>7.6980000000000007E-2</v>
      </c>
      <c r="K350" s="10">
        <v>4.75099999999999E-2</v>
      </c>
      <c r="L350" s="10">
        <v>3.3840000000000002E-2</v>
      </c>
      <c r="M350" s="10">
        <v>0.18090000000000001</v>
      </c>
      <c r="N350" s="10">
        <v>5.7180000000000002E-2</v>
      </c>
      <c r="O350" s="10">
        <v>0.23380000000000001</v>
      </c>
      <c r="P350" s="10">
        <v>1.353</v>
      </c>
      <c r="Q350" s="10">
        <v>1.7350000000000001</v>
      </c>
      <c r="R350" s="10">
        <v>20.1999999999999</v>
      </c>
      <c r="S350" s="10">
        <v>4.4549999999999902E-3</v>
      </c>
      <c r="T350" s="10">
        <v>1.3820000000000001E-2</v>
      </c>
      <c r="U350" s="10">
        <v>2.095E-2</v>
      </c>
      <c r="V350" s="10">
        <v>1.184E-2</v>
      </c>
      <c r="W350" s="10">
        <v>1.6410000000000001E-2</v>
      </c>
      <c r="X350" s="10">
        <v>1.9559999999999899E-3</v>
      </c>
      <c r="Y350" s="10">
        <v>15.15</v>
      </c>
      <c r="Z350" s="10">
        <v>31.82</v>
      </c>
      <c r="AA350" s="10">
        <v>99</v>
      </c>
      <c r="AB350" s="10">
        <v>698.79999999999905</v>
      </c>
      <c r="AC350" s="10">
        <v>0.1162</v>
      </c>
      <c r="AD350" s="10">
        <v>0.1711</v>
      </c>
      <c r="AE350" s="10">
        <v>0.22819999999999899</v>
      </c>
      <c r="AF350" s="10">
        <v>0.12820000000000001</v>
      </c>
      <c r="AG350" s="10">
        <v>0.28710000000000002</v>
      </c>
      <c r="AH350">
        <v>6.9169999999999898E-2</v>
      </c>
    </row>
    <row r="351" spans="3:34">
      <c r="C351" s="11" t="s">
        <v>391</v>
      </c>
      <c r="D351" s="10" t="s">
        <v>1</v>
      </c>
      <c r="E351" s="10">
        <v>13.71</v>
      </c>
      <c r="F351" s="10">
        <v>18.4499999999999</v>
      </c>
      <c r="G351" s="10">
        <v>73.28</v>
      </c>
      <c r="H351" s="10">
        <v>407.39999999999901</v>
      </c>
      <c r="I351" s="10">
        <v>9.3450000000000005E-2</v>
      </c>
      <c r="J351" s="10">
        <v>5.9909999999999901E-2</v>
      </c>
      <c r="K351" s="10">
        <v>2.6380000000000001E-2</v>
      </c>
      <c r="L351" s="10">
        <v>2.069E-2</v>
      </c>
      <c r="M351" s="10">
        <v>0.18340000000000001</v>
      </c>
      <c r="N351" s="10">
        <v>5.93399999999999E-2</v>
      </c>
      <c r="O351" s="10">
        <v>0.39269999999999899</v>
      </c>
      <c r="P351" s="10">
        <v>0.84289999999999898</v>
      </c>
      <c r="Q351" s="10">
        <v>2.6840000000000002</v>
      </c>
      <c r="R351" s="10">
        <v>26.989999999999899</v>
      </c>
      <c r="S351" s="10">
        <v>6.3800000000000003E-3</v>
      </c>
      <c r="T351" s="10">
        <v>1.065E-2</v>
      </c>
      <c r="U351" s="10">
        <v>1.24499999999999E-2</v>
      </c>
      <c r="V351" s="10">
        <v>9.1750000000000009E-3</v>
      </c>
      <c r="W351" s="10">
        <v>2.2919999999999899E-2</v>
      </c>
      <c r="X351" s="10">
        <v>1.4610000000000001E-3</v>
      </c>
      <c r="Y351" s="10">
        <v>12.97</v>
      </c>
      <c r="Z351" s="10">
        <v>22.46</v>
      </c>
      <c r="AA351" s="10">
        <v>83.12</v>
      </c>
      <c r="AB351" s="10">
        <v>508.89999999999901</v>
      </c>
      <c r="AC351" s="10">
        <v>0.1183</v>
      </c>
      <c r="AD351" s="10">
        <v>0.10489999999999899</v>
      </c>
      <c r="AE351" s="10">
        <v>8.10499999999999E-2</v>
      </c>
      <c r="AF351" s="10">
        <v>6.5439999999999901E-2</v>
      </c>
      <c r="AG351" s="10">
        <v>0.27400000000000002</v>
      </c>
      <c r="AH351">
        <v>6.48699999999999E-2</v>
      </c>
    </row>
    <row r="352" spans="3:34">
      <c r="C352" s="11" t="s">
        <v>425</v>
      </c>
      <c r="D352" s="10" t="s">
        <v>1</v>
      </c>
      <c r="E352" s="10">
        <v>13.71</v>
      </c>
      <c r="F352" s="10">
        <v>18.399999999999899</v>
      </c>
      <c r="G352" s="10">
        <v>79.829999999999899</v>
      </c>
      <c r="H352" s="10">
        <v>489</v>
      </c>
      <c r="I352" s="10">
        <v>8.3930000000000005E-2</v>
      </c>
      <c r="J352" s="10">
        <v>4.2160000000000003E-2</v>
      </c>
      <c r="K352" s="10">
        <v>1.8600000000000001E-3</v>
      </c>
      <c r="L352" s="10">
        <v>2.92399999999999E-3</v>
      </c>
      <c r="M352" s="10">
        <v>0.16969999999999899</v>
      </c>
      <c r="N352" s="10">
        <v>5.8549999999999901E-2</v>
      </c>
      <c r="O352" s="10">
        <v>0.27189999999999898</v>
      </c>
      <c r="P352" s="10">
        <v>1.35</v>
      </c>
      <c r="Q352" s="10">
        <v>1.7210000000000001</v>
      </c>
      <c r="R352" s="10">
        <v>22.4499999999999</v>
      </c>
      <c r="S352" s="10">
        <v>6.3829999999999902E-3</v>
      </c>
      <c r="T352" s="10">
        <v>8.0079999999999908E-3</v>
      </c>
      <c r="U352" s="10">
        <v>1.8600000000000001E-3</v>
      </c>
      <c r="V352" s="10">
        <v>2.92399999999999E-3</v>
      </c>
      <c r="W352" s="10">
        <v>2.571E-2</v>
      </c>
      <c r="X352" s="10">
        <v>2.0149999999999899E-3</v>
      </c>
      <c r="Y352" s="10">
        <v>13.5</v>
      </c>
      <c r="Z352" s="10">
        <v>23.079999999999899</v>
      </c>
      <c r="AA352" s="10">
        <v>85.56</v>
      </c>
      <c r="AB352" s="10">
        <v>564.1</v>
      </c>
      <c r="AC352" s="10">
        <v>0.1038</v>
      </c>
      <c r="AD352" s="10">
        <v>6.6239999999999896E-2</v>
      </c>
      <c r="AE352" s="10">
        <v>5.5789999999999902E-3</v>
      </c>
      <c r="AF352" s="10">
        <v>8.7720000000000003E-3</v>
      </c>
      <c r="AG352" s="10">
        <v>0.2505</v>
      </c>
      <c r="AH352">
        <v>6.4310000000000006E-2</v>
      </c>
    </row>
    <row r="353" spans="3:34">
      <c r="C353" s="11" t="s">
        <v>256</v>
      </c>
      <c r="D353" s="10" t="s">
        <v>1</v>
      </c>
      <c r="E353" s="10">
        <v>13.71</v>
      </c>
      <c r="F353" s="10">
        <v>15.76</v>
      </c>
      <c r="G353" s="10">
        <v>58.74</v>
      </c>
      <c r="H353" s="10">
        <v>245.19999999999899</v>
      </c>
      <c r="I353" s="10">
        <v>9.4619999999999899E-2</v>
      </c>
      <c r="J353" s="10">
        <v>0.12429999999999899</v>
      </c>
      <c r="K353" s="10">
        <v>9.2630000000000004E-2</v>
      </c>
      <c r="L353" s="10">
        <v>2.308E-2</v>
      </c>
      <c r="M353" s="10">
        <v>0.1305</v>
      </c>
      <c r="N353" s="10">
        <v>7.1629999999999902E-2</v>
      </c>
      <c r="O353" s="10">
        <v>0.31319999999999898</v>
      </c>
      <c r="P353" s="10">
        <v>0.97889999999999899</v>
      </c>
      <c r="Q353" s="10">
        <v>3.27999999999999</v>
      </c>
      <c r="R353" s="10">
        <v>16.940000000000001</v>
      </c>
      <c r="S353" s="10">
        <v>1.8350000000000002E-2</v>
      </c>
      <c r="T353" s="10">
        <v>6.7599999999999896E-2</v>
      </c>
      <c r="U353" s="10">
        <v>9.2630000000000004E-2</v>
      </c>
      <c r="V353" s="10">
        <v>2.308E-2</v>
      </c>
      <c r="W353" s="10">
        <v>2.384E-2</v>
      </c>
      <c r="X353" s="10">
        <v>5.6010000000000001E-3</v>
      </c>
      <c r="Y353" s="10">
        <v>9.4139999999999908</v>
      </c>
      <c r="Z353" s="10">
        <v>17.07</v>
      </c>
      <c r="AA353" s="10">
        <v>63.34</v>
      </c>
      <c r="AB353" s="10">
        <v>270</v>
      </c>
      <c r="AC353" s="10">
        <v>0.1179</v>
      </c>
      <c r="AD353" s="10">
        <v>0.18790000000000001</v>
      </c>
      <c r="AE353" s="10">
        <v>0.15440000000000001</v>
      </c>
      <c r="AF353" s="10">
        <v>3.8460000000000001E-2</v>
      </c>
      <c r="AG353" s="10">
        <v>0.16520000000000001</v>
      </c>
      <c r="AH353">
        <v>7.72199999999999E-2</v>
      </c>
    </row>
    <row r="354" spans="3:34">
      <c r="C354" s="11" t="s">
        <v>194</v>
      </c>
      <c r="D354" s="10" t="s">
        <v>0</v>
      </c>
      <c r="E354" s="10">
        <v>13.71</v>
      </c>
      <c r="F354" s="10">
        <v>22.02</v>
      </c>
      <c r="G354" s="10">
        <v>97.26</v>
      </c>
      <c r="H354" s="10">
        <v>712.79999999999905</v>
      </c>
      <c r="I354" s="10">
        <v>9.0560000000000002E-2</v>
      </c>
      <c r="J354" s="10">
        <v>7.0809999999999901E-2</v>
      </c>
      <c r="K354" s="10">
        <v>5.253E-2</v>
      </c>
      <c r="L354" s="10">
        <v>3.3340000000000002E-2</v>
      </c>
      <c r="M354" s="10">
        <v>0.16159999999999899</v>
      </c>
      <c r="N354" s="10">
        <v>5.6840000000000002E-2</v>
      </c>
      <c r="O354" s="10">
        <v>0.3105</v>
      </c>
      <c r="P354" s="10">
        <v>0.83389999999999898</v>
      </c>
      <c r="Q354" s="10">
        <v>2.097</v>
      </c>
      <c r="R354" s="10">
        <v>29.91</v>
      </c>
      <c r="S354" s="10">
        <v>4.6750000000000003E-3</v>
      </c>
      <c r="T354" s="10">
        <v>1.03E-2</v>
      </c>
      <c r="U354" s="10">
        <v>1.6029999999999898E-2</v>
      </c>
      <c r="V354" s="10">
        <v>9.2219999999999906E-3</v>
      </c>
      <c r="W354" s="10">
        <v>1.095E-2</v>
      </c>
      <c r="X354" s="10">
        <v>1.629E-3</v>
      </c>
      <c r="Y354" s="10">
        <v>18.100000000000001</v>
      </c>
      <c r="Z354" s="10">
        <v>31.69</v>
      </c>
      <c r="AA354" s="10">
        <v>117.7</v>
      </c>
      <c r="AB354" s="10">
        <v>1030</v>
      </c>
      <c r="AC354" s="10">
        <v>0.1389</v>
      </c>
      <c r="AD354" s="10">
        <v>0.20569999999999899</v>
      </c>
      <c r="AE354" s="10">
        <v>0.2712</v>
      </c>
      <c r="AF354" s="10">
        <v>0.153</v>
      </c>
      <c r="AG354" s="10">
        <v>0.26750000000000002</v>
      </c>
      <c r="AH354">
        <v>7.8729999999999897E-2</v>
      </c>
    </row>
    <row r="355" spans="3:34">
      <c r="C355" s="11" t="s">
        <v>396</v>
      </c>
      <c r="D355" s="10" t="s">
        <v>0</v>
      </c>
      <c r="E355" s="10">
        <v>13.71</v>
      </c>
      <c r="F355" s="10">
        <v>28.77</v>
      </c>
      <c r="G355" s="10">
        <v>133.599999999999</v>
      </c>
      <c r="H355" s="10">
        <v>1207</v>
      </c>
      <c r="I355" s="10">
        <v>9.2600000000000002E-2</v>
      </c>
      <c r="J355" s="10">
        <v>0.20630000000000001</v>
      </c>
      <c r="K355" s="10">
        <v>0.1784</v>
      </c>
      <c r="L355" s="10">
        <v>0.1144</v>
      </c>
      <c r="M355" s="10">
        <v>0.1893</v>
      </c>
      <c r="N355" s="10">
        <v>6.232E-2</v>
      </c>
      <c r="O355" s="10">
        <v>0.84260000000000002</v>
      </c>
      <c r="P355" s="10">
        <v>1.1990000000000001</v>
      </c>
      <c r="Q355" s="10">
        <v>7.1580000000000004</v>
      </c>
      <c r="R355" s="10">
        <v>106.4</v>
      </c>
      <c r="S355" s="10">
        <v>6.3559999999999901E-3</v>
      </c>
      <c r="T355" s="10">
        <v>4.7649999999999901E-2</v>
      </c>
      <c r="U355" s="10">
        <v>3.8629999999999901E-2</v>
      </c>
      <c r="V355" s="10">
        <v>1.519E-2</v>
      </c>
      <c r="W355" s="10">
        <v>1.9359999999999902E-2</v>
      </c>
      <c r="X355" s="10">
        <v>5.2519999999999902E-3</v>
      </c>
      <c r="Y355" s="10">
        <v>25.05</v>
      </c>
      <c r="Z355" s="10">
        <v>36.270000000000003</v>
      </c>
      <c r="AA355" s="10">
        <v>178.599999999999</v>
      </c>
      <c r="AB355" s="10">
        <v>1926</v>
      </c>
      <c r="AC355" s="10">
        <v>0.12809999999999899</v>
      </c>
      <c r="AD355" s="10">
        <v>0.53290000000000004</v>
      </c>
      <c r="AE355" s="10">
        <v>0.42509999999999898</v>
      </c>
      <c r="AF355" s="10">
        <v>0.194099999999999</v>
      </c>
      <c r="AG355" s="10">
        <v>0.281799999999999</v>
      </c>
      <c r="AH355">
        <v>0.10050000000000001</v>
      </c>
    </row>
    <row r="356" spans="3:34">
      <c r="C356" s="11" t="s">
        <v>399</v>
      </c>
      <c r="D356" s="10" t="s">
        <v>0</v>
      </c>
      <c r="E356" s="10">
        <v>13.71</v>
      </c>
      <c r="F356" s="10">
        <v>33.56</v>
      </c>
      <c r="G356" s="10">
        <v>103.7</v>
      </c>
      <c r="H356" s="10">
        <v>744.89999999999895</v>
      </c>
      <c r="I356" s="10">
        <v>0.10630000000000001</v>
      </c>
      <c r="J356" s="10">
        <v>0.16389999999999899</v>
      </c>
      <c r="K356" s="10">
        <v>0.17510000000000001</v>
      </c>
      <c r="L356" s="10">
        <v>8.3989999999999898E-2</v>
      </c>
      <c r="M356" s="10">
        <v>0.20910000000000001</v>
      </c>
      <c r="N356" s="10">
        <v>6.6500000000000004E-2</v>
      </c>
      <c r="O356" s="10">
        <v>0.2419</v>
      </c>
      <c r="P356" s="10">
        <v>1.278</v>
      </c>
      <c r="Q356" s="10">
        <v>1.903</v>
      </c>
      <c r="R356" s="10">
        <v>23.02</v>
      </c>
      <c r="S356" s="10">
        <v>5.3449999999999904E-3</v>
      </c>
      <c r="T356" s="10">
        <v>2.5559999999999899E-2</v>
      </c>
      <c r="U356" s="10">
        <v>2.8889999999999898E-2</v>
      </c>
      <c r="V356" s="10">
        <v>1.022E-2</v>
      </c>
      <c r="W356" s="10">
        <v>9.9469999999999906E-3</v>
      </c>
      <c r="X356" s="10">
        <v>3.359E-3</v>
      </c>
      <c r="Y356" s="10">
        <v>18.489999999999899</v>
      </c>
      <c r="Z356" s="10">
        <v>49.5399999999999</v>
      </c>
      <c r="AA356" s="10">
        <v>126.3</v>
      </c>
      <c r="AB356" s="10">
        <v>1035</v>
      </c>
      <c r="AC356" s="10">
        <v>0.1883</v>
      </c>
      <c r="AD356" s="10">
        <v>0.55640000000000001</v>
      </c>
      <c r="AE356" s="10">
        <v>0.57030000000000003</v>
      </c>
      <c r="AF356" s="10">
        <v>0.2014</v>
      </c>
      <c r="AG356" s="10">
        <v>0.35120000000000001</v>
      </c>
      <c r="AH356">
        <v>0.12039999999999899</v>
      </c>
    </row>
    <row r="357" spans="3:34">
      <c r="C357" s="11" t="s">
        <v>675</v>
      </c>
      <c r="D357" s="10" t="s">
        <v>0</v>
      </c>
      <c r="E357" s="10">
        <v>13.71</v>
      </c>
      <c r="F357" s="10">
        <v>20.8599999999999</v>
      </c>
      <c r="G357" s="10">
        <v>137.80000000000001</v>
      </c>
      <c r="H357" s="10">
        <v>1308</v>
      </c>
      <c r="I357" s="10">
        <v>0.1046</v>
      </c>
      <c r="J357" s="10">
        <v>0.1739</v>
      </c>
      <c r="K357" s="10">
        <v>0.20849999999999899</v>
      </c>
      <c r="L357" s="10">
        <v>0.13220000000000001</v>
      </c>
      <c r="M357" s="10">
        <v>0.2127</v>
      </c>
      <c r="N357" s="10">
        <v>6.2509999999999899E-2</v>
      </c>
      <c r="O357" s="10">
        <v>0.6986</v>
      </c>
      <c r="P357" s="10">
        <v>0.99009999999999898</v>
      </c>
      <c r="Q357" s="10">
        <v>4.7060000000000004</v>
      </c>
      <c r="R357" s="10">
        <v>87.78</v>
      </c>
      <c r="S357" s="10">
        <v>4.5779999999999901E-3</v>
      </c>
      <c r="T357" s="10">
        <v>2.6159999999999899E-2</v>
      </c>
      <c r="U357" s="10">
        <v>4.0050000000000002E-2</v>
      </c>
      <c r="V357" s="10">
        <v>1.421E-2</v>
      </c>
      <c r="W357" s="10">
        <v>1.9480000000000001E-2</v>
      </c>
      <c r="X357" s="10">
        <v>2.689E-3</v>
      </c>
      <c r="Y357" s="10">
        <v>24.3</v>
      </c>
      <c r="Z357" s="10">
        <v>25.48</v>
      </c>
      <c r="AA357" s="10">
        <v>160.19999999999899</v>
      </c>
      <c r="AB357" s="10">
        <v>1809</v>
      </c>
      <c r="AC357" s="10">
        <v>0.1268</v>
      </c>
      <c r="AD357" s="10">
        <v>0.3135</v>
      </c>
      <c r="AE357" s="10">
        <v>0.44330000000000003</v>
      </c>
      <c r="AF357" s="10">
        <v>0.21479999999999899</v>
      </c>
      <c r="AG357" s="10">
        <v>0.30769999999999897</v>
      </c>
      <c r="AH357">
        <v>7.5689999999999896E-2</v>
      </c>
    </row>
    <row r="358" spans="3:34">
      <c r="C358" s="11" t="s">
        <v>628</v>
      </c>
      <c r="D358" s="10" t="s">
        <v>1</v>
      </c>
      <c r="E358" s="10">
        <v>13.71</v>
      </c>
      <c r="F358" s="10">
        <v>16.170000000000002</v>
      </c>
      <c r="G358" s="10">
        <v>75.489999999999895</v>
      </c>
      <c r="H358" s="10">
        <v>420.5</v>
      </c>
      <c r="I358" s="10">
        <v>0.1128</v>
      </c>
      <c r="J358" s="10">
        <v>9.2630000000000004E-2</v>
      </c>
      <c r="K358" s="10">
        <v>4.2790000000000002E-2</v>
      </c>
      <c r="L358" s="10">
        <v>3.1320000000000001E-2</v>
      </c>
      <c r="M358" s="10">
        <v>0.18529999999999899</v>
      </c>
      <c r="N358" s="10">
        <v>6.40099999999999E-2</v>
      </c>
      <c r="O358" s="10">
        <v>0.37130000000000002</v>
      </c>
      <c r="P358" s="10">
        <v>1.1539999999999899</v>
      </c>
      <c r="Q358" s="10">
        <v>2.5539999999999901</v>
      </c>
      <c r="R358" s="10">
        <v>27.57</v>
      </c>
      <c r="S358" s="10">
        <v>8.9980000000000008E-3</v>
      </c>
      <c r="T358" s="10">
        <v>1.29199999999999E-2</v>
      </c>
      <c r="U358" s="10">
        <v>1.8509999999999902E-2</v>
      </c>
      <c r="V358" s="10">
        <v>1.167E-2</v>
      </c>
      <c r="W358" s="10">
        <v>2.1520000000000001E-2</v>
      </c>
      <c r="X358" s="10">
        <v>3.2130000000000001E-3</v>
      </c>
      <c r="Y358" s="10">
        <v>13.32</v>
      </c>
      <c r="Z358" s="10">
        <v>21.59</v>
      </c>
      <c r="AA358" s="10">
        <v>86.569999999999894</v>
      </c>
      <c r="AB358" s="10">
        <v>549.79999999999905</v>
      </c>
      <c r="AC358" s="10">
        <v>0.15260000000000001</v>
      </c>
      <c r="AD358" s="10">
        <v>0.1477</v>
      </c>
      <c r="AE358" s="10">
        <v>0.14899999999999899</v>
      </c>
      <c r="AF358" s="10">
        <v>9.8150000000000001E-2</v>
      </c>
      <c r="AG358" s="10">
        <v>0.28039999999999898</v>
      </c>
      <c r="AH358">
        <v>8.0240000000000006E-2</v>
      </c>
    </row>
    <row r="359" spans="3:34">
      <c r="C359" s="11" t="s">
        <v>581</v>
      </c>
      <c r="D359" s="10" t="s">
        <v>0</v>
      </c>
      <c r="E359" s="10">
        <v>13.71</v>
      </c>
      <c r="F359" s="10">
        <v>25.42</v>
      </c>
      <c r="G359" s="10">
        <v>112.4</v>
      </c>
      <c r="H359" s="10">
        <v>928.79999999999905</v>
      </c>
      <c r="I359" s="10">
        <v>8.3309999999999898E-2</v>
      </c>
      <c r="J359" s="10">
        <v>0.1109</v>
      </c>
      <c r="K359" s="10">
        <v>0.12039999999999899</v>
      </c>
      <c r="L359" s="10">
        <v>5.7360000000000001E-2</v>
      </c>
      <c r="M359" s="10">
        <v>0.1467</v>
      </c>
      <c r="N359" s="10">
        <v>5.407E-2</v>
      </c>
      <c r="O359" s="10">
        <v>0.51</v>
      </c>
      <c r="P359" s="10">
        <v>1.679</v>
      </c>
      <c r="Q359" s="10">
        <v>3.2829999999999901</v>
      </c>
      <c r="R359" s="10">
        <v>58.38</v>
      </c>
      <c r="S359" s="10">
        <v>8.1089999999999895E-3</v>
      </c>
      <c r="T359" s="10">
        <v>4.308E-2</v>
      </c>
      <c r="U359" s="10">
        <v>4.9419999999999902E-2</v>
      </c>
      <c r="V359" s="10">
        <v>1.7420000000000001E-2</v>
      </c>
      <c r="W359" s="10">
        <v>1.5939999999999899E-2</v>
      </c>
      <c r="X359" s="10">
        <v>3.7390000000000001E-3</v>
      </c>
      <c r="Y359" s="10">
        <v>20.3799999999999</v>
      </c>
      <c r="Z359" s="10">
        <v>35.46</v>
      </c>
      <c r="AA359" s="10">
        <v>132.80000000000001</v>
      </c>
      <c r="AB359" s="10">
        <v>1284</v>
      </c>
      <c r="AC359" s="10">
        <v>0.14360000000000001</v>
      </c>
      <c r="AD359" s="10">
        <v>0.41220000000000001</v>
      </c>
      <c r="AE359" s="10">
        <v>0.50360000000000005</v>
      </c>
      <c r="AF359" s="10">
        <v>0.1739</v>
      </c>
      <c r="AG359" s="10">
        <v>0.25</v>
      </c>
      <c r="AH359">
        <v>7.94399999999999E-2</v>
      </c>
    </row>
    <row r="360" spans="3:34">
      <c r="C360" s="11" t="s">
        <v>560</v>
      </c>
      <c r="D360" s="10" t="s">
        <v>1</v>
      </c>
      <c r="E360" s="10">
        <v>13.71</v>
      </c>
      <c r="F360" s="10">
        <v>19.0399999999999</v>
      </c>
      <c r="G360" s="10">
        <v>74.2</v>
      </c>
      <c r="H360" s="10">
        <v>409.69999999999902</v>
      </c>
      <c r="I360" s="10">
        <v>8.5459999999999897E-2</v>
      </c>
      <c r="J360" s="10">
        <v>7.72199999999999E-2</v>
      </c>
      <c r="K360" s="10">
        <v>5.4850000000000003E-2</v>
      </c>
      <c r="L360" s="10">
        <v>1.42799999999999E-2</v>
      </c>
      <c r="M360" s="10">
        <v>0.2031</v>
      </c>
      <c r="N360" s="10">
        <v>6.2670000000000003E-2</v>
      </c>
      <c r="O360" s="10">
        <v>0.28639999999999899</v>
      </c>
      <c r="P360" s="10">
        <v>1.43999999999999</v>
      </c>
      <c r="Q360" s="10">
        <v>2.206</v>
      </c>
      <c r="R360" s="10">
        <v>20.3</v>
      </c>
      <c r="S360" s="10">
        <v>7.2779999999999902E-3</v>
      </c>
      <c r="T360" s="10">
        <v>2.0469999999999901E-2</v>
      </c>
      <c r="U360" s="10">
        <v>4.4470000000000003E-2</v>
      </c>
      <c r="V360" s="10">
        <v>8.7989999999999909E-3</v>
      </c>
      <c r="W360" s="10">
        <v>1.8679999999999902E-2</v>
      </c>
      <c r="X360" s="10">
        <v>3.339E-3</v>
      </c>
      <c r="Y360" s="10">
        <v>13.07</v>
      </c>
      <c r="Z360" s="10">
        <v>26.98</v>
      </c>
      <c r="AA360" s="10">
        <v>86.43</v>
      </c>
      <c r="AB360" s="10">
        <v>520.5</v>
      </c>
      <c r="AC360" s="10">
        <v>0.1249</v>
      </c>
      <c r="AD360" s="10">
        <v>0.19370000000000001</v>
      </c>
      <c r="AE360" s="10">
        <v>0.25600000000000001</v>
      </c>
      <c r="AF360" s="10">
        <v>6.6640000000000005E-2</v>
      </c>
      <c r="AG360" s="10">
        <v>0.30349999999999899</v>
      </c>
      <c r="AH360">
        <v>8.28399999999999E-2</v>
      </c>
    </row>
    <row r="361" spans="3:34">
      <c r="C361" s="11" t="s">
        <v>216</v>
      </c>
      <c r="D361" s="10" t="s">
        <v>1</v>
      </c>
      <c r="E361" s="10">
        <v>13.71</v>
      </c>
      <c r="F361" s="10">
        <v>10.94</v>
      </c>
      <c r="G361" s="10">
        <v>87.909999999999897</v>
      </c>
      <c r="H361" s="10">
        <v>559.20000000000005</v>
      </c>
      <c r="I361" s="10">
        <v>0.12909999999999899</v>
      </c>
      <c r="J361" s="10">
        <v>0.1047</v>
      </c>
      <c r="K361" s="10">
        <v>6.8769999999999901E-2</v>
      </c>
      <c r="L361" s="10">
        <v>6.5559999999999896E-2</v>
      </c>
      <c r="M361" s="10">
        <v>0.24030000000000001</v>
      </c>
      <c r="N361" s="10">
        <v>6.64099999999999E-2</v>
      </c>
      <c r="O361" s="10">
        <v>0.41010000000000002</v>
      </c>
      <c r="P361" s="10">
        <v>1.014</v>
      </c>
      <c r="Q361" s="10">
        <v>2.6520000000000001</v>
      </c>
      <c r="R361" s="10">
        <v>32.649999999999899</v>
      </c>
      <c r="S361" s="10">
        <v>1.34E-2</v>
      </c>
      <c r="T361" s="10">
        <v>2.8389999999999901E-2</v>
      </c>
      <c r="U361" s="10">
        <v>1.162E-2</v>
      </c>
      <c r="V361" s="10">
        <v>8.2389999999999894E-3</v>
      </c>
      <c r="W361" s="10">
        <v>2.572E-2</v>
      </c>
      <c r="X361" s="10">
        <v>6.1640000000000002E-3</v>
      </c>
      <c r="Y361" s="10">
        <v>14.08</v>
      </c>
      <c r="Z361" s="10">
        <v>12.49</v>
      </c>
      <c r="AA361" s="10">
        <v>91.3599999999999</v>
      </c>
      <c r="AB361" s="10">
        <v>605.5</v>
      </c>
      <c r="AC361" s="10">
        <v>0.14510000000000001</v>
      </c>
      <c r="AD361" s="10">
        <v>0.137899999999999</v>
      </c>
      <c r="AE361" s="10">
        <v>8.5389999999999897E-2</v>
      </c>
      <c r="AF361" s="10">
        <v>7.40699999999999E-2</v>
      </c>
      <c r="AG361" s="10">
        <v>0.27100000000000002</v>
      </c>
      <c r="AH361">
        <v>7.1910000000000002E-2</v>
      </c>
    </row>
    <row r="362" spans="3:34">
      <c r="C362" s="11" t="s">
        <v>192</v>
      </c>
      <c r="D362" s="10" t="s">
        <v>1</v>
      </c>
      <c r="E362" s="10">
        <v>13.71</v>
      </c>
      <c r="F362" s="10">
        <v>18.239999999999899</v>
      </c>
      <c r="G362" s="10">
        <v>75.709999999999894</v>
      </c>
      <c r="H362" s="10">
        <v>437.6</v>
      </c>
      <c r="I362" s="10">
        <v>8.2610000000000003E-2</v>
      </c>
      <c r="J362" s="10">
        <v>4.75099999999999E-2</v>
      </c>
      <c r="K362" s="10">
        <v>1.9720000000000001E-2</v>
      </c>
      <c r="L362" s="10">
        <v>1.349E-2</v>
      </c>
      <c r="M362" s="10">
        <v>0.18679999999999899</v>
      </c>
      <c r="N362" s="10">
        <v>6.1100000000000002E-2</v>
      </c>
      <c r="O362" s="10">
        <v>0.2273</v>
      </c>
      <c r="P362" s="10">
        <v>0.63290000000000002</v>
      </c>
      <c r="Q362" s="10">
        <v>1.52</v>
      </c>
      <c r="R362" s="10">
        <v>17.469999999999899</v>
      </c>
      <c r="S362" s="10">
        <v>7.2100000000000003E-3</v>
      </c>
      <c r="T362" s="10">
        <v>8.3800000000000003E-3</v>
      </c>
      <c r="U362" s="10">
        <v>1.311E-2</v>
      </c>
      <c r="V362" s="10">
        <v>8.0000000000000002E-3</v>
      </c>
      <c r="W362" s="10">
        <v>1.9959999999999901E-2</v>
      </c>
      <c r="X362" s="10">
        <v>2.6350000000000002E-3</v>
      </c>
      <c r="Y362" s="10">
        <v>13.1</v>
      </c>
      <c r="Z362" s="10">
        <v>21.329999999999899</v>
      </c>
      <c r="AA362" s="10">
        <v>83.67</v>
      </c>
      <c r="AB362" s="10">
        <v>527.20000000000005</v>
      </c>
      <c r="AC362" s="10">
        <v>0.1144</v>
      </c>
      <c r="AD362" s="10">
        <v>8.906E-2</v>
      </c>
      <c r="AE362" s="10">
        <v>9.2030000000000001E-2</v>
      </c>
      <c r="AF362" s="10">
        <v>6.2960000000000002E-2</v>
      </c>
      <c r="AG362" s="10">
        <v>0.27850000000000003</v>
      </c>
      <c r="AH362">
        <v>7.4079999999999896E-2</v>
      </c>
    </row>
    <row r="363" spans="3:34">
      <c r="C363" s="11" t="s">
        <v>264</v>
      </c>
      <c r="D363" s="10" t="s">
        <v>1</v>
      </c>
      <c r="E363" s="10">
        <v>13.71</v>
      </c>
      <c r="F363" s="10">
        <v>16.39</v>
      </c>
      <c r="G363" s="10">
        <v>86.099999999999895</v>
      </c>
      <c r="H363" s="10">
        <v>553.5</v>
      </c>
      <c r="I363" s="10">
        <v>7.1150000000000005E-2</v>
      </c>
      <c r="J363" s="10">
        <v>7.3249999999999899E-2</v>
      </c>
      <c r="K363" s="10">
        <v>8.0920000000000006E-2</v>
      </c>
      <c r="L363" s="10">
        <v>2.8000000000000001E-2</v>
      </c>
      <c r="M363" s="10">
        <v>0.14219999999999899</v>
      </c>
      <c r="N363" s="10">
        <v>5.82299999999999E-2</v>
      </c>
      <c r="O363" s="10">
        <v>0.16389999999999899</v>
      </c>
      <c r="P363" s="10">
        <v>1.1399999999999899</v>
      </c>
      <c r="Q363" s="10">
        <v>1.2230000000000001</v>
      </c>
      <c r="R363" s="10">
        <v>14.66</v>
      </c>
      <c r="S363" s="10">
        <v>5.9189999999999902E-3</v>
      </c>
      <c r="T363" s="10">
        <v>3.27E-2</v>
      </c>
      <c r="U363" s="10">
        <v>4.9570000000000003E-2</v>
      </c>
      <c r="V363" s="10">
        <v>1.038E-2</v>
      </c>
      <c r="W363" s="10">
        <v>1.208E-2</v>
      </c>
      <c r="X363" s="10">
        <v>4.0759999999999902E-3</v>
      </c>
      <c r="Y363" s="10">
        <v>14.26</v>
      </c>
      <c r="Z363" s="10">
        <v>22.75</v>
      </c>
      <c r="AA363" s="10">
        <v>91.989999999999895</v>
      </c>
      <c r="AB363" s="10">
        <v>632.1</v>
      </c>
      <c r="AC363" s="10">
        <v>0.10249999999999899</v>
      </c>
      <c r="AD363" s="10">
        <v>0.25309999999999899</v>
      </c>
      <c r="AE363" s="10">
        <v>0.33079999999999898</v>
      </c>
      <c r="AF363" s="10">
        <v>8.9779999999999902E-2</v>
      </c>
      <c r="AG363" s="10">
        <v>0.20480000000000001</v>
      </c>
      <c r="AH363">
        <v>7.6280000000000001E-2</v>
      </c>
    </row>
    <row r="364" spans="3:34">
      <c r="C364" s="11" t="s">
        <v>615</v>
      </c>
      <c r="D364" s="10" t="s">
        <v>1</v>
      </c>
      <c r="E364" s="10">
        <v>13.71</v>
      </c>
      <c r="F364" s="10">
        <v>15.73</v>
      </c>
      <c r="G364" s="10">
        <v>82.89</v>
      </c>
      <c r="H364" s="10">
        <v>506.89999999999901</v>
      </c>
      <c r="I364" s="10">
        <v>9.0399999999999897E-2</v>
      </c>
      <c r="J364" s="10">
        <v>8.269E-2</v>
      </c>
      <c r="K364" s="10">
        <v>5.8349999999999902E-2</v>
      </c>
      <c r="L364" s="10">
        <v>3.0779999999999901E-2</v>
      </c>
      <c r="M364" s="10">
        <v>0.17050000000000001</v>
      </c>
      <c r="N364" s="10">
        <v>5.9130000000000002E-2</v>
      </c>
      <c r="O364" s="10">
        <v>0.14990000000000001</v>
      </c>
      <c r="P364" s="10">
        <v>0.48749999999999899</v>
      </c>
      <c r="Q364" s="10">
        <v>1.1950000000000001</v>
      </c>
      <c r="R364" s="10">
        <v>11.64</v>
      </c>
      <c r="S364" s="10">
        <v>4.8729999999999902E-3</v>
      </c>
      <c r="T364" s="10">
        <v>1.796E-2</v>
      </c>
      <c r="U364" s="10">
        <v>3.3180000000000001E-2</v>
      </c>
      <c r="V364" s="10">
        <v>8.3599999999999907E-3</v>
      </c>
      <c r="W364" s="10">
        <v>1.601E-2</v>
      </c>
      <c r="X364" s="10">
        <v>2.2889999999999898E-3</v>
      </c>
      <c r="Y364" s="10">
        <v>14.09</v>
      </c>
      <c r="Z364" s="10">
        <v>19.350000000000001</v>
      </c>
      <c r="AA364" s="10">
        <v>93.219999999999899</v>
      </c>
      <c r="AB364" s="10">
        <v>605.79999999999905</v>
      </c>
      <c r="AC364" s="10">
        <v>0.1326</v>
      </c>
      <c r="AD364" s="10">
        <v>0.26100000000000001</v>
      </c>
      <c r="AE364" s="10">
        <v>0.34760000000000002</v>
      </c>
      <c r="AF364" s="10">
        <v>9.783E-2</v>
      </c>
      <c r="AG364" s="10">
        <v>0.30059999999999898</v>
      </c>
      <c r="AH364">
        <v>7.8020000000000006E-2</v>
      </c>
    </row>
    <row r="365" spans="3:34">
      <c r="C365" s="11" t="s">
        <v>347</v>
      </c>
      <c r="D365" s="10" t="s">
        <v>0</v>
      </c>
      <c r="E365" s="10">
        <v>13.71</v>
      </c>
      <c r="F365" s="10">
        <v>20.260000000000002</v>
      </c>
      <c r="G365" s="10">
        <v>109.7</v>
      </c>
      <c r="H365" s="10">
        <v>904.29999999999905</v>
      </c>
      <c r="I365" s="10">
        <v>8.7720000000000006E-2</v>
      </c>
      <c r="J365" s="10">
        <v>7.3039999999999897E-2</v>
      </c>
      <c r="K365" s="10">
        <v>6.9500000000000006E-2</v>
      </c>
      <c r="L365" s="10">
        <v>5.3900000000000003E-2</v>
      </c>
      <c r="M365" s="10">
        <v>0.2026</v>
      </c>
      <c r="N365" s="10">
        <v>5.2229999999999902E-2</v>
      </c>
      <c r="O365" s="10">
        <v>0.58579999999999899</v>
      </c>
      <c r="P365" s="10">
        <v>0.85540000000000005</v>
      </c>
      <c r="Q365" s="10">
        <v>4.1059999999999901</v>
      </c>
      <c r="R365" s="10">
        <v>68.459999999999894</v>
      </c>
      <c r="S365" s="10">
        <v>5.0379999999999904E-3</v>
      </c>
      <c r="T365" s="10">
        <v>1.503E-2</v>
      </c>
      <c r="U365" s="10">
        <v>1.9460000000000002E-2</v>
      </c>
      <c r="V365" s="10">
        <v>1.123E-2</v>
      </c>
      <c r="W365" s="10">
        <v>2.2939999999999901E-2</v>
      </c>
      <c r="X365" s="10">
        <v>2.581E-3</v>
      </c>
      <c r="Y365" s="10">
        <v>19.8</v>
      </c>
      <c r="Z365" s="10">
        <v>25.05</v>
      </c>
      <c r="AA365" s="10">
        <v>130</v>
      </c>
      <c r="AB365" s="10">
        <v>1210</v>
      </c>
      <c r="AC365" s="10">
        <v>0.1111</v>
      </c>
      <c r="AD365" s="10">
        <v>0.14860000000000001</v>
      </c>
      <c r="AE365" s="10">
        <v>0.19320000000000001</v>
      </c>
      <c r="AF365" s="10">
        <v>0.1096</v>
      </c>
      <c r="AG365" s="10">
        <v>0.32750000000000001</v>
      </c>
      <c r="AH365">
        <v>6.46899999999999E-2</v>
      </c>
    </row>
    <row r="366" spans="3:34">
      <c r="C366" s="11" t="s">
        <v>681</v>
      </c>
      <c r="D366" s="10" t="s">
        <v>1</v>
      </c>
      <c r="E366" s="10">
        <v>13.71</v>
      </c>
      <c r="F366" s="10">
        <v>24.989999999999899</v>
      </c>
      <c r="G366" s="10">
        <v>95.81</v>
      </c>
      <c r="H366" s="10">
        <v>656.39999999999895</v>
      </c>
      <c r="I366" s="10">
        <v>8.8370000000000004E-2</v>
      </c>
      <c r="J366" s="10">
        <v>0.123</v>
      </c>
      <c r="K366" s="10">
        <v>0.1009</v>
      </c>
      <c r="L366" s="10">
        <v>3.88999999999999E-2</v>
      </c>
      <c r="M366" s="10">
        <v>0.18720000000000001</v>
      </c>
      <c r="N366" s="10">
        <v>6.3409999999999897E-2</v>
      </c>
      <c r="O366" s="10">
        <v>0.25419999999999898</v>
      </c>
      <c r="P366" s="10">
        <v>1.079</v>
      </c>
      <c r="Q366" s="10">
        <v>2.6150000000000002</v>
      </c>
      <c r="R366" s="10">
        <v>23.1099999999999</v>
      </c>
      <c r="S366" s="10">
        <v>7.1380000000000002E-3</v>
      </c>
      <c r="T366" s="10">
        <v>4.6530000000000002E-2</v>
      </c>
      <c r="U366" s="10">
        <v>3.8289999999999901E-2</v>
      </c>
      <c r="V366" s="10">
        <v>1.162E-2</v>
      </c>
      <c r="W366" s="10">
        <v>2.068E-2</v>
      </c>
      <c r="X366" s="10">
        <v>6.1110000000000001E-3</v>
      </c>
      <c r="Y366" s="10">
        <v>16.219999999999899</v>
      </c>
      <c r="Z366" s="10">
        <v>31.73</v>
      </c>
      <c r="AA366" s="10">
        <v>113.5</v>
      </c>
      <c r="AB366" s="10">
        <v>808.89999999999895</v>
      </c>
      <c r="AC366" s="10">
        <v>0.13400000000000001</v>
      </c>
      <c r="AD366" s="10">
        <v>0.42020000000000002</v>
      </c>
      <c r="AE366" s="10">
        <v>0.40400000000000003</v>
      </c>
      <c r="AF366" s="10">
        <v>0.1205</v>
      </c>
      <c r="AG366" s="10">
        <v>0.31869999999999898</v>
      </c>
      <c r="AH366">
        <v>0.1023</v>
      </c>
    </row>
    <row r="367" spans="3:34">
      <c r="C367" s="11" t="s">
        <v>293</v>
      </c>
      <c r="D367" s="10" t="s">
        <v>1</v>
      </c>
      <c r="E367" s="10">
        <v>13.71</v>
      </c>
      <c r="F367" s="10">
        <v>13.08</v>
      </c>
      <c r="G367" s="10">
        <v>70.87</v>
      </c>
      <c r="H367" s="10">
        <v>381.89999999999901</v>
      </c>
      <c r="I367" s="10">
        <v>9.7540000000000002E-2</v>
      </c>
      <c r="J367" s="10">
        <v>5.1130000000000002E-2</v>
      </c>
      <c r="K367" s="10">
        <v>1.9820000000000001E-2</v>
      </c>
      <c r="L367" s="10">
        <v>1.7860000000000001E-2</v>
      </c>
      <c r="M367" s="10">
        <v>0.183</v>
      </c>
      <c r="N367" s="10">
        <v>6.105E-2</v>
      </c>
      <c r="O367" s="10">
        <v>0.225099999999999</v>
      </c>
      <c r="P367" s="10">
        <v>0.78149999999999897</v>
      </c>
      <c r="Q367" s="10">
        <v>1.429</v>
      </c>
      <c r="R367" s="10">
        <v>15.48</v>
      </c>
      <c r="S367" s="10">
        <v>9.0189999999999906E-3</v>
      </c>
      <c r="T367" s="10">
        <v>8.9849999999999895E-3</v>
      </c>
      <c r="U367" s="10">
        <v>1.196E-2</v>
      </c>
      <c r="V367" s="10">
        <v>8.2319999999999893E-3</v>
      </c>
      <c r="W367" s="10">
        <v>2.3879999999999901E-2</v>
      </c>
      <c r="X367" s="10">
        <v>1.619E-3</v>
      </c>
      <c r="Y367" s="10">
        <v>11.99</v>
      </c>
      <c r="Z367" s="10">
        <v>16.3</v>
      </c>
      <c r="AA367" s="10">
        <v>76.25</v>
      </c>
      <c r="AB367" s="10">
        <v>440.8</v>
      </c>
      <c r="AC367" s="10">
        <v>0.1341</v>
      </c>
      <c r="AD367" s="10">
        <v>8.9709999999999901E-2</v>
      </c>
      <c r="AE367" s="10">
        <v>7.1160000000000001E-2</v>
      </c>
      <c r="AF367" s="10">
        <v>5.5059999999999901E-2</v>
      </c>
      <c r="AG367" s="10">
        <v>0.28589999999999899</v>
      </c>
      <c r="AH367">
        <v>6.7720000000000002E-2</v>
      </c>
    </row>
    <row r="368" spans="3:34">
      <c r="C368" s="11" t="s">
        <v>361</v>
      </c>
      <c r="D368" s="10" t="s">
        <v>1</v>
      </c>
      <c r="E368" s="10">
        <v>13.71</v>
      </c>
      <c r="F368" s="10">
        <v>13.9</v>
      </c>
      <c r="G368" s="10">
        <v>88.59</v>
      </c>
      <c r="H368" s="10">
        <v>561.29999999999905</v>
      </c>
      <c r="I368" s="10">
        <v>0.1051</v>
      </c>
      <c r="J368" s="10">
        <v>0.1192</v>
      </c>
      <c r="K368" s="10">
        <v>7.8600000000000003E-2</v>
      </c>
      <c r="L368" s="10">
        <v>4.4510000000000001E-2</v>
      </c>
      <c r="M368" s="10">
        <v>0.19620000000000001</v>
      </c>
      <c r="N368" s="10">
        <v>6.3030000000000003E-2</v>
      </c>
      <c r="O368" s="10">
        <v>0.25690000000000002</v>
      </c>
      <c r="P368" s="10">
        <v>0.49809999999999899</v>
      </c>
      <c r="Q368" s="10">
        <v>2.0110000000000001</v>
      </c>
      <c r="R368" s="10">
        <v>21.03</v>
      </c>
      <c r="S368" s="10">
        <v>5.8510000000000003E-3</v>
      </c>
      <c r="T368" s="10">
        <v>2.3140000000000001E-2</v>
      </c>
      <c r="U368" s="10">
        <v>2.5440000000000001E-2</v>
      </c>
      <c r="V368" s="10">
        <v>8.3599999999999907E-3</v>
      </c>
      <c r="W368" s="10">
        <v>1.8419999999999902E-2</v>
      </c>
      <c r="X368" s="10">
        <v>2.918E-3</v>
      </c>
      <c r="Y368" s="10">
        <v>14.98</v>
      </c>
      <c r="Z368" s="10">
        <v>17.1299999999999</v>
      </c>
      <c r="AA368" s="10">
        <v>101.099999999999</v>
      </c>
      <c r="AB368" s="10">
        <v>686.6</v>
      </c>
      <c r="AC368" s="10">
        <v>0.1376</v>
      </c>
      <c r="AD368" s="10">
        <v>0.26979999999999899</v>
      </c>
      <c r="AE368" s="10">
        <v>0.25769999999999899</v>
      </c>
      <c r="AF368" s="10">
        <v>9.0899999999999898E-2</v>
      </c>
      <c r="AG368" s="10">
        <v>0.306499999999999</v>
      </c>
      <c r="AH368">
        <v>8.1769999999999898E-2</v>
      </c>
    </row>
    <row r="369" spans="3:34">
      <c r="C369" s="11" t="s">
        <v>656</v>
      </c>
      <c r="D369" s="10" t="s">
        <v>0</v>
      </c>
      <c r="E369" s="10">
        <v>13.71</v>
      </c>
      <c r="F369" s="10">
        <v>20.579999999999899</v>
      </c>
      <c r="G369" s="10">
        <v>120.8</v>
      </c>
      <c r="H369" s="10">
        <v>1052</v>
      </c>
      <c r="I369" s="10">
        <v>0.10680000000000001</v>
      </c>
      <c r="J369" s="10">
        <v>0.124799999999999</v>
      </c>
      <c r="K369" s="10">
        <v>0.15690000000000001</v>
      </c>
      <c r="L369" s="10">
        <v>9.45099999999999E-2</v>
      </c>
      <c r="M369" s="10">
        <v>0.186</v>
      </c>
      <c r="N369" s="10">
        <v>5.94099999999999E-2</v>
      </c>
      <c r="O369" s="10">
        <v>0.54490000000000005</v>
      </c>
      <c r="P369" s="10">
        <v>0.92249999999999899</v>
      </c>
      <c r="Q369" s="10">
        <v>3.218</v>
      </c>
      <c r="R369" s="10">
        <v>67.3599999999999</v>
      </c>
      <c r="S369" s="10">
        <v>6.1760000000000001E-3</v>
      </c>
      <c r="T369" s="10">
        <v>1.8769999999999901E-2</v>
      </c>
      <c r="U369" s="10">
        <v>2.913E-2</v>
      </c>
      <c r="V369" s="10">
        <v>1.0460000000000001E-2</v>
      </c>
      <c r="W369" s="10">
        <v>1.559E-2</v>
      </c>
      <c r="X369" s="10">
        <v>2.725E-3</v>
      </c>
      <c r="Y369" s="10">
        <v>21.8599999999999</v>
      </c>
      <c r="Z369" s="10">
        <v>26.1999999999999</v>
      </c>
      <c r="AA369" s="10">
        <v>142.19999999999899</v>
      </c>
      <c r="AB369" s="10">
        <v>1493</v>
      </c>
      <c r="AC369" s="10">
        <v>0.1492</v>
      </c>
      <c r="AD369" s="10">
        <v>0.25359999999999899</v>
      </c>
      <c r="AE369" s="10">
        <v>0.37590000000000001</v>
      </c>
      <c r="AF369" s="10">
        <v>0.151</v>
      </c>
      <c r="AG369" s="10">
        <v>0.30740000000000001</v>
      </c>
      <c r="AH369">
        <v>7.8630000000000005E-2</v>
      </c>
    </row>
    <row r="370" spans="3:34">
      <c r="C370" s="11" t="s">
        <v>565</v>
      </c>
      <c r="D370" s="10" t="s">
        <v>1</v>
      </c>
      <c r="E370" s="10">
        <v>13.71</v>
      </c>
      <c r="F370" s="10">
        <v>21.28</v>
      </c>
      <c r="G370" s="10">
        <v>63.189999999999898</v>
      </c>
      <c r="H370" s="10">
        <v>307.3</v>
      </c>
      <c r="I370" s="10">
        <v>8.1170000000000006E-2</v>
      </c>
      <c r="J370" s="10">
        <v>3.9120000000000002E-2</v>
      </c>
      <c r="K370" s="10">
        <v>2.47E-3</v>
      </c>
      <c r="L370" s="10">
        <v>5.1590000000000004E-3</v>
      </c>
      <c r="M370" s="10">
        <v>0.16300000000000001</v>
      </c>
      <c r="N370" s="10">
        <v>6.4390000000000003E-2</v>
      </c>
      <c r="O370" s="10">
        <v>0.18509999999999899</v>
      </c>
      <c r="P370" s="10">
        <v>1.341</v>
      </c>
      <c r="Q370" s="10">
        <v>1.1839999999999899</v>
      </c>
      <c r="R370" s="10">
        <v>11.6</v>
      </c>
      <c r="S370" s="10">
        <v>5.7239999999999904E-3</v>
      </c>
      <c r="T370" s="10">
        <v>5.6969999999999903E-3</v>
      </c>
      <c r="U370" s="10">
        <v>2.0739999999999899E-3</v>
      </c>
      <c r="V370" s="10">
        <v>3.5270000000000002E-3</v>
      </c>
      <c r="W370" s="10">
        <v>1.44499999999999E-2</v>
      </c>
      <c r="X370" s="10">
        <v>2.41099999999999E-3</v>
      </c>
      <c r="Y370" s="10">
        <v>11.1099999999999</v>
      </c>
      <c r="Z370" s="10">
        <v>28.94</v>
      </c>
      <c r="AA370" s="10">
        <v>69.92</v>
      </c>
      <c r="AB370" s="10">
        <v>376.3</v>
      </c>
      <c r="AC370" s="10">
        <v>0.11260000000000001</v>
      </c>
      <c r="AD370" s="10">
        <v>7.0940000000000003E-2</v>
      </c>
      <c r="AE370" s="10">
        <v>1.235E-2</v>
      </c>
      <c r="AF370" s="10">
        <v>2.579E-2</v>
      </c>
      <c r="AG370" s="10">
        <v>0.2349</v>
      </c>
      <c r="AH370">
        <v>8.0610000000000001E-2</v>
      </c>
    </row>
    <row r="371" spans="3:34">
      <c r="C371" s="11" t="s">
        <v>611</v>
      </c>
      <c r="D371" s="10" t="s">
        <v>1</v>
      </c>
      <c r="E371" s="10">
        <v>13.71</v>
      </c>
      <c r="F371" s="10">
        <v>28.14</v>
      </c>
      <c r="G371" s="10">
        <v>76.849999999999895</v>
      </c>
      <c r="H371" s="10">
        <v>449.89999999999901</v>
      </c>
      <c r="I371" s="10">
        <v>8.7520000000000001E-2</v>
      </c>
      <c r="J371" s="10">
        <v>5.9999999999999901E-2</v>
      </c>
      <c r="K371" s="10">
        <v>2.367E-2</v>
      </c>
      <c r="L371" s="10">
        <v>2.3769999999999899E-2</v>
      </c>
      <c r="M371" s="10">
        <v>0.18540000000000001</v>
      </c>
      <c r="N371" s="10">
        <v>5.6980000000000003E-2</v>
      </c>
      <c r="O371" s="10">
        <v>0.60609999999999897</v>
      </c>
      <c r="P371" s="10">
        <v>2.64299999999999</v>
      </c>
      <c r="Q371" s="10">
        <v>4.0990000000000002</v>
      </c>
      <c r="R371" s="10">
        <v>44.96</v>
      </c>
      <c r="S371" s="10">
        <v>7.5170000000000002E-3</v>
      </c>
      <c r="T371" s="10">
        <v>1.555E-2</v>
      </c>
      <c r="U371" s="10">
        <v>1.465E-2</v>
      </c>
      <c r="V371" s="10">
        <v>1.183E-2</v>
      </c>
      <c r="W371" s="10">
        <v>2.0469999999999901E-2</v>
      </c>
      <c r="X371" s="10">
        <v>3.8830000000000002E-3</v>
      </c>
      <c r="Y371" s="10">
        <v>13.6</v>
      </c>
      <c r="Z371" s="10">
        <v>33.329999999999899</v>
      </c>
      <c r="AA371" s="10">
        <v>87.239999999999895</v>
      </c>
      <c r="AB371" s="10">
        <v>567.6</v>
      </c>
      <c r="AC371" s="10">
        <v>0.1041</v>
      </c>
      <c r="AD371" s="10">
        <v>9.7259999999999902E-2</v>
      </c>
      <c r="AE371" s="10">
        <v>5.52399999999999E-2</v>
      </c>
      <c r="AF371" s="10">
        <v>5.5469999999999901E-2</v>
      </c>
      <c r="AG371" s="10">
        <v>0.2404</v>
      </c>
      <c r="AH371">
        <v>6.6390000000000005E-2</v>
      </c>
    </row>
    <row r="372" spans="3:34">
      <c r="C372" s="11" t="s">
        <v>141</v>
      </c>
      <c r="D372" s="10" t="s">
        <v>0</v>
      </c>
      <c r="E372" s="10">
        <v>20.57</v>
      </c>
      <c r="F372" s="10">
        <v>17.77</v>
      </c>
      <c r="G372" s="10">
        <v>132.9</v>
      </c>
      <c r="H372" s="10">
        <v>1326</v>
      </c>
      <c r="I372" s="10">
        <v>8.4739999999999899E-2</v>
      </c>
      <c r="J372" s="10">
        <v>7.8640000000000002E-2</v>
      </c>
      <c r="K372" s="10">
        <v>8.6900000000000005E-2</v>
      </c>
      <c r="L372" s="10">
        <v>7.0169999999999899E-2</v>
      </c>
      <c r="M372" s="10">
        <v>0.1812</v>
      </c>
      <c r="N372" s="10">
        <v>5.6669999999999901E-2</v>
      </c>
      <c r="O372" s="10">
        <v>0.54349999999999898</v>
      </c>
      <c r="P372" s="10">
        <v>0.7339</v>
      </c>
      <c r="Q372" s="10">
        <v>3.3980000000000001</v>
      </c>
      <c r="R372" s="10">
        <v>74.079999999999899</v>
      </c>
      <c r="S372" s="10">
        <v>5.2249999999999901E-3</v>
      </c>
      <c r="T372" s="10">
        <v>1.308E-2</v>
      </c>
      <c r="U372" s="10">
        <v>1.8599999999999901E-2</v>
      </c>
      <c r="V372" s="10">
        <v>1.34E-2</v>
      </c>
      <c r="W372" s="10">
        <v>1.389E-2</v>
      </c>
      <c r="X372" s="10">
        <v>3.532E-3</v>
      </c>
      <c r="Y372" s="10">
        <v>24.989999999999899</v>
      </c>
      <c r="Z372" s="10">
        <v>23.41</v>
      </c>
      <c r="AA372" s="10">
        <v>158.80000000000001</v>
      </c>
      <c r="AB372" s="10">
        <v>1956</v>
      </c>
      <c r="AC372" s="10">
        <v>0.12379999999999899</v>
      </c>
      <c r="AD372" s="10">
        <v>0.18659999999999899</v>
      </c>
      <c r="AE372" s="10">
        <v>0.24160000000000001</v>
      </c>
      <c r="AF372" s="10">
        <v>0.186</v>
      </c>
      <c r="AG372" s="10">
        <v>0.27500000000000002</v>
      </c>
      <c r="AH372">
        <v>8.9020000000000002E-2</v>
      </c>
    </row>
    <row r="373" spans="3:34">
      <c r="C373" s="11" t="s">
        <v>687</v>
      </c>
      <c r="D373" s="10" t="s">
        <v>1</v>
      </c>
      <c r="E373" s="10">
        <v>13.71</v>
      </c>
      <c r="F373" s="10">
        <v>16.579999999999899</v>
      </c>
      <c r="G373" s="10">
        <v>65.849999999999895</v>
      </c>
      <c r="H373" s="10">
        <v>320.8</v>
      </c>
      <c r="I373" s="10">
        <v>8.8770000000000002E-2</v>
      </c>
      <c r="J373" s="10">
        <v>8.0659999999999898E-2</v>
      </c>
      <c r="K373" s="10">
        <v>4.3580000000000001E-2</v>
      </c>
      <c r="L373" s="10">
        <v>2.4379999999999898E-2</v>
      </c>
      <c r="M373" s="10">
        <v>0.16689999999999899</v>
      </c>
      <c r="N373" s="10">
        <v>6.7140000000000005E-2</v>
      </c>
      <c r="O373" s="10">
        <v>0.1144</v>
      </c>
      <c r="P373" s="10">
        <v>1.0229999999999899</v>
      </c>
      <c r="Q373" s="10">
        <v>0.98870000000000002</v>
      </c>
      <c r="R373" s="10">
        <v>7.3259999999999899</v>
      </c>
      <c r="S373" s="10">
        <v>1.027E-2</v>
      </c>
      <c r="T373" s="10">
        <v>3.0839999999999899E-2</v>
      </c>
      <c r="U373" s="10">
        <v>2.613E-2</v>
      </c>
      <c r="V373" s="10">
        <v>1.0970000000000001E-2</v>
      </c>
      <c r="W373" s="10">
        <v>2.2769999999999901E-2</v>
      </c>
      <c r="X373" s="10">
        <v>5.8900000000000003E-3</v>
      </c>
      <c r="Y373" s="10">
        <v>10.83</v>
      </c>
      <c r="Z373" s="10">
        <v>22.0399999999999</v>
      </c>
      <c r="AA373" s="10">
        <v>71.079999999999899</v>
      </c>
      <c r="AB373" s="10">
        <v>357.39999999999901</v>
      </c>
      <c r="AC373" s="10">
        <v>0.14610000000000001</v>
      </c>
      <c r="AD373" s="10">
        <v>0.22459999999999899</v>
      </c>
      <c r="AE373" s="10">
        <v>0.17829999999999899</v>
      </c>
      <c r="AF373" s="10">
        <v>8.3330000000000001E-2</v>
      </c>
      <c r="AG373" s="10">
        <v>0.26910000000000001</v>
      </c>
      <c r="AH373">
        <v>9.4789999999999902E-2</v>
      </c>
    </row>
    <row r="374" spans="3:34">
      <c r="C374" s="11" t="s">
        <v>323</v>
      </c>
      <c r="D374" s="10" t="s">
        <v>1</v>
      </c>
      <c r="E374" s="10">
        <v>13.71</v>
      </c>
      <c r="F374" s="10">
        <v>14.92</v>
      </c>
      <c r="G374" s="10">
        <v>73.53</v>
      </c>
      <c r="H374" s="10">
        <v>402</v>
      </c>
      <c r="I374" s="10">
        <v>9.0590000000000004E-2</v>
      </c>
      <c r="J374" s="10">
        <v>8.15499999999999E-2</v>
      </c>
      <c r="K374" s="10">
        <v>6.18099999999999E-2</v>
      </c>
      <c r="L374" s="10">
        <v>2.3609999999999898E-2</v>
      </c>
      <c r="M374" s="10">
        <v>0.1167</v>
      </c>
      <c r="N374" s="10">
        <v>6.2170000000000003E-2</v>
      </c>
      <c r="O374" s="10">
        <v>0.33439999999999898</v>
      </c>
      <c r="P374" s="10">
        <v>1.1080000000000001</v>
      </c>
      <c r="Q374" s="10">
        <v>1.9019999999999899</v>
      </c>
      <c r="R374" s="10">
        <v>22.77</v>
      </c>
      <c r="S374" s="10">
        <v>7.3559999999999902E-3</v>
      </c>
      <c r="T374" s="10">
        <v>3.7280000000000001E-2</v>
      </c>
      <c r="U374" s="10">
        <v>5.9150000000000001E-2</v>
      </c>
      <c r="V374" s="10">
        <v>1.712E-2</v>
      </c>
      <c r="W374" s="10">
        <v>2.1649999999999898E-2</v>
      </c>
      <c r="X374" s="10">
        <v>4.7840000000000001E-3</v>
      </c>
      <c r="Y374" s="10">
        <v>12.3699999999999</v>
      </c>
      <c r="Z374" s="10">
        <v>17.6999999999999</v>
      </c>
      <c r="AA374" s="10">
        <v>79.12</v>
      </c>
      <c r="AB374" s="10">
        <v>467.19999999999902</v>
      </c>
      <c r="AC374" s="10">
        <v>0.11210000000000001</v>
      </c>
      <c r="AD374" s="10">
        <v>0.161</v>
      </c>
      <c r="AE374" s="10">
        <v>0.1648</v>
      </c>
      <c r="AF374" s="10">
        <v>6.2960000000000002E-2</v>
      </c>
      <c r="AG374" s="10">
        <v>0.18110000000000001</v>
      </c>
      <c r="AH374">
        <v>7.4270000000000003E-2</v>
      </c>
    </row>
    <row r="375" spans="3:34">
      <c r="C375" s="11" t="s">
        <v>375</v>
      </c>
      <c r="D375" s="10" t="s">
        <v>1</v>
      </c>
      <c r="E375" s="10">
        <v>13.71</v>
      </c>
      <c r="F375" s="10">
        <v>21.25</v>
      </c>
      <c r="G375" s="10">
        <v>89.79</v>
      </c>
      <c r="H375" s="10">
        <v>603.39999999999895</v>
      </c>
      <c r="I375" s="10">
        <v>9.0700000000000003E-2</v>
      </c>
      <c r="J375" s="10">
        <v>6.9449999999999901E-2</v>
      </c>
      <c r="K375" s="10">
        <v>1.46199999999999E-2</v>
      </c>
      <c r="L375" s="10">
        <v>1.8960000000000001E-2</v>
      </c>
      <c r="M375" s="10">
        <v>0.1517</v>
      </c>
      <c r="N375" s="10">
        <v>5.8349999999999902E-2</v>
      </c>
      <c r="O375" s="10">
        <v>0.25890000000000002</v>
      </c>
      <c r="P375" s="10">
        <v>1.5029999999999899</v>
      </c>
      <c r="Q375" s="10">
        <v>1.667</v>
      </c>
      <c r="R375" s="10">
        <v>22.07</v>
      </c>
      <c r="S375" s="10">
        <v>7.3889999999999902E-3</v>
      </c>
      <c r="T375" s="10">
        <v>1.383E-2</v>
      </c>
      <c r="U375" s="10">
        <v>7.3020000000000003E-3</v>
      </c>
      <c r="V375" s="10">
        <v>1.004E-2</v>
      </c>
      <c r="W375" s="10">
        <v>1.2630000000000001E-2</v>
      </c>
      <c r="X375" s="10">
        <v>2.9250000000000001E-3</v>
      </c>
      <c r="Y375" s="10">
        <v>15.33</v>
      </c>
      <c r="Z375" s="10">
        <v>30.28</v>
      </c>
      <c r="AA375" s="10">
        <v>98.269999999999897</v>
      </c>
      <c r="AB375" s="10">
        <v>715.5</v>
      </c>
      <c r="AC375" s="10">
        <v>0.12870000000000001</v>
      </c>
      <c r="AD375" s="10">
        <v>0.15129999999999899</v>
      </c>
      <c r="AE375" s="10">
        <v>6.23099999999999E-2</v>
      </c>
      <c r="AF375" s="10">
        <v>7.9630000000000006E-2</v>
      </c>
      <c r="AG375" s="10">
        <v>0.22259999999999899</v>
      </c>
      <c r="AH375">
        <v>7.6170000000000002E-2</v>
      </c>
    </row>
    <row r="376" spans="3:34">
      <c r="C376" s="11" t="s">
        <v>654</v>
      </c>
      <c r="D376" s="10" t="s">
        <v>0</v>
      </c>
      <c r="E376" s="10">
        <v>13.71</v>
      </c>
      <c r="F376" s="10">
        <v>19.07</v>
      </c>
      <c r="G376" s="10">
        <v>97.26</v>
      </c>
      <c r="H376" s="10">
        <v>701.89999999999895</v>
      </c>
      <c r="I376" s="10">
        <v>9.2149999999999899E-2</v>
      </c>
      <c r="J376" s="10">
        <v>8.5970000000000005E-2</v>
      </c>
      <c r="K376" s="10">
        <v>7.4859999999999899E-2</v>
      </c>
      <c r="L376" s="10">
        <v>4.335E-2</v>
      </c>
      <c r="M376" s="10">
        <v>0.15609999999999899</v>
      </c>
      <c r="N376" s="10">
        <v>5.9150000000000001E-2</v>
      </c>
      <c r="O376" s="10">
        <v>0.38600000000000001</v>
      </c>
      <c r="P376" s="10">
        <v>1.198</v>
      </c>
      <c r="Q376" s="10">
        <v>2.6299999999999901</v>
      </c>
      <c r="R376" s="10">
        <v>38.49</v>
      </c>
      <c r="S376" s="10">
        <v>4.9519999999999903E-3</v>
      </c>
      <c r="T376" s="10">
        <v>1.6299999999999901E-2</v>
      </c>
      <c r="U376" s="10">
        <v>2.9669999999999901E-2</v>
      </c>
      <c r="V376" s="10">
        <v>9.4230000000000008E-3</v>
      </c>
      <c r="W376" s="10">
        <v>1.1520000000000001E-2</v>
      </c>
      <c r="X376" s="10">
        <v>1.7179999999999899E-3</v>
      </c>
      <c r="Y376" s="10">
        <v>17.579999999999899</v>
      </c>
      <c r="Z376" s="10">
        <v>28.059999999999899</v>
      </c>
      <c r="AA376" s="10">
        <v>113.8</v>
      </c>
      <c r="AB376" s="10">
        <v>967</v>
      </c>
      <c r="AC376" s="10">
        <v>0.1246</v>
      </c>
      <c r="AD376" s="10">
        <v>0.21010000000000001</v>
      </c>
      <c r="AE376" s="10">
        <v>0.28660000000000002</v>
      </c>
      <c r="AF376" s="10">
        <v>0.112</v>
      </c>
      <c r="AG376" s="10">
        <v>0.22819999999999899</v>
      </c>
      <c r="AH376">
        <v>6.9540000000000005E-2</v>
      </c>
    </row>
    <row r="377" spans="3:34">
      <c r="C377" s="11" t="s">
        <v>625</v>
      </c>
      <c r="D377" s="10" t="s">
        <v>1</v>
      </c>
      <c r="E377" s="10">
        <v>13.71</v>
      </c>
      <c r="F377" s="10">
        <v>16.41</v>
      </c>
      <c r="G377" s="10">
        <v>82.849999999999895</v>
      </c>
      <c r="H377" s="10">
        <v>476.69999999999902</v>
      </c>
      <c r="I377" s="10">
        <v>9.5140000000000002E-2</v>
      </c>
      <c r="J377" s="10">
        <v>0.15110000000000001</v>
      </c>
      <c r="K377" s="10">
        <v>0.15440000000000001</v>
      </c>
      <c r="L377" s="10">
        <v>4.8460000000000003E-2</v>
      </c>
      <c r="M377" s="10">
        <v>0.2082</v>
      </c>
      <c r="N377" s="10">
        <v>7.3249999999999899E-2</v>
      </c>
      <c r="O377" s="10">
        <v>0.3921</v>
      </c>
      <c r="P377" s="10">
        <v>1.2070000000000001</v>
      </c>
      <c r="Q377" s="10">
        <v>5.0039999999999898</v>
      </c>
      <c r="R377" s="10">
        <v>30.19</v>
      </c>
      <c r="S377" s="10">
        <v>7.234E-3</v>
      </c>
      <c r="T377" s="10">
        <v>7.4709999999999901E-2</v>
      </c>
      <c r="U377" s="10">
        <v>0.1114</v>
      </c>
      <c r="V377" s="10">
        <v>2.7210000000000002E-2</v>
      </c>
      <c r="W377" s="10">
        <v>3.2320000000000002E-2</v>
      </c>
      <c r="X377" s="10">
        <v>9.6270000000000001E-3</v>
      </c>
      <c r="Y377" s="10">
        <v>13.7799999999999</v>
      </c>
      <c r="Z377" s="10">
        <v>21.03</v>
      </c>
      <c r="AA377" s="10">
        <v>97.819999999999894</v>
      </c>
      <c r="AB377" s="10">
        <v>580.6</v>
      </c>
      <c r="AC377" s="10">
        <v>0.11749999999999899</v>
      </c>
      <c r="AD377" s="10">
        <v>0.40610000000000002</v>
      </c>
      <c r="AE377" s="10">
        <v>0.48959999999999898</v>
      </c>
      <c r="AF377" s="10">
        <v>0.13420000000000001</v>
      </c>
      <c r="AG377" s="10">
        <v>0.3231</v>
      </c>
      <c r="AH377">
        <v>0.10340000000000001</v>
      </c>
    </row>
    <row r="378" spans="3:34">
      <c r="C378" s="11" t="s">
        <v>368</v>
      </c>
      <c r="D378" s="10" t="s">
        <v>1</v>
      </c>
      <c r="E378" s="10">
        <v>13.71</v>
      </c>
      <c r="F378" s="10">
        <v>23.969999999999899</v>
      </c>
      <c r="G378" s="10">
        <v>81.349999999999895</v>
      </c>
      <c r="H378" s="10">
        <v>496.39999999999901</v>
      </c>
      <c r="I378" s="10">
        <v>7.9030000000000003E-2</v>
      </c>
      <c r="J378" s="10">
        <v>7.5289999999999899E-2</v>
      </c>
      <c r="K378" s="10">
        <v>5.4379999999999901E-2</v>
      </c>
      <c r="L378" s="10">
        <v>2.036E-2</v>
      </c>
      <c r="M378" s="10">
        <v>0.15140000000000001</v>
      </c>
      <c r="N378" s="10">
        <v>6.019E-2</v>
      </c>
      <c r="O378" s="10">
        <v>0.24490000000000001</v>
      </c>
      <c r="P378" s="10">
        <v>1.0660000000000001</v>
      </c>
      <c r="Q378" s="10">
        <v>1.4450000000000001</v>
      </c>
      <c r="R378" s="10">
        <v>18.510000000000002</v>
      </c>
      <c r="S378" s="10">
        <v>5.169E-3</v>
      </c>
      <c r="T378" s="10">
        <v>2.2939999999999901E-2</v>
      </c>
      <c r="U378" s="10">
        <v>3.0159999999999899E-2</v>
      </c>
      <c r="V378" s="10">
        <v>8.6910000000000008E-3</v>
      </c>
      <c r="W378" s="10">
        <v>1.3650000000000001E-2</v>
      </c>
      <c r="X378" s="10">
        <v>3.4069999999999899E-3</v>
      </c>
      <c r="Y378" s="10">
        <v>14.1999999999999</v>
      </c>
      <c r="Z378" s="10">
        <v>31.309999999999899</v>
      </c>
      <c r="AA378" s="10">
        <v>90.67</v>
      </c>
      <c r="AB378" s="10">
        <v>624</v>
      </c>
      <c r="AC378" s="10">
        <v>0.1227</v>
      </c>
      <c r="AD378" s="10">
        <v>0.34539999999999899</v>
      </c>
      <c r="AE378" s="10">
        <v>0.3911</v>
      </c>
      <c r="AF378" s="10">
        <v>0.11799999999999899</v>
      </c>
      <c r="AG378" s="10">
        <v>0.28260000000000002</v>
      </c>
      <c r="AH378">
        <v>9.5850000000000005E-2</v>
      </c>
    </row>
    <row r="379" spans="3:34">
      <c r="C379" s="11" t="s">
        <v>243</v>
      </c>
      <c r="D379" s="10" t="s">
        <v>1</v>
      </c>
      <c r="E379" s="10">
        <v>13.71</v>
      </c>
      <c r="F379" s="10">
        <v>19.399999999999899</v>
      </c>
      <c r="G379" s="10">
        <v>63.95</v>
      </c>
      <c r="H379" s="10">
        <v>298.3</v>
      </c>
      <c r="I379" s="10">
        <v>0.10050000000000001</v>
      </c>
      <c r="J379" s="10">
        <v>9.6970000000000001E-2</v>
      </c>
      <c r="K379" s="10">
        <v>6.15399999999999E-2</v>
      </c>
      <c r="L379" s="10">
        <v>3.0290000000000001E-2</v>
      </c>
      <c r="M379" s="10">
        <v>0.19450000000000001</v>
      </c>
      <c r="N379" s="10">
        <v>6.3219999999999901E-2</v>
      </c>
      <c r="O379" s="10">
        <v>0.18029999999999899</v>
      </c>
      <c r="P379" s="10">
        <v>1.222</v>
      </c>
      <c r="Q379" s="10">
        <v>1.528</v>
      </c>
      <c r="R379" s="10">
        <v>11.77</v>
      </c>
      <c r="S379" s="10">
        <v>9.0580000000000001E-3</v>
      </c>
      <c r="T379" s="10">
        <v>2.196E-2</v>
      </c>
      <c r="U379" s="10">
        <v>3.0290000000000001E-2</v>
      </c>
      <c r="V379" s="10">
        <v>1.112E-2</v>
      </c>
      <c r="W379" s="10">
        <v>1.609E-2</v>
      </c>
      <c r="X379" s="10">
        <v>3.5699999999999898E-3</v>
      </c>
      <c r="Y379" s="10">
        <v>10.76</v>
      </c>
      <c r="Z379" s="10">
        <v>26.829999999999899</v>
      </c>
      <c r="AA379" s="10">
        <v>72.219999999999899</v>
      </c>
      <c r="AB379" s="10">
        <v>361.19999999999902</v>
      </c>
      <c r="AC379" s="10">
        <v>0.15590000000000001</v>
      </c>
      <c r="AD379" s="10">
        <v>0.23019999999999899</v>
      </c>
      <c r="AE379" s="10">
        <v>0.26440000000000002</v>
      </c>
      <c r="AF379" s="10">
        <v>9.7489999999999896E-2</v>
      </c>
      <c r="AG379" s="10">
        <v>0.26219999999999899</v>
      </c>
      <c r="AH379">
        <v>8.4900000000000003E-2</v>
      </c>
    </row>
    <row r="380" spans="3:34">
      <c r="C380" s="11" t="s">
        <v>302</v>
      </c>
      <c r="D380" s="10" t="s">
        <v>0</v>
      </c>
      <c r="E380" s="10">
        <v>13.71</v>
      </c>
      <c r="F380" s="10">
        <v>18.149999999999899</v>
      </c>
      <c r="G380" s="10">
        <v>130.69999999999899</v>
      </c>
      <c r="H380" s="10">
        <v>1214</v>
      </c>
      <c r="I380" s="10">
        <v>0.112</v>
      </c>
      <c r="J380" s="10">
        <v>0.1666</v>
      </c>
      <c r="K380" s="10">
        <v>0.25080000000000002</v>
      </c>
      <c r="L380" s="10">
        <v>0.12859999999999899</v>
      </c>
      <c r="M380" s="10">
        <v>0.20269999999999899</v>
      </c>
      <c r="N380" s="10">
        <v>6.0819999999999902E-2</v>
      </c>
      <c r="O380" s="10">
        <v>0.73640000000000005</v>
      </c>
      <c r="P380" s="10">
        <v>1.048</v>
      </c>
      <c r="Q380" s="10">
        <v>4.79199999999999</v>
      </c>
      <c r="R380" s="10">
        <v>97.069999999999894</v>
      </c>
      <c r="S380" s="10">
        <v>4.0569999999999903E-3</v>
      </c>
      <c r="T380" s="10">
        <v>2.2769999999999901E-2</v>
      </c>
      <c r="U380" s="10">
        <v>4.0289999999999902E-2</v>
      </c>
      <c r="V380" s="10">
        <v>1.303E-2</v>
      </c>
      <c r="W380" s="10">
        <v>1.686E-2</v>
      </c>
      <c r="X380" s="10">
        <v>3.3180000000000002E-3</v>
      </c>
      <c r="Y380" s="10">
        <v>26.73</v>
      </c>
      <c r="Z380" s="10">
        <v>26.39</v>
      </c>
      <c r="AA380" s="10">
        <v>174.9</v>
      </c>
      <c r="AB380" s="10">
        <v>2232</v>
      </c>
      <c r="AC380" s="10">
        <v>0.14380000000000001</v>
      </c>
      <c r="AD380" s="10">
        <v>0.3846</v>
      </c>
      <c r="AE380" s="10">
        <v>0.68100000000000005</v>
      </c>
      <c r="AF380" s="10">
        <v>0.22470000000000001</v>
      </c>
      <c r="AG380" s="10">
        <v>0.36430000000000001</v>
      </c>
      <c r="AH380">
        <v>9.2230000000000006E-2</v>
      </c>
    </row>
    <row r="381" spans="3:34">
      <c r="C381" s="11" t="s">
        <v>550</v>
      </c>
      <c r="D381" s="10" t="s">
        <v>1</v>
      </c>
      <c r="E381" s="10">
        <v>13.71</v>
      </c>
      <c r="F381" s="10">
        <v>17.57</v>
      </c>
      <c r="G381" s="10">
        <v>72.489999999999895</v>
      </c>
      <c r="H381" s="10">
        <v>399.8</v>
      </c>
      <c r="I381" s="10">
        <v>8.8580000000000006E-2</v>
      </c>
      <c r="J381" s="10">
        <v>5.31299999999999E-2</v>
      </c>
      <c r="K381" s="10">
        <v>2.7830000000000001E-2</v>
      </c>
      <c r="L381" s="10">
        <v>2.1000000000000001E-2</v>
      </c>
      <c r="M381" s="10">
        <v>0.16009999999999899</v>
      </c>
      <c r="N381" s="10">
        <v>5.9130000000000002E-2</v>
      </c>
      <c r="O381" s="10">
        <v>0.19159999999999899</v>
      </c>
      <c r="P381" s="10">
        <v>1.5549999999999899</v>
      </c>
      <c r="Q381" s="10">
        <v>1.359</v>
      </c>
      <c r="R381" s="10">
        <v>13.66</v>
      </c>
      <c r="S381" s="10">
        <v>5.391E-3</v>
      </c>
      <c r="T381" s="10">
        <v>9.9469999999999906E-3</v>
      </c>
      <c r="U381" s="10">
        <v>1.163E-2</v>
      </c>
      <c r="V381" s="10">
        <v>5.8719999999999901E-3</v>
      </c>
      <c r="W381" s="10">
        <v>1.341E-2</v>
      </c>
      <c r="X381" s="10">
        <v>1.6590000000000001E-3</v>
      </c>
      <c r="Y381" s="10">
        <v>13.05</v>
      </c>
      <c r="Z381" s="10">
        <v>36.32</v>
      </c>
      <c r="AA381" s="10">
        <v>85.069999999999894</v>
      </c>
      <c r="AB381" s="10">
        <v>521.29999999999905</v>
      </c>
      <c r="AC381" s="10">
        <v>0.14530000000000001</v>
      </c>
      <c r="AD381" s="10">
        <v>0.16220000000000001</v>
      </c>
      <c r="AE381" s="10">
        <v>0.18110000000000001</v>
      </c>
      <c r="AF381" s="10">
        <v>8.6980000000000002E-2</v>
      </c>
      <c r="AG381" s="10">
        <v>0.29730000000000001</v>
      </c>
      <c r="AH381">
        <v>7.7450000000000005E-2</v>
      </c>
    </row>
    <row r="382" spans="3:34">
      <c r="C382" s="11" t="s">
        <v>599</v>
      </c>
      <c r="D382" s="10" t="s">
        <v>1</v>
      </c>
      <c r="E382" s="10">
        <v>13.71</v>
      </c>
      <c r="F382" s="10">
        <v>28.1999999999999</v>
      </c>
      <c r="G382" s="10">
        <v>61.68</v>
      </c>
      <c r="H382" s="10">
        <v>290.89999999999901</v>
      </c>
      <c r="I382" s="10">
        <v>7.9839999999999897E-2</v>
      </c>
      <c r="J382" s="10">
        <v>4.6260000000000003E-2</v>
      </c>
      <c r="K382" s="10">
        <v>1.541E-2</v>
      </c>
      <c r="L382" s="10">
        <v>1.043E-2</v>
      </c>
      <c r="M382" s="10">
        <v>0.16209999999999899</v>
      </c>
      <c r="N382" s="10">
        <v>5.9520000000000003E-2</v>
      </c>
      <c r="O382" s="10">
        <v>0.17810000000000001</v>
      </c>
      <c r="P382" s="10">
        <v>1.6870000000000001</v>
      </c>
      <c r="Q382" s="10">
        <v>1.2430000000000001</v>
      </c>
      <c r="R382" s="10">
        <v>11.2799999999999</v>
      </c>
      <c r="S382" s="10">
        <v>6.5880000000000001E-3</v>
      </c>
      <c r="T382" s="10">
        <v>1.2699999999999901E-2</v>
      </c>
      <c r="U382" s="10">
        <v>1.4500000000000001E-2</v>
      </c>
      <c r="V382" s="10">
        <v>6.1040000000000001E-3</v>
      </c>
      <c r="W382" s="10">
        <v>1.5740000000000001E-2</v>
      </c>
      <c r="X382" s="10">
        <v>2.2680000000000001E-3</v>
      </c>
      <c r="Y382" s="10">
        <v>10.67</v>
      </c>
      <c r="Z382" s="10">
        <v>36.92</v>
      </c>
      <c r="AA382" s="10">
        <v>68.03</v>
      </c>
      <c r="AB382" s="10">
        <v>349.89999999999901</v>
      </c>
      <c r="AC382" s="10">
        <v>0.111</v>
      </c>
      <c r="AD382" s="10">
        <v>0.1109</v>
      </c>
      <c r="AE382" s="10">
        <v>7.1900000000000006E-2</v>
      </c>
      <c r="AF382" s="10">
        <v>4.8660000000000002E-2</v>
      </c>
      <c r="AG382" s="10">
        <v>0.2321</v>
      </c>
      <c r="AH382">
        <v>7.2109999999999896E-2</v>
      </c>
    </row>
    <row r="383" spans="3:34">
      <c r="C383" s="11" t="s">
        <v>429</v>
      </c>
      <c r="D383" s="10" t="s">
        <v>1</v>
      </c>
      <c r="E383" s="10">
        <v>13.71</v>
      </c>
      <c r="F383" s="10">
        <v>18.89</v>
      </c>
      <c r="G383" s="10">
        <v>72.17</v>
      </c>
      <c r="H383" s="10">
        <v>396</v>
      </c>
      <c r="I383" s="10">
        <v>8.7129999999999902E-2</v>
      </c>
      <c r="J383" s="10">
        <v>5.008E-2</v>
      </c>
      <c r="K383" s="10">
        <v>2.3990000000000001E-2</v>
      </c>
      <c r="L383" s="10">
        <v>2.1729999999999899E-2</v>
      </c>
      <c r="M383" s="10">
        <v>0.20130000000000001</v>
      </c>
      <c r="N383" s="10">
        <v>5.9549999999999902E-2</v>
      </c>
      <c r="O383" s="10">
        <v>0.2656</v>
      </c>
      <c r="P383" s="10">
        <v>1.974</v>
      </c>
      <c r="Q383" s="10">
        <v>1.954</v>
      </c>
      <c r="R383" s="10">
        <v>17.489999999999899</v>
      </c>
      <c r="S383" s="10">
        <v>6.5380000000000004E-3</v>
      </c>
      <c r="T383" s="10">
        <v>1.3950000000000001E-2</v>
      </c>
      <c r="U383" s="10">
        <v>1.376E-2</v>
      </c>
      <c r="V383" s="10">
        <v>9.9240000000000005E-3</v>
      </c>
      <c r="W383" s="10">
        <v>3.4160000000000003E-2</v>
      </c>
      <c r="X383" s="10">
        <v>2.928E-3</v>
      </c>
      <c r="Y383" s="10">
        <v>12.3599999999999</v>
      </c>
      <c r="Z383" s="10">
        <v>26.14</v>
      </c>
      <c r="AA383" s="10">
        <v>79.290000000000006</v>
      </c>
      <c r="AB383" s="10">
        <v>459.3</v>
      </c>
      <c r="AC383" s="10">
        <v>0.1118</v>
      </c>
      <c r="AD383" s="10">
        <v>9.708E-2</v>
      </c>
      <c r="AE383" s="10">
        <v>7.5289999999999899E-2</v>
      </c>
      <c r="AF383" s="10">
        <v>6.2030000000000002E-2</v>
      </c>
      <c r="AG383" s="10">
        <v>0.32669999999999899</v>
      </c>
      <c r="AH383">
        <v>6.9940000000000002E-2</v>
      </c>
    </row>
    <row r="384" spans="3:34">
      <c r="C384" s="11" t="s">
        <v>346</v>
      </c>
      <c r="D384" s="10" t="s">
        <v>1</v>
      </c>
      <c r="E384" s="10">
        <v>13.71</v>
      </c>
      <c r="F384" s="10">
        <v>17.27</v>
      </c>
      <c r="G384" s="10">
        <v>62.92</v>
      </c>
      <c r="H384" s="10">
        <v>295.39999999999901</v>
      </c>
      <c r="I384" s="10">
        <v>0.1089</v>
      </c>
      <c r="J384" s="10">
        <v>7.2319999999999898E-2</v>
      </c>
      <c r="K384" s="10">
        <v>1.7559999999999899E-2</v>
      </c>
      <c r="L384" s="10">
        <v>1.9519999999999899E-2</v>
      </c>
      <c r="M384" s="10">
        <v>0.19339999999999899</v>
      </c>
      <c r="N384" s="10">
        <v>6.2850000000000003E-2</v>
      </c>
      <c r="O384" s="10">
        <v>0.2137</v>
      </c>
      <c r="P384" s="10">
        <v>1.3420000000000001</v>
      </c>
      <c r="Q384" s="10">
        <v>1.5169999999999899</v>
      </c>
      <c r="R384" s="10">
        <v>12.33</v>
      </c>
      <c r="S384" s="10">
        <v>9.7190000000000002E-3</v>
      </c>
      <c r="T384" s="10">
        <v>1.24899999999999E-2</v>
      </c>
      <c r="U384" s="10">
        <v>7.9749999999999908E-3</v>
      </c>
      <c r="V384" s="10">
        <v>7.5269999999999903E-3</v>
      </c>
      <c r="W384" s="10">
        <v>2.2100000000000002E-2</v>
      </c>
      <c r="X384" s="10">
        <v>2.4719999999999898E-3</v>
      </c>
      <c r="Y384" s="10">
        <v>10.42</v>
      </c>
      <c r="Z384" s="10">
        <v>23.219999999999899</v>
      </c>
      <c r="AA384" s="10">
        <v>67.079999999999899</v>
      </c>
      <c r="AB384" s="10">
        <v>331.6</v>
      </c>
      <c r="AC384" s="10">
        <v>0.14149999999999899</v>
      </c>
      <c r="AD384" s="10">
        <v>0.12470000000000001</v>
      </c>
      <c r="AE384" s="10">
        <v>6.2129999999999901E-2</v>
      </c>
      <c r="AF384" s="10">
        <v>5.5879999999999902E-2</v>
      </c>
      <c r="AG384" s="10">
        <v>0.2989</v>
      </c>
      <c r="AH384">
        <v>7.3800000000000004E-2</v>
      </c>
    </row>
    <row r="385" spans="3:34">
      <c r="C385" s="11" t="s">
        <v>467</v>
      </c>
      <c r="D385" s="10" t="s">
        <v>1</v>
      </c>
      <c r="E385" s="10">
        <v>13.71</v>
      </c>
      <c r="F385" s="10">
        <v>17.93</v>
      </c>
      <c r="G385" s="10">
        <v>76.09</v>
      </c>
      <c r="H385" s="10">
        <v>446</v>
      </c>
      <c r="I385" s="10">
        <v>7.6829999999999898E-2</v>
      </c>
      <c r="J385" s="10">
        <v>3.8920000000000003E-2</v>
      </c>
      <c r="K385" s="10">
        <v>1.5460000000000001E-3</v>
      </c>
      <c r="L385" s="10">
        <v>5.5919999999999902E-3</v>
      </c>
      <c r="M385" s="10">
        <v>0.13819999999999899</v>
      </c>
      <c r="N385" s="10">
        <v>6.06999999999999E-2</v>
      </c>
      <c r="O385" s="10">
        <v>0.23350000000000001</v>
      </c>
      <c r="P385" s="10">
        <v>0.90969999999999895</v>
      </c>
      <c r="Q385" s="10">
        <v>1.466</v>
      </c>
      <c r="R385" s="10">
        <v>16.969999999999899</v>
      </c>
      <c r="S385" s="10">
        <v>4.7289999999999902E-3</v>
      </c>
      <c r="T385" s="10">
        <v>6.8869999999999904E-3</v>
      </c>
      <c r="U385" s="10">
        <v>1.18399999999999E-3</v>
      </c>
      <c r="V385" s="10">
        <v>3.9509999999999901E-3</v>
      </c>
      <c r="W385" s="10">
        <v>1.4659999999999901E-2</v>
      </c>
      <c r="X385" s="10">
        <v>1.755E-3</v>
      </c>
      <c r="Y385" s="10">
        <v>13.07</v>
      </c>
      <c r="Z385" s="10">
        <v>22.25</v>
      </c>
      <c r="AA385" s="10">
        <v>82.739999999999895</v>
      </c>
      <c r="AB385" s="10">
        <v>523.39999999999895</v>
      </c>
      <c r="AC385" s="10">
        <v>0.1013</v>
      </c>
      <c r="AD385" s="10">
        <v>7.3899999999999896E-2</v>
      </c>
      <c r="AE385" s="10">
        <v>7.7320000000000002E-3</v>
      </c>
      <c r="AF385" s="10">
        <v>2.7959999999999902E-2</v>
      </c>
      <c r="AG385" s="10">
        <v>0.21709999999999899</v>
      </c>
      <c r="AH385">
        <v>7.0370000000000002E-2</v>
      </c>
    </row>
    <row r="386" spans="3:34">
      <c r="C386" s="11" t="s">
        <v>489</v>
      </c>
      <c r="D386" s="10" t="s">
        <v>1</v>
      </c>
      <c r="E386" s="10">
        <v>13.71</v>
      </c>
      <c r="F386" s="10">
        <v>14.96</v>
      </c>
      <c r="G386" s="10">
        <v>77.23</v>
      </c>
      <c r="H386" s="10">
        <v>426.69999999999902</v>
      </c>
      <c r="I386" s="10">
        <v>0.1158</v>
      </c>
      <c r="J386" s="10">
        <v>0.1206</v>
      </c>
      <c r="K386" s="10">
        <v>1.171E-2</v>
      </c>
      <c r="L386" s="10">
        <v>1.787E-2</v>
      </c>
      <c r="M386" s="10">
        <v>0.24590000000000001</v>
      </c>
      <c r="N386" s="10">
        <v>6.5809999999999896E-2</v>
      </c>
      <c r="O386" s="10">
        <v>0.36099999999999899</v>
      </c>
      <c r="P386" s="10">
        <v>1.05</v>
      </c>
      <c r="Q386" s="10">
        <v>2.4550000000000001</v>
      </c>
      <c r="R386" s="10">
        <v>26.649999999999899</v>
      </c>
      <c r="S386" s="10">
        <v>5.7999999999999901E-3</v>
      </c>
      <c r="T386" s="10">
        <v>2.4170000000000001E-2</v>
      </c>
      <c r="U386" s="10">
        <v>7.816E-3</v>
      </c>
      <c r="V386" s="10">
        <v>1.052E-2</v>
      </c>
      <c r="W386" s="10">
        <v>2.734E-2</v>
      </c>
      <c r="X386" s="10">
        <v>3.114E-3</v>
      </c>
      <c r="Y386" s="10">
        <v>12.81</v>
      </c>
      <c r="Z386" s="10">
        <v>17.719999999999899</v>
      </c>
      <c r="AA386" s="10">
        <v>83.09</v>
      </c>
      <c r="AB386" s="10">
        <v>496.19999999999902</v>
      </c>
      <c r="AC386" s="10">
        <v>0.1293</v>
      </c>
      <c r="AD386" s="10">
        <v>0.1885</v>
      </c>
      <c r="AE386" s="10">
        <v>3.1220000000000001E-2</v>
      </c>
      <c r="AF386" s="10">
        <v>4.7660000000000001E-2</v>
      </c>
      <c r="AG386" s="10">
        <v>0.31240000000000001</v>
      </c>
      <c r="AH386">
        <v>7.5899999999999898E-2</v>
      </c>
    </row>
    <row r="387" spans="3:34">
      <c r="C387" s="11" t="s">
        <v>609</v>
      </c>
      <c r="D387" s="10" t="s">
        <v>1</v>
      </c>
      <c r="E387" s="10">
        <v>13.71</v>
      </c>
      <c r="F387" s="10">
        <v>18.18</v>
      </c>
      <c r="G387" s="10">
        <v>76.379999999999896</v>
      </c>
      <c r="H387" s="10">
        <v>408.8</v>
      </c>
      <c r="I387" s="10">
        <v>0.11749999999999899</v>
      </c>
      <c r="J387" s="10">
        <v>0.14829999999999899</v>
      </c>
      <c r="K387" s="10">
        <v>0.10199999999999899</v>
      </c>
      <c r="L387" s="10">
        <v>5.5640000000000002E-2</v>
      </c>
      <c r="M387" s="10">
        <v>0.19570000000000001</v>
      </c>
      <c r="N387" s="10">
        <v>7.2550000000000003E-2</v>
      </c>
      <c r="O387" s="10">
        <v>0.41010000000000002</v>
      </c>
      <c r="P387" s="10">
        <v>1.74</v>
      </c>
      <c r="Q387" s="10">
        <v>3.0270000000000001</v>
      </c>
      <c r="R387" s="10">
        <v>27.85</v>
      </c>
      <c r="S387" s="10">
        <v>1.4590000000000001E-2</v>
      </c>
      <c r="T387" s="10">
        <v>3.2059999999999901E-2</v>
      </c>
      <c r="U387" s="10">
        <v>4.9610000000000001E-2</v>
      </c>
      <c r="V387" s="10">
        <v>1.8409999999999899E-2</v>
      </c>
      <c r="W387" s="10">
        <v>1.8069999999999899E-2</v>
      </c>
      <c r="X387" s="10">
        <v>5.2170000000000003E-3</v>
      </c>
      <c r="Y387" s="10">
        <v>13.3599999999999</v>
      </c>
      <c r="Z387" s="10">
        <v>25.399999999999899</v>
      </c>
      <c r="AA387" s="10">
        <v>88.14</v>
      </c>
      <c r="AB387" s="10">
        <v>528.1</v>
      </c>
      <c r="AC387" s="10">
        <v>0.17799999999999899</v>
      </c>
      <c r="AD387" s="10">
        <v>0.2878</v>
      </c>
      <c r="AE387" s="10">
        <v>0.318599999999999</v>
      </c>
      <c r="AF387" s="10">
        <v>0.1416</v>
      </c>
      <c r="AG387" s="10">
        <v>0.26600000000000001</v>
      </c>
      <c r="AH387">
        <v>9.2700000000000005E-2</v>
      </c>
    </row>
    <row r="388" spans="3:34">
      <c r="C388" s="11" t="s">
        <v>596</v>
      </c>
      <c r="D388" s="10" t="s">
        <v>1</v>
      </c>
      <c r="E388" s="10">
        <v>13.71</v>
      </c>
      <c r="F388" s="10">
        <v>29.2899999999999</v>
      </c>
      <c r="G388" s="10">
        <v>74.87</v>
      </c>
      <c r="H388" s="10">
        <v>415.1</v>
      </c>
      <c r="I388" s="10">
        <v>9.357E-2</v>
      </c>
      <c r="J388" s="10">
        <v>8.57399999999999E-2</v>
      </c>
      <c r="K388" s="10">
        <v>7.15999999999999E-2</v>
      </c>
      <c r="L388" s="10">
        <v>2.017E-2</v>
      </c>
      <c r="M388" s="10">
        <v>0.1799</v>
      </c>
      <c r="N388" s="10">
        <v>6.166E-2</v>
      </c>
      <c r="O388" s="10">
        <v>0.3135</v>
      </c>
      <c r="P388" s="10">
        <v>2.4260000000000002</v>
      </c>
      <c r="Q388" s="10">
        <v>2.1499999999999901</v>
      </c>
      <c r="R388" s="10">
        <v>23.1299999999999</v>
      </c>
      <c r="S388" s="10">
        <v>9.861E-3</v>
      </c>
      <c r="T388" s="10">
        <v>2.418E-2</v>
      </c>
      <c r="U388" s="10">
        <v>4.2750000000000003E-2</v>
      </c>
      <c r="V388" s="10">
        <v>9.2149999999999906E-3</v>
      </c>
      <c r="W388" s="10">
        <v>2.4750000000000001E-2</v>
      </c>
      <c r="X388" s="10">
        <v>2.1280000000000001E-3</v>
      </c>
      <c r="Y388" s="10">
        <v>13.1199999999999</v>
      </c>
      <c r="Z388" s="10">
        <v>38.81</v>
      </c>
      <c r="AA388" s="10">
        <v>86.04</v>
      </c>
      <c r="AB388" s="10">
        <v>527.79999999999905</v>
      </c>
      <c r="AC388" s="10">
        <v>0.1406</v>
      </c>
      <c r="AD388" s="10">
        <v>0.2031</v>
      </c>
      <c r="AE388" s="10">
        <v>0.2923</v>
      </c>
      <c r="AF388" s="10">
        <v>6.8349999999999897E-2</v>
      </c>
      <c r="AG388" s="10">
        <v>0.28839999999999899</v>
      </c>
      <c r="AH388">
        <v>7.22E-2</v>
      </c>
    </row>
    <row r="389" spans="3:34">
      <c r="C389" s="11" t="s">
        <v>265</v>
      </c>
      <c r="D389" s="10" t="s">
        <v>1</v>
      </c>
      <c r="E389" s="10">
        <v>13.71</v>
      </c>
      <c r="F389" s="10">
        <v>17.21</v>
      </c>
      <c r="G389" s="10">
        <v>88.439999999999898</v>
      </c>
      <c r="H389" s="10">
        <v>588.70000000000005</v>
      </c>
      <c r="I389" s="10">
        <v>8.78499999999999E-2</v>
      </c>
      <c r="J389" s="10">
        <v>6.1359999999999901E-2</v>
      </c>
      <c r="K389" s="10">
        <v>1.4200000000000001E-2</v>
      </c>
      <c r="L389" s="10">
        <v>1.141E-2</v>
      </c>
      <c r="M389" s="10">
        <v>0.16139999999999899</v>
      </c>
      <c r="N389" s="10">
        <v>5.8900000000000001E-2</v>
      </c>
      <c r="O389" s="10">
        <v>0.2185</v>
      </c>
      <c r="P389" s="10">
        <v>0.85609999999999897</v>
      </c>
      <c r="Q389" s="10">
        <v>1.4950000000000001</v>
      </c>
      <c r="R389" s="10">
        <v>17.91</v>
      </c>
      <c r="S389" s="10">
        <v>4.5989999999999902E-3</v>
      </c>
      <c r="T389" s="10">
        <v>9.1690000000000001E-3</v>
      </c>
      <c r="U389" s="10">
        <v>9.1269999999999893E-3</v>
      </c>
      <c r="V389" s="10">
        <v>4.8139999999999902E-3</v>
      </c>
      <c r="W389" s="10">
        <v>1.247E-2</v>
      </c>
      <c r="X389" s="10">
        <v>1.7080000000000001E-3</v>
      </c>
      <c r="Y389" s="10">
        <v>15.49</v>
      </c>
      <c r="Z389" s="10">
        <v>23.579999999999899</v>
      </c>
      <c r="AA389" s="10">
        <v>100.3</v>
      </c>
      <c r="AB389" s="10">
        <v>725.89999999999895</v>
      </c>
      <c r="AC389" s="10">
        <v>0.1157</v>
      </c>
      <c r="AD389" s="10">
        <v>0.13500000000000001</v>
      </c>
      <c r="AE389" s="10">
        <v>8.115E-2</v>
      </c>
      <c r="AF389" s="10">
        <v>5.1040000000000002E-2</v>
      </c>
      <c r="AG389" s="10">
        <v>0.2364</v>
      </c>
      <c r="AH389">
        <v>7.1819999999999898E-2</v>
      </c>
    </row>
    <row r="390" spans="3:34">
      <c r="C390" s="11" t="s">
        <v>524</v>
      </c>
      <c r="D390" s="10" t="s">
        <v>1</v>
      </c>
      <c r="E390" s="10">
        <v>13.71</v>
      </c>
      <c r="F390" s="10">
        <v>13.72</v>
      </c>
      <c r="G390" s="10">
        <v>85.79</v>
      </c>
      <c r="H390" s="10">
        <v>541.79999999999905</v>
      </c>
      <c r="I390" s="10">
        <v>8.3629999999999899E-2</v>
      </c>
      <c r="J390" s="10">
        <v>8.5750000000000007E-2</v>
      </c>
      <c r="K390" s="10">
        <v>5.0770000000000003E-2</v>
      </c>
      <c r="L390" s="10">
        <v>2.8639999999999902E-2</v>
      </c>
      <c r="M390" s="10">
        <v>0.16170000000000001</v>
      </c>
      <c r="N390" s="10">
        <v>5.59399999999999E-2</v>
      </c>
      <c r="O390" s="10">
        <v>0.18329999999999899</v>
      </c>
      <c r="P390" s="10">
        <v>0.53080000000000005</v>
      </c>
      <c r="Q390" s="10">
        <v>1.5920000000000001</v>
      </c>
      <c r="R390" s="10">
        <v>15.26</v>
      </c>
      <c r="S390" s="10">
        <v>4.2709999999999901E-3</v>
      </c>
      <c r="T390" s="10">
        <v>2.0729999999999901E-2</v>
      </c>
      <c r="U390" s="10">
        <v>2.828E-2</v>
      </c>
      <c r="V390" s="10">
        <v>8.4679999999999894E-3</v>
      </c>
      <c r="W390" s="10">
        <v>1.461E-2</v>
      </c>
      <c r="X390" s="10">
        <v>2.6129999999999899E-3</v>
      </c>
      <c r="Y390" s="10">
        <v>14.24</v>
      </c>
      <c r="Z390" s="10">
        <v>17.37</v>
      </c>
      <c r="AA390" s="10">
        <v>96.59</v>
      </c>
      <c r="AB390" s="10">
        <v>623.70000000000005</v>
      </c>
      <c r="AC390" s="10">
        <v>0.1166</v>
      </c>
      <c r="AD390" s="10">
        <v>0.26850000000000002</v>
      </c>
      <c r="AE390" s="10">
        <v>0.28660000000000002</v>
      </c>
      <c r="AF390" s="10">
        <v>9.1730000000000006E-2</v>
      </c>
      <c r="AG390" s="10">
        <v>0.27360000000000001</v>
      </c>
      <c r="AH390">
        <v>7.3200000000000001E-2</v>
      </c>
    </row>
    <row r="391" spans="3:34">
      <c r="C391" s="11" t="s">
        <v>655</v>
      </c>
      <c r="D391" s="10" t="s">
        <v>1</v>
      </c>
      <c r="E391" s="10">
        <v>13.71</v>
      </c>
      <c r="F391" s="10">
        <v>18.6099999999999</v>
      </c>
      <c r="G391" s="10">
        <v>72.760000000000005</v>
      </c>
      <c r="H391" s="10">
        <v>391.19999999999902</v>
      </c>
      <c r="I391" s="10">
        <v>0.10489999999999899</v>
      </c>
      <c r="J391" s="10">
        <v>8.4989999999999899E-2</v>
      </c>
      <c r="K391" s="10">
        <v>4.3020000000000003E-2</v>
      </c>
      <c r="L391" s="10">
        <v>2.5940000000000001E-2</v>
      </c>
      <c r="M391" s="10">
        <v>0.19270000000000001</v>
      </c>
      <c r="N391" s="10">
        <v>6.2109999999999901E-2</v>
      </c>
      <c r="O391" s="10">
        <v>0.24299999999999899</v>
      </c>
      <c r="P391" s="10">
        <v>1.01</v>
      </c>
      <c r="Q391" s="10">
        <v>1.4910000000000001</v>
      </c>
      <c r="R391" s="10">
        <v>18.190000000000001</v>
      </c>
      <c r="S391" s="10">
        <v>8.5769999999999891E-3</v>
      </c>
      <c r="T391" s="10">
        <v>1.6410000000000001E-2</v>
      </c>
      <c r="U391" s="10">
        <v>2.0990000000000002E-2</v>
      </c>
      <c r="V391" s="10">
        <v>1.107E-2</v>
      </c>
      <c r="W391" s="10">
        <v>2.4340000000000001E-2</v>
      </c>
      <c r="X391" s="10">
        <v>1.217E-3</v>
      </c>
      <c r="Y391" s="10">
        <v>12.47</v>
      </c>
      <c r="Z391" s="10">
        <v>23.03</v>
      </c>
      <c r="AA391" s="10">
        <v>79.150000000000006</v>
      </c>
      <c r="AB391" s="10">
        <v>478.6</v>
      </c>
      <c r="AC391" s="10">
        <v>0.14829999999999899</v>
      </c>
      <c r="AD391" s="10">
        <v>0.15740000000000001</v>
      </c>
      <c r="AE391" s="10">
        <v>0.16239999999999899</v>
      </c>
      <c r="AF391" s="10">
        <v>8.5419999999999899E-2</v>
      </c>
      <c r="AG391" s="10">
        <v>0.305999999999999</v>
      </c>
      <c r="AH391">
        <v>6.7830000000000001E-2</v>
      </c>
    </row>
    <row r="392" spans="3:34">
      <c r="C392" s="11" t="s">
        <v>699</v>
      </c>
      <c r="D392" s="10" t="s">
        <v>1</v>
      </c>
      <c r="E392" s="10">
        <v>13.71</v>
      </c>
      <c r="F392" s="10">
        <v>23.93</v>
      </c>
      <c r="G392" s="10">
        <v>74.519999999999897</v>
      </c>
      <c r="H392" s="10">
        <v>403.5</v>
      </c>
      <c r="I392" s="10">
        <v>9.2609999999999901E-2</v>
      </c>
      <c r="J392" s="10">
        <v>0.1021</v>
      </c>
      <c r="K392" s="10">
        <v>0.11119999999999899</v>
      </c>
      <c r="L392" s="10">
        <v>4.1050000000000003E-2</v>
      </c>
      <c r="M392" s="10">
        <v>0.13880000000000001</v>
      </c>
      <c r="N392" s="10">
        <v>6.5699999999999897E-2</v>
      </c>
      <c r="O392" s="10">
        <v>0.23880000000000001</v>
      </c>
      <c r="P392" s="10">
        <v>2.9039999999999901</v>
      </c>
      <c r="Q392" s="10">
        <v>1.93599999999999</v>
      </c>
      <c r="R392" s="10">
        <v>16.969999999999899</v>
      </c>
      <c r="S392" s="10">
        <v>8.2000000000000007E-3</v>
      </c>
      <c r="T392" s="10">
        <v>2.9819999999999899E-2</v>
      </c>
      <c r="U392" s="10">
        <v>5.738E-2</v>
      </c>
      <c r="V392" s="10">
        <v>1.2670000000000001E-2</v>
      </c>
      <c r="W392" s="10">
        <v>1.4880000000000001E-2</v>
      </c>
      <c r="X392" s="10">
        <v>4.738E-3</v>
      </c>
      <c r="Y392" s="10">
        <v>12.48</v>
      </c>
      <c r="Z392" s="10">
        <v>37.159999999999897</v>
      </c>
      <c r="AA392" s="10">
        <v>82.28</v>
      </c>
      <c r="AB392" s="10">
        <v>474.19999999999902</v>
      </c>
      <c r="AC392" s="10">
        <v>0.1298</v>
      </c>
      <c r="AD392" s="10">
        <v>0.25169999999999898</v>
      </c>
      <c r="AE392" s="10">
        <v>0.36299999999999899</v>
      </c>
      <c r="AF392" s="10">
        <v>9.6530000000000005E-2</v>
      </c>
      <c r="AG392" s="10">
        <v>0.2112</v>
      </c>
      <c r="AH392">
        <v>8.7319999999999898E-2</v>
      </c>
    </row>
    <row r="393" spans="3:34">
      <c r="C393" s="11" t="s">
        <v>367</v>
      </c>
      <c r="D393" s="10" t="s">
        <v>1</v>
      </c>
      <c r="E393" s="10">
        <v>13.71</v>
      </c>
      <c r="F393" s="10">
        <v>15.51</v>
      </c>
      <c r="G393" s="10">
        <v>97.45</v>
      </c>
      <c r="H393" s="10">
        <v>684.5</v>
      </c>
      <c r="I393" s="10">
        <v>8.3710000000000007E-2</v>
      </c>
      <c r="J393" s="10">
        <v>0.1096</v>
      </c>
      <c r="K393" s="10">
        <v>6.50499999999999E-2</v>
      </c>
      <c r="L393" s="10">
        <v>3.78E-2</v>
      </c>
      <c r="M393" s="10">
        <v>0.18809999999999899</v>
      </c>
      <c r="N393" s="10">
        <v>5.90699999999999E-2</v>
      </c>
      <c r="O393" s="10">
        <v>0.23180000000000001</v>
      </c>
      <c r="P393" s="10">
        <v>0.49659999999999899</v>
      </c>
      <c r="Q393" s="10">
        <v>2.27599999999999</v>
      </c>
      <c r="R393" s="10">
        <v>19.8799999999999</v>
      </c>
      <c r="S393" s="10">
        <v>4.1190000000000003E-3</v>
      </c>
      <c r="T393" s="10">
        <v>3.2070000000000001E-2</v>
      </c>
      <c r="U393" s="10">
        <v>3.644E-2</v>
      </c>
      <c r="V393" s="10">
        <v>1.155E-2</v>
      </c>
      <c r="W393" s="10">
        <v>1.391E-2</v>
      </c>
      <c r="X393" s="10">
        <v>3.2039999999999898E-3</v>
      </c>
      <c r="Y393" s="10">
        <v>16.41</v>
      </c>
      <c r="Z393" s="10">
        <v>19.309999999999899</v>
      </c>
      <c r="AA393" s="10">
        <v>114.2</v>
      </c>
      <c r="AB393" s="10">
        <v>808.2</v>
      </c>
      <c r="AC393" s="10">
        <v>0.11360000000000001</v>
      </c>
      <c r="AD393" s="10">
        <v>0.36270000000000002</v>
      </c>
      <c r="AE393" s="10">
        <v>0.3402</v>
      </c>
      <c r="AF393" s="10">
        <v>0.137899999999999</v>
      </c>
      <c r="AG393" s="10">
        <v>0.2954</v>
      </c>
      <c r="AH393">
        <v>8.362E-2</v>
      </c>
    </row>
    <row r="394" spans="3:34">
      <c r="C394" s="11" t="s">
        <v>486</v>
      </c>
      <c r="D394" s="10" t="s">
        <v>1</v>
      </c>
      <c r="E394" s="10">
        <v>13.71</v>
      </c>
      <c r="F394" s="10">
        <v>18.899999999999899</v>
      </c>
      <c r="G394" s="10">
        <v>76.659999999999897</v>
      </c>
      <c r="H394" s="10">
        <v>445.3</v>
      </c>
      <c r="I394" s="10">
        <v>8.3860000000000004E-2</v>
      </c>
      <c r="J394" s="10">
        <v>5.7939999999999901E-2</v>
      </c>
      <c r="K394" s="10">
        <v>7.5100000000000002E-3</v>
      </c>
      <c r="L394" s="10">
        <v>8.4880000000000008E-3</v>
      </c>
      <c r="M394" s="10">
        <v>0.1555</v>
      </c>
      <c r="N394" s="10">
        <v>6.0479999999999902E-2</v>
      </c>
      <c r="O394" s="10">
        <v>0.24299999999999899</v>
      </c>
      <c r="P394" s="10">
        <v>1.1519999999999899</v>
      </c>
      <c r="Q394" s="10">
        <v>1.5589999999999899</v>
      </c>
      <c r="R394" s="10">
        <v>18.02</v>
      </c>
      <c r="S394" s="10">
        <v>7.1799999999999902E-3</v>
      </c>
      <c r="T394" s="10">
        <v>1.09599999999999E-2</v>
      </c>
      <c r="U394" s="10">
        <v>5.8320000000000004E-3</v>
      </c>
      <c r="V394" s="10">
        <v>5.4949999999999903E-3</v>
      </c>
      <c r="W394" s="10">
        <v>1.9820000000000001E-2</v>
      </c>
      <c r="X394" s="10">
        <v>2.75399999999999E-3</v>
      </c>
      <c r="Y394" s="10">
        <v>13.64</v>
      </c>
      <c r="Z394" s="10">
        <v>27.059999999999899</v>
      </c>
      <c r="AA394" s="10">
        <v>86.54</v>
      </c>
      <c r="AB394" s="10">
        <v>562.6</v>
      </c>
      <c r="AC394" s="10">
        <v>0.12889999999999899</v>
      </c>
      <c r="AD394" s="10">
        <v>0.13519999999999899</v>
      </c>
      <c r="AE394" s="10">
        <v>4.5060000000000003E-2</v>
      </c>
      <c r="AF394" s="10">
        <v>5.0930000000000003E-2</v>
      </c>
      <c r="AG394" s="10">
        <v>0.28799999999999898</v>
      </c>
      <c r="AH394">
        <v>8.0829999999999902E-2</v>
      </c>
    </row>
    <row r="395" spans="3:34">
      <c r="C395" s="11" t="s">
        <v>343</v>
      </c>
      <c r="D395" s="10" t="s">
        <v>0</v>
      </c>
      <c r="E395" s="10">
        <v>13.71</v>
      </c>
      <c r="F395" s="10">
        <v>23.75</v>
      </c>
      <c r="G395" s="10">
        <v>91.56</v>
      </c>
      <c r="H395" s="10">
        <v>597.79999999999905</v>
      </c>
      <c r="I395" s="10">
        <v>0.1323</v>
      </c>
      <c r="J395" s="10">
        <v>0.17680000000000001</v>
      </c>
      <c r="K395" s="10">
        <v>0.15579999999999899</v>
      </c>
      <c r="L395" s="10">
        <v>9.1759999999999897E-2</v>
      </c>
      <c r="M395" s="10">
        <v>0.225099999999999</v>
      </c>
      <c r="N395" s="10">
        <v>7.4209999999999901E-2</v>
      </c>
      <c r="O395" s="10">
        <v>0.56479999999999897</v>
      </c>
      <c r="P395" s="10">
        <v>1.9299999999999899</v>
      </c>
      <c r="Q395" s="10">
        <v>3.90899999999999</v>
      </c>
      <c r="R395" s="10">
        <v>52.719999999999899</v>
      </c>
      <c r="S395" s="10">
        <v>8.8240000000000002E-3</v>
      </c>
      <c r="T395" s="10">
        <v>3.108E-2</v>
      </c>
      <c r="U395" s="10">
        <v>3.1119999999999901E-2</v>
      </c>
      <c r="V395" s="10">
        <v>1.291E-2</v>
      </c>
      <c r="W395" s="10">
        <v>1.9980000000000001E-2</v>
      </c>
      <c r="X395" s="10">
        <v>4.50599999999999E-3</v>
      </c>
      <c r="Y395" s="10">
        <v>19.1999999999999</v>
      </c>
      <c r="Z395" s="10">
        <v>41.85</v>
      </c>
      <c r="AA395" s="10">
        <v>128.5</v>
      </c>
      <c r="AB395" s="10">
        <v>1153</v>
      </c>
      <c r="AC395" s="10">
        <v>0.22259999999999899</v>
      </c>
      <c r="AD395" s="10">
        <v>0.52090000000000003</v>
      </c>
      <c r="AE395" s="10">
        <v>0.46460000000000001</v>
      </c>
      <c r="AF395" s="10">
        <v>0.20130000000000001</v>
      </c>
      <c r="AG395" s="10">
        <v>0.44319999999999898</v>
      </c>
      <c r="AH395">
        <v>0.1086</v>
      </c>
    </row>
    <row r="396" spans="3:34">
      <c r="C396" s="11" t="s">
        <v>374</v>
      </c>
      <c r="D396" s="10" t="s">
        <v>1</v>
      </c>
      <c r="E396" s="10">
        <v>13.71</v>
      </c>
      <c r="F396" s="10">
        <v>15.91</v>
      </c>
      <c r="G396" s="10">
        <v>60.21</v>
      </c>
      <c r="H396" s="10">
        <v>279.60000000000002</v>
      </c>
      <c r="I396" s="10">
        <v>8.4640000000000007E-2</v>
      </c>
      <c r="J396" s="10">
        <v>4.0869999999999899E-2</v>
      </c>
      <c r="K396" s="10">
        <v>1.652E-2</v>
      </c>
      <c r="L396" s="10">
        <v>1.6670000000000001E-2</v>
      </c>
      <c r="M396" s="10">
        <v>0.15509999999999899</v>
      </c>
      <c r="N396" s="10">
        <v>6.4030000000000004E-2</v>
      </c>
      <c r="O396" s="10">
        <v>0.2152</v>
      </c>
      <c r="P396" s="10">
        <v>0.83009999999999895</v>
      </c>
      <c r="Q396" s="10">
        <v>1.2150000000000001</v>
      </c>
      <c r="R396" s="10">
        <v>12.64</v>
      </c>
      <c r="S396" s="10">
        <v>1.16399999999999E-2</v>
      </c>
      <c r="T396" s="10">
        <v>1.04E-2</v>
      </c>
      <c r="U396" s="10">
        <v>1.1860000000000001E-2</v>
      </c>
      <c r="V396" s="10">
        <v>9.6229999999999892E-3</v>
      </c>
      <c r="W396" s="10">
        <v>2.383E-2</v>
      </c>
      <c r="X396" s="10">
        <v>3.5400000000000002E-3</v>
      </c>
      <c r="Y396" s="10">
        <v>10.51</v>
      </c>
      <c r="Z396" s="10">
        <v>19.16</v>
      </c>
      <c r="AA396" s="10">
        <v>65.739999999999895</v>
      </c>
      <c r="AB396" s="10">
        <v>335.89999999999901</v>
      </c>
      <c r="AC396" s="10">
        <v>0.15040000000000001</v>
      </c>
      <c r="AD396" s="10">
        <v>9.5149999999999901E-2</v>
      </c>
      <c r="AE396" s="10">
        <v>7.1609999999999896E-2</v>
      </c>
      <c r="AF396" s="10">
        <v>7.2220000000000006E-2</v>
      </c>
      <c r="AG396" s="10">
        <v>0.2757</v>
      </c>
      <c r="AH396">
        <v>8.1780000000000005E-2</v>
      </c>
    </row>
    <row r="397" spans="3:34">
      <c r="C397" s="11" t="s">
        <v>309</v>
      </c>
      <c r="D397" s="10" t="s">
        <v>1</v>
      </c>
      <c r="E397" s="10">
        <v>13.71</v>
      </c>
      <c r="F397" s="10">
        <v>16.9499999999999</v>
      </c>
      <c r="G397" s="10">
        <v>96.219999999999899</v>
      </c>
      <c r="H397" s="10">
        <v>685.89999999999895</v>
      </c>
      <c r="I397" s="10">
        <v>9.8549999999999902E-2</v>
      </c>
      <c r="J397" s="10">
        <v>7.8850000000000003E-2</v>
      </c>
      <c r="K397" s="10">
        <v>2.6020000000000001E-2</v>
      </c>
      <c r="L397" s="10">
        <v>3.7810000000000003E-2</v>
      </c>
      <c r="M397" s="10">
        <v>0.17799999999999899</v>
      </c>
      <c r="N397" s="10">
        <v>5.6500000000000002E-2</v>
      </c>
      <c r="O397" s="10">
        <v>0.27129999999999899</v>
      </c>
      <c r="P397" s="10">
        <v>1.2170000000000001</v>
      </c>
      <c r="Q397" s="10">
        <v>1.893</v>
      </c>
      <c r="R397" s="10">
        <v>24.28</v>
      </c>
      <c r="S397" s="10">
        <v>5.0800000000000003E-3</v>
      </c>
      <c r="T397" s="10">
        <v>1.37E-2</v>
      </c>
      <c r="U397" s="10">
        <v>7.2760000000000003E-3</v>
      </c>
      <c r="V397" s="10">
        <v>9.0729999999999908E-3</v>
      </c>
      <c r="W397" s="10">
        <v>1.35E-2</v>
      </c>
      <c r="X397" s="10">
        <v>1.7060000000000001E-3</v>
      </c>
      <c r="Y397" s="10">
        <v>16.1099999999999</v>
      </c>
      <c r="Z397" s="10">
        <v>23</v>
      </c>
      <c r="AA397" s="10">
        <v>104.599999999999</v>
      </c>
      <c r="AB397" s="10">
        <v>793.7</v>
      </c>
      <c r="AC397" s="10">
        <v>0.1216</v>
      </c>
      <c r="AD397" s="10">
        <v>0.16370000000000001</v>
      </c>
      <c r="AE397" s="10">
        <v>6.64799999999999E-2</v>
      </c>
      <c r="AF397" s="10">
        <v>8.4849999999999898E-2</v>
      </c>
      <c r="AG397" s="10">
        <v>0.2404</v>
      </c>
      <c r="AH397">
        <v>6.4280000000000004E-2</v>
      </c>
    </row>
    <row r="398" spans="3:34">
      <c r="C398" s="11" t="s">
        <v>561</v>
      </c>
      <c r="D398" s="10" t="s">
        <v>1</v>
      </c>
      <c r="E398" s="10">
        <v>13.71</v>
      </c>
      <c r="F398" s="10">
        <v>13.98</v>
      </c>
      <c r="G398" s="10">
        <v>98.219999999999899</v>
      </c>
      <c r="H398" s="10">
        <v>656.1</v>
      </c>
      <c r="I398" s="10">
        <v>0.1031</v>
      </c>
      <c r="J398" s="10">
        <v>0.18360000000000001</v>
      </c>
      <c r="K398" s="10">
        <v>0.14499999999999899</v>
      </c>
      <c r="L398" s="10">
        <v>6.3E-2</v>
      </c>
      <c r="M398" s="10">
        <v>0.20860000000000001</v>
      </c>
      <c r="N398" s="10">
        <v>7.4060000000000001E-2</v>
      </c>
      <c r="O398" s="10">
        <v>0.54620000000000002</v>
      </c>
      <c r="P398" s="10">
        <v>1.5109999999999899</v>
      </c>
      <c r="Q398" s="10">
        <v>4.7949999999999902</v>
      </c>
      <c r="R398" s="10">
        <v>49.45</v>
      </c>
      <c r="S398" s="10">
        <v>9.9760000000000005E-3</v>
      </c>
      <c r="T398" s="10">
        <v>5.2440000000000001E-2</v>
      </c>
      <c r="U398" s="10">
        <v>5.2780000000000001E-2</v>
      </c>
      <c r="V398" s="10">
        <v>1.5800000000000002E-2</v>
      </c>
      <c r="W398" s="10">
        <v>2.6530000000000001E-2</v>
      </c>
      <c r="X398" s="10">
        <v>5.4440000000000001E-3</v>
      </c>
      <c r="Y398" s="10">
        <v>16.46</v>
      </c>
      <c r="Z398" s="10">
        <v>18.34</v>
      </c>
      <c r="AA398" s="10">
        <v>114.099999999999</v>
      </c>
      <c r="AB398" s="10">
        <v>809.2</v>
      </c>
      <c r="AC398" s="10">
        <v>0.13120000000000001</v>
      </c>
      <c r="AD398" s="10">
        <v>0.36349999999999899</v>
      </c>
      <c r="AE398" s="10">
        <v>0.32190000000000002</v>
      </c>
      <c r="AF398" s="10">
        <v>0.1108</v>
      </c>
      <c r="AG398" s="10">
        <v>0.28270000000000001</v>
      </c>
      <c r="AH398">
        <v>9.2079999999999898E-2</v>
      </c>
    </row>
    <row r="399" spans="3:34">
      <c r="C399" s="11" t="s">
        <v>152</v>
      </c>
      <c r="D399" s="10" t="s">
        <v>0</v>
      </c>
      <c r="E399" s="10">
        <v>13.71</v>
      </c>
      <c r="F399" s="10">
        <v>24.8</v>
      </c>
      <c r="G399" s="10">
        <v>132.4</v>
      </c>
      <c r="H399" s="10">
        <v>1123</v>
      </c>
      <c r="I399" s="10">
        <v>9.74E-2</v>
      </c>
      <c r="J399" s="10">
        <v>0.24579999999999899</v>
      </c>
      <c r="K399" s="10">
        <v>0.20649999999999899</v>
      </c>
      <c r="L399" s="10">
        <v>0.1118</v>
      </c>
      <c r="M399" s="10">
        <v>0.2397</v>
      </c>
      <c r="N399" s="10">
        <v>7.8E-2</v>
      </c>
      <c r="O399" s="10">
        <v>0.95550000000000002</v>
      </c>
      <c r="P399" s="10">
        <v>3.5680000000000001</v>
      </c>
      <c r="Q399" s="10">
        <v>11.07</v>
      </c>
      <c r="R399" s="10">
        <v>116.2</v>
      </c>
      <c r="S399" s="10">
        <v>3.1389999999999899E-3</v>
      </c>
      <c r="T399" s="10">
        <v>8.2970000000000002E-2</v>
      </c>
      <c r="U399" s="10">
        <v>8.8900000000000007E-2</v>
      </c>
      <c r="V399" s="10">
        <v>4.0899999999999902E-2</v>
      </c>
      <c r="W399" s="10">
        <v>4.4839999999999901E-2</v>
      </c>
      <c r="X399" s="10">
        <v>1.2840000000000001E-2</v>
      </c>
      <c r="Y399" s="10">
        <v>20.96</v>
      </c>
      <c r="Z399" s="10">
        <v>29.94</v>
      </c>
      <c r="AA399" s="10">
        <v>151.69999999999899</v>
      </c>
      <c r="AB399" s="10">
        <v>1332</v>
      </c>
      <c r="AC399" s="10">
        <v>0.1037</v>
      </c>
      <c r="AD399" s="10">
        <v>0.39029999999999898</v>
      </c>
      <c r="AE399" s="10">
        <v>0.3639</v>
      </c>
      <c r="AF399" s="10">
        <v>0.1767</v>
      </c>
      <c r="AG399" s="10">
        <v>0.31759999999999899</v>
      </c>
      <c r="AH399">
        <v>0.1023</v>
      </c>
    </row>
    <row r="400" spans="3:34">
      <c r="C400" s="11" t="s">
        <v>362</v>
      </c>
      <c r="D400" s="10" t="s">
        <v>1</v>
      </c>
      <c r="E400" s="10">
        <v>13.71</v>
      </c>
      <c r="F400" s="10">
        <v>17.53</v>
      </c>
      <c r="G400" s="10">
        <v>65.12</v>
      </c>
      <c r="H400" s="10">
        <v>313.10000000000002</v>
      </c>
      <c r="I400" s="10">
        <v>0.1061</v>
      </c>
      <c r="J400" s="10">
        <v>8.5019999999999901E-2</v>
      </c>
      <c r="K400" s="10">
        <v>1.7680000000000001E-2</v>
      </c>
      <c r="L400" s="10">
        <v>1.915E-2</v>
      </c>
      <c r="M400" s="10">
        <v>0.191</v>
      </c>
      <c r="N400" s="10">
        <v>6.9080000000000003E-2</v>
      </c>
      <c r="O400" s="10">
        <v>0.2467</v>
      </c>
      <c r="P400" s="10">
        <v>1.2170000000000001</v>
      </c>
      <c r="Q400" s="10">
        <v>1.641</v>
      </c>
      <c r="R400" s="10">
        <v>15.05</v>
      </c>
      <c r="S400" s="10">
        <v>7.8989999999999894E-3</v>
      </c>
      <c r="T400" s="10">
        <v>1.4E-2</v>
      </c>
      <c r="U400" s="10">
        <v>8.5339999999999895E-3</v>
      </c>
      <c r="V400" s="10">
        <v>7.6239999999999902E-3</v>
      </c>
      <c r="W400" s="10">
        <v>2.6370000000000001E-2</v>
      </c>
      <c r="X400" s="10">
        <v>3.761E-3</v>
      </c>
      <c r="Y400" s="10">
        <v>11.17</v>
      </c>
      <c r="Z400" s="10">
        <v>22.84</v>
      </c>
      <c r="AA400" s="10">
        <v>71.939999999999898</v>
      </c>
      <c r="AB400" s="10">
        <v>375.6</v>
      </c>
      <c r="AC400" s="10">
        <v>0.1406</v>
      </c>
      <c r="AD400" s="10">
        <v>0.14399999999999899</v>
      </c>
      <c r="AE400" s="10">
        <v>6.5720000000000001E-2</v>
      </c>
      <c r="AF400" s="10">
        <v>5.5750000000000001E-2</v>
      </c>
      <c r="AG400" s="10">
        <v>0.30549999999999899</v>
      </c>
      <c r="AH400">
        <v>8.7970000000000007E-2</v>
      </c>
    </row>
    <row r="401" spans="3:34">
      <c r="C401" s="11" t="s">
        <v>636</v>
      </c>
      <c r="D401" s="10" t="s">
        <v>1</v>
      </c>
      <c r="E401" s="10">
        <v>13.71</v>
      </c>
      <c r="F401" s="10">
        <v>18.170000000000002</v>
      </c>
      <c r="G401" s="10">
        <v>82.689999999999898</v>
      </c>
      <c r="H401" s="10">
        <v>485.6</v>
      </c>
      <c r="I401" s="10">
        <v>0.1076</v>
      </c>
      <c r="J401" s="10">
        <v>0.13339999999999899</v>
      </c>
      <c r="K401" s="10">
        <v>8.0170000000000005E-2</v>
      </c>
      <c r="L401" s="10">
        <v>5.074E-2</v>
      </c>
      <c r="M401" s="10">
        <v>0.1641</v>
      </c>
      <c r="N401" s="10">
        <v>6.8540000000000004E-2</v>
      </c>
      <c r="O401" s="10">
        <v>0.2324</v>
      </c>
      <c r="P401" s="10">
        <v>0.63319999999999899</v>
      </c>
      <c r="Q401" s="10">
        <v>1.696</v>
      </c>
      <c r="R401" s="10">
        <v>18.399999999999899</v>
      </c>
      <c r="S401" s="10">
        <v>5.7039999999999903E-3</v>
      </c>
      <c r="T401" s="10">
        <v>2.5020000000000001E-2</v>
      </c>
      <c r="U401" s="10">
        <v>2.6360000000000001E-2</v>
      </c>
      <c r="V401" s="10">
        <v>1.03199999999999E-2</v>
      </c>
      <c r="W401" s="10">
        <v>1.7590000000000001E-2</v>
      </c>
      <c r="X401" s="10">
        <v>3.5630000000000002E-3</v>
      </c>
      <c r="Y401" s="10">
        <v>14.38</v>
      </c>
      <c r="Z401" s="10">
        <v>22.149999999999899</v>
      </c>
      <c r="AA401" s="10">
        <v>95.29</v>
      </c>
      <c r="AB401" s="10">
        <v>633.70000000000005</v>
      </c>
      <c r="AC401" s="10">
        <v>0.15329999999999899</v>
      </c>
      <c r="AD401" s="10">
        <v>0.38419999999999899</v>
      </c>
      <c r="AE401" s="10">
        <v>0.35820000000000002</v>
      </c>
      <c r="AF401" s="10">
        <v>0.14069999999999899</v>
      </c>
      <c r="AG401" s="10">
        <v>0.32300000000000001</v>
      </c>
      <c r="AH401">
        <v>0.1033</v>
      </c>
    </row>
    <row r="402" spans="3:34">
      <c r="C402" s="11" t="s">
        <v>632</v>
      </c>
      <c r="D402" s="10" t="s">
        <v>0</v>
      </c>
      <c r="E402" s="10">
        <v>13.71</v>
      </c>
      <c r="F402" s="10">
        <v>20.559999999999899</v>
      </c>
      <c r="G402" s="10">
        <v>118.4</v>
      </c>
      <c r="H402" s="10">
        <v>1007</v>
      </c>
      <c r="I402" s="10">
        <v>0.100099999999999</v>
      </c>
      <c r="J402" s="10">
        <v>0.12889999999999899</v>
      </c>
      <c r="K402" s="10">
        <v>0.11700000000000001</v>
      </c>
      <c r="L402" s="10">
        <v>7.7619999999999897E-2</v>
      </c>
      <c r="M402" s="10">
        <v>0.21160000000000001</v>
      </c>
      <c r="N402" s="10">
        <v>6.07699999999999E-2</v>
      </c>
      <c r="O402" s="10">
        <v>0.75480000000000003</v>
      </c>
      <c r="P402" s="10">
        <v>1.288</v>
      </c>
      <c r="Q402" s="10">
        <v>5.35299999999999</v>
      </c>
      <c r="R402" s="10">
        <v>89.739999999999895</v>
      </c>
      <c r="S402" s="10">
        <v>7.9970000000000006E-3</v>
      </c>
      <c r="T402" s="10">
        <v>2.7E-2</v>
      </c>
      <c r="U402" s="10">
        <v>3.737E-2</v>
      </c>
      <c r="V402" s="10">
        <v>1.6480000000000002E-2</v>
      </c>
      <c r="W402" s="10">
        <v>2.8969999999999899E-2</v>
      </c>
      <c r="X402" s="10">
        <v>3.9960000000000004E-3</v>
      </c>
      <c r="Y402" s="10">
        <v>21.53</v>
      </c>
      <c r="Z402" s="10">
        <v>26.059999999999899</v>
      </c>
      <c r="AA402" s="10">
        <v>143.4</v>
      </c>
      <c r="AB402" s="10">
        <v>1426</v>
      </c>
      <c r="AC402" s="10">
        <v>0.13089999999999899</v>
      </c>
      <c r="AD402" s="10">
        <v>0.23269999999999899</v>
      </c>
      <c r="AE402" s="10">
        <v>0.25440000000000002</v>
      </c>
      <c r="AF402" s="10">
        <v>0.1489</v>
      </c>
      <c r="AG402" s="10">
        <v>0.3251</v>
      </c>
      <c r="AH402">
        <v>7.6249999999999901E-2</v>
      </c>
    </row>
    <row r="403" spans="3:34">
      <c r="C403" s="11" t="s">
        <v>382</v>
      </c>
      <c r="D403" s="10" t="s">
        <v>1</v>
      </c>
      <c r="E403" s="10">
        <v>13.71</v>
      </c>
      <c r="F403" s="10">
        <v>18.190000000000001</v>
      </c>
      <c r="G403" s="10">
        <v>73.930000000000007</v>
      </c>
      <c r="H403" s="10">
        <v>389.39999999999901</v>
      </c>
      <c r="I403" s="10">
        <v>9.5920000000000005E-2</v>
      </c>
      <c r="J403" s="10">
        <v>0.13250000000000001</v>
      </c>
      <c r="K403" s="10">
        <v>0.15479999999999899</v>
      </c>
      <c r="L403" s="10">
        <v>2.8539999999999899E-2</v>
      </c>
      <c r="M403" s="10">
        <v>0.2054</v>
      </c>
      <c r="N403" s="10">
        <v>7.6689999999999897E-2</v>
      </c>
      <c r="O403" s="10">
        <v>0.24279999999999899</v>
      </c>
      <c r="P403" s="10">
        <v>1.6419999999999899</v>
      </c>
      <c r="Q403" s="10">
        <v>2.3690000000000002</v>
      </c>
      <c r="R403" s="10">
        <v>16.39</v>
      </c>
      <c r="S403" s="10">
        <v>6.6629999999999901E-3</v>
      </c>
      <c r="T403" s="10">
        <v>5.9139999999999901E-2</v>
      </c>
      <c r="U403" s="10">
        <v>8.8800000000000004E-2</v>
      </c>
      <c r="V403" s="10">
        <v>1.3140000000000001E-2</v>
      </c>
      <c r="W403" s="10">
        <v>1.9949999999999898E-2</v>
      </c>
      <c r="X403" s="10">
        <v>8.6750000000000004E-3</v>
      </c>
      <c r="Y403" s="10">
        <v>12.58</v>
      </c>
      <c r="Z403" s="10">
        <v>27.96</v>
      </c>
      <c r="AA403" s="10">
        <v>87.159999999999897</v>
      </c>
      <c r="AB403" s="10">
        <v>472.89999999999901</v>
      </c>
      <c r="AC403" s="10">
        <v>0.13469999999999899</v>
      </c>
      <c r="AD403" s="10">
        <v>0.48480000000000001</v>
      </c>
      <c r="AE403" s="10">
        <v>0.74360000000000004</v>
      </c>
      <c r="AF403" s="10">
        <v>0.12180000000000001</v>
      </c>
      <c r="AG403" s="10">
        <v>0.33079999999999898</v>
      </c>
      <c r="AH403">
        <v>0.12970000000000001</v>
      </c>
    </row>
    <row r="404" spans="3:34">
      <c r="C404" s="11" t="s">
        <v>424</v>
      </c>
      <c r="D404" s="10" t="s">
        <v>1</v>
      </c>
      <c r="E404" s="10">
        <v>13.71</v>
      </c>
      <c r="F404" s="10">
        <v>15.6999999999999</v>
      </c>
      <c r="G404" s="10">
        <v>84.079999999999899</v>
      </c>
      <c r="H404" s="10">
        <v>516.6</v>
      </c>
      <c r="I404" s="10">
        <v>7.8179999999999902E-2</v>
      </c>
      <c r="J404" s="10">
        <v>9.5799999999999899E-2</v>
      </c>
      <c r="K404" s="10">
        <v>0.1115</v>
      </c>
      <c r="L404" s="10">
        <v>3.39E-2</v>
      </c>
      <c r="M404" s="10">
        <v>0.14319999999999899</v>
      </c>
      <c r="N404" s="10">
        <v>5.935E-2</v>
      </c>
      <c r="O404" s="10">
        <v>0.2913</v>
      </c>
      <c r="P404" s="10">
        <v>1.389</v>
      </c>
      <c r="Q404" s="10">
        <v>2.347</v>
      </c>
      <c r="R404" s="10">
        <v>23.2899999999999</v>
      </c>
      <c r="S404" s="10">
        <v>6.4180000000000001E-3</v>
      </c>
      <c r="T404" s="10">
        <v>3.9609999999999902E-2</v>
      </c>
      <c r="U404" s="10">
        <v>7.9269999999999896E-2</v>
      </c>
      <c r="V404" s="10">
        <v>1.7739999999999902E-2</v>
      </c>
      <c r="W404" s="10">
        <v>1.8780000000000002E-2</v>
      </c>
      <c r="X404" s="10">
        <v>3.6960000000000001E-3</v>
      </c>
      <c r="Y404" s="10">
        <v>13.9</v>
      </c>
      <c r="Z404" s="10">
        <v>19.690000000000001</v>
      </c>
      <c r="AA404" s="10">
        <v>92.12</v>
      </c>
      <c r="AB404" s="10">
        <v>595.6</v>
      </c>
      <c r="AC404" s="10">
        <v>9.9260000000000001E-2</v>
      </c>
      <c r="AD404" s="10">
        <v>0.23169999999999899</v>
      </c>
      <c r="AE404" s="10">
        <v>0.33439999999999898</v>
      </c>
      <c r="AF404" s="10">
        <v>0.1017</v>
      </c>
      <c r="AG404" s="10">
        <v>0.199899999999999</v>
      </c>
      <c r="AH404">
        <v>7.127E-2</v>
      </c>
    </row>
    <row r="405" spans="3:34">
      <c r="C405" s="11" t="s">
        <v>457</v>
      </c>
      <c r="D405" s="10" t="s">
        <v>0</v>
      </c>
      <c r="E405" s="10">
        <v>13.71</v>
      </c>
      <c r="F405" s="10">
        <v>18.87</v>
      </c>
      <c r="G405" s="10">
        <v>118.7</v>
      </c>
      <c r="H405" s="10">
        <v>1027</v>
      </c>
      <c r="I405" s="10">
        <v>9.7460000000000005E-2</v>
      </c>
      <c r="J405" s="10">
        <v>0.11169999999999899</v>
      </c>
      <c r="K405" s="10">
        <v>0.113</v>
      </c>
      <c r="L405" s="10">
        <v>7.9500000000000001E-2</v>
      </c>
      <c r="M405" s="10">
        <v>0.1807</v>
      </c>
      <c r="N405" s="10">
        <v>5.6640000000000003E-2</v>
      </c>
      <c r="O405" s="10">
        <v>0.40410000000000001</v>
      </c>
      <c r="P405" s="10">
        <v>0.55030000000000001</v>
      </c>
      <c r="Q405" s="10">
        <v>2.5470000000000002</v>
      </c>
      <c r="R405" s="10">
        <v>48.899999999999899</v>
      </c>
      <c r="S405" s="10">
        <v>4.8209999999999902E-3</v>
      </c>
      <c r="T405" s="10">
        <v>1.6590000000000001E-2</v>
      </c>
      <c r="U405" s="10">
        <v>2.4080000000000001E-2</v>
      </c>
      <c r="V405" s="10">
        <v>1.14299999999999E-2</v>
      </c>
      <c r="W405" s="10">
        <v>1.27499999999999E-2</v>
      </c>
      <c r="X405" s="10">
        <v>2.4510000000000001E-3</v>
      </c>
      <c r="Y405" s="10">
        <v>21.84</v>
      </c>
      <c r="Z405" s="10">
        <v>25</v>
      </c>
      <c r="AA405" s="10">
        <v>140.9</v>
      </c>
      <c r="AB405" s="10">
        <v>1485</v>
      </c>
      <c r="AC405" s="10">
        <v>0.1434</v>
      </c>
      <c r="AD405" s="10">
        <v>0.27629999999999899</v>
      </c>
      <c r="AE405" s="10">
        <v>0.38529999999999898</v>
      </c>
      <c r="AF405" s="10">
        <v>0.17760000000000001</v>
      </c>
      <c r="AG405" s="10">
        <v>0.28120000000000001</v>
      </c>
      <c r="AH405">
        <v>8.19799999999999E-2</v>
      </c>
    </row>
    <row r="406" spans="3:34">
      <c r="C406" s="11" t="s">
        <v>453</v>
      </c>
      <c r="D406" s="10" t="s">
        <v>1</v>
      </c>
      <c r="E406" s="10">
        <v>13.71</v>
      </c>
      <c r="F406" s="10">
        <v>10.72</v>
      </c>
      <c r="G406" s="10">
        <v>73.73</v>
      </c>
      <c r="H406" s="10">
        <v>409.1</v>
      </c>
      <c r="I406" s="10">
        <v>8.5970000000000005E-2</v>
      </c>
      <c r="J406" s="10">
        <v>5.969E-2</v>
      </c>
      <c r="K406" s="10">
        <v>1.367E-2</v>
      </c>
      <c r="L406" s="10">
        <v>8.907E-3</v>
      </c>
      <c r="M406" s="10">
        <v>0.18329999999999899</v>
      </c>
      <c r="N406" s="10">
        <v>6.0999999999999902E-2</v>
      </c>
      <c r="O406" s="10">
        <v>0.13120000000000001</v>
      </c>
      <c r="P406" s="10">
        <v>0.36020000000000002</v>
      </c>
      <c r="Q406" s="10">
        <v>1.107</v>
      </c>
      <c r="R406" s="10">
        <v>9.4380000000000006</v>
      </c>
      <c r="S406" s="10">
        <v>4.1240000000000001E-3</v>
      </c>
      <c r="T406" s="10">
        <v>1.34E-2</v>
      </c>
      <c r="U406" s="10">
        <v>1.0030000000000001E-2</v>
      </c>
      <c r="V406" s="10">
        <v>4.6670000000000001E-3</v>
      </c>
      <c r="W406" s="10">
        <v>2.0320000000000001E-2</v>
      </c>
      <c r="X406" s="10">
        <v>1.952E-3</v>
      </c>
      <c r="Y406" s="10">
        <v>12.34</v>
      </c>
      <c r="Z406" s="10">
        <v>12.8699999999999</v>
      </c>
      <c r="AA406" s="10">
        <v>81.23</v>
      </c>
      <c r="AB406" s="10">
        <v>467.8</v>
      </c>
      <c r="AC406" s="10">
        <v>0.10920000000000001</v>
      </c>
      <c r="AD406" s="10">
        <v>0.162599999999999</v>
      </c>
      <c r="AE406" s="10">
        <v>8.3239999999999897E-2</v>
      </c>
      <c r="AF406" s="10">
        <v>4.71499999999999E-2</v>
      </c>
      <c r="AG406" s="10">
        <v>0.33900000000000002</v>
      </c>
      <c r="AH406">
        <v>7.4340000000000003E-2</v>
      </c>
    </row>
    <row r="407" spans="3:34">
      <c r="C407" s="11" t="s">
        <v>474</v>
      </c>
      <c r="D407" s="10" t="s">
        <v>1</v>
      </c>
      <c r="E407" s="10">
        <v>13.71</v>
      </c>
      <c r="F407" s="10">
        <v>19.02</v>
      </c>
      <c r="G407" s="10">
        <v>77.879999999999896</v>
      </c>
      <c r="H407" s="10">
        <v>464.39999999999901</v>
      </c>
      <c r="I407" s="10">
        <v>8.3129999999999898E-2</v>
      </c>
      <c r="J407" s="10">
        <v>4.2020000000000002E-2</v>
      </c>
      <c r="K407" s="10">
        <v>7.7559999999999903E-3</v>
      </c>
      <c r="L407" s="10">
        <v>8.5349999999999905E-3</v>
      </c>
      <c r="M407" s="10">
        <v>0.15390000000000001</v>
      </c>
      <c r="N407" s="10">
        <v>5.9450000000000003E-2</v>
      </c>
      <c r="O407" s="10">
        <v>0.184</v>
      </c>
      <c r="P407" s="10">
        <v>1.532</v>
      </c>
      <c r="Q407" s="10">
        <v>1.1990000000000001</v>
      </c>
      <c r="R407" s="10">
        <v>13.24</v>
      </c>
      <c r="S407" s="10">
        <v>7.8810000000000009E-3</v>
      </c>
      <c r="T407" s="10">
        <v>8.4320000000000003E-3</v>
      </c>
      <c r="U407" s="10">
        <v>7.0039999999999903E-3</v>
      </c>
      <c r="V407" s="10">
        <v>6.522E-3</v>
      </c>
      <c r="W407" s="10">
        <v>1.9390000000000001E-2</v>
      </c>
      <c r="X407" s="10">
        <v>2.222E-3</v>
      </c>
      <c r="Y407" s="10">
        <v>13.35</v>
      </c>
      <c r="Z407" s="10">
        <v>28.46</v>
      </c>
      <c r="AA407" s="10">
        <v>84.53</v>
      </c>
      <c r="AB407" s="10">
        <v>544.29999999999905</v>
      </c>
      <c r="AC407" s="10">
        <v>0.1222</v>
      </c>
      <c r="AD407" s="10">
        <v>9.0520000000000003E-2</v>
      </c>
      <c r="AE407" s="10">
        <v>3.619E-2</v>
      </c>
      <c r="AF407" s="10">
        <v>3.98299999999999E-2</v>
      </c>
      <c r="AG407" s="10">
        <v>0.25540000000000002</v>
      </c>
      <c r="AH407">
        <v>7.2069999999999898E-2</v>
      </c>
    </row>
    <row r="408" spans="3:34">
      <c r="C408" s="11" t="s">
        <v>602</v>
      </c>
      <c r="D408" s="10" t="s">
        <v>1</v>
      </c>
      <c r="E408" s="10">
        <v>13.71</v>
      </c>
      <c r="F408" s="10">
        <v>26.989999999999899</v>
      </c>
      <c r="G408" s="10">
        <v>92.25</v>
      </c>
      <c r="H408" s="10">
        <v>646.1</v>
      </c>
      <c r="I408" s="10">
        <v>6.9949999999999901E-2</v>
      </c>
      <c r="J408" s="10">
        <v>5.2229999999999902E-2</v>
      </c>
      <c r="K408" s="10">
        <v>3.4759999999999902E-2</v>
      </c>
      <c r="L408" s="10">
        <v>1.737E-2</v>
      </c>
      <c r="M408" s="10">
        <v>0.17069999999999899</v>
      </c>
      <c r="N408" s="10">
        <v>5.4330000000000003E-2</v>
      </c>
      <c r="O408" s="10">
        <v>0.23150000000000001</v>
      </c>
      <c r="P408" s="10">
        <v>0.91120000000000001</v>
      </c>
      <c r="Q408" s="10">
        <v>1.7270000000000001</v>
      </c>
      <c r="R408" s="10">
        <v>20.52</v>
      </c>
      <c r="S408" s="10">
        <v>5.3559999999999901E-3</v>
      </c>
      <c r="T408" s="10">
        <v>1.6789999999999899E-2</v>
      </c>
      <c r="U408" s="10">
        <v>1.9709999999999901E-2</v>
      </c>
      <c r="V408" s="10">
        <v>6.3699999999999903E-3</v>
      </c>
      <c r="W408" s="10">
        <v>1.414E-2</v>
      </c>
      <c r="X408" s="10">
        <v>1.892E-3</v>
      </c>
      <c r="Y408" s="10">
        <v>15.4</v>
      </c>
      <c r="Z408" s="10">
        <v>31.98</v>
      </c>
      <c r="AA408" s="10">
        <v>100.4</v>
      </c>
      <c r="AB408" s="10">
        <v>734.6</v>
      </c>
      <c r="AC408" s="10">
        <v>0.1017</v>
      </c>
      <c r="AD408" s="10">
        <v>0.14599999999999899</v>
      </c>
      <c r="AE408" s="10">
        <v>0.1472</v>
      </c>
      <c r="AF408" s="10">
        <v>5.5629999999999902E-2</v>
      </c>
      <c r="AG408" s="10">
        <v>0.23449999999999899</v>
      </c>
      <c r="AH408">
        <v>6.4640000000000003E-2</v>
      </c>
    </row>
    <row r="409" spans="3:34">
      <c r="C409" s="11" t="s">
        <v>177</v>
      </c>
      <c r="D409" s="10" t="s">
        <v>1</v>
      </c>
      <c r="E409" s="10">
        <v>13.71</v>
      </c>
      <c r="F409" s="10">
        <v>18.420000000000002</v>
      </c>
      <c r="G409" s="10">
        <v>82.6099999999999</v>
      </c>
      <c r="H409" s="10">
        <v>523.79999999999905</v>
      </c>
      <c r="I409" s="10">
        <v>8.9829999999999896E-2</v>
      </c>
      <c r="J409" s="10">
        <v>3.7659999999999902E-2</v>
      </c>
      <c r="K409" s="10">
        <v>2.562E-2</v>
      </c>
      <c r="L409" s="10">
        <v>2.9229999999999898E-2</v>
      </c>
      <c r="M409" s="10">
        <v>0.1467</v>
      </c>
      <c r="N409" s="10">
        <v>5.8630000000000002E-2</v>
      </c>
      <c r="O409" s="10">
        <v>0.18390000000000001</v>
      </c>
      <c r="P409" s="10">
        <v>2.3420000000000001</v>
      </c>
      <c r="Q409" s="10">
        <v>1.1699999999999899</v>
      </c>
      <c r="R409" s="10">
        <v>14.16</v>
      </c>
      <c r="S409" s="10">
        <v>4.352E-3</v>
      </c>
      <c r="T409" s="10">
        <v>4.8989999999999902E-3</v>
      </c>
      <c r="U409" s="10">
        <v>1.34299999999999E-2</v>
      </c>
      <c r="V409" s="10">
        <v>1.16399999999999E-2</v>
      </c>
      <c r="W409" s="10">
        <v>2.6710000000000001E-2</v>
      </c>
      <c r="X409" s="10">
        <v>1.77699999999999E-3</v>
      </c>
      <c r="Y409" s="10">
        <v>13.3</v>
      </c>
      <c r="Z409" s="10">
        <v>22.809999999999899</v>
      </c>
      <c r="AA409" s="10">
        <v>84.459999999999894</v>
      </c>
      <c r="AB409" s="10">
        <v>545.89999999999895</v>
      </c>
      <c r="AC409" s="10">
        <v>9.7009999999999902E-2</v>
      </c>
      <c r="AD409" s="10">
        <v>4.6190000000000002E-2</v>
      </c>
      <c r="AE409" s="10">
        <v>4.8329999999999901E-2</v>
      </c>
      <c r="AF409" s="10">
        <v>5.0130000000000001E-2</v>
      </c>
      <c r="AG409" s="10">
        <v>0.19869999999999899</v>
      </c>
      <c r="AH409">
        <v>6.1690000000000002E-2</v>
      </c>
    </row>
    <row r="410" spans="3:34">
      <c r="C410" s="11" t="s">
        <v>238</v>
      </c>
      <c r="D410" s="10" t="s">
        <v>1</v>
      </c>
      <c r="E410" s="10">
        <v>13.71</v>
      </c>
      <c r="F410" s="10">
        <v>12.84</v>
      </c>
      <c r="G410" s="10">
        <v>74.34</v>
      </c>
      <c r="H410" s="10">
        <v>412.6</v>
      </c>
      <c r="I410" s="10">
        <v>8.9829999999999896E-2</v>
      </c>
      <c r="J410" s="10">
        <v>7.52499999999999E-2</v>
      </c>
      <c r="K410" s="10">
        <v>4.19599999999999E-2</v>
      </c>
      <c r="L410" s="10">
        <v>3.3500000000000002E-2</v>
      </c>
      <c r="M410" s="10">
        <v>0.16200000000000001</v>
      </c>
      <c r="N410" s="10">
        <v>6.5820000000000004E-2</v>
      </c>
      <c r="O410" s="10">
        <v>0.23150000000000001</v>
      </c>
      <c r="P410" s="10">
        <v>0.53910000000000002</v>
      </c>
      <c r="Q410" s="10">
        <v>1.4750000000000001</v>
      </c>
      <c r="R410" s="10">
        <v>15.75</v>
      </c>
      <c r="S410" s="10">
        <v>6.1529999999999901E-3</v>
      </c>
      <c r="T410" s="10">
        <v>1.32999999999999E-2</v>
      </c>
      <c r="U410" s="10">
        <v>1.6930000000000001E-2</v>
      </c>
      <c r="V410" s="10">
        <v>6.8840000000000004E-3</v>
      </c>
      <c r="W410" s="10">
        <v>1.651E-2</v>
      </c>
      <c r="X410" s="10">
        <v>2.5509999999999899E-3</v>
      </c>
      <c r="Y410" s="10">
        <v>13.06</v>
      </c>
      <c r="Z410" s="10">
        <v>17.16</v>
      </c>
      <c r="AA410" s="10">
        <v>82.959999999999894</v>
      </c>
      <c r="AB410" s="10">
        <v>512.5</v>
      </c>
      <c r="AC410" s="10">
        <v>0.1431</v>
      </c>
      <c r="AD410" s="10">
        <v>0.18509999999999899</v>
      </c>
      <c r="AE410" s="10">
        <v>0.19220000000000001</v>
      </c>
      <c r="AF410" s="10">
        <v>8.4489999999999899E-2</v>
      </c>
      <c r="AG410" s="10">
        <v>0.2772</v>
      </c>
      <c r="AH410">
        <v>8.7559999999999902E-2</v>
      </c>
    </row>
    <row r="411" spans="3:34">
      <c r="C411" s="11" t="s">
        <v>387</v>
      </c>
      <c r="D411" s="10" t="s">
        <v>1</v>
      </c>
      <c r="E411" s="10">
        <v>13.71</v>
      </c>
      <c r="F411" s="10">
        <v>14.1099999999999</v>
      </c>
      <c r="G411" s="10">
        <v>84.95</v>
      </c>
      <c r="H411" s="10">
        <v>512.20000000000005</v>
      </c>
      <c r="I411" s="10">
        <v>8.75999999999999E-2</v>
      </c>
      <c r="J411" s="10">
        <v>0.1346</v>
      </c>
      <c r="K411" s="10">
        <v>0.137399999999999</v>
      </c>
      <c r="L411" s="10">
        <v>3.9800000000000002E-2</v>
      </c>
      <c r="M411" s="10">
        <v>0.15959999999999899</v>
      </c>
      <c r="N411" s="10">
        <v>6.4089999999999897E-2</v>
      </c>
      <c r="O411" s="10">
        <v>0.20250000000000001</v>
      </c>
      <c r="P411" s="10">
        <v>0.44019999999999898</v>
      </c>
      <c r="Q411" s="10">
        <v>2.39299999999999</v>
      </c>
      <c r="R411" s="10">
        <v>16.350000000000001</v>
      </c>
      <c r="S411" s="10">
        <v>5.5009999999999903E-3</v>
      </c>
      <c r="T411" s="10">
        <v>5.59199999999999E-2</v>
      </c>
      <c r="U411" s="10">
        <v>8.158E-2</v>
      </c>
      <c r="V411" s="10">
        <v>1.37E-2</v>
      </c>
      <c r="W411" s="10">
        <v>1.26599999999999E-2</v>
      </c>
      <c r="X411" s="10">
        <v>7.5550000000000001E-3</v>
      </c>
      <c r="Y411" s="10">
        <v>14.39</v>
      </c>
      <c r="Z411" s="10">
        <v>17.6999999999999</v>
      </c>
      <c r="AA411" s="10">
        <v>105</v>
      </c>
      <c r="AB411" s="10">
        <v>639.1</v>
      </c>
      <c r="AC411" s="10">
        <v>0.12540000000000001</v>
      </c>
      <c r="AD411" s="10">
        <v>0.58489999999999898</v>
      </c>
      <c r="AE411" s="10">
        <v>0.77270000000000005</v>
      </c>
      <c r="AF411" s="10">
        <v>0.15609999999999899</v>
      </c>
      <c r="AG411" s="10">
        <v>0.26390000000000002</v>
      </c>
      <c r="AH411">
        <v>0.1178</v>
      </c>
    </row>
    <row r="412" spans="3:34">
      <c r="C412" s="11" t="s">
        <v>579</v>
      </c>
      <c r="D412" s="10" t="s">
        <v>1</v>
      </c>
      <c r="E412" s="10">
        <v>13.71</v>
      </c>
      <c r="F412" s="10">
        <v>15.66</v>
      </c>
      <c r="G412" s="10">
        <v>89.59</v>
      </c>
      <c r="H412" s="10">
        <v>606.5</v>
      </c>
      <c r="I412" s="10">
        <v>7.9659999999999898E-2</v>
      </c>
      <c r="J412" s="10">
        <v>5.5809999999999901E-2</v>
      </c>
      <c r="K412" s="10">
        <v>2.087E-2</v>
      </c>
      <c r="L412" s="10">
        <v>2.6519999999999901E-2</v>
      </c>
      <c r="M412" s="10">
        <v>0.15890000000000001</v>
      </c>
      <c r="N412" s="10">
        <v>5.586E-2</v>
      </c>
      <c r="O412" s="10">
        <v>0.2142</v>
      </c>
      <c r="P412" s="10">
        <v>0.65490000000000004</v>
      </c>
      <c r="Q412" s="10">
        <v>1.6060000000000001</v>
      </c>
      <c r="R412" s="10">
        <v>19.25</v>
      </c>
      <c r="S412" s="10">
        <v>4.8370000000000002E-3</v>
      </c>
      <c r="T412" s="10">
        <v>9.2379999999999893E-3</v>
      </c>
      <c r="U412" s="10">
        <v>9.2130000000000007E-3</v>
      </c>
      <c r="V412" s="10">
        <v>1.076E-2</v>
      </c>
      <c r="W412" s="10">
        <v>1.171E-2</v>
      </c>
      <c r="X412" s="10">
        <v>2.104E-3</v>
      </c>
      <c r="Y412" s="10">
        <v>14.91</v>
      </c>
      <c r="Z412" s="10">
        <v>19.309999999999899</v>
      </c>
      <c r="AA412" s="10">
        <v>96.53</v>
      </c>
      <c r="AB412" s="10">
        <v>688.89999999999895</v>
      </c>
      <c r="AC412" s="10">
        <v>0.10340000000000001</v>
      </c>
      <c r="AD412" s="10">
        <v>0.1017</v>
      </c>
      <c r="AE412" s="10">
        <v>6.2600000000000003E-2</v>
      </c>
      <c r="AF412" s="10">
        <v>8.21599999999999E-2</v>
      </c>
      <c r="AG412" s="10">
        <v>0.21360000000000001</v>
      </c>
      <c r="AH412">
        <v>6.7100000000000007E-2</v>
      </c>
    </row>
    <row r="413" spans="3:34">
      <c r="C413" s="11" t="s">
        <v>277</v>
      </c>
      <c r="D413" s="10" t="s">
        <v>1</v>
      </c>
      <c r="E413" s="10">
        <v>13.71</v>
      </c>
      <c r="F413" s="10">
        <v>15.39</v>
      </c>
      <c r="G413" s="10">
        <v>73.06</v>
      </c>
      <c r="H413" s="10">
        <v>399.8</v>
      </c>
      <c r="I413" s="10">
        <v>9.6390000000000003E-2</v>
      </c>
      <c r="J413" s="10">
        <v>6.8890000000000007E-2</v>
      </c>
      <c r="K413" s="10">
        <v>3.5029999999999901E-2</v>
      </c>
      <c r="L413" s="10">
        <v>2.8750000000000001E-2</v>
      </c>
      <c r="M413" s="10">
        <v>0.1734</v>
      </c>
      <c r="N413" s="10">
        <v>5.8650000000000001E-2</v>
      </c>
      <c r="O413" s="10">
        <v>0.1759</v>
      </c>
      <c r="P413" s="10">
        <v>0.99380000000000002</v>
      </c>
      <c r="Q413" s="10">
        <v>1.143</v>
      </c>
      <c r="R413" s="10">
        <v>12.67</v>
      </c>
      <c r="S413" s="10">
        <v>5.1330000000000004E-3</v>
      </c>
      <c r="T413" s="10">
        <v>1.521E-2</v>
      </c>
      <c r="U413" s="10">
        <v>1.434E-2</v>
      </c>
      <c r="V413" s="10">
        <v>8.6020000000000003E-3</v>
      </c>
      <c r="W413" s="10">
        <v>1.5010000000000001E-2</v>
      </c>
      <c r="X413" s="10">
        <v>1.588E-3</v>
      </c>
      <c r="Y413" s="10">
        <v>12.32</v>
      </c>
      <c r="Z413" s="10">
        <v>22.02</v>
      </c>
      <c r="AA413" s="10">
        <v>79.930000000000007</v>
      </c>
      <c r="AB413" s="10">
        <v>462</v>
      </c>
      <c r="AC413" s="10">
        <v>0.118999999999999</v>
      </c>
      <c r="AD413" s="10">
        <v>0.1648</v>
      </c>
      <c r="AE413" s="10">
        <v>0.1399</v>
      </c>
      <c r="AF413" s="10">
        <v>8.4760000000000002E-2</v>
      </c>
      <c r="AG413" s="10">
        <v>0.2676</v>
      </c>
      <c r="AH413">
        <v>6.7650000000000002E-2</v>
      </c>
    </row>
    <row r="414" spans="3:34">
      <c r="C414" s="11" t="s">
        <v>283</v>
      </c>
      <c r="D414" s="10" t="s">
        <v>1</v>
      </c>
      <c r="E414" s="10">
        <v>13.71</v>
      </c>
      <c r="F414" s="10">
        <v>15.92</v>
      </c>
      <c r="G414" s="10">
        <v>83.739999999999895</v>
      </c>
      <c r="H414" s="10">
        <v>512.20000000000005</v>
      </c>
      <c r="I414" s="10">
        <v>8.677E-2</v>
      </c>
      <c r="J414" s="10">
        <v>9.5089999999999897E-2</v>
      </c>
      <c r="K414" s="10">
        <v>4.89399999999999E-2</v>
      </c>
      <c r="L414" s="10">
        <v>3.0880000000000001E-2</v>
      </c>
      <c r="M414" s="10">
        <v>0.17780000000000001</v>
      </c>
      <c r="N414" s="10">
        <v>6.2350000000000003E-2</v>
      </c>
      <c r="O414" s="10">
        <v>0.21429999999999899</v>
      </c>
      <c r="P414" s="10">
        <v>0.7712</v>
      </c>
      <c r="Q414" s="10">
        <v>1.6890000000000001</v>
      </c>
      <c r="R414" s="10">
        <v>16.64</v>
      </c>
      <c r="S414" s="10">
        <v>5.3239999999999902E-3</v>
      </c>
      <c r="T414" s="10">
        <v>1.5630000000000002E-2</v>
      </c>
      <c r="U414" s="10">
        <v>1.5100000000000001E-2</v>
      </c>
      <c r="V414" s="10">
        <v>7.5839999999999901E-3</v>
      </c>
      <c r="W414" s="10">
        <v>2.104E-2</v>
      </c>
      <c r="X414" s="10">
        <v>1.887E-3</v>
      </c>
      <c r="Y414" s="10">
        <v>14.48</v>
      </c>
      <c r="Z414" s="10">
        <v>21.82</v>
      </c>
      <c r="AA414" s="10">
        <v>97.17</v>
      </c>
      <c r="AB414" s="10">
        <v>643.79999999999905</v>
      </c>
      <c r="AC414" s="10">
        <v>0.13120000000000001</v>
      </c>
      <c r="AD414" s="10">
        <v>0.25480000000000003</v>
      </c>
      <c r="AE414" s="10">
        <v>0.20899999999999899</v>
      </c>
      <c r="AF414" s="10">
        <v>0.1012</v>
      </c>
      <c r="AG414" s="10">
        <v>0.35489999999999899</v>
      </c>
      <c r="AH414">
        <v>8.1180000000000002E-2</v>
      </c>
    </row>
    <row r="415" spans="3:34">
      <c r="C415" s="11" t="s">
        <v>390</v>
      </c>
      <c r="D415" s="10" t="s">
        <v>0</v>
      </c>
      <c r="E415" s="10">
        <v>13.71</v>
      </c>
      <c r="F415" s="10">
        <v>23.559999999999899</v>
      </c>
      <c r="G415" s="10">
        <v>138.9</v>
      </c>
      <c r="H415" s="10">
        <v>1364</v>
      </c>
      <c r="I415" s="10">
        <v>0.1007</v>
      </c>
      <c r="J415" s="10">
        <v>0.16059999999999899</v>
      </c>
      <c r="K415" s="10">
        <v>0.2712</v>
      </c>
      <c r="L415" s="10">
        <v>0.13100000000000001</v>
      </c>
      <c r="M415" s="10">
        <v>0.2205</v>
      </c>
      <c r="N415" s="10">
        <v>5.8979999999999901E-2</v>
      </c>
      <c r="O415" s="10">
        <v>1.004</v>
      </c>
      <c r="P415" s="10">
        <v>0.82079999999999897</v>
      </c>
      <c r="Q415" s="10">
        <v>6.3719999999999901</v>
      </c>
      <c r="R415" s="10">
        <v>137.9</v>
      </c>
      <c r="S415" s="10">
        <v>5.2830000000000004E-3</v>
      </c>
      <c r="T415" s="10">
        <v>3.90799999999999E-2</v>
      </c>
      <c r="U415" s="10">
        <v>9.5180000000000001E-2</v>
      </c>
      <c r="V415" s="10">
        <v>1.864E-2</v>
      </c>
      <c r="W415" s="10">
        <v>2.401E-2</v>
      </c>
      <c r="X415" s="10">
        <v>5.0020000000000004E-3</v>
      </c>
      <c r="Y415" s="10">
        <v>25.579999999999899</v>
      </c>
      <c r="Z415" s="10">
        <v>27</v>
      </c>
      <c r="AA415" s="10">
        <v>165.3</v>
      </c>
      <c r="AB415" s="10">
        <v>2010</v>
      </c>
      <c r="AC415" s="10">
        <v>0.1211</v>
      </c>
      <c r="AD415" s="10">
        <v>0.31719999999999898</v>
      </c>
      <c r="AE415" s="10">
        <v>0.69910000000000005</v>
      </c>
      <c r="AF415" s="10">
        <v>0.21049999999999899</v>
      </c>
      <c r="AG415" s="10">
        <v>0.31259999999999899</v>
      </c>
      <c r="AH415">
        <v>7.8490000000000004E-2</v>
      </c>
    </row>
    <row r="416" spans="3:34">
      <c r="C416" s="11" t="s">
        <v>472</v>
      </c>
      <c r="D416" s="10" t="s">
        <v>1</v>
      </c>
      <c r="E416" s="10">
        <v>13.71</v>
      </c>
      <c r="F416" s="10">
        <v>19.8599999999999</v>
      </c>
      <c r="G416" s="10">
        <v>71.939999999999898</v>
      </c>
      <c r="H416" s="10">
        <v>387.3</v>
      </c>
      <c r="I416" s="10">
        <v>0.10539999999999899</v>
      </c>
      <c r="J416" s="10">
        <v>6.7790000000000003E-2</v>
      </c>
      <c r="K416" s="10">
        <v>5.006E-3</v>
      </c>
      <c r="L416" s="10">
        <v>7.5830000000000003E-3</v>
      </c>
      <c r="M416" s="10">
        <v>0.19400000000000001</v>
      </c>
      <c r="N416" s="10">
        <v>6.028E-2</v>
      </c>
      <c r="O416" s="10">
        <v>0.29759999999999898</v>
      </c>
      <c r="P416" s="10">
        <v>1.966</v>
      </c>
      <c r="Q416" s="10">
        <v>1.9590000000000001</v>
      </c>
      <c r="R416" s="10">
        <v>19.62</v>
      </c>
      <c r="S416" s="10">
        <v>1.289E-2</v>
      </c>
      <c r="T416" s="10">
        <v>1.1039999999999901E-2</v>
      </c>
      <c r="U416" s="10">
        <v>3.297E-3</v>
      </c>
      <c r="V416" s="10">
        <v>4.9670000000000001E-3</v>
      </c>
      <c r="W416" s="10">
        <v>4.2430000000000002E-2</v>
      </c>
      <c r="X416" s="10">
        <v>1.9629999999999899E-3</v>
      </c>
      <c r="Y416" s="10">
        <v>11.98</v>
      </c>
      <c r="Z416" s="10">
        <v>25.78</v>
      </c>
      <c r="AA416" s="10">
        <v>76.909999999999897</v>
      </c>
      <c r="AB416" s="10">
        <v>436.1</v>
      </c>
      <c r="AC416" s="10">
        <v>0.1424</v>
      </c>
      <c r="AD416" s="10">
        <v>9.6689999999999901E-2</v>
      </c>
      <c r="AE416" s="10">
        <v>1.3350000000000001E-2</v>
      </c>
      <c r="AF416" s="10">
        <v>2.0219999999999901E-2</v>
      </c>
      <c r="AG416" s="10">
        <v>0.32919999999999899</v>
      </c>
      <c r="AH416">
        <v>6.522E-2</v>
      </c>
    </row>
    <row r="417" spans="3:34">
      <c r="C417" s="11" t="s">
        <v>170</v>
      </c>
      <c r="D417" s="10" t="s">
        <v>0</v>
      </c>
      <c r="E417" s="10">
        <v>13.71</v>
      </c>
      <c r="F417" s="10">
        <v>25.1099999999999</v>
      </c>
      <c r="G417" s="10">
        <v>124.8</v>
      </c>
      <c r="H417" s="10">
        <v>1088</v>
      </c>
      <c r="I417" s="10">
        <v>0.106399999999999</v>
      </c>
      <c r="J417" s="10">
        <v>0.18870000000000001</v>
      </c>
      <c r="K417" s="10">
        <v>0.2319</v>
      </c>
      <c r="L417" s="10">
        <v>0.1244</v>
      </c>
      <c r="M417" s="10">
        <v>0.21829999999999899</v>
      </c>
      <c r="N417" s="10">
        <v>6.19699999999999E-2</v>
      </c>
      <c r="O417" s="10">
        <v>0.83069999999999899</v>
      </c>
      <c r="P417" s="10">
        <v>1.466</v>
      </c>
      <c r="Q417" s="10">
        <v>5.5739999999999901</v>
      </c>
      <c r="R417" s="10">
        <v>105</v>
      </c>
      <c r="S417" s="10">
        <v>6.2480000000000001E-3</v>
      </c>
      <c r="T417" s="10">
        <v>3.3739999999999902E-2</v>
      </c>
      <c r="U417" s="10">
        <v>5.1959999999999902E-2</v>
      </c>
      <c r="V417" s="10">
        <v>1.158E-2</v>
      </c>
      <c r="W417" s="10">
        <v>2.0070000000000001E-2</v>
      </c>
      <c r="X417" s="10">
        <v>4.5599999999999903E-3</v>
      </c>
      <c r="Y417" s="10">
        <v>23.149999999999899</v>
      </c>
      <c r="Z417" s="10">
        <v>34.009999999999899</v>
      </c>
      <c r="AA417" s="10">
        <v>160.5</v>
      </c>
      <c r="AB417" s="10">
        <v>1670</v>
      </c>
      <c r="AC417" s="10">
        <v>0.14910000000000001</v>
      </c>
      <c r="AD417" s="10">
        <v>0.42570000000000002</v>
      </c>
      <c r="AE417" s="10">
        <v>0.61329999999999896</v>
      </c>
      <c r="AF417" s="10">
        <v>0.18479999999999899</v>
      </c>
      <c r="AG417" s="10">
        <v>0.34439999999999898</v>
      </c>
      <c r="AH417">
        <v>9.7820000000000004E-2</v>
      </c>
    </row>
    <row r="418" spans="3:34">
      <c r="C418" s="11" t="s">
        <v>612</v>
      </c>
      <c r="D418" s="10" t="s">
        <v>1</v>
      </c>
      <c r="E418" s="10">
        <v>13.71</v>
      </c>
      <c r="F418" s="10">
        <v>14.93</v>
      </c>
      <c r="G418" s="10">
        <v>96.45</v>
      </c>
      <c r="H418" s="10">
        <v>686.89999999999895</v>
      </c>
      <c r="I418" s="10">
        <v>8.0979999999999899E-2</v>
      </c>
      <c r="J418" s="10">
        <v>8.5489999999999899E-2</v>
      </c>
      <c r="K418" s="10">
        <v>5.5390000000000002E-2</v>
      </c>
      <c r="L418" s="10">
        <v>3.2210000000000003E-2</v>
      </c>
      <c r="M418" s="10">
        <v>0.16869999999999899</v>
      </c>
      <c r="N418" s="10">
        <v>5.66899999999999E-2</v>
      </c>
      <c r="O418" s="10">
        <v>0.24460000000000001</v>
      </c>
      <c r="P418" s="10">
        <v>0.43340000000000001</v>
      </c>
      <c r="Q418" s="10">
        <v>1.8260000000000001</v>
      </c>
      <c r="R418" s="10">
        <v>23.309999999999899</v>
      </c>
      <c r="S418" s="10">
        <v>3.271E-3</v>
      </c>
      <c r="T418" s="10">
        <v>1.77E-2</v>
      </c>
      <c r="U418" s="10">
        <v>2.3099999999999898E-2</v>
      </c>
      <c r="V418" s="10">
        <v>8.3990000000000002E-3</v>
      </c>
      <c r="W418" s="10">
        <v>1.1480000000000001E-2</v>
      </c>
      <c r="X418" s="10">
        <v>2.379E-3</v>
      </c>
      <c r="Y418" s="10">
        <v>17.18</v>
      </c>
      <c r="Z418" s="10">
        <v>18.219999999999899</v>
      </c>
      <c r="AA418" s="10">
        <v>112</v>
      </c>
      <c r="AB418" s="10">
        <v>906.6</v>
      </c>
      <c r="AC418" s="10">
        <v>0.1065</v>
      </c>
      <c r="AD418" s="10">
        <v>0.27910000000000001</v>
      </c>
      <c r="AE418" s="10">
        <v>0.31509999999999899</v>
      </c>
      <c r="AF418" s="10">
        <v>0.1147</v>
      </c>
      <c r="AG418" s="10">
        <v>0.26879999999999898</v>
      </c>
      <c r="AH418">
        <v>8.2729999999999901E-2</v>
      </c>
    </row>
    <row r="419" spans="3:34">
      <c r="C419" s="11" t="s">
        <v>631</v>
      </c>
      <c r="D419" s="10" t="s">
        <v>1</v>
      </c>
      <c r="E419" s="10">
        <v>13.71</v>
      </c>
      <c r="F419" s="10">
        <v>13.23</v>
      </c>
      <c r="G419" s="10">
        <v>114.599999999999</v>
      </c>
      <c r="H419" s="10">
        <v>992.1</v>
      </c>
      <c r="I419" s="10">
        <v>7.8380000000000005E-2</v>
      </c>
      <c r="J419" s="10">
        <v>6.2170000000000003E-2</v>
      </c>
      <c r="K419" s="10">
        <v>4.4450000000000003E-2</v>
      </c>
      <c r="L419" s="10">
        <v>4.1779999999999901E-2</v>
      </c>
      <c r="M419" s="10">
        <v>0.122</v>
      </c>
      <c r="N419" s="10">
        <v>5.24299999999999E-2</v>
      </c>
      <c r="O419" s="10">
        <v>0.4834</v>
      </c>
      <c r="P419" s="10">
        <v>1.046</v>
      </c>
      <c r="Q419" s="10">
        <v>3.16299999999999</v>
      </c>
      <c r="R419" s="10">
        <v>50.95</v>
      </c>
      <c r="S419" s="10">
        <v>4.3689999999999901E-3</v>
      </c>
      <c r="T419" s="10">
        <v>8.2740000000000001E-3</v>
      </c>
      <c r="U419" s="10">
        <v>1.153E-2</v>
      </c>
      <c r="V419" s="10">
        <v>7.437E-3</v>
      </c>
      <c r="W419" s="10">
        <v>1.302E-2</v>
      </c>
      <c r="X419" s="10">
        <v>1.3090000000000001E-3</v>
      </c>
      <c r="Y419" s="10">
        <v>19.82</v>
      </c>
      <c r="Z419" s="10">
        <v>18.420000000000002</v>
      </c>
      <c r="AA419" s="10">
        <v>127.099999999999</v>
      </c>
      <c r="AB419" s="10">
        <v>1210</v>
      </c>
      <c r="AC419" s="10">
        <v>9.8619999999999902E-2</v>
      </c>
      <c r="AD419" s="10">
        <v>9.9760000000000001E-2</v>
      </c>
      <c r="AE419" s="10">
        <v>0.1048</v>
      </c>
      <c r="AF419" s="10">
        <v>8.3409999999999901E-2</v>
      </c>
      <c r="AG419" s="10">
        <v>0.17829999999999899</v>
      </c>
      <c r="AH419">
        <v>5.8709999999999901E-2</v>
      </c>
    </row>
    <row r="420" spans="3:34">
      <c r="C420" s="11" t="s">
        <v>708</v>
      </c>
      <c r="D420" s="10" t="s">
        <v>1</v>
      </c>
      <c r="E420" s="10">
        <v>13.71</v>
      </c>
      <c r="F420" s="10">
        <v>24.5399999999999</v>
      </c>
      <c r="G420" s="10">
        <v>47.92</v>
      </c>
      <c r="H420" s="10">
        <v>181</v>
      </c>
      <c r="I420" s="10">
        <v>5.2630000000000003E-2</v>
      </c>
      <c r="J420" s="10">
        <v>4.3619999999999902E-2</v>
      </c>
      <c r="K420" s="10">
        <v>0</v>
      </c>
      <c r="L420" s="10">
        <v>0</v>
      </c>
      <c r="M420" s="10">
        <v>0.15870000000000001</v>
      </c>
      <c r="N420" s="10">
        <v>5.8840000000000003E-2</v>
      </c>
      <c r="O420" s="10">
        <v>0.38569999999999899</v>
      </c>
      <c r="P420" s="10">
        <v>1.4279999999999899</v>
      </c>
      <c r="Q420" s="10">
        <v>2.548</v>
      </c>
      <c r="R420" s="10">
        <v>19.149999999999899</v>
      </c>
      <c r="S420" s="10">
        <v>7.1890000000000001E-3</v>
      </c>
      <c r="T420" s="10">
        <v>4.6600000000000001E-3</v>
      </c>
      <c r="U420" s="10">
        <v>0</v>
      </c>
      <c r="V420" s="10">
        <v>0</v>
      </c>
      <c r="W420" s="10">
        <v>2.6759999999999898E-2</v>
      </c>
      <c r="X420" s="10">
        <v>2.7829999999999899E-3</v>
      </c>
      <c r="Y420" s="10">
        <v>9.4559999999999906</v>
      </c>
      <c r="Z420" s="10">
        <v>30.37</v>
      </c>
      <c r="AA420" s="10">
        <v>59.159999999999897</v>
      </c>
      <c r="AB420" s="10">
        <v>268.60000000000002</v>
      </c>
      <c r="AC420" s="10">
        <v>8.9959999999999901E-2</v>
      </c>
      <c r="AD420" s="10">
        <v>6.44399999999999E-2</v>
      </c>
      <c r="AE420" s="10">
        <v>0</v>
      </c>
      <c r="AF420" s="10">
        <v>0</v>
      </c>
      <c r="AG420" s="10">
        <v>0.28710000000000002</v>
      </c>
      <c r="AH420">
        <v>7.0389999999999897E-2</v>
      </c>
    </row>
    <row r="421" spans="3:34">
      <c r="C421" s="11" t="s">
        <v>166</v>
      </c>
      <c r="D421" s="10" t="s">
        <v>0</v>
      </c>
      <c r="E421" s="10">
        <v>13.71</v>
      </c>
      <c r="F421" s="10">
        <v>21.53</v>
      </c>
      <c r="G421" s="10">
        <v>97.409999999999897</v>
      </c>
      <c r="H421" s="10">
        <v>644.79999999999905</v>
      </c>
      <c r="I421" s="10">
        <v>0.10539999999999899</v>
      </c>
      <c r="J421" s="10">
        <v>0.18679999999999899</v>
      </c>
      <c r="K421" s="10">
        <v>0.14249999999999899</v>
      </c>
      <c r="L421" s="10">
        <v>8.7830000000000005E-2</v>
      </c>
      <c r="M421" s="10">
        <v>0.22520000000000001</v>
      </c>
      <c r="N421" s="10">
        <v>6.9239999999999899E-2</v>
      </c>
      <c r="O421" s="10">
        <v>0.2545</v>
      </c>
      <c r="P421" s="10">
        <v>0.98319999999999896</v>
      </c>
      <c r="Q421" s="10">
        <v>2.1099999999999901</v>
      </c>
      <c r="R421" s="10">
        <v>21.05</v>
      </c>
      <c r="S421" s="10">
        <v>4.4520000000000002E-3</v>
      </c>
      <c r="T421" s="10">
        <v>3.0550000000000001E-2</v>
      </c>
      <c r="U421" s="10">
        <v>2.681E-2</v>
      </c>
      <c r="V421" s="10">
        <v>1.3520000000000001E-2</v>
      </c>
      <c r="W421" s="10">
        <v>1.4540000000000001E-2</v>
      </c>
      <c r="X421" s="10">
        <v>3.7109999999999899E-3</v>
      </c>
      <c r="Y421" s="10">
        <v>17.62</v>
      </c>
      <c r="Z421" s="10">
        <v>33.21</v>
      </c>
      <c r="AA421" s="10">
        <v>122.4</v>
      </c>
      <c r="AB421" s="10">
        <v>896.89999999999895</v>
      </c>
      <c r="AC421" s="10">
        <v>0.1525</v>
      </c>
      <c r="AD421" s="10">
        <v>0.6643</v>
      </c>
      <c r="AE421" s="10">
        <v>0.55389999999999895</v>
      </c>
      <c r="AF421" s="10">
        <v>0.27010000000000001</v>
      </c>
      <c r="AG421" s="10">
        <v>0.4264</v>
      </c>
      <c r="AH421">
        <v>0.1275</v>
      </c>
    </row>
    <row r="422" spans="3:34">
      <c r="C422" s="11" t="s">
        <v>493</v>
      </c>
      <c r="D422" s="10" t="s">
        <v>0</v>
      </c>
      <c r="E422" s="10">
        <v>13.71</v>
      </c>
      <c r="F422" s="10">
        <v>25.739999999999899</v>
      </c>
      <c r="G422" s="10">
        <v>98</v>
      </c>
      <c r="H422" s="10">
        <v>716.6</v>
      </c>
      <c r="I422" s="10">
        <v>0.1024</v>
      </c>
      <c r="J422" s="10">
        <v>9.7689999999999902E-2</v>
      </c>
      <c r="K422" s="10">
        <v>0.1235</v>
      </c>
      <c r="L422" s="10">
        <v>6.5530000000000005E-2</v>
      </c>
      <c r="M422" s="10">
        <v>0.16470000000000001</v>
      </c>
      <c r="N422" s="10">
        <v>6.4640000000000003E-2</v>
      </c>
      <c r="O422" s="10">
        <v>0.65339999999999898</v>
      </c>
      <c r="P422" s="10">
        <v>1.506</v>
      </c>
      <c r="Q422" s="10">
        <v>4.1740000000000004</v>
      </c>
      <c r="R422" s="10">
        <v>63.369999999999898</v>
      </c>
      <c r="S422" s="10">
        <v>1.052E-2</v>
      </c>
      <c r="T422" s="10">
        <v>2.4309999999999901E-2</v>
      </c>
      <c r="U422" s="10">
        <v>4.91199999999999E-2</v>
      </c>
      <c r="V422" s="10">
        <v>1.746E-2</v>
      </c>
      <c r="W422" s="10">
        <v>2.12E-2</v>
      </c>
      <c r="X422" s="10">
        <v>4.8669999999999903E-3</v>
      </c>
      <c r="Y422" s="10">
        <v>18.510000000000002</v>
      </c>
      <c r="Z422" s="10">
        <v>33.219999999999899</v>
      </c>
      <c r="AA422" s="10">
        <v>121.2</v>
      </c>
      <c r="AB422" s="10">
        <v>1050</v>
      </c>
      <c r="AC422" s="10">
        <v>0.16600000000000001</v>
      </c>
      <c r="AD422" s="10">
        <v>0.2356</v>
      </c>
      <c r="AE422" s="10">
        <v>0.40289999999999898</v>
      </c>
      <c r="AF422" s="10">
        <v>0.15260000000000001</v>
      </c>
      <c r="AG422" s="10">
        <v>0.26540000000000002</v>
      </c>
      <c r="AH422">
        <v>9.4380000000000006E-2</v>
      </c>
    </row>
    <row r="423" spans="3:34">
      <c r="C423" s="11" t="s">
        <v>233</v>
      </c>
      <c r="D423" s="10" t="s">
        <v>1</v>
      </c>
      <c r="E423" s="10">
        <v>13.71</v>
      </c>
      <c r="F423" s="10">
        <v>18.3</v>
      </c>
      <c r="G423" s="10">
        <v>86.599999999999895</v>
      </c>
      <c r="H423" s="10">
        <v>555.1</v>
      </c>
      <c r="I423" s="10">
        <v>0.1022</v>
      </c>
      <c r="J423" s="10">
        <v>8.165E-2</v>
      </c>
      <c r="K423" s="10">
        <v>3.97399999999999E-2</v>
      </c>
      <c r="L423" s="10">
        <v>2.7799999999999901E-2</v>
      </c>
      <c r="M423" s="10">
        <v>0.1638</v>
      </c>
      <c r="N423" s="10">
        <v>5.7099999999999901E-2</v>
      </c>
      <c r="O423" s="10">
        <v>0.29499999999999899</v>
      </c>
      <c r="P423" s="10">
        <v>1.373</v>
      </c>
      <c r="Q423" s="10">
        <v>2.0990000000000002</v>
      </c>
      <c r="R423" s="10">
        <v>25.219999999999899</v>
      </c>
      <c r="S423" s="10">
        <v>5.8840000000000003E-3</v>
      </c>
      <c r="T423" s="10">
        <v>1.491E-2</v>
      </c>
      <c r="U423" s="10">
        <v>1.8720000000000001E-2</v>
      </c>
      <c r="V423" s="10">
        <v>9.3659999999999907E-3</v>
      </c>
      <c r="W423" s="10">
        <v>1.8839999999999898E-2</v>
      </c>
      <c r="X423" s="10">
        <v>1.817E-3</v>
      </c>
      <c r="Y423" s="10">
        <v>15.1</v>
      </c>
      <c r="Z423" s="10">
        <v>25.94</v>
      </c>
      <c r="AA423" s="10">
        <v>97.59</v>
      </c>
      <c r="AB423" s="10">
        <v>699.39999999999895</v>
      </c>
      <c r="AC423" s="10">
        <v>0.13389999999999899</v>
      </c>
      <c r="AD423" s="10">
        <v>0.17510000000000001</v>
      </c>
      <c r="AE423" s="10">
        <v>0.1381</v>
      </c>
      <c r="AF423" s="10">
        <v>7.911E-2</v>
      </c>
      <c r="AG423" s="10">
        <v>0.26779999999999898</v>
      </c>
      <c r="AH423">
        <v>6.6030000000000005E-2</v>
      </c>
    </row>
    <row r="424" spans="3:34">
      <c r="C424" s="11" t="s">
        <v>680</v>
      </c>
      <c r="D424" s="10" t="s">
        <v>1</v>
      </c>
      <c r="E424" s="10">
        <v>13.71</v>
      </c>
      <c r="F424" s="10">
        <v>14.44</v>
      </c>
      <c r="G424" s="10">
        <v>74.650000000000006</v>
      </c>
      <c r="H424" s="10">
        <v>402.89999999999901</v>
      </c>
      <c r="I424" s="10">
        <v>9.9839999999999901E-2</v>
      </c>
      <c r="J424" s="10">
        <v>0.112</v>
      </c>
      <c r="K424" s="10">
        <v>6.7369999999999902E-2</v>
      </c>
      <c r="L424" s="10">
        <v>2.5940000000000001E-2</v>
      </c>
      <c r="M424" s="10">
        <v>0.18179999999999899</v>
      </c>
      <c r="N424" s="10">
        <v>6.7820000000000005E-2</v>
      </c>
      <c r="O424" s="10">
        <v>0.27839999999999898</v>
      </c>
      <c r="P424" s="10">
        <v>1.768</v>
      </c>
      <c r="Q424" s="10">
        <v>1.6279999999999899</v>
      </c>
      <c r="R424" s="10">
        <v>20.8599999999999</v>
      </c>
      <c r="S424" s="10">
        <v>1.21499999999999E-2</v>
      </c>
      <c r="T424" s="10">
        <v>4.11199999999999E-2</v>
      </c>
      <c r="U424" s="10">
        <v>5.5530000000000003E-2</v>
      </c>
      <c r="V424" s="10">
        <v>1.494E-2</v>
      </c>
      <c r="W424" s="10">
        <v>1.84E-2</v>
      </c>
      <c r="X424" s="10">
        <v>5.5120000000000004E-3</v>
      </c>
      <c r="Y424" s="10">
        <v>12.26</v>
      </c>
      <c r="Z424" s="10">
        <v>19.68</v>
      </c>
      <c r="AA424" s="10">
        <v>78.78</v>
      </c>
      <c r="AB424" s="10">
        <v>457.8</v>
      </c>
      <c r="AC424" s="10">
        <v>0.13450000000000001</v>
      </c>
      <c r="AD424" s="10">
        <v>0.21179999999999899</v>
      </c>
      <c r="AE424" s="10">
        <v>0.1797</v>
      </c>
      <c r="AF424" s="10">
        <v>6.9180000000000005E-2</v>
      </c>
      <c r="AG424" s="10">
        <v>0.2329</v>
      </c>
      <c r="AH424">
        <v>8.1339999999999898E-2</v>
      </c>
    </row>
    <row r="425" spans="3:34">
      <c r="C425" s="11" t="s">
        <v>333</v>
      </c>
      <c r="D425" s="10" t="s">
        <v>0</v>
      </c>
      <c r="E425" s="10">
        <v>13.71</v>
      </c>
      <c r="F425" s="10">
        <v>26.8599999999999</v>
      </c>
      <c r="G425" s="10">
        <v>81.150000000000006</v>
      </c>
      <c r="H425" s="10">
        <v>477.39999999999901</v>
      </c>
      <c r="I425" s="10">
        <v>0.10340000000000001</v>
      </c>
      <c r="J425" s="10">
        <v>0.1353</v>
      </c>
      <c r="K425" s="10">
        <v>0.1085</v>
      </c>
      <c r="L425" s="10">
        <v>4.5620000000000001E-2</v>
      </c>
      <c r="M425" s="10">
        <v>0.1943</v>
      </c>
      <c r="N425" s="10">
        <v>6.9370000000000001E-2</v>
      </c>
      <c r="O425" s="10">
        <v>0.40529999999999899</v>
      </c>
      <c r="P425" s="10">
        <v>1.8089999999999899</v>
      </c>
      <c r="Q425" s="10">
        <v>2.6419999999999901</v>
      </c>
      <c r="R425" s="10">
        <v>34.439999999999898</v>
      </c>
      <c r="S425" s="10">
        <v>9.0980000000000002E-3</v>
      </c>
      <c r="T425" s="10">
        <v>3.8449999999999901E-2</v>
      </c>
      <c r="U425" s="10">
        <v>3.76299999999999E-2</v>
      </c>
      <c r="V425" s="10">
        <v>1.321E-2</v>
      </c>
      <c r="W425" s="10">
        <v>1.8780000000000002E-2</v>
      </c>
      <c r="X425" s="10">
        <v>5.672E-3</v>
      </c>
      <c r="Y425" s="10">
        <v>15.65</v>
      </c>
      <c r="Z425" s="10">
        <v>39.340000000000003</v>
      </c>
      <c r="AA425" s="10">
        <v>101.7</v>
      </c>
      <c r="AB425" s="10">
        <v>768.89999999999895</v>
      </c>
      <c r="AC425" s="10">
        <v>0.17849999999999899</v>
      </c>
      <c r="AD425" s="10">
        <v>0.47060000000000002</v>
      </c>
      <c r="AE425" s="10">
        <v>0.4425</v>
      </c>
      <c r="AF425" s="10">
        <v>0.1459</v>
      </c>
      <c r="AG425" s="10">
        <v>0.32150000000000001</v>
      </c>
      <c r="AH425">
        <v>0.1205</v>
      </c>
    </row>
    <row r="426" spans="3:34">
      <c r="C426" s="11" t="s">
        <v>153</v>
      </c>
      <c r="D426" s="10" t="s">
        <v>0</v>
      </c>
      <c r="E426" s="10">
        <v>13.71</v>
      </c>
      <c r="F426" s="10">
        <v>23.9499999999999</v>
      </c>
      <c r="G426" s="10">
        <v>103.7</v>
      </c>
      <c r="H426" s="10">
        <v>782.7</v>
      </c>
      <c r="I426" s="10">
        <v>8.4010000000000001E-2</v>
      </c>
      <c r="J426" s="10">
        <v>0.1002</v>
      </c>
      <c r="K426" s="10">
        <v>9.9379999999999899E-2</v>
      </c>
      <c r="L426" s="10">
        <v>5.364E-2</v>
      </c>
      <c r="M426" s="10">
        <v>0.1847</v>
      </c>
      <c r="N426" s="10">
        <v>5.33799999999999E-2</v>
      </c>
      <c r="O426" s="10">
        <v>0.40329999999999899</v>
      </c>
      <c r="P426" s="10">
        <v>1.0780000000000001</v>
      </c>
      <c r="Q426" s="10">
        <v>2.903</v>
      </c>
      <c r="R426" s="10">
        <v>36.579999999999899</v>
      </c>
      <c r="S426" s="10">
        <v>9.7689999999999895E-3</v>
      </c>
      <c r="T426" s="10">
        <v>3.1260000000000003E-2</v>
      </c>
      <c r="U426" s="10">
        <v>5.0509999999999902E-2</v>
      </c>
      <c r="V426" s="10">
        <v>1.992E-2</v>
      </c>
      <c r="W426" s="10">
        <v>2.981E-2</v>
      </c>
      <c r="X426" s="10">
        <v>3.0019999999999899E-3</v>
      </c>
      <c r="Y426" s="10">
        <v>16.84</v>
      </c>
      <c r="Z426" s="10">
        <v>27.66</v>
      </c>
      <c r="AA426" s="10">
        <v>112</v>
      </c>
      <c r="AB426" s="10">
        <v>876.5</v>
      </c>
      <c r="AC426" s="10">
        <v>0.11310000000000001</v>
      </c>
      <c r="AD426" s="10">
        <v>0.19239999999999899</v>
      </c>
      <c r="AE426" s="10">
        <v>0.23219999999999899</v>
      </c>
      <c r="AF426" s="10">
        <v>0.1119</v>
      </c>
      <c r="AG426" s="10">
        <v>0.28089999999999898</v>
      </c>
      <c r="AH426">
        <v>6.2869999999999898E-2</v>
      </c>
    </row>
    <row r="427" spans="3:34">
      <c r="C427" s="11" t="s">
        <v>533</v>
      </c>
      <c r="D427" s="10" t="s">
        <v>0</v>
      </c>
      <c r="E427" s="10">
        <v>13.71</v>
      </c>
      <c r="F427" s="10">
        <v>22.28</v>
      </c>
      <c r="G427" s="10">
        <v>144.4</v>
      </c>
      <c r="H427" s="10">
        <v>1407</v>
      </c>
      <c r="I427" s="10">
        <v>0.1167</v>
      </c>
      <c r="J427" s="10">
        <v>0.2087</v>
      </c>
      <c r="K427" s="10">
        <v>0.28100000000000003</v>
      </c>
      <c r="L427" s="10">
        <v>0.15620000000000001</v>
      </c>
      <c r="M427" s="10">
        <v>0.2162</v>
      </c>
      <c r="N427" s="10">
        <v>6.6059999999999897E-2</v>
      </c>
      <c r="O427" s="10">
        <v>0.62419999999999898</v>
      </c>
      <c r="P427" s="10">
        <v>0.92090000000000005</v>
      </c>
      <c r="Q427" s="10">
        <v>4.1580000000000004</v>
      </c>
      <c r="R427" s="10">
        <v>80.989999999999895</v>
      </c>
      <c r="S427" s="10">
        <v>5.215E-3</v>
      </c>
      <c r="T427" s="10">
        <v>3.7260000000000001E-2</v>
      </c>
      <c r="U427" s="10">
        <v>4.718E-2</v>
      </c>
      <c r="V427" s="10">
        <v>1.2880000000000001E-2</v>
      </c>
      <c r="W427" s="10">
        <v>2.0449999999999899E-2</v>
      </c>
      <c r="X427" s="10">
        <v>4.0280000000000003E-3</v>
      </c>
      <c r="Y427" s="10">
        <v>26.23</v>
      </c>
      <c r="Z427" s="10">
        <v>28.739999999999899</v>
      </c>
      <c r="AA427" s="10">
        <v>172</v>
      </c>
      <c r="AB427" s="10">
        <v>2081</v>
      </c>
      <c r="AC427" s="10">
        <v>0.1502</v>
      </c>
      <c r="AD427" s="10">
        <v>0.57169999999999899</v>
      </c>
      <c r="AE427" s="10">
        <v>0.70530000000000004</v>
      </c>
      <c r="AF427" s="10">
        <v>0.2422</v>
      </c>
      <c r="AG427" s="10">
        <v>0.38279999999999897</v>
      </c>
      <c r="AH427">
        <v>0.1007</v>
      </c>
    </row>
    <row r="428" spans="3:34">
      <c r="C428" s="11" t="s">
        <v>641</v>
      </c>
      <c r="D428" s="10" t="s">
        <v>0</v>
      </c>
      <c r="E428" s="10">
        <v>13.71</v>
      </c>
      <c r="F428" s="10">
        <v>24.489999999999899</v>
      </c>
      <c r="G428" s="10">
        <v>92.329999999999899</v>
      </c>
      <c r="H428" s="10">
        <v>595.89999999999895</v>
      </c>
      <c r="I428" s="10">
        <v>0.1162</v>
      </c>
      <c r="J428" s="10">
        <v>0.1681</v>
      </c>
      <c r="K428" s="10">
        <v>0.13569999999999899</v>
      </c>
      <c r="L428" s="10">
        <v>6.75899999999999E-2</v>
      </c>
      <c r="M428" s="10">
        <v>0.22750000000000001</v>
      </c>
      <c r="N428" s="10">
        <v>7.2370000000000004E-2</v>
      </c>
      <c r="O428" s="10">
        <v>0.47510000000000002</v>
      </c>
      <c r="P428" s="10">
        <v>1.528</v>
      </c>
      <c r="Q428" s="10">
        <v>2.9740000000000002</v>
      </c>
      <c r="R428" s="10">
        <v>39.049999999999898</v>
      </c>
      <c r="S428" s="10">
        <v>9.6799999999999907E-3</v>
      </c>
      <c r="T428" s="10">
        <v>3.85599999999999E-2</v>
      </c>
      <c r="U428" s="10">
        <v>3.4759999999999902E-2</v>
      </c>
      <c r="V428" s="10">
        <v>1.6160000000000001E-2</v>
      </c>
      <c r="W428" s="10">
        <v>2.4340000000000001E-2</v>
      </c>
      <c r="X428" s="10">
        <v>6.9950000000000003E-3</v>
      </c>
      <c r="Y428" s="10">
        <v>16.010000000000002</v>
      </c>
      <c r="Z428" s="10">
        <v>32.939999999999898</v>
      </c>
      <c r="AA428" s="10">
        <v>106</v>
      </c>
      <c r="AB428" s="10">
        <v>788</v>
      </c>
      <c r="AC428" s="10">
        <v>0.1794</v>
      </c>
      <c r="AD428" s="10">
        <v>0.39660000000000001</v>
      </c>
      <c r="AE428" s="10">
        <v>0.33810000000000001</v>
      </c>
      <c r="AF428" s="10">
        <v>0.15210000000000001</v>
      </c>
      <c r="AG428" s="10">
        <v>0.36509999999999898</v>
      </c>
      <c r="AH428">
        <v>0.1183</v>
      </c>
    </row>
    <row r="429" spans="3:34">
      <c r="C429" s="11" t="s">
        <v>500</v>
      </c>
      <c r="D429" s="10" t="s">
        <v>1</v>
      </c>
      <c r="E429" s="10">
        <v>13.71</v>
      </c>
      <c r="F429" s="10">
        <v>18.07</v>
      </c>
      <c r="G429" s="10">
        <v>79.42</v>
      </c>
      <c r="H429" s="10">
        <v>491.89999999999901</v>
      </c>
      <c r="I429" s="10">
        <v>7.4359999999999898E-2</v>
      </c>
      <c r="J429" s="10">
        <v>2.6499999999999899E-2</v>
      </c>
      <c r="K429" s="10">
        <v>1.194E-3</v>
      </c>
      <c r="L429" s="10">
        <v>5.4489999999999903E-3</v>
      </c>
      <c r="M429" s="10">
        <v>0.15279999999999899</v>
      </c>
      <c r="N429" s="10">
        <v>5.185E-2</v>
      </c>
      <c r="O429" s="10">
        <v>0.35110000000000002</v>
      </c>
      <c r="P429" s="10">
        <v>0.95269999999999899</v>
      </c>
      <c r="Q429" s="10">
        <v>2.3290000000000002</v>
      </c>
      <c r="R429" s="10">
        <v>28.3</v>
      </c>
      <c r="S429" s="10">
        <v>5.7829999999999904E-3</v>
      </c>
      <c r="T429" s="10">
        <v>4.6930000000000001E-3</v>
      </c>
      <c r="U429" s="10">
        <v>7.9290000000000003E-4</v>
      </c>
      <c r="V429" s="10">
        <v>3.617E-3</v>
      </c>
      <c r="W429" s="10">
        <v>2.043E-2</v>
      </c>
      <c r="X429" s="10">
        <v>1.0579999999999899E-3</v>
      </c>
      <c r="Y429" s="10">
        <v>13.72</v>
      </c>
      <c r="Z429" s="10">
        <v>20.98</v>
      </c>
      <c r="AA429" s="10">
        <v>86.819999999999894</v>
      </c>
      <c r="AB429" s="10">
        <v>585.70000000000005</v>
      </c>
      <c r="AC429" s="10">
        <v>9.2929999999999902E-2</v>
      </c>
      <c r="AD429" s="10">
        <v>4.3270000000000003E-2</v>
      </c>
      <c r="AE429" s="10">
        <v>3.581E-3</v>
      </c>
      <c r="AF429" s="10">
        <v>1.635E-2</v>
      </c>
      <c r="AG429" s="10">
        <v>0.2233</v>
      </c>
      <c r="AH429">
        <v>5.5210000000000002E-2</v>
      </c>
    </row>
    <row r="430" spans="3:34">
      <c r="C430" s="11" t="s">
        <v>156</v>
      </c>
      <c r="D430" s="10" t="s">
        <v>0</v>
      </c>
      <c r="E430" s="10">
        <v>13.71</v>
      </c>
      <c r="F430" s="10">
        <v>20.1299999999999</v>
      </c>
      <c r="G430" s="10">
        <v>94.739999999999895</v>
      </c>
      <c r="H430" s="10">
        <v>684.5</v>
      </c>
      <c r="I430" s="10">
        <v>9.8669999999999897E-2</v>
      </c>
      <c r="J430" s="10">
        <v>7.1999999999999897E-2</v>
      </c>
      <c r="K430" s="10">
        <v>7.3950000000000002E-2</v>
      </c>
      <c r="L430" s="10">
        <v>5.2589999999999901E-2</v>
      </c>
      <c r="M430" s="10">
        <v>0.15859999999999899</v>
      </c>
      <c r="N430" s="10">
        <v>5.9220000000000002E-2</v>
      </c>
      <c r="O430" s="10">
        <v>0.47270000000000001</v>
      </c>
      <c r="P430" s="10">
        <v>1.24</v>
      </c>
      <c r="Q430" s="10">
        <v>3.1949999999999901</v>
      </c>
      <c r="R430" s="10">
        <v>45.399999999999899</v>
      </c>
      <c r="S430" s="10">
        <v>5.718E-3</v>
      </c>
      <c r="T430" s="10">
        <v>1.162E-2</v>
      </c>
      <c r="U430" s="10">
        <v>1.9980000000000001E-2</v>
      </c>
      <c r="V430" s="10">
        <v>1.10899999999999E-2</v>
      </c>
      <c r="W430" s="10">
        <v>1.41E-2</v>
      </c>
      <c r="X430" s="10">
        <v>2.085E-3</v>
      </c>
      <c r="Y430" s="10">
        <v>19.07</v>
      </c>
      <c r="Z430" s="10">
        <v>30.8799999999999</v>
      </c>
      <c r="AA430" s="10">
        <v>123.4</v>
      </c>
      <c r="AB430" s="10">
        <v>1138</v>
      </c>
      <c r="AC430" s="10">
        <v>0.1464</v>
      </c>
      <c r="AD430" s="10">
        <v>0.18709999999999899</v>
      </c>
      <c r="AE430" s="10">
        <v>0.29139999999999899</v>
      </c>
      <c r="AF430" s="10">
        <v>0.16089999999999899</v>
      </c>
      <c r="AG430" s="10">
        <v>0.3029</v>
      </c>
      <c r="AH430">
        <v>8.21599999999999E-2</v>
      </c>
    </row>
    <row r="431" spans="3:34">
      <c r="C431" s="11" t="s">
        <v>211</v>
      </c>
      <c r="D431" s="10" t="s">
        <v>1</v>
      </c>
      <c r="E431" s="10">
        <v>13.71</v>
      </c>
      <c r="F431" s="10">
        <v>14.64</v>
      </c>
      <c r="G431" s="10">
        <v>58.7899999999999</v>
      </c>
      <c r="H431" s="10">
        <v>244</v>
      </c>
      <c r="I431" s="10">
        <v>9.783E-2</v>
      </c>
      <c r="J431" s="10">
        <v>0.15310000000000001</v>
      </c>
      <c r="K431" s="10">
        <v>8.60599999999999E-2</v>
      </c>
      <c r="L431" s="10">
        <v>2.8719999999999898E-2</v>
      </c>
      <c r="M431" s="10">
        <v>0.19020000000000001</v>
      </c>
      <c r="N431" s="10">
        <v>8.9800000000000005E-2</v>
      </c>
      <c r="O431" s="10">
        <v>0.5262</v>
      </c>
      <c r="P431" s="10">
        <v>0.85219999999999896</v>
      </c>
      <c r="Q431" s="10">
        <v>3.1680000000000001</v>
      </c>
      <c r="R431" s="10">
        <v>25.44</v>
      </c>
      <c r="S431" s="10">
        <v>1.721E-2</v>
      </c>
      <c r="T431" s="10">
        <v>9.3679999999999902E-2</v>
      </c>
      <c r="U431" s="10">
        <v>5.6710000000000003E-2</v>
      </c>
      <c r="V431" s="10">
        <v>1.7659999999999901E-2</v>
      </c>
      <c r="W431" s="10">
        <v>2.5409999999999901E-2</v>
      </c>
      <c r="X431" s="10">
        <v>2.1930000000000002E-2</v>
      </c>
      <c r="Y431" s="10">
        <v>9.7330000000000005</v>
      </c>
      <c r="Z431" s="10">
        <v>15.67</v>
      </c>
      <c r="AA431" s="10">
        <v>62.56</v>
      </c>
      <c r="AB431" s="10">
        <v>284.39999999999901</v>
      </c>
      <c r="AC431" s="10">
        <v>0.1207</v>
      </c>
      <c r="AD431" s="10">
        <v>0.24360000000000001</v>
      </c>
      <c r="AE431" s="10">
        <v>0.1434</v>
      </c>
      <c r="AF431" s="10">
        <v>4.786E-2</v>
      </c>
      <c r="AG431" s="10">
        <v>0.22539999999999899</v>
      </c>
      <c r="AH431">
        <v>0.1084</v>
      </c>
    </row>
    <row r="432" spans="3:34">
      <c r="C432" s="11" t="s">
        <v>143</v>
      </c>
      <c r="D432" s="10" t="s">
        <v>0</v>
      </c>
      <c r="E432" s="10">
        <v>11.42</v>
      </c>
      <c r="F432" s="10">
        <v>20.3799999999999</v>
      </c>
      <c r="G432" s="10">
        <v>77.579999999999899</v>
      </c>
      <c r="H432" s="10">
        <v>386.1</v>
      </c>
      <c r="I432" s="10">
        <v>0.14249999999999899</v>
      </c>
      <c r="J432" s="10">
        <v>0.28389999999999899</v>
      </c>
      <c r="K432" s="10">
        <v>0.2414</v>
      </c>
      <c r="L432" s="10">
        <v>0.1052</v>
      </c>
      <c r="M432" s="10">
        <v>0.25969999999999899</v>
      </c>
      <c r="N432" s="10">
        <v>9.7439999999999902E-2</v>
      </c>
      <c r="O432" s="10">
        <v>0.49559999999999899</v>
      </c>
      <c r="P432" s="10">
        <v>1.1559999999999899</v>
      </c>
      <c r="Q432" s="10">
        <v>3.4449999999999901</v>
      </c>
      <c r="R432" s="10">
        <v>27.23</v>
      </c>
      <c r="S432" s="10">
        <v>9.11E-3</v>
      </c>
      <c r="T432" s="10">
        <v>7.4579999999999896E-2</v>
      </c>
      <c r="U432" s="10">
        <v>5.6610000000000001E-2</v>
      </c>
      <c r="V432" s="10">
        <v>1.8669999999999898E-2</v>
      </c>
      <c r="W432" s="10">
        <v>5.9630000000000002E-2</v>
      </c>
      <c r="X432" s="10">
        <v>9.2079999999999905E-3</v>
      </c>
      <c r="Y432" s="10">
        <v>14.91</v>
      </c>
      <c r="Z432" s="10">
        <v>26.5</v>
      </c>
      <c r="AA432" s="10">
        <v>98.87</v>
      </c>
      <c r="AB432" s="10">
        <v>567.70000000000005</v>
      </c>
      <c r="AC432" s="10">
        <v>0.20979999999999899</v>
      </c>
      <c r="AD432" s="10">
        <v>0.86629999999999896</v>
      </c>
      <c r="AE432" s="10">
        <v>0.68689999999999896</v>
      </c>
      <c r="AF432" s="10">
        <v>0.25750000000000001</v>
      </c>
      <c r="AG432" s="10">
        <v>0.66379999999999895</v>
      </c>
      <c r="AH432">
        <v>0.17299999999999899</v>
      </c>
    </row>
    <row r="433" spans="3:34">
      <c r="C433" s="11" t="s">
        <v>304</v>
      </c>
      <c r="D433" s="10" t="s">
        <v>0</v>
      </c>
      <c r="E433" s="10">
        <v>13.71</v>
      </c>
      <c r="F433" s="10">
        <v>22.0399999999999</v>
      </c>
      <c r="G433" s="10">
        <v>152.099999999999</v>
      </c>
      <c r="H433" s="10">
        <v>1686</v>
      </c>
      <c r="I433" s="10">
        <v>8.4390000000000007E-2</v>
      </c>
      <c r="J433" s="10">
        <v>0.1145</v>
      </c>
      <c r="K433" s="10">
        <v>0.13239999999999899</v>
      </c>
      <c r="L433" s="10">
        <v>9.7019999999999898E-2</v>
      </c>
      <c r="M433" s="10">
        <v>0.18010000000000001</v>
      </c>
      <c r="N433" s="10">
        <v>5.5530000000000003E-2</v>
      </c>
      <c r="O433" s="10">
        <v>0.66420000000000001</v>
      </c>
      <c r="P433" s="10">
        <v>0.85609999999999897</v>
      </c>
      <c r="Q433" s="10">
        <v>4.60299999999999</v>
      </c>
      <c r="R433" s="10">
        <v>97.849999999999895</v>
      </c>
      <c r="S433" s="10">
        <v>4.9100000000000003E-3</v>
      </c>
      <c r="T433" s="10">
        <v>2.5440000000000001E-2</v>
      </c>
      <c r="U433" s="10">
        <v>2.8219999999999901E-2</v>
      </c>
      <c r="V433" s="10">
        <v>1.6230000000000001E-2</v>
      </c>
      <c r="W433" s="10">
        <v>1.9560000000000001E-2</v>
      </c>
      <c r="X433" s="10">
        <v>3.7399999999999899E-3</v>
      </c>
      <c r="Y433" s="10">
        <v>28.01</v>
      </c>
      <c r="Z433" s="10">
        <v>28.219999999999899</v>
      </c>
      <c r="AA433" s="10">
        <v>184.19999999999899</v>
      </c>
      <c r="AB433" s="10">
        <v>2403</v>
      </c>
      <c r="AC433" s="10">
        <v>0.12280000000000001</v>
      </c>
      <c r="AD433" s="10">
        <v>0.35830000000000001</v>
      </c>
      <c r="AE433" s="10">
        <v>0.39479999999999899</v>
      </c>
      <c r="AF433" s="10">
        <v>0.2346</v>
      </c>
      <c r="AG433" s="10">
        <v>0.3589</v>
      </c>
      <c r="AH433">
        <v>9.1869999999999896E-2</v>
      </c>
    </row>
    <row r="434" spans="3:34">
      <c r="C434" s="11" t="s">
        <v>704</v>
      </c>
      <c r="D434" s="10" t="s">
        <v>0</v>
      </c>
      <c r="E434" s="10">
        <v>13.71</v>
      </c>
      <c r="F434" s="10">
        <v>22.39</v>
      </c>
      <c r="G434" s="10">
        <v>142</v>
      </c>
      <c r="H434" s="10">
        <v>1479</v>
      </c>
      <c r="I434" s="10">
        <v>0.111</v>
      </c>
      <c r="J434" s="10">
        <v>0.1159</v>
      </c>
      <c r="K434" s="10">
        <v>0.24390000000000001</v>
      </c>
      <c r="L434" s="10">
        <v>0.1389</v>
      </c>
      <c r="M434" s="10">
        <v>0.1726</v>
      </c>
      <c r="N434" s="10">
        <v>5.6230000000000002E-2</v>
      </c>
      <c r="O434" s="10">
        <v>1.1759999999999899</v>
      </c>
      <c r="P434" s="10">
        <v>1.256</v>
      </c>
      <c r="Q434" s="10">
        <v>7.673</v>
      </c>
      <c r="R434" s="10">
        <v>158.69999999999899</v>
      </c>
      <c r="S434" s="10">
        <v>1.03E-2</v>
      </c>
      <c r="T434" s="10">
        <v>2.8910000000000002E-2</v>
      </c>
      <c r="U434" s="10">
        <v>5.1979999999999901E-2</v>
      </c>
      <c r="V434" s="10">
        <v>2.4539999999999899E-2</v>
      </c>
      <c r="W434" s="10">
        <v>1.1140000000000001E-2</v>
      </c>
      <c r="X434" s="10">
        <v>4.2389999999999902E-3</v>
      </c>
      <c r="Y434" s="10">
        <v>25.4499999999999</v>
      </c>
      <c r="Z434" s="10">
        <v>26.399999999999899</v>
      </c>
      <c r="AA434" s="10">
        <v>166.099999999999</v>
      </c>
      <c r="AB434" s="10">
        <v>2027</v>
      </c>
      <c r="AC434" s="10">
        <v>0.14099999999999899</v>
      </c>
      <c r="AD434" s="10">
        <v>0.21129999999999899</v>
      </c>
      <c r="AE434" s="10">
        <v>0.41070000000000001</v>
      </c>
      <c r="AF434" s="10">
        <v>0.22159999999999899</v>
      </c>
      <c r="AG434" s="10">
        <v>0.20599999999999899</v>
      </c>
      <c r="AH434">
        <v>7.1150000000000005E-2</v>
      </c>
    </row>
    <row r="435" spans="3:34">
      <c r="C435" s="11" t="s">
        <v>639</v>
      </c>
      <c r="D435" s="10" t="s">
        <v>0</v>
      </c>
      <c r="E435" s="10">
        <v>13.71</v>
      </c>
      <c r="F435" s="10">
        <v>21.239999999999899</v>
      </c>
      <c r="G435" s="10">
        <v>137.80000000000001</v>
      </c>
      <c r="H435" s="10">
        <v>1320</v>
      </c>
      <c r="I435" s="10">
        <v>0.1085</v>
      </c>
      <c r="J435" s="10">
        <v>0.16439999999999899</v>
      </c>
      <c r="K435" s="10">
        <v>0.218799999999999</v>
      </c>
      <c r="L435" s="10">
        <v>0.11210000000000001</v>
      </c>
      <c r="M435" s="10">
        <v>0.18479999999999899</v>
      </c>
      <c r="N435" s="10">
        <v>6.22199999999999E-2</v>
      </c>
      <c r="O435" s="10">
        <v>0.59040000000000004</v>
      </c>
      <c r="P435" s="10">
        <v>1.216</v>
      </c>
      <c r="Q435" s="10">
        <v>4.2060000000000004</v>
      </c>
      <c r="R435" s="10">
        <v>75.09</v>
      </c>
      <c r="S435" s="10">
        <v>6.6660000000000001E-3</v>
      </c>
      <c r="T435" s="10">
        <v>2.7910000000000001E-2</v>
      </c>
      <c r="U435" s="10">
        <v>4.0620000000000003E-2</v>
      </c>
      <c r="V435" s="10">
        <v>1.47899999999999E-2</v>
      </c>
      <c r="W435" s="10">
        <v>1.11699999999999E-2</v>
      </c>
      <c r="X435" s="10">
        <v>3.7269999999999899E-3</v>
      </c>
      <c r="Y435" s="10">
        <v>23.8599999999999</v>
      </c>
      <c r="Z435" s="10">
        <v>30.76</v>
      </c>
      <c r="AA435" s="10">
        <v>163.19999999999899</v>
      </c>
      <c r="AB435" s="10">
        <v>1760</v>
      </c>
      <c r="AC435" s="10">
        <v>0.1464</v>
      </c>
      <c r="AD435" s="10">
        <v>0.35970000000000002</v>
      </c>
      <c r="AE435" s="10">
        <v>0.51790000000000003</v>
      </c>
      <c r="AF435" s="10">
        <v>0.21129999999999899</v>
      </c>
      <c r="AG435" s="10">
        <v>0.248</v>
      </c>
      <c r="AH435">
        <v>8.9990000000000001E-2</v>
      </c>
    </row>
    <row r="436" spans="3:34">
      <c r="C436" s="11" t="s">
        <v>701</v>
      </c>
      <c r="D436" s="10" t="s">
        <v>1</v>
      </c>
      <c r="E436" s="10">
        <v>13.71</v>
      </c>
      <c r="F436" s="10">
        <v>29.37</v>
      </c>
      <c r="G436" s="10">
        <v>70.67</v>
      </c>
      <c r="H436" s="10">
        <v>386</v>
      </c>
      <c r="I436" s="10">
        <v>7.4490000000000001E-2</v>
      </c>
      <c r="J436" s="10">
        <v>3.5580000000000001E-2</v>
      </c>
      <c r="K436" s="10">
        <v>0</v>
      </c>
      <c r="L436" s="10">
        <v>0</v>
      </c>
      <c r="M436" s="10">
        <v>0.106</v>
      </c>
      <c r="N436" s="10">
        <v>5.5019999999999902E-2</v>
      </c>
      <c r="O436" s="10">
        <v>0.31409999999999899</v>
      </c>
      <c r="P436" s="10">
        <v>3.8959999999999901</v>
      </c>
      <c r="Q436" s="10">
        <v>2.0409999999999902</v>
      </c>
      <c r="R436" s="10">
        <v>22.809999999999899</v>
      </c>
      <c r="S436" s="10">
        <v>7.5940000000000001E-3</v>
      </c>
      <c r="T436" s="10">
        <v>8.8780000000000005E-3</v>
      </c>
      <c r="U436" s="10">
        <v>0</v>
      </c>
      <c r="V436" s="10">
        <v>0</v>
      </c>
      <c r="W436" s="10">
        <v>1.9890000000000001E-2</v>
      </c>
      <c r="X436" s="10">
        <v>1.7730000000000001E-3</v>
      </c>
      <c r="Y436" s="10">
        <v>11.92</v>
      </c>
      <c r="Z436" s="10">
        <v>38.299999999999898</v>
      </c>
      <c r="AA436" s="10">
        <v>75.189999999999898</v>
      </c>
      <c r="AB436" s="10">
        <v>439.6</v>
      </c>
      <c r="AC436" s="10">
        <v>9.2670000000000002E-2</v>
      </c>
      <c r="AD436" s="10">
        <v>5.4940000000000003E-2</v>
      </c>
      <c r="AE436" s="10">
        <v>0</v>
      </c>
      <c r="AF436" s="10">
        <v>0</v>
      </c>
      <c r="AG436" s="10">
        <v>0.15659999999999899</v>
      </c>
      <c r="AH436">
        <v>5.9049999999999901E-2</v>
      </c>
    </row>
    <row r="437" spans="3:34">
      <c r="C437" s="11" t="s">
        <v>448</v>
      </c>
      <c r="D437" s="10" t="s">
        <v>1</v>
      </c>
      <c r="E437" s="10">
        <v>13.71</v>
      </c>
      <c r="F437" s="10">
        <v>12.71</v>
      </c>
      <c r="G437" s="10">
        <v>85.689999999999898</v>
      </c>
      <c r="H437" s="10">
        <v>566.20000000000005</v>
      </c>
      <c r="I437" s="10">
        <v>7.3760000000000006E-2</v>
      </c>
      <c r="J437" s="10">
        <v>3.6139999999999901E-2</v>
      </c>
      <c r="K437" s="10">
        <v>2.758E-3</v>
      </c>
      <c r="L437" s="10">
        <v>4.4190000000000002E-3</v>
      </c>
      <c r="M437" s="10">
        <v>0.13650000000000001</v>
      </c>
      <c r="N437" s="10">
        <v>5.3350000000000002E-2</v>
      </c>
      <c r="O437" s="10">
        <v>0.22439999999999899</v>
      </c>
      <c r="P437" s="10">
        <v>0.68640000000000001</v>
      </c>
      <c r="Q437" s="10">
        <v>1.5089999999999899</v>
      </c>
      <c r="R437" s="10">
        <v>20.39</v>
      </c>
      <c r="S437" s="10">
        <v>3.3379999999999898E-3</v>
      </c>
      <c r="T437" s="10">
        <v>3.7460000000000002E-3</v>
      </c>
      <c r="U437" s="10">
        <v>2.0300000000000001E-3</v>
      </c>
      <c r="V437" s="10">
        <v>3.2420000000000001E-3</v>
      </c>
      <c r="W437" s="10">
        <v>1.4800000000000001E-2</v>
      </c>
      <c r="X437" s="10">
        <v>1.5659999999999899E-3</v>
      </c>
      <c r="Y437" s="10">
        <v>14.97</v>
      </c>
      <c r="Z437" s="10">
        <v>16.940000000000001</v>
      </c>
      <c r="AA437" s="10">
        <v>95.48</v>
      </c>
      <c r="AB437" s="10">
        <v>698.7</v>
      </c>
      <c r="AC437" s="10">
        <v>9.0230000000000005E-2</v>
      </c>
      <c r="AD437" s="10">
        <v>5.8360000000000002E-2</v>
      </c>
      <c r="AE437" s="10">
        <v>1.379E-2</v>
      </c>
      <c r="AF437" s="10">
        <v>2.2100000000000002E-2</v>
      </c>
      <c r="AG437" s="10">
        <v>0.22670000000000001</v>
      </c>
      <c r="AH437">
        <v>6.1920000000000003E-2</v>
      </c>
    </row>
    <row r="438" spans="3:34">
      <c r="C438" s="11" t="s">
        <v>606</v>
      </c>
      <c r="D438" s="10" t="s">
        <v>1</v>
      </c>
      <c r="E438" s="10">
        <v>13.71</v>
      </c>
      <c r="F438" s="10">
        <v>20.739999999999899</v>
      </c>
      <c r="G438" s="10">
        <v>85.98</v>
      </c>
      <c r="H438" s="10">
        <v>536.89999999999895</v>
      </c>
      <c r="I438" s="10">
        <v>8.6749999999999897E-2</v>
      </c>
      <c r="J438" s="10">
        <v>0.1089</v>
      </c>
      <c r="K438" s="10">
        <v>0.1085</v>
      </c>
      <c r="L438" s="10">
        <v>3.5099999999999902E-2</v>
      </c>
      <c r="M438" s="10">
        <v>0.15620000000000001</v>
      </c>
      <c r="N438" s="10">
        <v>6.0199999999999899E-2</v>
      </c>
      <c r="O438" s="10">
        <v>0.31519999999999898</v>
      </c>
      <c r="P438" s="10">
        <v>0.78839999999999899</v>
      </c>
      <c r="Q438" s="10">
        <v>2.3119999999999901</v>
      </c>
      <c r="R438" s="10">
        <v>27.399999999999899</v>
      </c>
      <c r="S438" s="10">
        <v>7.2950000000000003E-3</v>
      </c>
      <c r="T438" s="10">
        <v>3.1789999999999902E-2</v>
      </c>
      <c r="U438" s="10">
        <v>4.6149999999999899E-2</v>
      </c>
      <c r="V438" s="10">
        <v>1.2540000000000001E-2</v>
      </c>
      <c r="W438" s="10">
        <v>1.5610000000000001E-2</v>
      </c>
      <c r="X438" s="10">
        <v>3.2299999999999898E-3</v>
      </c>
      <c r="Y438" s="10">
        <v>14.8</v>
      </c>
      <c r="Z438" s="10">
        <v>25.46</v>
      </c>
      <c r="AA438" s="10">
        <v>100.9</v>
      </c>
      <c r="AB438" s="10">
        <v>689.1</v>
      </c>
      <c r="AC438" s="10">
        <v>0.1351</v>
      </c>
      <c r="AD438" s="10">
        <v>0.35489999999999899</v>
      </c>
      <c r="AE438" s="10">
        <v>0.45040000000000002</v>
      </c>
      <c r="AF438" s="10">
        <v>0.1181</v>
      </c>
      <c r="AG438" s="10">
        <v>0.25629999999999897</v>
      </c>
      <c r="AH438">
        <v>8.1739999999999896E-2</v>
      </c>
    </row>
    <row r="439" spans="3:34">
      <c r="C439" s="11" t="s">
        <v>182</v>
      </c>
      <c r="D439" s="10" t="s">
        <v>0</v>
      </c>
      <c r="E439" s="10">
        <v>13.71</v>
      </c>
      <c r="F439" s="10">
        <v>24.809999999999899</v>
      </c>
      <c r="G439" s="10">
        <v>128.30000000000001</v>
      </c>
      <c r="H439" s="10">
        <v>1104</v>
      </c>
      <c r="I439" s="10">
        <v>9.0810000000000002E-2</v>
      </c>
      <c r="J439" s="10">
        <v>0.219</v>
      </c>
      <c r="K439" s="10">
        <v>0.2107</v>
      </c>
      <c r="L439" s="10">
        <v>9.9610000000000004E-2</v>
      </c>
      <c r="M439" s="10">
        <v>0.23100000000000001</v>
      </c>
      <c r="N439" s="10">
        <v>6.343E-2</v>
      </c>
      <c r="O439" s="10">
        <v>0.98109999999999897</v>
      </c>
      <c r="P439" s="10">
        <v>1.6659999999999899</v>
      </c>
      <c r="Q439" s="10">
        <v>8.83</v>
      </c>
      <c r="R439" s="10">
        <v>104.9</v>
      </c>
      <c r="S439" s="10">
        <v>6.548E-3</v>
      </c>
      <c r="T439" s="10">
        <v>0.100599999999999</v>
      </c>
      <c r="U439" s="10">
        <v>9.72299999999999E-2</v>
      </c>
      <c r="V439" s="10">
        <v>2.6380000000000001E-2</v>
      </c>
      <c r="W439" s="10">
        <v>5.3330000000000002E-2</v>
      </c>
      <c r="X439" s="10">
        <v>7.646E-3</v>
      </c>
      <c r="Y439" s="10">
        <v>24.09</v>
      </c>
      <c r="Z439" s="10">
        <v>33.17</v>
      </c>
      <c r="AA439" s="10">
        <v>177.4</v>
      </c>
      <c r="AB439" s="10">
        <v>1651</v>
      </c>
      <c r="AC439" s="10">
        <v>0.12470000000000001</v>
      </c>
      <c r="AD439" s="10">
        <v>0.74439999999999895</v>
      </c>
      <c r="AE439" s="10">
        <v>0.72419999999999896</v>
      </c>
      <c r="AF439" s="10">
        <v>0.24929999999999899</v>
      </c>
      <c r="AG439" s="10">
        <v>0.46700000000000003</v>
      </c>
      <c r="AH439">
        <v>0.1038</v>
      </c>
    </row>
    <row r="440" spans="3:34">
      <c r="C440" s="11" t="s">
        <v>376</v>
      </c>
      <c r="D440" s="10" t="s">
        <v>0</v>
      </c>
      <c r="E440" s="10">
        <v>13.71</v>
      </c>
      <c r="F440" s="10">
        <v>26.969999999999899</v>
      </c>
      <c r="G440" s="10">
        <v>153.5</v>
      </c>
      <c r="H440" s="10">
        <v>1670</v>
      </c>
      <c r="I440" s="10">
        <v>9.5089999999999897E-2</v>
      </c>
      <c r="J440" s="10">
        <v>0.16819999999999899</v>
      </c>
      <c r="K440" s="10">
        <v>0.19500000000000001</v>
      </c>
      <c r="L440" s="10">
        <v>0.1237</v>
      </c>
      <c r="M440" s="10">
        <v>0.19089999999999899</v>
      </c>
      <c r="N440" s="10">
        <v>6.3089999999999896E-2</v>
      </c>
      <c r="O440" s="10">
        <v>1.0580000000000001</v>
      </c>
      <c r="P440" s="10">
        <v>0.96350000000000002</v>
      </c>
      <c r="Q440" s="10">
        <v>7.2469999999999901</v>
      </c>
      <c r="R440" s="10">
        <v>155.80000000000001</v>
      </c>
      <c r="S440" s="10">
        <v>6.4279999999999901E-3</v>
      </c>
      <c r="T440" s="10">
        <v>2.8629999999999899E-2</v>
      </c>
      <c r="U440" s="10">
        <v>4.4970000000000003E-2</v>
      </c>
      <c r="V440" s="10">
        <v>1.7160000000000002E-2</v>
      </c>
      <c r="W440" s="10">
        <v>1.5900000000000001E-2</v>
      </c>
      <c r="X440" s="10">
        <v>3.0530000000000002E-3</v>
      </c>
      <c r="Y440" s="10">
        <v>31.01</v>
      </c>
      <c r="Z440" s="10">
        <v>34.509999999999899</v>
      </c>
      <c r="AA440" s="10">
        <v>206</v>
      </c>
      <c r="AB440" s="10">
        <v>2944</v>
      </c>
      <c r="AC440" s="10">
        <v>0.14810000000000001</v>
      </c>
      <c r="AD440" s="10">
        <v>0.41260000000000002</v>
      </c>
      <c r="AE440" s="10">
        <v>0.58199999999999896</v>
      </c>
      <c r="AF440" s="10">
        <v>0.25929999999999898</v>
      </c>
      <c r="AG440" s="10">
        <v>0.31030000000000002</v>
      </c>
      <c r="AH440">
        <v>8.677E-2</v>
      </c>
    </row>
    <row r="441" spans="3:34">
      <c r="C441" s="11" t="s">
        <v>175</v>
      </c>
      <c r="D441" s="10" t="s">
        <v>0</v>
      </c>
      <c r="E441" s="10">
        <v>13.71</v>
      </c>
      <c r="F441" s="10">
        <v>21.59</v>
      </c>
      <c r="G441" s="10">
        <v>110.099999999999</v>
      </c>
      <c r="H441" s="10">
        <v>869.5</v>
      </c>
      <c r="I441" s="10">
        <v>9.6100000000000005E-2</v>
      </c>
      <c r="J441" s="10">
        <v>0.1336</v>
      </c>
      <c r="K441" s="10">
        <v>0.1348</v>
      </c>
      <c r="L441" s="10">
        <v>6.01799999999999E-2</v>
      </c>
      <c r="M441" s="10">
        <v>0.18959999999999899</v>
      </c>
      <c r="N441" s="10">
        <v>5.6559999999999902E-2</v>
      </c>
      <c r="O441" s="10">
        <v>0.46150000000000002</v>
      </c>
      <c r="P441" s="10">
        <v>0.91969999999999896</v>
      </c>
      <c r="Q441" s="10">
        <v>3.008</v>
      </c>
      <c r="R441" s="10">
        <v>45.189999999999898</v>
      </c>
      <c r="S441" s="10">
        <v>5.7759999999999903E-3</v>
      </c>
      <c r="T441" s="10">
        <v>2.4989999999999901E-2</v>
      </c>
      <c r="U441" s="10">
        <v>3.69499999999999E-2</v>
      </c>
      <c r="V441" s="10">
        <v>1.1950000000000001E-2</v>
      </c>
      <c r="W441" s="10">
        <v>2.7890000000000002E-2</v>
      </c>
      <c r="X441" s="10">
        <v>2.6649999999999899E-3</v>
      </c>
      <c r="Y441" s="10">
        <v>20.010000000000002</v>
      </c>
      <c r="Z441" s="10">
        <v>29.02</v>
      </c>
      <c r="AA441" s="10">
        <v>133.5</v>
      </c>
      <c r="AB441" s="10">
        <v>1229</v>
      </c>
      <c r="AC441" s="10">
        <v>0.156299999999999</v>
      </c>
      <c r="AD441" s="10">
        <v>0.38350000000000001</v>
      </c>
      <c r="AE441" s="10">
        <v>0.54090000000000005</v>
      </c>
      <c r="AF441" s="10">
        <v>0.18129999999999899</v>
      </c>
      <c r="AG441" s="10">
        <v>0.48630000000000001</v>
      </c>
      <c r="AH441">
        <v>8.6330000000000004E-2</v>
      </c>
    </row>
    <row r="442" spans="3:34">
      <c r="C442" s="11" t="s">
        <v>597</v>
      </c>
      <c r="D442" s="10" t="s">
        <v>1</v>
      </c>
      <c r="E442" s="10">
        <v>13.71</v>
      </c>
      <c r="F442" s="10">
        <v>25.25</v>
      </c>
      <c r="G442" s="10">
        <v>84.099999999999895</v>
      </c>
      <c r="H442" s="10">
        <v>537.89999999999895</v>
      </c>
      <c r="I442" s="10">
        <v>8.7910000000000002E-2</v>
      </c>
      <c r="J442" s="10">
        <v>5.2049999999999902E-2</v>
      </c>
      <c r="K442" s="10">
        <v>2.7720000000000002E-2</v>
      </c>
      <c r="L442" s="10">
        <v>2.068E-2</v>
      </c>
      <c r="M442" s="10">
        <v>0.16189999999999899</v>
      </c>
      <c r="N442" s="10">
        <v>5.5840000000000001E-2</v>
      </c>
      <c r="O442" s="10">
        <v>0.2084</v>
      </c>
      <c r="P442" s="10">
        <v>1.35</v>
      </c>
      <c r="Q442" s="10">
        <v>1.3140000000000001</v>
      </c>
      <c r="R442" s="10">
        <v>17.579999999999899</v>
      </c>
      <c r="S442" s="10">
        <v>5.7679999999999901E-3</v>
      </c>
      <c r="T442" s="10">
        <v>8.0820000000000006E-3</v>
      </c>
      <c r="U442" s="10">
        <v>1.5100000000000001E-2</v>
      </c>
      <c r="V442" s="10">
        <v>6.4510000000000001E-3</v>
      </c>
      <c r="W442" s="10">
        <v>1.34699999999999E-2</v>
      </c>
      <c r="X442" s="10">
        <v>1.828E-3</v>
      </c>
      <c r="Y442" s="10">
        <v>14.35</v>
      </c>
      <c r="Z442" s="10">
        <v>34.229999999999897</v>
      </c>
      <c r="AA442" s="10">
        <v>91.29</v>
      </c>
      <c r="AB442" s="10">
        <v>632.89999999999895</v>
      </c>
      <c r="AC442" s="10">
        <v>0.12889999999999899</v>
      </c>
      <c r="AD442" s="10">
        <v>0.10630000000000001</v>
      </c>
      <c r="AE442" s="10">
        <v>0.13900000000000001</v>
      </c>
      <c r="AF442" s="10">
        <v>6.0049999999999902E-2</v>
      </c>
      <c r="AG442" s="10">
        <v>0.24440000000000001</v>
      </c>
      <c r="AH442">
        <v>6.7879999999999899E-2</v>
      </c>
    </row>
    <row r="443" spans="3:34">
      <c r="C443" s="11" t="s">
        <v>578</v>
      </c>
      <c r="D443" s="10" t="s">
        <v>1</v>
      </c>
      <c r="E443" s="10">
        <v>13.71</v>
      </c>
      <c r="F443" s="10">
        <v>19.600000000000001</v>
      </c>
      <c r="G443" s="10">
        <v>88.68</v>
      </c>
      <c r="H443" s="10">
        <v>592.6</v>
      </c>
      <c r="I443" s="10">
        <v>8.6840000000000001E-2</v>
      </c>
      <c r="J443" s="10">
        <v>6.3299999999999898E-2</v>
      </c>
      <c r="K443" s="10">
        <v>1.342E-2</v>
      </c>
      <c r="L443" s="10">
        <v>2.2929999999999898E-2</v>
      </c>
      <c r="M443" s="10">
        <v>0.1555</v>
      </c>
      <c r="N443" s="10">
        <v>5.6730000000000003E-2</v>
      </c>
      <c r="O443" s="10">
        <v>0.34189999999999898</v>
      </c>
      <c r="P443" s="10">
        <v>1.6779999999999899</v>
      </c>
      <c r="Q443" s="10">
        <v>2.331</v>
      </c>
      <c r="R443" s="10">
        <v>29.6299999999999</v>
      </c>
      <c r="S443" s="10">
        <v>5.836E-3</v>
      </c>
      <c r="T443" s="10">
        <v>1.095E-2</v>
      </c>
      <c r="U443" s="10">
        <v>5.8120000000000003E-3</v>
      </c>
      <c r="V443" s="10">
        <v>7.0390000000000001E-3</v>
      </c>
      <c r="W443" s="10">
        <v>2.0140000000000002E-2</v>
      </c>
      <c r="X443" s="10">
        <v>2.32599999999999E-3</v>
      </c>
      <c r="Y443" s="10">
        <v>15.63</v>
      </c>
      <c r="Z443" s="10">
        <v>28.01</v>
      </c>
      <c r="AA443" s="10">
        <v>100.9</v>
      </c>
      <c r="AB443" s="10">
        <v>749.1</v>
      </c>
      <c r="AC443" s="10">
        <v>0.1118</v>
      </c>
      <c r="AD443" s="10">
        <v>0.11409999999999899</v>
      </c>
      <c r="AE443" s="10">
        <v>4.7530000000000003E-2</v>
      </c>
      <c r="AF443" s="10">
        <v>5.8900000000000001E-2</v>
      </c>
      <c r="AG443" s="10">
        <v>0.25130000000000002</v>
      </c>
      <c r="AH443">
        <v>6.9110000000000005E-2</v>
      </c>
    </row>
    <row r="444" spans="3:34">
      <c r="C444" s="11" t="s">
        <v>414</v>
      </c>
      <c r="D444" s="10" t="s">
        <v>0</v>
      </c>
      <c r="E444" s="10">
        <v>13.71</v>
      </c>
      <c r="F444" s="10">
        <v>24.48</v>
      </c>
      <c r="G444" s="10">
        <v>115.2</v>
      </c>
      <c r="H444" s="10">
        <v>998.89999999999895</v>
      </c>
      <c r="I444" s="10">
        <v>8.8550000000000004E-2</v>
      </c>
      <c r="J444" s="10">
        <v>7.0269999999999902E-2</v>
      </c>
      <c r="K444" s="10">
        <v>5.6989999999999902E-2</v>
      </c>
      <c r="L444" s="10">
        <v>4.7440000000000003E-2</v>
      </c>
      <c r="M444" s="10">
        <v>0.15379999999999899</v>
      </c>
      <c r="N444" s="10">
        <v>5.5100000000000003E-2</v>
      </c>
      <c r="O444" s="10">
        <v>0.42120000000000002</v>
      </c>
      <c r="P444" s="10">
        <v>1.4330000000000001</v>
      </c>
      <c r="Q444" s="10">
        <v>2.7650000000000001</v>
      </c>
      <c r="R444" s="10">
        <v>45.81</v>
      </c>
      <c r="S444" s="10">
        <v>5.4440000000000001E-3</v>
      </c>
      <c r="T444" s="10">
        <v>1.1690000000000001E-2</v>
      </c>
      <c r="U444" s="10">
        <v>1.6219999999999901E-2</v>
      </c>
      <c r="V444" s="10">
        <v>8.5220000000000001E-3</v>
      </c>
      <c r="W444" s="10">
        <v>1.4189999999999901E-2</v>
      </c>
      <c r="X444" s="10">
        <v>2.751E-3</v>
      </c>
      <c r="Y444" s="10">
        <v>20.92</v>
      </c>
      <c r="Z444" s="10">
        <v>34.689999999999898</v>
      </c>
      <c r="AA444" s="10">
        <v>135.099999999999</v>
      </c>
      <c r="AB444" s="10">
        <v>1320</v>
      </c>
      <c r="AC444" s="10">
        <v>0.13150000000000001</v>
      </c>
      <c r="AD444" s="10">
        <v>0.18060000000000001</v>
      </c>
      <c r="AE444" s="10">
        <v>0.20799999999999899</v>
      </c>
      <c r="AF444" s="10">
        <v>0.11360000000000001</v>
      </c>
      <c r="AG444" s="10">
        <v>0.25040000000000001</v>
      </c>
      <c r="AH444">
        <v>7.9479999999999898E-2</v>
      </c>
    </row>
    <row r="445" spans="3:34">
      <c r="C445" s="11" t="s">
        <v>255</v>
      </c>
      <c r="D445" s="10" t="s">
        <v>1</v>
      </c>
      <c r="E445" s="10">
        <v>13.71</v>
      </c>
      <c r="F445" s="10">
        <v>21.53</v>
      </c>
      <c r="G445" s="10">
        <v>76.53</v>
      </c>
      <c r="H445" s="10">
        <v>438.6</v>
      </c>
      <c r="I445" s="10">
        <v>9.7680000000000003E-2</v>
      </c>
      <c r="J445" s="10">
        <v>7.8490000000000004E-2</v>
      </c>
      <c r="K445" s="10">
        <v>3.32799999999999E-2</v>
      </c>
      <c r="L445" s="10">
        <v>2.0080000000000001E-2</v>
      </c>
      <c r="M445" s="10">
        <v>0.16880000000000001</v>
      </c>
      <c r="N445" s="10">
        <v>6.1940000000000002E-2</v>
      </c>
      <c r="O445" s="10">
        <v>0.31180000000000002</v>
      </c>
      <c r="P445" s="10">
        <v>0.92269999999999897</v>
      </c>
      <c r="Q445" s="10">
        <v>2</v>
      </c>
      <c r="R445" s="10">
        <v>24.7899999999999</v>
      </c>
      <c r="S445" s="10">
        <v>7.803E-3</v>
      </c>
      <c r="T445" s="10">
        <v>2.5069999999999901E-2</v>
      </c>
      <c r="U445" s="10">
        <v>1.8350000000000002E-2</v>
      </c>
      <c r="V445" s="10">
        <v>7.711E-3</v>
      </c>
      <c r="W445" s="10">
        <v>1.278E-2</v>
      </c>
      <c r="X445" s="10">
        <v>3.8560000000000001E-3</v>
      </c>
      <c r="Y445" s="10">
        <v>13.67</v>
      </c>
      <c r="Z445" s="10">
        <v>26.149999999999899</v>
      </c>
      <c r="AA445" s="10">
        <v>87.54</v>
      </c>
      <c r="AB445" s="10">
        <v>583</v>
      </c>
      <c r="AC445" s="10">
        <v>0.149999999999999</v>
      </c>
      <c r="AD445" s="10">
        <v>0.2399</v>
      </c>
      <c r="AE445" s="10">
        <v>0.15029999999999899</v>
      </c>
      <c r="AF445" s="10">
        <v>7.2470000000000007E-2</v>
      </c>
      <c r="AG445" s="10">
        <v>0.24379999999999899</v>
      </c>
      <c r="AH445">
        <v>8.541E-2</v>
      </c>
    </row>
    <row r="446" spans="3:34">
      <c r="C446" s="11" t="s">
        <v>418</v>
      </c>
      <c r="D446" s="10" t="s">
        <v>1</v>
      </c>
      <c r="E446" s="10">
        <v>13.71</v>
      </c>
      <c r="F446" s="10">
        <v>17.84</v>
      </c>
      <c r="G446" s="10">
        <v>86.239999999999895</v>
      </c>
      <c r="H446" s="10">
        <v>572.29999999999905</v>
      </c>
      <c r="I446" s="10">
        <v>7.9479999999999898E-2</v>
      </c>
      <c r="J446" s="10">
        <v>4.052E-2</v>
      </c>
      <c r="K446" s="10">
        <v>1.9970000000000002E-2</v>
      </c>
      <c r="L446" s="10">
        <v>1.238E-2</v>
      </c>
      <c r="M446" s="10">
        <v>0.1573</v>
      </c>
      <c r="N446" s="10">
        <v>5.5199999999999902E-2</v>
      </c>
      <c r="O446" s="10">
        <v>0.25800000000000001</v>
      </c>
      <c r="P446" s="10">
        <v>1.1659999999999899</v>
      </c>
      <c r="Q446" s="10">
        <v>1.6830000000000001</v>
      </c>
      <c r="R446" s="10">
        <v>22.219999999999899</v>
      </c>
      <c r="S446" s="10">
        <v>3.741E-3</v>
      </c>
      <c r="T446" s="10">
        <v>5.274E-3</v>
      </c>
      <c r="U446" s="10">
        <v>1.065E-2</v>
      </c>
      <c r="V446" s="10">
        <v>5.0439999999999903E-3</v>
      </c>
      <c r="W446" s="10">
        <v>1.3440000000000001E-2</v>
      </c>
      <c r="X446" s="10">
        <v>1.126E-3</v>
      </c>
      <c r="Y446" s="10">
        <v>15.5</v>
      </c>
      <c r="Z446" s="10">
        <v>26.1</v>
      </c>
      <c r="AA446" s="10">
        <v>98.909999999999897</v>
      </c>
      <c r="AB446" s="10">
        <v>739.1</v>
      </c>
      <c r="AC446" s="10">
        <v>0.105</v>
      </c>
      <c r="AD446" s="10">
        <v>7.6219999999999899E-2</v>
      </c>
      <c r="AE446" s="10">
        <v>0.106</v>
      </c>
      <c r="AF446" s="10">
        <v>5.185E-2</v>
      </c>
      <c r="AG446" s="10">
        <v>0.23350000000000001</v>
      </c>
      <c r="AH446">
        <v>6.2630000000000005E-2</v>
      </c>
    </row>
    <row r="447" spans="3:34">
      <c r="C447" s="11" t="s">
        <v>149</v>
      </c>
      <c r="D447" s="10" t="s">
        <v>0</v>
      </c>
      <c r="E447" s="10">
        <v>13.71</v>
      </c>
      <c r="F447" s="10">
        <v>24.0399999999999</v>
      </c>
      <c r="G447" s="10">
        <v>83.969999999999899</v>
      </c>
      <c r="H447" s="10">
        <v>475.89999999999901</v>
      </c>
      <c r="I447" s="10">
        <v>0.1186</v>
      </c>
      <c r="J447" s="10">
        <v>0.23960000000000001</v>
      </c>
      <c r="K447" s="10">
        <v>0.2273</v>
      </c>
      <c r="L447" s="10">
        <v>8.5430000000000006E-2</v>
      </c>
      <c r="M447" s="10">
        <v>0.20300000000000001</v>
      </c>
      <c r="N447" s="10">
        <v>8.2430000000000003E-2</v>
      </c>
      <c r="O447" s="10">
        <v>0.29759999999999898</v>
      </c>
      <c r="P447" s="10">
        <v>1.599</v>
      </c>
      <c r="Q447" s="10">
        <v>2.0390000000000001</v>
      </c>
      <c r="R447" s="10">
        <v>23.94</v>
      </c>
      <c r="S447" s="10">
        <v>7.149E-3</v>
      </c>
      <c r="T447" s="10">
        <v>7.2169999999999901E-2</v>
      </c>
      <c r="U447" s="10">
        <v>7.7429999999999902E-2</v>
      </c>
      <c r="V447" s="10">
        <v>1.4319999999999901E-2</v>
      </c>
      <c r="W447" s="10">
        <v>1.789E-2</v>
      </c>
      <c r="X447" s="10">
        <v>1.008E-2</v>
      </c>
      <c r="Y447" s="10">
        <v>15.09</v>
      </c>
      <c r="Z447" s="10">
        <v>40.68</v>
      </c>
      <c r="AA447" s="10">
        <v>97.65</v>
      </c>
      <c r="AB447" s="10">
        <v>711.39999999999895</v>
      </c>
      <c r="AC447" s="10">
        <v>0.18529999999999899</v>
      </c>
      <c r="AD447" s="10">
        <v>1.0580000000000001</v>
      </c>
      <c r="AE447" s="10">
        <v>1.105</v>
      </c>
      <c r="AF447" s="10">
        <v>0.221</v>
      </c>
      <c r="AG447" s="10">
        <v>0.43659999999999899</v>
      </c>
      <c r="AH447">
        <v>0.20749999999999899</v>
      </c>
    </row>
    <row r="448" spans="3:34">
      <c r="C448" s="11" t="s">
        <v>145</v>
      </c>
      <c r="D448" s="10" t="s">
        <v>0</v>
      </c>
      <c r="E448" s="10">
        <v>12.4499999999999</v>
      </c>
      <c r="F448" s="10">
        <v>15.6999999999999</v>
      </c>
      <c r="G448" s="10">
        <v>82.569999999999894</v>
      </c>
      <c r="H448" s="10">
        <v>477.1</v>
      </c>
      <c r="I448" s="10">
        <v>0.1278</v>
      </c>
      <c r="J448" s="10">
        <v>0.17</v>
      </c>
      <c r="K448" s="10">
        <v>0.1578</v>
      </c>
      <c r="L448" s="10">
        <v>8.0890000000000004E-2</v>
      </c>
      <c r="M448" s="10">
        <v>0.2087</v>
      </c>
      <c r="N448" s="10">
        <v>7.6130000000000003E-2</v>
      </c>
      <c r="O448" s="10">
        <v>0.33450000000000002</v>
      </c>
      <c r="P448" s="10">
        <v>0.89019999999999899</v>
      </c>
      <c r="Q448" s="10">
        <v>2.2170000000000001</v>
      </c>
      <c r="R448" s="10">
        <v>27.19</v>
      </c>
      <c r="S448" s="10">
        <v>7.5100000000000002E-3</v>
      </c>
      <c r="T448" s="10">
        <v>3.3450000000000001E-2</v>
      </c>
      <c r="U448" s="10">
        <v>3.6720000000000003E-2</v>
      </c>
      <c r="V448" s="10">
        <v>1.137E-2</v>
      </c>
      <c r="W448" s="10">
        <v>2.1649999999999898E-2</v>
      </c>
      <c r="X448" s="10">
        <v>5.0819999999999902E-3</v>
      </c>
      <c r="Y448" s="10">
        <v>15.47</v>
      </c>
      <c r="Z448" s="10">
        <v>23.75</v>
      </c>
      <c r="AA448" s="10">
        <v>103.4</v>
      </c>
      <c r="AB448" s="10">
        <v>741.6</v>
      </c>
      <c r="AC448" s="10">
        <v>0.17910000000000001</v>
      </c>
      <c r="AD448" s="10">
        <v>0.52490000000000003</v>
      </c>
      <c r="AE448" s="10">
        <v>0.53549999999999898</v>
      </c>
      <c r="AF448" s="10">
        <v>0.1741</v>
      </c>
      <c r="AG448" s="10">
        <v>0.39850000000000002</v>
      </c>
      <c r="AH448">
        <v>0.1244</v>
      </c>
    </row>
    <row r="449" spans="3:34">
      <c r="C449" s="11" t="s">
        <v>507</v>
      </c>
      <c r="D449" s="10" t="s">
        <v>1</v>
      </c>
      <c r="E449" s="10">
        <v>13.71</v>
      </c>
      <c r="F449" s="10">
        <v>18.02</v>
      </c>
      <c r="G449" s="10">
        <v>78.31</v>
      </c>
      <c r="H449" s="10">
        <v>458.39999999999901</v>
      </c>
      <c r="I449" s="10">
        <v>9.2310000000000003E-2</v>
      </c>
      <c r="J449" s="10">
        <v>7.1749999999999897E-2</v>
      </c>
      <c r="K449" s="10">
        <v>4.3920000000000001E-2</v>
      </c>
      <c r="L449" s="10">
        <v>2.027E-2</v>
      </c>
      <c r="M449" s="10">
        <v>0.16950000000000001</v>
      </c>
      <c r="N449" s="10">
        <v>5.91599999999999E-2</v>
      </c>
      <c r="O449" s="10">
        <v>0.25269999999999898</v>
      </c>
      <c r="P449" s="10">
        <v>0.77859999999999896</v>
      </c>
      <c r="Q449" s="10">
        <v>1.8740000000000001</v>
      </c>
      <c r="R449" s="10">
        <v>18.57</v>
      </c>
      <c r="S449" s="10">
        <v>5.8329999999999901E-3</v>
      </c>
      <c r="T449" s="10">
        <v>1.388E-2</v>
      </c>
      <c r="U449" s="10">
        <v>0.02</v>
      </c>
      <c r="V449" s="10">
        <v>7.0870000000000004E-3</v>
      </c>
      <c r="W449" s="10">
        <v>1.9380000000000001E-2</v>
      </c>
      <c r="X449" s="10">
        <v>1.95999999999999E-3</v>
      </c>
      <c r="Y449" s="10">
        <v>14.2899999999999</v>
      </c>
      <c r="Z449" s="10">
        <v>24.0399999999999</v>
      </c>
      <c r="AA449" s="10">
        <v>93.849999999999895</v>
      </c>
      <c r="AB449" s="10">
        <v>624.6</v>
      </c>
      <c r="AC449" s="10">
        <v>0.1368</v>
      </c>
      <c r="AD449" s="10">
        <v>0.217</v>
      </c>
      <c r="AE449" s="10">
        <v>0.24129999999999899</v>
      </c>
      <c r="AF449" s="10">
        <v>8.8289999999999896E-2</v>
      </c>
      <c r="AG449" s="10">
        <v>0.32179999999999898</v>
      </c>
      <c r="AH449">
        <v>7.4700000000000003E-2</v>
      </c>
    </row>
    <row r="450" spans="3:34">
      <c r="C450" s="11" t="s">
        <v>595</v>
      </c>
      <c r="D450" s="10" t="s">
        <v>1</v>
      </c>
      <c r="E450" s="10">
        <v>13.71</v>
      </c>
      <c r="F450" s="10">
        <v>30.719999999999899</v>
      </c>
      <c r="G450" s="10">
        <v>86.34</v>
      </c>
      <c r="H450" s="10">
        <v>557.20000000000005</v>
      </c>
      <c r="I450" s="10">
        <v>9.2450000000000004E-2</v>
      </c>
      <c r="J450" s="10">
        <v>7.4260000000000007E-2</v>
      </c>
      <c r="K450" s="10">
        <v>2.819E-2</v>
      </c>
      <c r="L450" s="10">
        <v>3.2640000000000002E-2</v>
      </c>
      <c r="M450" s="10">
        <v>0.13750000000000001</v>
      </c>
      <c r="N450" s="10">
        <v>6.0159999999999901E-2</v>
      </c>
      <c r="O450" s="10">
        <v>0.34079999999999899</v>
      </c>
      <c r="P450" s="10">
        <v>1.9239999999999899</v>
      </c>
      <c r="Q450" s="10">
        <v>2.2869999999999902</v>
      </c>
      <c r="R450" s="10">
        <v>28.93</v>
      </c>
      <c r="S450" s="10">
        <v>5.8409999999999903E-3</v>
      </c>
      <c r="T450" s="10">
        <v>1.2460000000000001E-2</v>
      </c>
      <c r="U450" s="10">
        <v>7.9360000000000003E-3</v>
      </c>
      <c r="V450" s="10">
        <v>9.1280000000000007E-3</v>
      </c>
      <c r="W450" s="10">
        <v>1.5640000000000001E-2</v>
      </c>
      <c r="X450" s="10">
        <v>2.9849999999999898E-3</v>
      </c>
      <c r="Y450" s="10">
        <v>15.05</v>
      </c>
      <c r="Z450" s="10">
        <v>41.6099999999999</v>
      </c>
      <c r="AA450" s="10">
        <v>96.689999999999898</v>
      </c>
      <c r="AB450" s="10">
        <v>705.6</v>
      </c>
      <c r="AC450" s="10">
        <v>0.1172</v>
      </c>
      <c r="AD450" s="10">
        <v>0.1421</v>
      </c>
      <c r="AE450" s="10">
        <v>7.0029999999999898E-2</v>
      </c>
      <c r="AF450" s="10">
        <v>7.7630000000000005E-2</v>
      </c>
      <c r="AG450" s="10">
        <v>0.21959999999999899</v>
      </c>
      <c r="AH450">
        <v>7.6749999999999902E-2</v>
      </c>
    </row>
    <row r="451" spans="3:34">
      <c r="C451" s="11" t="s">
        <v>203</v>
      </c>
      <c r="D451" s="10" t="s">
        <v>1</v>
      </c>
      <c r="E451" s="10">
        <v>13.71</v>
      </c>
      <c r="F451" s="10">
        <v>13.8599999999999</v>
      </c>
      <c r="G451" s="10">
        <v>59.2</v>
      </c>
      <c r="H451" s="10">
        <v>260.89999999999901</v>
      </c>
      <c r="I451" s="10">
        <v>7.7210000000000001E-2</v>
      </c>
      <c r="J451" s="10">
        <v>8.7510000000000004E-2</v>
      </c>
      <c r="K451" s="10">
        <v>5.9880000000000003E-2</v>
      </c>
      <c r="L451" s="10">
        <v>2.18E-2</v>
      </c>
      <c r="M451" s="10">
        <v>0.2341</v>
      </c>
      <c r="N451" s="10">
        <v>6.96299999999999E-2</v>
      </c>
      <c r="O451" s="10">
        <v>0.4098</v>
      </c>
      <c r="P451" s="10">
        <v>2.2650000000000001</v>
      </c>
      <c r="Q451" s="10">
        <v>2.6080000000000001</v>
      </c>
      <c r="R451" s="10">
        <v>23.52</v>
      </c>
      <c r="S451" s="10">
        <v>8.7379999999999906E-3</v>
      </c>
      <c r="T451" s="10">
        <v>3.9379999999999901E-2</v>
      </c>
      <c r="U451" s="10">
        <v>4.3119999999999901E-2</v>
      </c>
      <c r="V451" s="10">
        <v>1.55999999999999E-2</v>
      </c>
      <c r="W451" s="10">
        <v>4.1919999999999902E-2</v>
      </c>
      <c r="X451" s="10">
        <v>5.8219999999999904E-3</v>
      </c>
      <c r="Y451" s="10">
        <v>10.01</v>
      </c>
      <c r="Z451" s="10">
        <v>19.23</v>
      </c>
      <c r="AA451" s="10">
        <v>65.59</v>
      </c>
      <c r="AB451" s="10">
        <v>310.10000000000002</v>
      </c>
      <c r="AC451" s="10">
        <v>9.8360000000000003E-2</v>
      </c>
      <c r="AD451" s="10">
        <v>0.1678</v>
      </c>
      <c r="AE451" s="10">
        <v>0.13969999999999899</v>
      </c>
      <c r="AF451" s="10">
        <v>5.0869999999999901E-2</v>
      </c>
      <c r="AG451" s="10">
        <v>0.32819999999999899</v>
      </c>
      <c r="AH451">
        <v>8.4900000000000003E-2</v>
      </c>
    </row>
    <row r="452" spans="3:34">
      <c r="C452" s="11" t="s">
        <v>322</v>
      </c>
      <c r="D452" s="10" t="s">
        <v>0</v>
      </c>
      <c r="E452" s="10">
        <v>13.71</v>
      </c>
      <c r="F452" s="10">
        <v>20.309999999999899</v>
      </c>
      <c r="G452" s="10">
        <v>101.2</v>
      </c>
      <c r="H452" s="10">
        <v>766.6</v>
      </c>
      <c r="I452" s="10">
        <v>9.597E-2</v>
      </c>
      <c r="J452" s="10">
        <v>8.7989999999999902E-2</v>
      </c>
      <c r="K452" s="10">
        <v>6.5930000000000002E-2</v>
      </c>
      <c r="L452" s="10">
        <v>5.1889999999999901E-2</v>
      </c>
      <c r="M452" s="10">
        <v>0.1618</v>
      </c>
      <c r="N452" s="10">
        <v>5.5489999999999901E-2</v>
      </c>
      <c r="O452" s="10">
        <v>0.36990000000000001</v>
      </c>
      <c r="P452" s="10">
        <v>1.1499999999999899</v>
      </c>
      <c r="Q452" s="10">
        <v>2.4060000000000001</v>
      </c>
      <c r="R452" s="10">
        <v>40.979999999999897</v>
      </c>
      <c r="S452" s="10">
        <v>4.6259999999999904E-3</v>
      </c>
      <c r="T452" s="10">
        <v>2.2630000000000001E-2</v>
      </c>
      <c r="U452" s="10">
        <v>1.9539999999999901E-2</v>
      </c>
      <c r="V452" s="10">
        <v>9.7669999999999892E-3</v>
      </c>
      <c r="W452" s="10">
        <v>1.54699999999999E-2</v>
      </c>
      <c r="X452" s="10">
        <v>2.4299999999999899E-3</v>
      </c>
      <c r="Y452" s="10">
        <v>20.1099999999999</v>
      </c>
      <c r="Z452" s="10">
        <v>32.82</v>
      </c>
      <c r="AA452" s="10">
        <v>129.30000000000001</v>
      </c>
      <c r="AB452" s="10">
        <v>1269</v>
      </c>
      <c r="AC452" s="10">
        <v>0.1414</v>
      </c>
      <c r="AD452" s="10">
        <v>0.35470000000000002</v>
      </c>
      <c r="AE452" s="10">
        <v>0.29020000000000001</v>
      </c>
      <c r="AF452" s="10">
        <v>0.15409999999999899</v>
      </c>
      <c r="AG452" s="10">
        <v>0.34370000000000001</v>
      </c>
      <c r="AH452">
        <v>8.6309999999999901E-2</v>
      </c>
    </row>
    <row r="453" spans="3:34">
      <c r="C453" s="11" t="s">
        <v>278</v>
      </c>
      <c r="D453" s="10" t="s">
        <v>0</v>
      </c>
      <c r="E453" s="10">
        <v>13.71</v>
      </c>
      <c r="F453" s="10">
        <v>17.57</v>
      </c>
      <c r="G453" s="10">
        <v>96.849999999999895</v>
      </c>
      <c r="H453" s="10">
        <v>678.1</v>
      </c>
      <c r="I453" s="10">
        <v>0.1167</v>
      </c>
      <c r="J453" s="10">
        <v>0.1305</v>
      </c>
      <c r="K453" s="10">
        <v>0.15390000000000001</v>
      </c>
      <c r="L453" s="10">
        <v>8.62399999999999E-2</v>
      </c>
      <c r="M453" s="10">
        <v>0.19570000000000001</v>
      </c>
      <c r="N453" s="10">
        <v>6.216E-2</v>
      </c>
      <c r="O453" s="10">
        <v>1.296</v>
      </c>
      <c r="P453" s="10">
        <v>1.452</v>
      </c>
      <c r="Q453" s="10">
        <v>8.4190000000000005</v>
      </c>
      <c r="R453" s="10">
        <v>101.9</v>
      </c>
      <c r="S453" s="10">
        <v>0.01</v>
      </c>
      <c r="T453" s="10">
        <v>3.47999999999999E-2</v>
      </c>
      <c r="U453" s="10">
        <v>6.5769999999999898E-2</v>
      </c>
      <c r="V453" s="10">
        <v>2.801E-2</v>
      </c>
      <c r="W453" s="10">
        <v>5.16799999999999E-2</v>
      </c>
      <c r="X453" s="10">
        <v>2.8869999999999898E-3</v>
      </c>
      <c r="Y453" s="10">
        <v>18.55</v>
      </c>
      <c r="Z453" s="10">
        <v>21.43</v>
      </c>
      <c r="AA453" s="10">
        <v>121.4</v>
      </c>
      <c r="AB453" s="10">
        <v>971.39999999999895</v>
      </c>
      <c r="AC453" s="10">
        <v>0.1411</v>
      </c>
      <c r="AD453" s="10">
        <v>0.21640000000000001</v>
      </c>
      <c r="AE453" s="10">
        <v>0.33550000000000002</v>
      </c>
      <c r="AF453" s="10">
        <v>0.16669999999999899</v>
      </c>
      <c r="AG453" s="10">
        <v>0.34139999999999898</v>
      </c>
      <c r="AH453">
        <v>7.1470000000000006E-2</v>
      </c>
    </row>
    <row r="454" spans="3:34">
      <c r="C454" s="11" t="s">
        <v>546</v>
      </c>
      <c r="D454" s="10" t="s">
        <v>1</v>
      </c>
      <c r="E454" s="10">
        <v>13.71</v>
      </c>
      <c r="F454" s="10">
        <v>14.8599999999999</v>
      </c>
      <c r="G454" s="10">
        <v>104.3</v>
      </c>
      <c r="H454" s="10">
        <v>800</v>
      </c>
      <c r="I454" s="10">
        <v>9.4950000000000007E-2</v>
      </c>
      <c r="J454" s="10">
        <v>8.5010000000000002E-2</v>
      </c>
      <c r="K454" s="10">
        <v>5.5E-2</v>
      </c>
      <c r="L454" s="10">
        <v>4.5280000000000001E-2</v>
      </c>
      <c r="M454" s="10">
        <v>0.17349999999999899</v>
      </c>
      <c r="N454" s="10">
        <v>5.87499999999999E-2</v>
      </c>
      <c r="O454" s="10">
        <v>0.2387</v>
      </c>
      <c r="P454" s="10">
        <v>0.63719999999999899</v>
      </c>
      <c r="Q454" s="10">
        <v>1.7290000000000001</v>
      </c>
      <c r="R454" s="10">
        <v>21.829999999999899</v>
      </c>
      <c r="S454" s="10">
        <v>3.9579999999999902E-3</v>
      </c>
      <c r="T454" s="10">
        <v>1.2460000000000001E-2</v>
      </c>
      <c r="U454" s="10">
        <v>1.831E-2</v>
      </c>
      <c r="V454" s="10">
        <v>8.7469999999999892E-3</v>
      </c>
      <c r="W454" s="10">
        <v>1.4999999999999901E-2</v>
      </c>
      <c r="X454" s="10">
        <v>1.621E-3</v>
      </c>
      <c r="Y454" s="10">
        <v>17.71</v>
      </c>
      <c r="Z454" s="10">
        <v>19.579999999999899</v>
      </c>
      <c r="AA454" s="10">
        <v>115.9</v>
      </c>
      <c r="AB454" s="10">
        <v>947.89999999999895</v>
      </c>
      <c r="AC454" s="10">
        <v>0.1206</v>
      </c>
      <c r="AD454" s="10">
        <v>0.17219999999999899</v>
      </c>
      <c r="AE454" s="10">
        <v>0.23100000000000001</v>
      </c>
      <c r="AF454" s="10">
        <v>0.1129</v>
      </c>
      <c r="AG454" s="10">
        <v>0.27779999999999899</v>
      </c>
      <c r="AH454">
        <v>7.0120000000000002E-2</v>
      </c>
    </row>
    <row r="455" spans="3:34">
      <c r="C455" s="11" t="s">
        <v>697</v>
      </c>
      <c r="D455" s="10" t="s">
        <v>1</v>
      </c>
      <c r="E455" s="10">
        <v>13.71</v>
      </c>
      <c r="F455" s="10">
        <v>27.8799999999999</v>
      </c>
      <c r="G455" s="10">
        <v>59.259999999999899</v>
      </c>
      <c r="H455" s="10">
        <v>271.3</v>
      </c>
      <c r="I455" s="10">
        <v>8.12299999999999E-2</v>
      </c>
      <c r="J455" s="10">
        <v>4.97099999999999E-2</v>
      </c>
      <c r="K455" s="10">
        <v>0</v>
      </c>
      <c r="L455" s="10">
        <v>0</v>
      </c>
      <c r="M455" s="10">
        <v>0.17419999999999899</v>
      </c>
      <c r="N455" s="10">
        <v>6.0589999999999901E-2</v>
      </c>
      <c r="O455" s="10">
        <v>0.53749999999999898</v>
      </c>
      <c r="P455" s="10">
        <v>2.927</v>
      </c>
      <c r="Q455" s="10">
        <v>3.6179999999999901</v>
      </c>
      <c r="R455" s="10">
        <v>29.1099999999999</v>
      </c>
      <c r="S455" s="10">
        <v>1.159E-2</v>
      </c>
      <c r="T455" s="10">
        <v>1.124E-2</v>
      </c>
      <c r="U455" s="10">
        <v>0</v>
      </c>
      <c r="V455" s="10">
        <v>0</v>
      </c>
      <c r="W455" s="10">
        <v>3.0040000000000001E-2</v>
      </c>
      <c r="X455" s="10">
        <v>3.3240000000000001E-3</v>
      </c>
      <c r="Y455" s="10">
        <v>10.49</v>
      </c>
      <c r="Z455" s="10">
        <v>34.24</v>
      </c>
      <c r="AA455" s="10">
        <v>66.5</v>
      </c>
      <c r="AB455" s="10">
        <v>330.6</v>
      </c>
      <c r="AC455" s="10">
        <v>0.10730000000000001</v>
      </c>
      <c r="AD455" s="10">
        <v>7.1580000000000005E-2</v>
      </c>
      <c r="AE455" s="10">
        <v>0</v>
      </c>
      <c r="AF455" s="10">
        <v>0</v>
      </c>
      <c r="AG455" s="10">
        <v>0.2475</v>
      </c>
      <c r="AH455">
        <v>6.9690000000000002E-2</v>
      </c>
    </row>
    <row r="456" spans="3:34">
      <c r="C456" s="11" t="s">
        <v>705</v>
      </c>
      <c r="D456" s="10" t="s">
        <v>0</v>
      </c>
      <c r="E456" s="10">
        <v>13.71</v>
      </c>
      <c r="F456" s="10">
        <v>28.25</v>
      </c>
      <c r="G456" s="10">
        <v>131.19999999999899</v>
      </c>
      <c r="H456" s="10">
        <v>1261</v>
      </c>
      <c r="I456" s="10">
        <v>9.7799999999999901E-2</v>
      </c>
      <c r="J456" s="10">
        <v>0.10340000000000001</v>
      </c>
      <c r="K456" s="10">
        <v>0.14399999999999899</v>
      </c>
      <c r="L456" s="10">
        <v>9.79099999999999E-2</v>
      </c>
      <c r="M456" s="10">
        <v>0.175199999999999</v>
      </c>
      <c r="N456" s="10">
        <v>5.53299999999999E-2</v>
      </c>
      <c r="O456" s="10">
        <v>0.76549999999999896</v>
      </c>
      <c r="P456" s="10">
        <v>2.4630000000000001</v>
      </c>
      <c r="Q456" s="10">
        <v>5.2030000000000003</v>
      </c>
      <c r="R456" s="10">
        <v>99.04</v>
      </c>
      <c r="S456" s="10">
        <v>5.7689999999999903E-3</v>
      </c>
      <c r="T456" s="10">
        <v>2.4230000000000002E-2</v>
      </c>
      <c r="U456" s="10">
        <v>3.95E-2</v>
      </c>
      <c r="V456" s="10">
        <v>1.678E-2</v>
      </c>
      <c r="W456" s="10">
        <v>1.898E-2</v>
      </c>
      <c r="X456" s="10">
        <v>2.4979999999999898E-3</v>
      </c>
      <c r="Y456" s="10">
        <v>23.69</v>
      </c>
      <c r="Z456" s="10">
        <v>38.25</v>
      </c>
      <c r="AA456" s="10">
        <v>155</v>
      </c>
      <c r="AB456" s="10">
        <v>1731</v>
      </c>
      <c r="AC456" s="10">
        <v>0.1166</v>
      </c>
      <c r="AD456" s="10">
        <v>0.19220000000000001</v>
      </c>
      <c r="AE456" s="10">
        <v>0.32150000000000001</v>
      </c>
      <c r="AF456" s="10">
        <v>0.1628</v>
      </c>
      <c r="AG456" s="10">
        <v>0.25719999999999898</v>
      </c>
      <c r="AH456">
        <v>6.6369999999999901E-2</v>
      </c>
    </row>
    <row r="457" spans="3:34">
      <c r="C457" s="11" t="s">
        <v>678</v>
      </c>
      <c r="D457" s="10" t="s">
        <v>1</v>
      </c>
      <c r="E457" s="10">
        <v>13.71</v>
      </c>
      <c r="F457" s="10">
        <v>25.489999999999899</v>
      </c>
      <c r="G457" s="10">
        <v>47.979999999999897</v>
      </c>
      <c r="H457" s="10">
        <v>178.8</v>
      </c>
      <c r="I457" s="10">
        <v>8.0979999999999899E-2</v>
      </c>
      <c r="J457" s="10">
        <v>4.87799999999999E-2</v>
      </c>
      <c r="K457" s="10">
        <v>0</v>
      </c>
      <c r="L457" s="10">
        <v>0</v>
      </c>
      <c r="M457" s="10">
        <v>0.187</v>
      </c>
      <c r="N457" s="10">
        <v>7.2849999999999901E-2</v>
      </c>
      <c r="O457" s="10">
        <v>0.37769999999999898</v>
      </c>
      <c r="P457" s="10">
        <v>1.462</v>
      </c>
      <c r="Q457" s="10">
        <v>2.492</v>
      </c>
      <c r="R457" s="10">
        <v>19.14</v>
      </c>
      <c r="S457" s="10">
        <v>1.26599999999999E-2</v>
      </c>
      <c r="T457" s="10">
        <v>9.6919999999999906E-3</v>
      </c>
      <c r="U457" s="10">
        <v>0</v>
      </c>
      <c r="V457" s="10">
        <v>0</v>
      </c>
      <c r="W457" s="10">
        <v>2.8819999999999901E-2</v>
      </c>
      <c r="X457" s="10">
        <v>6.8719999999999901E-3</v>
      </c>
      <c r="Y457" s="10">
        <v>9.077</v>
      </c>
      <c r="Z457" s="10">
        <v>30.92</v>
      </c>
      <c r="AA457" s="10">
        <v>57.17</v>
      </c>
      <c r="AB457" s="10">
        <v>248</v>
      </c>
      <c r="AC457" s="10">
        <v>0.12559999999999899</v>
      </c>
      <c r="AD457" s="10">
        <v>8.3400000000000002E-2</v>
      </c>
      <c r="AE457" s="10">
        <v>0</v>
      </c>
      <c r="AF457" s="10">
        <v>0</v>
      </c>
      <c r="AG457" s="10">
        <v>0.30580000000000002</v>
      </c>
      <c r="AH457">
        <v>9.9379999999999899E-2</v>
      </c>
    </row>
    <row r="458" spans="3:34">
      <c r="C458" s="11" t="s">
        <v>544</v>
      </c>
      <c r="D458" s="10" t="s">
        <v>1</v>
      </c>
      <c r="E458" s="10">
        <v>13.71</v>
      </c>
      <c r="F458" s="10">
        <v>14.9499999999999</v>
      </c>
      <c r="G458" s="10">
        <v>78.290000000000006</v>
      </c>
      <c r="H458" s="10">
        <v>469.1</v>
      </c>
      <c r="I458" s="10">
        <v>8.6819999999999897E-2</v>
      </c>
      <c r="J458" s="10">
        <v>4.5710000000000001E-2</v>
      </c>
      <c r="K458" s="10">
        <v>2.1090000000000001E-2</v>
      </c>
      <c r="L458" s="10">
        <v>2.0539999999999899E-2</v>
      </c>
      <c r="M458" s="10">
        <v>0.15709999999999899</v>
      </c>
      <c r="N458" s="10">
        <v>5.7079999999999902E-2</v>
      </c>
      <c r="O458" s="10">
        <v>0.38329999999999897</v>
      </c>
      <c r="P458" s="10">
        <v>0.90780000000000005</v>
      </c>
      <c r="Q458" s="10">
        <v>2.6019999999999901</v>
      </c>
      <c r="R458" s="10">
        <v>30.149999999999899</v>
      </c>
      <c r="S458" s="10">
        <v>7.7019999999999901E-3</v>
      </c>
      <c r="T458" s="10">
        <v>8.4910000000000003E-3</v>
      </c>
      <c r="U458" s="10">
        <v>1.307E-2</v>
      </c>
      <c r="V458" s="10">
        <v>1.03E-2</v>
      </c>
      <c r="W458" s="10">
        <v>2.9700000000000001E-2</v>
      </c>
      <c r="X458" s="10">
        <v>1.4319999999999899E-3</v>
      </c>
      <c r="Y458" s="10">
        <v>13.18</v>
      </c>
      <c r="Z458" s="10">
        <v>16.850000000000001</v>
      </c>
      <c r="AA458" s="10">
        <v>84.1099999999999</v>
      </c>
      <c r="AB458" s="10">
        <v>533.1</v>
      </c>
      <c r="AC458" s="10">
        <v>0.1048</v>
      </c>
      <c r="AD458" s="10">
        <v>6.744E-2</v>
      </c>
      <c r="AE458" s="10">
        <v>4.92099999999999E-2</v>
      </c>
      <c r="AF458" s="10">
        <v>4.793E-2</v>
      </c>
      <c r="AG458" s="10">
        <v>0.2298</v>
      </c>
      <c r="AH458">
        <v>5.9740000000000001E-2</v>
      </c>
    </row>
    <row r="459" spans="3:34">
      <c r="C459" s="11" t="s">
        <v>420</v>
      </c>
      <c r="D459" s="10" t="s">
        <v>0</v>
      </c>
      <c r="E459" s="10">
        <v>13.71</v>
      </c>
      <c r="F459" s="10">
        <v>26.6</v>
      </c>
      <c r="G459" s="10">
        <v>126.2</v>
      </c>
      <c r="H459" s="10">
        <v>1138</v>
      </c>
      <c r="I459" s="10">
        <v>0.10199999999999899</v>
      </c>
      <c r="J459" s="10">
        <v>0.14530000000000001</v>
      </c>
      <c r="K459" s="10">
        <v>0.19209999999999899</v>
      </c>
      <c r="L459" s="10">
        <v>9.6640000000000004E-2</v>
      </c>
      <c r="M459" s="10">
        <v>0.19020000000000001</v>
      </c>
      <c r="N459" s="10">
        <v>6.2199999999999901E-2</v>
      </c>
      <c r="O459" s="10">
        <v>0.6361</v>
      </c>
      <c r="P459" s="10">
        <v>1.0009999999999899</v>
      </c>
      <c r="Q459" s="10">
        <v>4.32099999999999</v>
      </c>
      <c r="R459" s="10">
        <v>69.650000000000006</v>
      </c>
      <c r="S459" s="10">
        <v>7.3920000000000001E-3</v>
      </c>
      <c r="T459" s="10">
        <v>2.4490000000000001E-2</v>
      </c>
      <c r="U459" s="10">
        <v>3.9879999999999902E-2</v>
      </c>
      <c r="V459" s="10">
        <v>1.2930000000000001E-2</v>
      </c>
      <c r="W459" s="10">
        <v>1.435E-2</v>
      </c>
      <c r="X459" s="10">
        <v>3.4459999999999899E-3</v>
      </c>
      <c r="Y459" s="10">
        <v>23.719999999999899</v>
      </c>
      <c r="Z459" s="10">
        <v>35.899999999999899</v>
      </c>
      <c r="AA459" s="10">
        <v>159.80000000000001</v>
      </c>
      <c r="AB459" s="10">
        <v>1724</v>
      </c>
      <c r="AC459" s="10">
        <v>0.1782</v>
      </c>
      <c r="AD459" s="10">
        <v>0.3841</v>
      </c>
      <c r="AE459" s="10">
        <v>0.57540000000000002</v>
      </c>
      <c r="AF459" s="10">
        <v>0.18720000000000001</v>
      </c>
      <c r="AG459" s="10">
        <v>0.32579999999999898</v>
      </c>
      <c r="AH459">
        <v>9.7199999999999898E-2</v>
      </c>
    </row>
    <row r="460" spans="3:34">
      <c r="C460" s="11" t="s">
        <v>517</v>
      </c>
      <c r="D460" s="10" t="s">
        <v>1</v>
      </c>
      <c r="E460" s="10">
        <v>13.71</v>
      </c>
      <c r="F460" s="10">
        <v>28.21</v>
      </c>
      <c r="G460" s="10">
        <v>85.89</v>
      </c>
      <c r="H460" s="10">
        <v>562.1</v>
      </c>
      <c r="I460" s="10">
        <v>7.5170000000000001E-2</v>
      </c>
      <c r="J460" s="10">
        <v>4.7260000000000003E-2</v>
      </c>
      <c r="K460" s="10">
        <v>1.2710000000000001E-2</v>
      </c>
      <c r="L460" s="10">
        <v>1.11699999999999E-2</v>
      </c>
      <c r="M460" s="10">
        <v>0.1421</v>
      </c>
      <c r="N460" s="10">
        <v>5.7630000000000001E-2</v>
      </c>
      <c r="O460" s="10">
        <v>0.168899999999999</v>
      </c>
      <c r="P460" s="10">
        <v>1.1499999999999899</v>
      </c>
      <c r="Q460" s="10">
        <v>1.3999999999999899</v>
      </c>
      <c r="R460" s="10">
        <v>14.91</v>
      </c>
      <c r="S460" s="10">
        <v>4.9420000000000002E-3</v>
      </c>
      <c r="T460" s="10">
        <v>1.2030000000000001E-2</v>
      </c>
      <c r="U460" s="10">
        <v>7.5079999999999904E-3</v>
      </c>
      <c r="V460" s="10">
        <v>5.17899999999999E-3</v>
      </c>
      <c r="W460" s="10">
        <v>1.4420000000000001E-2</v>
      </c>
      <c r="X460" s="10">
        <v>1.684E-3</v>
      </c>
      <c r="Y460" s="10">
        <v>14.69</v>
      </c>
      <c r="Z460" s="10">
        <v>35.630000000000003</v>
      </c>
      <c r="AA460" s="10">
        <v>97.1099999999999</v>
      </c>
      <c r="AB460" s="10">
        <v>680.6</v>
      </c>
      <c r="AC460" s="10">
        <v>0.1108</v>
      </c>
      <c r="AD460" s="10">
        <v>0.1457</v>
      </c>
      <c r="AE460" s="10">
        <v>7.9339999999999897E-2</v>
      </c>
      <c r="AF460" s="10">
        <v>5.781E-2</v>
      </c>
      <c r="AG460" s="10">
        <v>0.26939999999999897</v>
      </c>
      <c r="AH460">
        <v>7.0610000000000006E-2</v>
      </c>
    </row>
    <row r="461" spans="3:34">
      <c r="C461" s="11" t="s">
        <v>372</v>
      </c>
      <c r="D461" s="10" t="s">
        <v>1</v>
      </c>
      <c r="E461" s="10">
        <v>13.71</v>
      </c>
      <c r="F461" s="10">
        <v>33.81</v>
      </c>
      <c r="G461" s="10">
        <v>70.790000000000006</v>
      </c>
      <c r="H461" s="10">
        <v>386.8</v>
      </c>
      <c r="I461" s="10">
        <v>7.7799999999999897E-2</v>
      </c>
      <c r="J461" s="10">
        <v>3.5740000000000001E-2</v>
      </c>
      <c r="K461" s="10">
        <v>4.9670000000000001E-3</v>
      </c>
      <c r="L461" s="10">
        <v>6.4339999999999901E-3</v>
      </c>
      <c r="M461" s="10">
        <v>0.1845</v>
      </c>
      <c r="N461" s="10">
        <v>5.8279999999999901E-2</v>
      </c>
      <c r="O461" s="10">
        <v>0.22389999999999899</v>
      </c>
      <c r="P461" s="10">
        <v>1.647</v>
      </c>
      <c r="Q461" s="10">
        <v>1.4890000000000001</v>
      </c>
      <c r="R461" s="10">
        <v>15.46</v>
      </c>
      <c r="S461" s="10">
        <v>4.359E-3</v>
      </c>
      <c r="T461" s="10">
        <v>6.8129999999999901E-3</v>
      </c>
      <c r="U461" s="10">
        <v>3.2230000000000002E-3</v>
      </c>
      <c r="V461" s="10">
        <v>3.4190000000000002E-3</v>
      </c>
      <c r="W461" s="10">
        <v>1.916E-2</v>
      </c>
      <c r="X461" s="10">
        <v>2.5339999999999898E-3</v>
      </c>
      <c r="Y461" s="10">
        <v>12.3599999999999</v>
      </c>
      <c r="Z461" s="10">
        <v>41.78</v>
      </c>
      <c r="AA461" s="10">
        <v>78.439999999999898</v>
      </c>
      <c r="AB461" s="10">
        <v>470.89999999999901</v>
      </c>
      <c r="AC461" s="10">
        <v>9.9940000000000001E-2</v>
      </c>
      <c r="AD461" s="10">
        <v>6.8849999999999897E-2</v>
      </c>
      <c r="AE461" s="10">
        <v>2.3179999999999899E-2</v>
      </c>
      <c r="AF461" s="10">
        <v>3.0020000000000002E-2</v>
      </c>
      <c r="AG461" s="10">
        <v>0.29110000000000003</v>
      </c>
      <c r="AH461">
        <v>7.3069999999999899E-2</v>
      </c>
    </row>
    <row r="462" spans="3:34">
      <c r="C462" s="11" t="s">
        <v>386</v>
      </c>
      <c r="D462" s="10" t="s">
        <v>1</v>
      </c>
      <c r="E462" s="10">
        <v>13.71</v>
      </c>
      <c r="F462" s="10">
        <v>17.43</v>
      </c>
      <c r="G462" s="10">
        <v>84.129999999999896</v>
      </c>
      <c r="H462" s="10">
        <v>541.6</v>
      </c>
      <c r="I462" s="10">
        <v>7.2150000000000006E-2</v>
      </c>
      <c r="J462" s="10">
        <v>4.5240000000000002E-2</v>
      </c>
      <c r="K462" s="10">
        <v>4.3360000000000003E-2</v>
      </c>
      <c r="L462" s="10">
        <v>1.1050000000000001E-2</v>
      </c>
      <c r="M462" s="10">
        <v>0.1487</v>
      </c>
      <c r="N462" s="10">
        <v>5.63499999999999E-2</v>
      </c>
      <c r="O462" s="10">
        <v>0.16300000000000001</v>
      </c>
      <c r="P462" s="10">
        <v>1.601</v>
      </c>
      <c r="Q462" s="10">
        <v>0.873</v>
      </c>
      <c r="R462" s="10">
        <v>13.56</v>
      </c>
      <c r="S462" s="10">
        <v>6.2610000000000001E-3</v>
      </c>
      <c r="T462" s="10">
        <v>1.5689999999999898E-2</v>
      </c>
      <c r="U462" s="10">
        <v>3.0790000000000001E-2</v>
      </c>
      <c r="V462" s="10">
        <v>5.3829999999999902E-3</v>
      </c>
      <c r="W462" s="10">
        <v>1.9619999999999901E-2</v>
      </c>
      <c r="X462" s="10">
        <v>2.2499999999999899E-3</v>
      </c>
      <c r="Y462" s="10">
        <v>13.94</v>
      </c>
      <c r="Z462" s="10">
        <v>27.82</v>
      </c>
      <c r="AA462" s="10">
        <v>88.28</v>
      </c>
      <c r="AB462" s="10">
        <v>602</v>
      </c>
      <c r="AC462" s="10">
        <v>0.1101</v>
      </c>
      <c r="AD462" s="10">
        <v>0.15079999999999899</v>
      </c>
      <c r="AE462" s="10">
        <v>0.2298</v>
      </c>
      <c r="AF462" s="10">
        <v>4.9700000000000001E-2</v>
      </c>
      <c r="AG462" s="10">
        <v>0.2767</v>
      </c>
      <c r="AH462">
        <v>7.1980000000000002E-2</v>
      </c>
    </row>
    <row r="463" spans="3:34">
      <c r="C463" s="11" t="s">
        <v>648</v>
      </c>
      <c r="D463" s="10" t="s">
        <v>1</v>
      </c>
      <c r="E463" s="10">
        <v>13.71</v>
      </c>
      <c r="F463" s="10">
        <v>15.6999999999999</v>
      </c>
      <c r="G463" s="10">
        <v>104.7</v>
      </c>
      <c r="H463" s="10">
        <v>819.79999999999905</v>
      </c>
      <c r="I463" s="10">
        <v>9.4270000000000007E-2</v>
      </c>
      <c r="J463" s="10">
        <v>6.7119999999999902E-2</v>
      </c>
      <c r="K463" s="10">
        <v>5.5259999999999899E-2</v>
      </c>
      <c r="L463" s="10">
        <v>4.56299999999999E-2</v>
      </c>
      <c r="M463" s="10">
        <v>0.1711</v>
      </c>
      <c r="N463" s="10">
        <v>5.6570000000000002E-2</v>
      </c>
      <c r="O463" s="10">
        <v>0.206699999999999</v>
      </c>
      <c r="P463" s="10">
        <v>0.47060000000000002</v>
      </c>
      <c r="Q463" s="10">
        <v>1.1459999999999899</v>
      </c>
      <c r="R463" s="10">
        <v>20.67</v>
      </c>
      <c r="S463" s="10">
        <v>7.3940000000000004E-3</v>
      </c>
      <c r="T463" s="10">
        <v>1.2030000000000001E-2</v>
      </c>
      <c r="U463" s="10">
        <v>2.47E-2</v>
      </c>
      <c r="V463" s="10">
        <v>1.431E-2</v>
      </c>
      <c r="W463" s="10">
        <v>1.3440000000000001E-2</v>
      </c>
      <c r="X463" s="10">
        <v>2.5690000000000001E-3</v>
      </c>
      <c r="Y463" s="10">
        <v>17.32</v>
      </c>
      <c r="Z463" s="10">
        <v>17.760000000000002</v>
      </c>
      <c r="AA463" s="10">
        <v>109.8</v>
      </c>
      <c r="AB463" s="10">
        <v>928.2</v>
      </c>
      <c r="AC463" s="10">
        <v>0.13539999999999899</v>
      </c>
      <c r="AD463" s="10">
        <v>0.1361</v>
      </c>
      <c r="AE463" s="10">
        <v>0.19470000000000001</v>
      </c>
      <c r="AF463" s="10">
        <v>0.13569999999999899</v>
      </c>
      <c r="AG463" s="10">
        <v>0.23</v>
      </c>
      <c r="AH463">
        <v>7.2300000000000003E-2</v>
      </c>
    </row>
    <row r="464" spans="3:34">
      <c r="C464" s="11" t="s">
        <v>301</v>
      </c>
      <c r="D464" s="10" t="s">
        <v>0</v>
      </c>
      <c r="E464" s="10">
        <v>13.71</v>
      </c>
      <c r="F464" s="10">
        <v>15.94</v>
      </c>
      <c r="G464" s="10">
        <v>126.3</v>
      </c>
      <c r="H464" s="10">
        <v>1157</v>
      </c>
      <c r="I464" s="10">
        <v>8.6940000000000003E-2</v>
      </c>
      <c r="J464" s="10">
        <v>0.118499999999999</v>
      </c>
      <c r="K464" s="10">
        <v>0.1193</v>
      </c>
      <c r="L464" s="10">
        <v>9.6670000000000006E-2</v>
      </c>
      <c r="M464" s="10">
        <v>0.1741</v>
      </c>
      <c r="N464" s="10">
        <v>5.176E-2</v>
      </c>
      <c r="O464" s="10">
        <v>1</v>
      </c>
      <c r="P464" s="10">
        <v>0.63360000000000005</v>
      </c>
      <c r="Q464" s="10">
        <v>6.9710000000000001</v>
      </c>
      <c r="R464" s="10">
        <v>119.3</v>
      </c>
      <c r="S464" s="10">
        <v>9.4059999999999908E-3</v>
      </c>
      <c r="T464" s="10">
        <v>3.0550000000000001E-2</v>
      </c>
      <c r="U464" s="10">
        <v>4.3439999999999902E-2</v>
      </c>
      <c r="V464" s="10">
        <v>2.794E-2</v>
      </c>
      <c r="W464" s="10">
        <v>3.1559999999999901E-2</v>
      </c>
      <c r="X464" s="10">
        <v>3.362E-3</v>
      </c>
      <c r="Y464" s="10">
        <v>22.03</v>
      </c>
      <c r="Z464" s="10">
        <v>17.809999999999899</v>
      </c>
      <c r="AA464" s="10">
        <v>146.599999999999</v>
      </c>
      <c r="AB464" s="10">
        <v>1495</v>
      </c>
      <c r="AC464" s="10">
        <v>0.1124</v>
      </c>
      <c r="AD464" s="10">
        <v>0.2016</v>
      </c>
      <c r="AE464" s="10">
        <v>0.22639999999999899</v>
      </c>
      <c r="AF464" s="10">
        <v>0.1777</v>
      </c>
      <c r="AG464" s="10">
        <v>0.24429999999999899</v>
      </c>
      <c r="AH464">
        <v>6.2509999999999899E-2</v>
      </c>
    </row>
    <row r="465" spans="3:34">
      <c r="C465" s="11" t="s">
        <v>190</v>
      </c>
      <c r="D465" s="10" t="s">
        <v>1</v>
      </c>
      <c r="E465" s="10">
        <v>13.71</v>
      </c>
      <c r="F465" s="10">
        <v>21.6</v>
      </c>
      <c r="G465" s="10">
        <v>74.719999999999899</v>
      </c>
      <c r="H465" s="10">
        <v>427.89999999999901</v>
      </c>
      <c r="I465" s="10">
        <v>8.6370000000000002E-2</v>
      </c>
      <c r="J465" s="10">
        <v>4.9660000000000003E-2</v>
      </c>
      <c r="K465" s="10">
        <v>1.6570000000000001E-2</v>
      </c>
      <c r="L465" s="10">
        <v>1.115E-2</v>
      </c>
      <c r="M465" s="10">
        <v>0.14949999999999899</v>
      </c>
      <c r="N465" s="10">
        <v>5.8880000000000002E-2</v>
      </c>
      <c r="O465" s="10">
        <v>0.40620000000000001</v>
      </c>
      <c r="P465" s="10">
        <v>1.21</v>
      </c>
      <c r="Q465" s="10">
        <v>2.63499999999999</v>
      </c>
      <c r="R465" s="10">
        <v>28.469999999999899</v>
      </c>
      <c r="S465" s="10">
        <v>5.8570000000000002E-3</v>
      </c>
      <c r="T465" s="10">
        <v>9.7579999999999906E-3</v>
      </c>
      <c r="U465" s="10">
        <v>1.1679999999999901E-2</v>
      </c>
      <c r="V465" s="10">
        <v>7.4450000000000002E-3</v>
      </c>
      <c r="W465" s="10">
        <v>2.4060000000000002E-2</v>
      </c>
      <c r="X465" s="10">
        <v>1.769E-3</v>
      </c>
      <c r="Y465" s="10">
        <v>12.98</v>
      </c>
      <c r="Z465" s="10">
        <v>25.719999999999899</v>
      </c>
      <c r="AA465" s="10">
        <v>82.98</v>
      </c>
      <c r="AB465" s="10">
        <v>516.5</v>
      </c>
      <c r="AC465" s="10">
        <v>0.1085</v>
      </c>
      <c r="AD465" s="10">
        <v>8.6150000000000004E-2</v>
      </c>
      <c r="AE465" s="10">
        <v>5.5230000000000001E-2</v>
      </c>
      <c r="AF465" s="10">
        <v>3.7150000000000002E-2</v>
      </c>
      <c r="AG465" s="10">
        <v>0.24329999999999899</v>
      </c>
      <c r="AH465">
        <v>6.5629999999999897E-2</v>
      </c>
    </row>
    <row r="466" spans="3:34">
      <c r="C466" s="11" t="s">
        <v>693</v>
      </c>
      <c r="D466" s="10" t="s">
        <v>1</v>
      </c>
      <c r="E466" s="10">
        <v>13.71</v>
      </c>
      <c r="F466" s="10">
        <v>21.94</v>
      </c>
      <c r="G466" s="10">
        <v>59.009999999999899</v>
      </c>
      <c r="H466" s="10">
        <v>264</v>
      </c>
      <c r="I466" s="10">
        <v>9.2399999999999899E-2</v>
      </c>
      <c r="J466" s="10">
        <v>5.6050000000000003E-2</v>
      </c>
      <c r="K466" s="10">
        <v>3.9960000000000002E-2</v>
      </c>
      <c r="L466" s="10">
        <v>1.282E-2</v>
      </c>
      <c r="M466" s="10">
        <v>0.16919999999999899</v>
      </c>
      <c r="N466" s="10">
        <v>6.5759999999999902E-2</v>
      </c>
      <c r="O466" s="10">
        <v>0.30130000000000001</v>
      </c>
      <c r="P466" s="10">
        <v>1.879</v>
      </c>
      <c r="Q466" s="10">
        <v>2.121</v>
      </c>
      <c r="R466" s="10">
        <v>17.8599999999999</v>
      </c>
      <c r="S466" s="10">
        <v>1.094E-2</v>
      </c>
      <c r="T466" s="10">
        <v>1.8339999999999902E-2</v>
      </c>
      <c r="U466" s="10">
        <v>3.9960000000000002E-2</v>
      </c>
      <c r="V466" s="10">
        <v>1.282E-2</v>
      </c>
      <c r="W466" s="10">
        <v>3.7589999999999901E-2</v>
      </c>
      <c r="X466" s="10">
        <v>4.6230000000000004E-3</v>
      </c>
      <c r="Y466" s="10">
        <v>9.8450000000000006</v>
      </c>
      <c r="Z466" s="10">
        <v>25.05</v>
      </c>
      <c r="AA466" s="10">
        <v>62.8599999999999</v>
      </c>
      <c r="AB466" s="10">
        <v>295.8</v>
      </c>
      <c r="AC466" s="10">
        <v>0.1103</v>
      </c>
      <c r="AD466" s="10">
        <v>8.2979999999999901E-2</v>
      </c>
      <c r="AE466" s="10">
        <v>7.9930000000000001E-2</v>
      </c>
      <c r="AF466" s="10">
        <v>2.564E-2</v>
      </c>
      <c r="AG466" s="10">
        <v>0.243499999999999</v>
      </c>
      <c r="AH466">
        <v>7.3929999999999899E-2</v>
      </c>
    </row>
    <row r="467" spans="3:34">
      <c r="C467" s="11" t="s">
        <v>679</v>
      </c>
      <c r="D467" s="10" t="s">
        <v>1</v>
      </c>
      <c r="E467" s="10">
        <v>13.71</v>
      </c>
      <c r="F467" s="10">
        <v>25.44</v>
      </c>
      <c r="G467" s="10">
        <v>48.34</v>
      </c>
      <c r="H467" s="10">
        <v>170.4</v>
      </c>
      <c r="I467" s="10">
        <v>8.6679999999999896E-2</v>
      </c>
      <c r="J467" s="10">
        <v>0.11990000000000001</v>
      </c>
      <c r="K467" s="10">
        <v>9.2520000000000005E-2</v>
      </c>
      <c r="L467" s="10">
        <v>1.36399999999999E-2</v>
      </c>
      <c r="M467" s="10">
        <v>0.20369999999999899</v>
      </c>
      <c r="N467" s="10">
        <v>7.7509999999999898E-2</v>
      </c>
      <c r="O467" s="10">
        <v>0.21959999999999899</v>
      </c>
      <c r="P467" s="10">
        <v>1.4790000000000001</v>
      </c>
      <c r="Q467" s="10">
        <v>1.4450000000000001</v>
      </c>
      <c r="R467" s="10">
        <v>11.73</v>
      </c>
      <c r="S467" s="10">
        <v>1.54699999999999E-2</v>
      </c>
      <c r="T467" s="10">
        <v>6.4570000000000002E-2</v>
      </c>
      <c r="U467" s="10">
        <v>9.2520000000000005E-2</v>
      </c>
      <c r="V467" s="10">
        <v>1.36399999999999E-2</v>
      </c>
      <c r="W467" s="10">
        <v>2.1049999999999899E-2</v>
      </c>
      <c r="X467" s="10">
        <v>7.5510000000000004E-3</v>
      </c>
      <c r="Y467" s="10">
        <v>8.6780000000000008</v>
      </c>
      <c r="Z467" s="10">
        <v>31.89</v>
      </c>
      <c r="AA467" s="10">
        <v>54.49</v>
      </c>
      <c r="AB467" s="10">
        <v>223.599999999999</v>
      </c>
      <c r="AC467" s="10">
        <v>0.15959999999999899</v>
      </c>
      <c r="AD467" s="10">
        <v>0.30640000000000001</v>
      </c>
      <c r="AE467" s="10">
        <v>0.33929999999999899</v>
      </c>
      <c r="AF467" s="10">
        <v>0.05</v>
      </c>
      <c r="AG467" s="10">
        <v>0.27900000000000003</v>
      </c>
      <c r="AH467">
        <v>0.1066</v>
      </c>
    </row>
    <row r="468" spans="3:34">
      <c r="C468" s="11" t="s">
        <v>407</v>
      </c>
      <c r="D468" s="10" t="s">
        <v>1</v>
      </c>
      <c r="E468" s="10">
        <v>13.71</v>
      </c>
      <c r="F468" s="10">
        <v>21.84</v>
      </c>
      <c r="G468" s="10">
        <v>87.159999999999897</v>
      </c>
      <c r="H468" s="10">
        <v>561</v>
      </c>
      <c r="I468" s="10">
        <v>7.9560000000000006E-2</v>
      </c>
      <c r="J468" s="10">
        <v>8.25899999999999E-2</v>
      </c>
      <c r="K468" s="10">
        <v>4.0719999999999902E-2</v>
      </c>
      <c r="L468" s="10">
        <v>2.1420000000000002E-2</v>
      </c>
      <c r="M468" s="10">
        <v>0.16350000000000001</v>
      </c>
      <c r="N468" s="10">
        <v>5.8590000000000003E-2</v>
      </c>
      <c r="O468" s="10">
        <v>0.33800000000000002</v>
      </c>
      <c r="P468" s="10">
        <v>1.9159999999999899</v>
      </c>
      <c r="Q468" s="10">
        <v>2.5910000000000002</v>
      </c>
      <c r="R468" s="10">
        <v>26.76</v>
      </c>
      <c r="S468" s="10">
        <v>5.4359999999999903E-3</v>
      </c>
      <c r="T468" s="10">
        <v>2.4060000000000002E-2</v>
      </c>
      <c r="U468" s="10">
        <v>3.099E-2</v>
      </c>
      <c r="V468" s="10">
        <v>9.9190000000000007E-3</v>
      </c>
      <c r="W468" s="10">
        <v>2.0299999999999901E-2</v>
      </c>
      <c r="X468" s="10">
        <v>3.009E-3</v>
      </c>
      <c r="Y468" s="10">
        <v>14.8</v>
      </c>
      <c r="Z468" s="10">
        <v>30.0399999999999</v>
      </c>
      <c r="AA468" s="10">
        <v>97.659999999999897</v>
      </c>
      <c r="AB468" s="10">
        <v>661.5</v>
      </c>
      <c r="AC468" s="10">
        <v>0.10050000000000001</v>
      </c>
      <c r="AD468" s="10">
        <v>0.17299999999999899</v>
      </c>
      <c r="AE468" s="10">
        <v>0.14530000000000001</v>
      </c>
      <c r="AF468" s="10">
        <v>6.1890000000000001E-2</v>
      </c>
      <c r="AG468" s="10">
        <v>0.24460000000000001</v>
      </c>
      <c r="AH468">
        <v>7.02399999999999E-2</v>
      </c>
    </row>
    <row r="469" spans="3:34">
      <c r="C469" s="11" t="s">
        <v>208</v>
      </c>
      <c r="D469" s="10" t="s">
        <v>1</v>
      </c>
      <c r="E469" s="10">
        <v>13.71</v>
      </c>
      <c r="F469" s="10">
        <v>17.329999999999899</v>
      </c>
      <c r="G469" s="10">
        <v>58.7899999999999</v>
      </c>
      <c r="H469" s="10">
        <v>250.5</v>
      </c>
      <c r="I469" s="10">
        <v>0.1066</v>
      </c>
      <c r="J469" s="10">
        <v>0.14130000000000001</v>
      </c>
      <c r="K469" s="10">
        <v>0.313</v>
      </c>
      <c r="L469" s="10">
        <v>4.37499999999999E-2</v>
      </c>
      <c r="M469" s="10">
        <v>0.21110000000000001</v>
      </c>
      <c r="N469" s="10">
        <v>8.0460000000000004E-2</v>
      </c>
      <c r="O469" s="10">
        <v>0.32740000000000002</v>
      </c>
      <c r="P469" s="10">
        <v>1.194</v>
      </c>
      <c r="Q469" s="10">
        <v>1.885</v>
      </c>
      <c r="R469" s="10">
        <v>17.670000000000002</v>
      </c>
      <c r="S469" s="10">
        <v>9.5490000000000002E-3</v>
      </c>
      <c r="T469" s="10">
        <v>8.60599999999999E-2</v>
      </c>
      <c r="U469" s="10">
        <v>0.30380000000000001</v>
      </c>
      <c r="V469" s="10">
        <v>3.322E-2</v>
      </c>
      <c r="W469" s="10">
        <v>4.197E-2</v>
      </c>
      <c r="X469" s="10">
        <v>9.5589999999999894E-3</v>
      </c>
      <c r="Y469" s="10">
        <v>10.31</v>
      </c>
      <c r="Z469" s="10">
        <v>22.649999999999899</v>
      </c>
      <c r="AA469" s="10">
        <v>65.5</v>
      </c>
      <c r="AB469" s="10">
        <v>324.69999999999902</v>
      </c>
      <c r="AC469" s="10">
        <v>0.1482</v>
      </c>
      <c r="AD469" s="10">
        <v>0.4365</v>
      </c>
      <c r="AE469" s="10">
        <v>1.252</v>
      </c>
      <c r="AF469" s="10">
        <v>0.17499999999999899</v>
      </c>
      <c r="AG469" s="10">
        <v>0.42280000000000001</v>
      </c>
      <c r="AH469">
        <v>0.11749999999999899</v>
      </c>
    </row>
    <row r="470" spans="3:34">
      <c r="C470" s="11" t="s">
        <v>286</v>
      </c>
      <c r="D470" s="10" t="s">
        <v>0</v>
      </c>
      <c r="E470" s="10">
        <v>13.71</v>
      </c>
      <c r="F470" s="10">
        <v>16.579999999999899</v>
      </c>
      <c r="G470" s="10">
        <v>78.989999999999895</v>
      </c>
      <c r="H470" s="10">
        <v>432</v>
      </c>
      <c r="I470" s="10">
        <v>0.1091</v>
      </c>
      <c r="J470" s="10">
        <v>0.17</v>
      </c>
      <c r="K470" s="10">
        <v>0.16589999999999899</v>
      </c>
      <c r="L470" s="10">
        <v>7.4149999999999897E-2</v>
      </c>
      <c r="M470" s="10">
        <v>0.26779999999999898</v>
      </c>
      <c r="N470" s="10">
        <v>7.3709999999999901E-2</v>
      </c>
      <c r="O470" s="10">
        <v>0.31969999999999898</v>
      </c>
      <c r="P470" s="10">
        <v>1.4259999999999899</v>
      </c>
      <c r="Q470" s="10">
        <v>2.2810000000000001</v>
      </c>
      <c r="R470" s="10">
        <v>24.719999999999899</v>
      </c>
      <c r="S470" s="10">
        <v>5.4270000000000004E-3</v>
      </c>
      <c r="T470" s="10">
        <v>3.6330000000000001E-2</v>
      </c>
      <c r="U470" s="10">
        <v>4.6489999999999899E-2</v>
      </c>
      <c r="V470" s="10">
        <v>1.8429999999999901E-2</v>
      </c>
      <c r="W470" s="10">
        <v>5.62799999999999E-2</v>
      </c>
      <c r="X470" s="10">
        <v>4.6350000000000002E-3</v>
      </c>
      <c r="Y470" s="10">
        <v>13.74</v>
      </c>
      <c r="Z470" s="10">
        <v>26.3799999999999</v>
      </c>
      <c r="AA470" s="10">
        <v>91.93</v>
      </c>
      <c r="AB470" s="10">
        <v>591.70000000000005</v>
      </c>
      <c r="AC470" s="10">
        <v>0.13850000000000001</v>
      </c>
      <c r="AD470" s="10">
        <v>0.40920000000000001</v>
      </c>
      <c r="AE470" s="10">
        <v>0.45040000000000002</v>
      </c>
      <c r="AF470" s="10">
        <v>0.1865</v>
      </c>
      <c r="AG470" s="10">
        <v>0.57740000000000002</v>
      </c>
      <c r="AH470">
        <v>0.102999999999999</v>
      </c>
    </row>
    <row r="471" spans="3:34">
      <c r="C471" s="11" t="s">
        <v>279</v>
      </c>
      <c r="D471" s="10" t="s">
        <v>1</v>
      </c>
      <c r="E471" s="10">
        <v>13.71</v>
      </c>
      <c r="F471" s="10">
        <v>13.39</v>
      </c>
      <c r="G471" s="10">
        <v>73</v>
      </c>
      <c r="H471" s="10">
        <v>384.8</v>
      </c>
      <c r="I471" s="10">
        <v>0.1164</v>
      </c>
      <c r="J471" s="10">
        <v>0.11360000000000001</v>
      </c>
      <c r="K471" s="10">
        <v>4.6350000000000002E-2</v>
      </c>
      <c r="L471" s="10">
        <v>4.7960000000000003E-2</v>
      </c>
      <c r="M471" s="10">
        <v>0.17710000000000001</v>
      </c>
      <c r="N471" s="10">
        <v>6.0720000000000003E-2</v>
      </c>
      <c r="O471" s="10">
        <v>0.33839999999999898</v>
      </c>
      <c r="P471" s="10">
        <v>1.343</v>
      </c>
      <c r="Q471" s="10">
        <v>1.851</v>
      </c>
      <c r="R471" s="10">
        <v>26.329999999999899</v>
      </c>
      <c r="S471" s="10">
        <v>1.1270000000000001E-2</v>
      </c>
      <c r="T471" s="10">
        <v>3.49799999999999E-2</v>
      </c>
      <c r="U471" s="10">
        <v>2.1870000000000001E-2</v>
      </c>
      <c r="V471" s="10">
        <v>1.9650000000000001E-2</v>
      </c>
      <c r="W471" s="10">
        <v>1.5800000000000002E-2</v>
      </c>
      <c r="X471" s="10">
        <v>3.4420000000000002E-3</v>
      </c>
      <c r="Y471" s="10">
        <v>11.92</v>
      </c>
      <c r="Z471" s="10">
        <v>15.77</v>
      </c>
      <c r="AA471" s="10">
        <v>76.53</v>
      </c>
      <c r="AB471" s="10">
        <v>434</v>
      </c>
      <c r="AC471" s="10">
        <v>0.13669999999999899</v>
      </c>
      <c r="AD471" s="10">
        <v>0.1822</v>
      </c>
      <c r="AE471" s="10">
        <v>8.6690000000000003E-2</v>
      </c>
      <c r="AF471" s="10">
        <v>8.6110000000000006E-2</v>
      </c>
      <c r="AG471" s="10">
        <v>0.2102</v>
      </c>
      <c r="AH471">
        <v>6.78399999999999E-2</v>
      </c>
    </row>
    <row r="472" spans="3:34">
      <c r="C472" s="11" t="s">
        <v>558</v>
      </c>
      <c r="D472" s="10" t="s">
        <v>1</v>
      </c>
      <c r="E472" s="10">
        <v>13.71</v>
      </c>
      <c r="F472" s="10">
        <v>12.17</v>
      </c>
      <c r="G472" s="10">
        <v>80.879999999999896</v>
      </c>
      <c r="H472" s="10">
        <v>495</v>
      </c>
      <c r="I472" s="10">
        <v>8.78499999999999E-2</v>
      </c>
      <c r="J472" s="10">
        <v>5.7939999999999901E-2</v>
      </c>
      <c r="K472" s="10">
        <v>2.3599999999999899E-2</v>
      </c>
      <c r="L472" s="10">
        <v>2.402E-2</v>
      </c>
      <c r="M472" s="10">
        <v>0.1583</v>
      </c>
      <c r="N472" s="10">
        <v>6.275E-2</v>
      </c>
      <c r="O472" s="10">
        <v>0.2253</v>
      </c>
      <c r="P472" s="10">
        <v>0.64570000000000005</v>
      </c>
      <c r="Q472" s="10">
        <v>1.5269999999999899</v>
      </c>
      <c r="R472" s="10">
        <v>17.37</v>
      </c>
      <c r="S472" s="10">
        <v>6.1310000000000002E-3</v>
      </c>
      <c r="T472" s="10">
        <v>1.2630000000000001E-2</v>
      </c>
      <c r="U472" s="10">
        <v>9.0749999999999893E-3</v>
      </c>
      <c r="V472" s="10">
        <v>8.2310000000000005E-3</v>
      </c>
      <c r="W472" s="10">
        <v>1.7129999999999899E-2</v>
      </c>
      <c r="X472" s="10">
        <v>4.4140000000000004E-3</v>
      </c>
      <c r="Y472" s="10">
        <v>13.65</v>
      </c>
      <c r="Z472" s="10">
        <v>16.920000000000002</v>
      </c>
      <c r="AA472" s="10">
        <v>88.12</v>
      </c>
      <c r="AB472" s="10">
        <v>566.89999999999895</v>
      </c>
      <c r="AC472" s="10">
        <v>0.13139999999999899</v>
      </c>
      <c r="AD472" s="10">
        <v>0.16070000000000001</v>
      </c>
      <c r="AE472" s="10">
        <v>9.3850000000000003E-2</v>
      </c>
      <c r="AF472" s="10">
        <v>8.2239999999999897E-2</v>
      </c>
      <c r="AG472" s="10">
        <v>0.27750000000000002</v>
      </c>
      <c r="AH472">
        <v>9.4640000000000002E-2</v>
      </c>
    </row>
    <row r="473" spans="3:34">
      <c r="C473" s="11" t="s">
        <v>226</v>
      </c>
      <c r="D473" s="10" t="s">
        <v>0</v>
      </c>
      <c r="E473" s="10">
        <v>13.71</v>
      </c>
      <c r="F473" s="10">
        <v>21.46</v>
      </c>
      <c r="G473" s="10">
        <v>94.25</v>
      </c>
      <c r="H473" s="10">
        <v>648.20000000000005</v>
      </c>
      <c r="I473" s="10">
        <v>9.4439999999999899E-2</v>
      </c>
      <c r="J473" s="10">
        <v>9.9470000000000003E-2</v>
      </c>
      <c r="K473" s="10">
        <v>0.12039999999999899</v>
      </c>
      <c r="L473" s="10">
        <v>4.938E-2</v>
      </c>
      <c r="M473" s="10">
        <v>0.20749999999999899</v>
      </c>
      <c r="N473" s="10">
        <v>5.636E-2</v>
      </c>
      <c r="O473" s="10">
        <v>0.4204</v>
      </c>
      <c r="P473" s="10">
        <v>2.2200000000000002</v>
      </c>
      <c r="Q473" s="10">
        <v>3.3010000000000002</v>
      </c>
      <c r="R473" s="10">
        <v>38.869999999999898</v>
      </c>
      <c r="S473" s="10">
        <v>9.3690000000000006E-3</v>
      </c>
      <c r="T473" s="10">
        <v>2.9829999999999902E-2</v>
      </c>
      <c r="U473" s="10">
        <v>5.3710000000000001E-2</v>
      </c>
      <c r="V473" s="10">
        <v>1.7610000000000001E-2</v>
      </c>
      <c r="W473" s="10">
        <v>2.418E-2</v>
      </c>
      <c r="X473" s="10">
        <v>3.2490000000000002E-3</v>
      </c>
      <c r="Y473" s="10">
        <v>16.21</v>
      </c>
      <c r="Z473" s="10">
        <v>29.25</v>
      </c>
      <c r="AA473" s="10">
        <v>108.4</v>
      </c>
      <c r="AB473" s="10">
        <v>808.89999999999895</v>
      </c>
      <c r="AC473" s="10">
        <v>0.13059999999999899</v>
      </c>
      <c r="AD473" s="10">
        <v>0.1976</v>
      </c>
      <c r="AE473" s="10">
        <v>0.33489999999999898</v>
      </c>
      <c r="AF473" s="10">
        <v>0.1225</v>
      </c>
      <c r="AG473" s="10">
        <v>0.30199999999999899</v>
      </c>
      <c r="AH473">
        <v>6.8459999999999896E-2</v>
      </c>
    </row>
    <row r="474" spans="3:34">
      <c r="C474" s="11" t="s">
        <v>549</v>
      </c>
      <c r="D474" s="10" t="s">
        <v>1</v>
      </c>
      <c r="E474" s="10">
        <v>13.71</v>
      </c>
      <c r="F474" s="10">
        <v>17.920000000000002</v>
      </c>
      <c r="G474" s="10">
        <v>78.409999999999897</v>
      </c>
      <c r="H474" s="10">
        <v>466.1</v>
      </c>
      <c r="I474" s="10">
        <v>8.68499999999999E-2</v>
      </c>
      <c r="J474" s="10">
        <v>6.5259999999999901E-2</v>
      </c>
      <c r="K474" s="10">
        <v>3.211E-2</v>
      </c>
      <c r="L474" s="10">
        <v>2.6530000000000001E-2</v>
      </c>
      <c r="M474" s="10">
        <v>0.1966</v>
      </c>
      <c r="N474" s="10">
        <v>5.5969999999999902E-2</v>
      </c>
      <c r="O474" s="10">
        <v>0.3342</v>
      </c>
      <c r="P474" s="10">
        <v>1.7809999999999899</v>
      </c>
      <c r="Q474" s="10">
        <v>2.0790000000000002</v>
      </c>
      <c r="R474" s="10">
        <v>25.7899999999999</v>
      </c>
      <c r="S474" s="10">
        <v>5.888E-3</v>
      </c>
      <c r="T474" s="10">
        <v>2.3099999999999898E-2</v>
      </c>
      <c r="U474" s="10">
        <v>2.0590000000000001E-2</v>
      </c>
      <c r="V474" s="10">
        <v>1.07499999999999E-2</v>
      </c>
      <c r="W474" s="10">
        <v>2.5780000000000001E-2</v>
      </c>
      <c r="X474" s="10">
        <v>2.2669999999999899E-3</v>
      </c>
      <c r="Y474" s="10">
        <v>14.1</v>
      </c>
      <c r="Z474" s="10">
        <v>28.8799999999999</v>
      </c>
      <c r="AA474" s="10">
        <v>89</v>
      </c>
      <c r="AB474" s="10">
        <v>610.20000000000005</v>
      </c>
      <c r="AC474" s="10">
        <v>0.124</v>
      </c>
      <c r="AD474" s="10">
        <v>0.17949999999999899</v>
      </c>
      <c r="AE474" s="10">
        <v>0.13769999999999899</v>
      </c>
      <c r="AF474" s="10">
        <v>9.5320000000000002E-2</v>
      </c>
      <c r="AG474" s="10">
        <v>0.34549999999999897</v>
      </c>
      <c r="AH474">
        <v>6.8959999999999896E-2</v>
      </c>
    </row>
    <row r="475" spans="3:34">
      <c r="C475" s="11" t="s">
        <v>330</v>
      </c>
      <c r="D475" s="10" t="s">
        <v>0</v>
      </c>
      <c r="E475" s="10">
        <v>13.71</v>
      </c>
      <c r="F475" s="10">
        <v>23.12</v>
      </c>
      <c r="G475" s="10">
        <v>94.37</v>
      </c>
      <c r="H475" s="10">
        <v>609.89999999999895</v>
      </c>
      <c r="I475" s="10">
        <v>0.1075</v>
      </c>
      <c r="J475" s="10">
        <v>0.24129999999999899</v>
      </c>
      <c r="K475" s="10">
        <v>0.1981</v>
      </c>
      <c r="L475" s="10">
        <v>6.6180000000000003E-2</v>
      </c>
      <c r="M475" s="10">
        <v>0.2384</v>
      </c>
      <c r="N475" s="10">
        <v>7.5420000000000001E-2</v>
      </c>
      <c r="O475" s="10">
        <v>0.28599999999999898</v>
      </c>
      <c r="P475" s="10">
        <v>2.1099999999999901</v>
      </c>
      <c r="Q475" s="10">
        <v>2.1120000000000001</v>
      </c>
      <c r="R475" s="10">
        <v>31.719999999999899</v>
      </c>
      <c r="S475" s="10">
        <v>7.9699999999999892E-3</v>
      </c>
      <c r="T475" s="10">
        <v>0.13539999999999899</v>
      </c>
      <c r="U475" s="10">
        <v>0.1166</v>
      </c>
      <c r="V475" s="10">
        <v>1.6660000000000001E-2</v>
      </c>
      <c r="W475" s="10">
        <v>5.1130000000000002E-2</v>
      </c>
      <c r="X475" s="10">
        <v>1.172E-2</v>
      </c>
      <c r="Y475" s="10">
        <v>15.74</v>
      </c>
      <c r="Z475" s="10">
        <v>37.18</v>
      </c>
      <c r="AA475" s="10">
        <v>106.4</v>
      </c>
      <c r="AB475" s="10">
        <v>762.39999999999895</v>
      </c>
      <c r="AC475" s="10">
        <v>0.15329999999999899</v>
      </c>
      <c r="AD475" s="10">
        <v>0.93269999999999897</v>
      </c>
      <c r="AE475" s="10">
        <v>0.8488</v>
      </c>
      <c r="AF475" s="10">
        <v>0.1772</v>
      </c>
      <c r="AG475" s="10">
        <v>0.51659999999999895</v>
      </c>
      <c r="AH475">
        <v>0.14460000000000001</v>
      </c>
    </row>
    <row r="476" spans="3:34">
      <c r="C476" s="11" t="s">
        <v>446</v>
      </c>
      <c r="D476" s="10" t="s">
        <v>1</v>
      </c>
      <c r="E476" s="10">
        <v>13.71</v>
      </c>
      <c r="F476" s="10">
        <v>15.82</v>
      </c>
      <c r="G476" s="10">
        <v>84.069999999999894</v>
      </c>
      <c r="H476" s="10">
        <v>537.29999999999905</v>
      </c>
      <c r="I476" s="10">
        <v>8.5110000000000005E-2</v>
      </c>
      <c r="J476" s="10">
        <v>5.2510000000000001E-2</v>
      </c>
      <c r="K476" s="10">
        <v>1.4610000000000001E-3</v>
      </c>
      <c r="L476" s="10">
        <v>3.261E-3</v>
      </c>
      <c r="M476" s="10">
        <v>0.16320000000000001</v>
      </c>
      <c r="N476" s="10">
        <v>5.8939999999999902E-2</v>
      </c>
      <c r="O476" s="10">
        <v>0.1903</v>
      </c>
      <c r="P476" s="10">
        <v>0.57350000000000001</v>
      </c>
      <c r="Q476" s="10">
        <v>1.204</v>
      </c>
      <c r="R476" s="10">
        <v>15.5</v>
      </c>
      <c r="S476" s="10">
        <v>3.6319999999999898E-3</v>
      </c>
      <c r="T476" s="10">
        <v>7.8609999999999895E-3</v>
      </c>
      <c r="U476" s="10">
        <v>1.1280000000000001E-3</v>
      </c>
      <c r="V476" s="10">
        <v>2.3860000000000001E-3</v>
      </c>
      <c r="W476" s="10">
        <v>1.3440000000000001E-2</v>
      </c>
      <c r="X476" s="10">
        <v>2.5850000000000001E-3</v>
      </c>
      <c r="Y476" s="10">
        <v>14.41</v>
      </c>
      <c r="Z476" s="10">
        <v>20.4499999999999</v>
      </c>
      <c r="AA476" s="10">
        <v>92</v>
      </c>
      <c r="AB476" s="10">
        <v>636.89999999999895</v>
      </c>
      <c r="AC476" s="10">
        <v>0.1128</v>
      </c>
      <c r="AD476" s="10">
        <v>0.1346</v>
      </c>
      <c r="AE476" s="10">
        <v>1.12E-2</v>
      </c>
      <c r="AF476" s="10">
        <v>2.5000000000000001E-2</v>
      </c>
      <c r="AG476" s="10">
        <v>0.2651</v>
      </c>
      <c r="AH476">
        <v>8.3849999999999897E-2</v>
      </c>
    </row>
    <row r="477" spans="3:34">
      <c r="C477" s="11" t="s">
        <v>626</v>
      </c>
      <c r="D477" s="10" t="s">
        <v>1</v>
      </c>
      <c r="E477" s="10">
        <v>13.71</v>
      </c>
      <c r="F477" s="10">
        <v>16.850000000000001</v>
      </c>
      <c r="G477" s="10">
        <v>94.209999999999894</v>
      </c>
      <c r="H477" s="10">
        <v>666</v>
      </c>
      <c r="I477" s="10">
        <v>8.6410000000000001E-2</v>
      </c>
      <c r="J477" s="10">
        <v>6.6979999999999901E-2</v>
      </c>
      <c r="K477" s="10">
        <v>5.1920000000000001E-2</v>
      </c>
      <c r="L477" s="10">
        <v>2.7910000000000001E-2</v>
      </c>
      <c r="M477" s="10">
        <v>0.1409</v>
      </c>
      <c r="N477" s="10">
        <v>5.355E-2</v>
      </c>
      <c r="O477" s="10">
        <v>0.22040000000000001</v>
      </c>
      <c r="P477" s="10">
        <v>1.006</v>
      </c>
      <c r="Q477" s="10">
        <v>1.4710000000000001</v>
      </c>
      <c r="R477" s="10">
        <v>19.98</v>
      </c>
      <c r="S477" s="10">
        <v>3.53499999999999E-3</v>
      </c>
      <c r="T477" s="10">
        <v>1.393E-2</v>
      </c>
      <c r="U477" s="10">
        <v>1.7999999999999901E-2</v>
      </c>
      <c r="V477" s="10">
        <v>6.1440000000000002E-3</v>
      </c>
      <c r="W477" s="10">
        <v>1.2540000000000001E-2</v>
      </c>
      <c r="X477" s="10">
        <v>1.219E-3</v>
      </c>
      <c r="Y477" s="10">
        <v>16.46</v>
      </c>
      <c r="Z477" s="10">
        <v>25.44</v>
      </c>
      <c r="AA477" s="10">
        <v>106</v>
      </c>
      <c r="AB477" s="10">
        <v>831</v>
      </c>
      <c r="AC477" s="10">
        <v>0.1142</v>
      </c>
      <c r="AD477" s="10">
        <v>0.20699999999999899</v>
      </c>
      <c r="AE477" s="10">
        <v>0.2437</v>
      </c>
      <c r="AF477" s="10">
        <v>7.8280000000000002E-2</v>
      </c>
      <c r="AG477" s="10">
        <v>0.2455</v>
      </c>
      <c r="AH477">
        <v>6.5960000000000005E-2</v>
      </c>
    </row>
    <row r="478" spans="3:34">
      <c r="C478" s="11" t="s">
        <v>452</v>
      </c>
      <c r="D478" s="10" t="s">
        <v>1</v>
      </c>
      <c r="E478" s="10">
        <v>13.71</v>
      </c>
      <c r="F478" s="10">
        <v>13.3699999999999</v>
      </c>
      <c r="G478" s="10">
        <v>82.29</v>
      </c>
      <c r="H478" s="10">
        <v>504.1</v>
      </c>
      <c r="I478" s="10">
        <v>8.7940000000000004E-2</v>
      </c>
      <c r="J478" s="10">
        <v>7.9479999999999898E-2</v>
      </c>
      <c r="K478" s="10">
        <v>4.052E-2</v>
      </c>
      <c r="L478" s="10">
        <v>2.5479999999999899E-2</v>
      </c>
      <c r="M478" s="10">
        <v>0.16009999999999899</v>
      </c>
      <c r="N478" s="10">
        <v>6.1400000000000003E-2</v>
      </c>
      <c r="O478" s="10">
        <v>0.32650000000000001</v>
      </c>
      <c r="P478" s="10">
        <v>0.65939999999999899</v>
      </c>
      <c r="Q478" s="10">
        <v>2.3460000000000001</v>
      </c>
      <c r="R478" s="10">
        <v>25.18</v>
      </c>
      <c r="S478" s="10">
        <v>6.4939999999999902E-3</v>
      </c>
      <c r="T478" s="10">
        <v>2.768E-2</v>
      </c>
      <c r="U478" s="10">
        <v>3.1370000000000002E-2</v>
      </c>
      <c r="V478" s="10">
        <v>1.069E-2</v>
      </c>
      <c r="W478" s="10">
        <v>1.7309999999999898E-2</v>
      </c>
      <c r="X478" s="10">
        <v>4.3920000000000001E-3</v>
      </c>
      <c r="Y478" s="10">
        <v>14.19</v>
      </c>
      <c r="Z478" s="10">
        <v>16.399999999999899</v>
      </c>
      <c r="AA478" s="10">
        <v>92.04</v>
      </c>
      <c r="AB478" s="10">
        <v>618.79999999999905</v>
      </c>
      <c r="AC478" s="10">
        <v>0.11940000000000001</v>
      </c>
      <c r="AD478" s="10">
        <v>0.2208</v>
      </c>
      <c r="AE478" s="10">
        <v>0.1769</v>
      </c>
      <c r="AF478" s="10">
        <v>8.4110000000000004E-2</v>
      </c>
      <c r="AG478" s="10">
        <v>0.25640000000000002</v>
      </c>
      <c r="AH478">
        <v>8.2530000000000006E-2</v>
      </c>
    </row>
    <row r="479" spans="3:34">
      <c r="C479" s="11" t="s">
        <v>501</v>
      </c>
      <c r="D479" s="10" t="s">
        <v>1</v>
      </c>
      <c r="E479" s="10">
        <v>13.71</v>
      </c>
      <c r="F479" s="10">
        <v>21.57</v>
      </c>
      <c r="G479" s="10">
        <v>85.239999999999895</v>
      </c>
      <c r="H479" s="10">
        <v>546.1</v>
      </c>
      <c r="I479" s="10">
        <v>8.5819999999999896E-2</v>
      </c>
      <c r="J479" s="10">
        <v>6.3729999999999898E-2</v>
      </c>
      <c r="K479" s="10">
        <v>3.34399999999999E-2</v>
      </c>
      <c r="L479" s="10">
        <v>2.4240000000000001E-2</v>
      </c>
      <c r="M479" s="10">
        <v>0.181499999999999</v>
      </c>
      <c r="N479" s="10">
        <v>5.69599999999999E-2</v>
      </c>
      <c r="O479" s="10">
        <v>0.2621</v>
      </c>
      <c r="P479" s="10">
        <v>1.5389999999999899</v>
      </c>
      <c r="Q479" s="10">
        <v>2.028</v>
      </c>
      <c r="R479" s="10">
        <v>20.98</v>
      </c>
      <c r="S479" s="10">
        <v>5.4980000000000003E-3</v>
      </c>
      <c r="T479" s="10">
        <v>2.0449999999999899E-2</v>
      </c>
      <c r="U479" s="10">
        <v>1.7950000000000001E-2</v>
      </c>
      <c r="V479" s="10">
        <v>6.3990000000000002E-3</v>
      </c>
      <c r="W479" s="10">
        <v>1.8290000000000001E-2</v>
      </c>
      <c r="X479" s="10">
        <v>1.9559999999999899E-3</v>
      </c>
      <c r="Y479" s="10">
        <v>14.1999999999999</v>
      </c>
      <c r="Z479" s="10">
        <v>29.1999999999999</v>
      </c>
      <c r="AA479" s="10">
        <v>92.939999999999898</v>
      </c>
      <c r="AB479" s="10">
        <v>621.20000000000005</v>
      </c>
      <c r="AC479" s="10">
        <v>0.114</v>
      </c>
      <c r="AD479" s="10">
        <v>0.16669999999999899</v>
      </c>
      <c r="AE479" s="10">
        <v>0.1212</v>
      </c>
      <c r="AF479" s="10">
        <v>5.6140000000000002E-2</v>
      </c>
      <c r="AG479" s="10">
        <v>0.26369999999999899</v>
      </c>
      <c r="AH479">
        <v>6.658E-2</v>
      </c>
    </row>
    <row r="480" spans="3:34">
      <c r="C480" s="11" t="s">
        <v>183</v>
      </c>
      <c r="D480" s="10" t="s">
        <v>0</v>
      </c>
      <c r="E480" s="10">
        <v>13.71</v>
      </c>
      <c r="F480" s="10">
        <v>20.28</v>
      </c>
      <c r="G480" s="10">
        <v>87.319999999999894</v>
      </c>
      <c r="H480" s="10">
        <v>545.20000000000005</v>
      </c>
      <c r="I480" s="10">
        <v>0.1041</v>
      </c>
      <c r="J480" s="10">
        <v>0.14360000000000001</v>
      </c>
      <c r="K480" s="10">
        <v>9.8470000000000002E-2</v>
      </c>
      <c r="L480" s="10">
        <v>6.1580000000000003E-2</v>
      </c>
      <c r="M480" s="10">
        <v>0.19739999999999899</v>
      </c>
      <c r="N480" s="10">
        <v>6.7820000000000005E-2</v>
      </c>
      <c r="O480" s="10">
        <v>0.37040000000000001</v>
      </c>
      <c r="P480" s="10">
        <v>0.82489999999999897</v>
      </c>
      <c r="Q480" s="10">
        <v>2.427</v>
      </c>
      <c r="R480" s="10">
        <v>31.329999999999899</v>
      </c>
      <c r="S480" s="10">
        <v>5.0720000000000001E-3</v>
      </c>
      <c r="T480" s="10">
        <v>2.147E-2</v>
      </c>
      <c r="U480" s="10">
        <v>2.1850000000000001E-2</v>
      </c>
      <c r="V480" s="10">
        <v>9.5600000000000008E-3</v>
      </c>
      <c r="W480" s="10">
        <v>1.719E-2</v>
      </c>
      <c r="X480" s="10">
        <v>3.3170000000000001E-3</v>
      </c>
      <c r="Y480" s="10">
        <v>17.3799999999999</v>
      </c>
      <c r="Z480" s="10">
        <v>28</v>
      </c>
      <c r="AA480" s="10">
        <v>113.099999999999</v>
      </c>
      <c r="AB480" s="10">
        <v>907.2</v>
      </c>
      <c r="AC480" s="10">
        <v>0.153</v>
      </c>
      <c r="AD480" s="10">
        <v>0.37240000000000001</v>
      </c>
      <c r="AE480" s="10">
        <v>0.3664</v>
      </c>
      <c r="AF480" s="10">
        <v>0.1492</v>
      </c>
      <c r="AG480" s="10">
        <v>0.37390000000000001</v>
      </c>
      <c r="AH480">
        <v>0.1027</v>
      </c>
    </row>
    <row r="481" spans="3:34">
      <c r="C481" s="11" t="s">
        <v>398</v>
      </c>
      <c r="D481" s="10" t="s">
        <v>0</v>
      </c>
      <c r="E481" s="10">
        <v>13.71</v>
      </c>
      <c r="F481" s="10">
        <v>23.1999999999999</v>
      </c>
      <c r="G481" s="10">
        <v>110.2</v>
      </c>
      <c r="H481" s="10">
        <v>773.5</v>
      </c>
      <c r="I481" s="10">
        <v>0.1109</v>
      </c>
      <c r="J481" s="10">
        <v>0.31140000000000001</v>
      </c>
      <c r="K481" s="10">
        <v>0.31759999999999899</v>
      </c>
      <c r="L481" s="10">
        <v>0.13769999999999899</v>
      </c>
      <c r="M481" s="10">
        <v>0.2495</v>
      </c>
      <c r="N481" s="10">
        <v>8.1040000000000001E-2</v>
      </c>
      <c r="O481" s="10">
        <v>1.292</v>
      </c>
      <c r="P481" s="10">
        <v>2.4540000000000002</v>
      </c>
      <c r="Q481" s="10">
        <v>10.1199999999999</v>
      </c>
      <c r="R481" s="10">
        <v>138.5</v>
      </c>
      <c r="S481" s="10">
        <v>1.2359999999999901E-2</v>
      </c>
      <c r="T481" s="10">
        <v>5.9950000000000003E-2</v>
      </c>
      <c r="U481" s="10">
        <v>8.2320000000000004E-2</v>
      </c>
      <c r="V481" s="10">
        <v>3.024E-2</v>
      </c>
      <c r="W481" s="10">
        <v>2.3369999999999901E-2</v>
      </c>
      <c r="X481" s="10">
        <v>6.0419999999999901E-3</v>
      </c>
      <c r="Y481" s="10">
        <v>19.850000000000001</v>
      </c>
      <c r="Z481" s="10">
        <v>31.64</v>
      </c>
      <c r="AA481" s="10">
        <v>143.69999999999899</v>
      </c>
      <c r="AB481" s="10">
        <v>1226</v>
      </c>
      <c r="AC481" s="10">
        <v>0.15040000000000001</v>
      </c>
      <c r="AD481" s="10">
        <v>0.51719999999999899</v>
      </c>
      <c r="AE481" s="10">
        <v>0.61809999999999898</v>
      </c>
      <c r="AF481" s="10">
        <v>0.2462</v>
      </c>
      <c r="AG481" s="10">
        <v>0.32769999999999899</v>
      </c>
      <c r="AH481">
        <v>0.1019</v>
      </c>
    </row>
    <row r="482" spans="3:34">
      <c r="C482" s="11" t="s">
        <v>315</v>
      </c>
      <c r="D482" s="10" t="s">
        <v>1</v>
      </c>
      <c r="E482" s="10">
        <v>13.71</v>
      </c>
      <c r="F482" s="10">
        <v>14.4499999999999</v>
      </c>
      <c r="G482" s="10">
        <v>54.42</v>
      </c>
      <c r="H482" s="10">
        <v>227.19999999999899</v>
      </c>
      <c r="I482" s="10">
        <v>9.1380000000000003E-2</v>
      </c>
      <c r="J482" s="10">
        <v>4.2759999999999902E-2</v>
      </c>
      <c r="K482" s="10">
        <v>0</v>
      </c>
      <c r="L482" s="10">
        <v>0</v>
      </c>
      <c r="M482" s="10">
        <v>0.17219999999999899</v>
      </c>
      <c r="N482" s="10">
        <v>6.7239999999999897E-2</v>
      </c>
      <c r="O482" s="10">
        <v>0.22040000000000001</v>
      </c>
      <c r="P482" s="10">
        <v>0.7873</v>
      </c>
      <c r="Q482" s="10">
        <v>1.4350000000000001</v>
      </c>
      <c r="R482" s="10">
        <v>11.3599999999999</v>
      </c>
      <c r="S482" s="10">
        <v>9.1719999999999892E-3</v>
      </c>
      <c r="T482" s="10">
        <v>8.0070000000000002E-3</v>
      </c>
      <c r="U482" s="10">
        <v>0</v>
      </c>
      <c r="V482" s="10">
        <v>0</v>
      </c>
      <c r="W482" s="10">
        <v>2.7109999999999902E-2</v>
      </c>
      <c r="X482" s="10">
        <v>3.3990000000000001E-3</v>
      </c>
      <c r="Y482" s="10">
        <v>9.2620000000000005</v>
      </c>
      <c r="Z482" s="10">
        <v>17.0399999999999</v>
      </c>
      <c r="AA482" s="10">
        <v>58.3599999999999</v>
      </c>
      <c r="AB482" s="10">
        <v>259.19999999999902</v>
      </c>
      <c r="AC482" s="10">
        <v>0.1162</v>
      </c>
      <c r="AD482" s="10">
        <v>7.0569999999999897E-2</v>
      </c>
      <c r="AE482" s="10">
        <v>0</v>
      </c>
      <c r="AF482" s="10">
        <v>0</v>
      </c>
      <c r="AG482" s="10">
        <v>0.25919999999999899</v>
      </c>
      <c r="AH482">
        <v>7.8479999999999897E-2</v>
      </c>
    </row>
    <row r="483" spans="3:34">
      <c r="C483" s="11" t="s">
        <v>397</v>
      </c>
      <c r="D483" s="10" t="s">
        <v>0</v>
      </c>
      <c r="E483" s="10">
        <v>13.71</v>
      </c>
      <c r="F483" s="10">
        <v>17.27</v>
      </c>
      <c r="G483" s="10">
        <v>103.2</v>
      </c>
      <c r="H483" s="10">
        <v>713.29999999999905</v>
      </c>
      <c r="I483" s="10">
        <v>0.13350000000000001</v>
      </c>
      <c r="J483" s="10">
        <v>0.22839999999999899</v>
      </c>
      <c r="K483" s="10">
        <v>0.24479999999999899</v>
      </c>
      <c r="L483" s="10">
        <v>0.1242</v>
      </c>
      <c r="M483" s="10">
        <v>0.23980000000000001</v>
      </c>
      <c r="N483" s="10">
        <v>7.596E-2</v>
      </c>
      <c r="O483" s="10">
        <v>0.65920000000000001</v>
      </c>
      <c r="P483" s="10">
        <v>1.0589999999999899</v>
      </c>
      <c r="Q483" s="10">
        <v>4.0609999999999902</v>
      </c>
      <c r="R483" s="10">
        <v>59.46</v>
      </c>
      <c r="S483" s="10">
        <v>1.01499999999999E-2</v>
      </c>
      <c r="T483" s="10">
        <v>4.58799999999999E-2</v>
      </c>
      <c r="U483" s="10">
        <v>4.9829999999999902E-2</v>
      </c>
      <c r="V483" s="10">
        <v>2.1270000000000001E-2</v>
      </c>
      <c r="W483" s="10">
        <v>1.8839999999999898E-2</v>
      </c>
      <c r="X483" s="10">
        <v>8.6599999999999906E-3</v>
      </c>
      <c r="Y483" s="10">
        <v>17.73</v>
      </c>
      <c r="Z483" s="10">
        <v>22.66</v>
      </c>
      <c r="AA483" s="10">
        <v>119.8</v>
      </c>
      <c r="AB483" s="10">
        <v>928.79999999999905</v>
      </c>
      <c r="AC483" s="10">
        <v>0.17649999999999899</v>
      </c>
      <c r="AD483" s="10">
        <v>0.45029999999999898</v>
      </c>
      <c r="AE483" s="10">
        <v>0.44290000000000002</v>
      </c>
      <c r="AF483" s="10">
        <v>0.22289999999999899</v>
      </c>
      <c r="AG483" s="10">
        <v>0.32579999999999898</v>
      </c>
      <c r="AH483">
        <v>0.1191</v>
      </c>
    </row>
    <row r="484" spans="3:34">
      <c r="C484" s="11" t="s">
        <v>483</v>
      </c>
      <c r="D484" s="10" t="s">
        <v>0</v>
      </c>
      <c r="E484" s="10">
        <v>13.71</v>
      </c>
      <c r="F484" s="10">
        <v>21.68</v>
      </c>
      <c r="G484" s="10">
        <v>129.9</v>
      </c>
      <c r="H484" s="10">
        <v>1194</v>
      </c>
      <c r="I484" s="10">
        <v>9.7970000000000002E-2</v>
      </c>
      <c r="J484" s="10">
        <v>0.13389999999999899</v>
      </c>
      <c r="K484" s="10">
        <v>0.18629999999999899</v>
      </c>
      <c r="L484" s="10">
        <v>0.1103</v>
      </c>
      <c r="M484" s="10">
        <v>0.2082</v>
      </c>
      <c r="N484" s="10">
        <v>5.7149999999999902E-2</v>
      </c>
      <c r="O484" s="10">
        <v>0.62260000000000004</v>
      </c>
      <c r="P484" s="10">
        <v>2.28399999999999</v>
      </c>
      <c r="Q484" s="10">
        <v>5.173</v>
      </c>
      <c r="R484" s="10">
        <v>67.659999999999897</v>
      </c>
      <c r="S484" s="10">
        <v>4.7559999999999903E-3</v>
      </c>
      <c r="T484" s="10">
        <v>3.3680000000000002E-2</v>
      </c>
      <c r="U484" s="10">
        <v>4.3450000000000003E-2</v>
      </c>
      <c r="V484" s="10">
        <v>1.806E-2</v>
      </c>
      <c r="W484" s="10">
        <v>3.7560000000000003E-2</v>
      </c>
      <c r="X484" s="10">
        <v>3.2880000000000001E-3</v>
      </c>
      <c r="Y484" s="10">
        <v>22.75</v>
      </c>
      <c r="Z484" s="10">
        <v>34.659999999999897</v>
      </c>
      <c r="AA484" s="10">
        <v>157.599999999999</v>
      </c>
      <c r="AB484" s="10">
        <v>1540</v>
      </c>
      <c r="AC484" s="10">
        <v>0.12180000000000001</v>
      </c>
      <c r="AD484" s="10">
        <v>0.3458</v>
      </c>
      <c r="AE484" s="10">
        <v>0.47339999999999899</v>
      </c>
      <c r="AF484" s="10">
        <v>0.22550000000000001</v>
      </c>
      <c r="AG484" s="10">
        <v>0.40450000000000003</v>
      </c>
      <c r="AH484">
        <v>7.918E-2</v>
      </c>
    </row>
    <row r="485" spans="3:34">
      <c r="C485" s="11" t="s">
        <v>142</v>
      </c>
      <c r="D485" s="10" t="s">
        <v>0</v>
      </c>
      <c r="E485" s="10">
        <v>19.690000000000001</v>
      </c>
      <c r="F485" s="10">
        <v>21.25</v>
      </c>
      <c r="G485" s="10">
        <v>130</v>
      </c>
      <c r="H485" s="10">
        <v>1203</v>
      </c>
      <c r="I485" s="10">
        <v>0.1096</v>
      </c>
      <c r="J485" s="10">
        <v>0.15989999999999899</v>
      </c>
      <c r="K485" s="10">
        <v>0.19739999999999899</v>
      </c>
      <c r="L485" s="10">
        <v>0.12790000000000001</v>
      </c>
      <c r="M485" s="10">
        <v>0.2069</v>
      </c>
      <c r="N485" s="10">
        <v>5.9990000000000002E-2</v>
      </c>
      <c r="O485" s="10">
        <v>0.74560000000000004</v>
      </c>
      <c r="P485" s="10">
        <v>0.78690000000000004</v>
      </c>
      <c r="Q485" s="10">
        <v>4.585</v>
      </c>
      <c r="R485" s="10">
        <v>94.03</v>
      </c>
      <c r="S485" s="10">
        <v>6.1500000000000001E-3</v>
      </c>
      <c r="T485" s="10">
        <v>4.0059999999999901E-2</v>
      </c>
      <c r="U485" s="10">
        <v>3.832E-2</v>
      </c>
      <c r="V485" s="10">
        <v>2.0580000000000001E-2</v>
      </c>
      <c r="W485" s="10">
        <v>2.2499999999999899E-2</v>
      </c>
      <c r="X485" s="10">
        <v>4.5710000000000004E-3</v>
      </c>
      <c r="Y485" s="10">
        <v>23.57</v>
      </c>
      <c r="Z485" s="10">
        <v>25.53</v>
      </c>
      <c r="AA485" s="10">
        <v>152.5</v>
      </c>
      <c r="AB485" s="10">
        <v>1709</v>
      </c>
      <c r="AC485" s="10">
        <v>0.1444</v>
      </c>
      <c r="AD485" s="10">
        <v>0.42449999999999899</v>
      </c>
      <c r="AE485" s="10">
        <v>0.45040000000000002</v>
      </c>
      <c r="AF485" s="10">
        <v>0.24299999999999899</v>
      </c>
      <c r="AG485" s="10">
        <v>0.36130000000000001</v>
      </c>
      <c r="AH485">
        <v>8.7580000000000005E-2</v>
      </c>
    </row>
    <row r="486" spans="3:34">
      <c r="C486" s="11" t="s">
        <v>651</v>
      </c>
      <c r="D486" s="10" t="s">
        <v>1</v>
      </c>
      <c r="E486" s="10">
        <v>13.71</v>
      </c>
      <c r="F486" s="10">
        <v>14.6999999999999</v>
      </c>
      <c r="G486" s="10">
        <v>94.659999999999897</v>
      </c>
      <c r="H486" s="10">
        <v>680.7</v>
      </c>
      <c r="I486" s="10">
        <v>8.4720000000000004E-2</v>
      </c>
      <c r="J486" s="10">
        <v>5.0160000000000003E-2</v>
      </c>
      <c r="K486" s="10">
        <v>3.4160000000000003E-2</v>
      </c>
      <c r="L486" s="10">
        <v>2.5409999999999901E-2</v>
      </c>
      <c r="M486" s="10">
        <v>0.16589999999999899</v>
      </c>
      <c r="N486" s="10">
        <v>5.348E-2</v>
      </c>
      <c r="O486" s="10">
        <v>0.21820000000000001</v>
      </c>
      <c r="P486" s="10">
        <v>0.62319999999999898</v>
      </c>
      <c r="Q486" s="10">
        <v>1.677</v>
      </c>
      <c r="R486" s="10">
        <v>20.719999999999899</v>
      </c>
      <c r="S486" s="10">
        <v>6.7080000000000004E-3</v>
      </c>
      <c r="T486" s="10">
        <v>1.197E-2</v>
      </c>
      <c r="U486" s="10">
        <v>1.482E-2</v>
      </c>
      <c r="V486" s="10">
        <v>1.056E-2</v>
      </c>
      <c r="W486" s="10">
        <v>1.5800000000000002E-2</v>
      </c>
      <c r="X486" s="10">
        <v>1.779E-3</v>
      </c>
      <c r="Y486" s="10">
        <v>15.6099999999999</v>
      </c>
      <c r="Z486" s="10">
        <v>17.579999999999899</v>
      </c>
      <c r="AA486" s="10">
        <v>101.7</v>
      </c>
      <c r="AB486" s="10">
        <v>760.2</v>
      </c>
      <c r="AC486" s="10">
        <v>0.1139</v>
      </c>
      <c r="AD486" s="10">
        <v>0.1011</v>
      </c>
      <c r="AE486" s="10">
        <v>0.1101</v>
      </c>
      <c r="AF486" s="10">
        <v>7.9549999999999899E-2</v>
      </c>
      <c r="AG486" s="10">
        <v>0.2334</v>
      </c>
      <c r="AH486">
        <v>6.1420000000000002E-2</v>
      </c>
    </row>
    <row r="487" spans="3:34">
      <c r="C487" s="11" t="s">
        <v>432</v>
      </c>
      <c r="D487" s="10" t="s">
        <v>1</v>
      </c>
      <c r="E487" s="10">
        <v>13.71</v>
      </c>
      <c r="F487" s="10">
        <v>16.02</v>
      </c>
      <c r="G487" s="10">
        <v>83.14</v>
      </c>
      <c r="H487" s="10">
        <v>513.70000000000005</v>
      </c>
      <c r="I487" s="10">
        <v>0.10050000000000001</v>
      </c>
      <c r="J487" s="10">
        <v>7.9430000000000001E-2</v>
      </c>
      <c r="K487" s="10">
        <v>6.1550000000000001E-2</v>
      </c>
      <c r="L487" s="10">
        <v>3.3700000000000001E-2</v>
      </c>
      <c r="M487" s="10">
        <v>0.17299999999999899</v>
      </c>
      <c r="N487" s="10">
        <v>6.4699999999999896E-2</v>
      </c>
      <c r="O487" s="10">
        <v>0.2094</v>
      </c>
      <c r="P487" s="10">
        <v>0.76359999999999895</v>
      </c>
      <c r="Q487" s="10">
        <v>1.2310000000000001</v>
      </c>
      <c r="R487" s="10">
        <v>17.670000000000002</v>
      </c>
      <c r="S487" s="10">
        <v>8.7250000000000001E-3</v>
      </c>
      <c r="T487" s="10">
        <v>2.0029999999999899E-2</v>
      </c>
      <c r="U487" s="10">
        <v>2.3349999999999899E-2</v>
      </c>
      <c r="V487" s="10">
        <v>1.132E-2</v>
      </c>
      <c r="W487" s="10">
        <v>2.6249999999999898E-2</v>
      </c>
      <c r="X487" s="10">
        <v>4.7260000000000002E-3</v>
      </c>
      <c r="Y487" s="10">
        <v>13.74</v>
      </c>
      <c r="Z487" s="10">
        <v>19.93</v>
      </c>
      <c r="AA487" s="10">
        <v>88.81</v>
      </c>
      <c r="AB487" s="10">
        <v>585.39999999999895</v>
      </c>
      <c r="AC487" s="10">
        <v>0.14829999999999899</v>
      </c>
      <c r="AD487" s="10">
        <v>0.20680000000000001</v>
      </c>
      <c r="AE487" s="10">
        <v>0.22409999999999899</v>
      </c>
      <c r="AF487" s="10">
        <v>0.1056</v>
      </c>
      <c r="AG487" s="10">
        <v>0.33800000000000002</v>
      </c>
      <c r="AH487">
        <v>9.5839999999999897E-2</v>
      </c>
    </row>
    <row r="488" spans="3:34">
      <c r="C488" s="11" t="s">
        <v>706</v>
      </c>
      <c r="D488" s="10" t="s">
        <v>0</v>
      </c>
      <c r="E488" s="10">
        <v>13.71</v>
      </c>
      <c r="F488" s="10">
        <v>28.079999999999899</v>
      </c>
      <c r="G488" s="10">
        <v>108.3</v>
      </c>
      <c r="H488" s="10">
        <v>858.1</v>
      </c>
      <c r="I488" s="10">
        <v>8.455E-2</v>
      </c>
      <c r="J488" s="10">
        <v>0.1023</v>
      </c>
      <c r="K488" s="10">
        <v>9.2509999999999898E-2</v>
      </c>
      <c r="L488" s="10">
        <v>5.3019999999999901E-2</v>
      </c>
      <c r="M488" s="10">
        <v>0.159</v>
      </c>
      <c r="N488" s="10">
        <v>5.6480000000000002E-2</v>
      </c>
      <c r="O488" s="10">
        <v>0.45639999999999897</v>
      </c>
      <c r="P488" s="10">
        <v>1.075</v>
      </c>
      <c r="Q488" s="10">
        <v>3.4249999999999901</v>
      </c>
      <c r="R488" s="10">
        <v>48.549999999999898</v>
      </c>
      <c r="S488" s="10">
        <v>5.9030000000000003E-3</v>
      </c>
      <c r="T488" s="10">
        <v>3.7310000000000003E-2</v>
      </c>
      <c r="U488" s="10">
        <v>4.7300000000000002E-2</v>
      </c>
      <c r="V488" s="10">
        <v>1.5570000000000001E-2</v>
      </c>
      <c r="W488" s="10">
        <v>1.3180000000000001E-2</v>
      </c>
      <c r="X488" s="10">
        <v>3.8920000000000001E-3</v>
      </c>
      <c r="Y488" s="10">
        <v>18.98</v>
      </c>
      <c r="Z488" s="10">
        <v>34.119999999999898</v>
      </c>
      <c r="AA488" s="10">
        <v>126.7</v>
      </c>
      <c r="AB488" s="10">
        <v>1124</v>
      </c>
      <c r="AC488" s="10">
        <v>0.1139</v>
      </c>
      <c r="AD488" s="10">
        <v>0.30940000000000001</v>
      </c>
      <c r="AE488" s="10">
        <v>0.34029999999999899</v>
      </c>
      <c r="AF488" s="10">
        <v>0.14180000000000001</v>
      </c>
      <c r="AG488" s="10">
        <v>0.2218</v>
      </c>
      <c r="AH488">
        <v>7.8200000000000006E-2</v>
      </c>
    </row>
    <row r="489" spans="3:34">
      <c r="C489" s="11" t="s">
        <v>458</v>
      </c>
      <c r="D489" s="10" t="s">
        <v>1</v>
      </c>
      <c r="E489" s="10">
        <v>13.71</v>
      </c>
      <c r="F489" s="10">
        <v>18.899999999999899</v>
      </c>
      <c r="G489" s="10">
        <v>60.07</v>
      </c>
      <c r="H489" s="10">
        <v>244.5</v>
      </c>
      <c r="I489" s="10">
        <v>9.9680000000000005E-2</v>
      </c>
      <c r="J489" s="10">
        <v>0.19719999999999899</v>
      </c>
      <c r="K489" s="10">
        <v>0.19750000000000001</v>
      </c>
      <c r="L489" s="10">
        <v>4.9079999999999901E-2</v>
      </c>
      <c r="M489" s="10">
        <v>0.23300000000000001</v>
      </c>
      <c r="N489" s="10">
        <v>8.7429999999999897E-2</v>
      </c>
      <c r="O489" s="10">
        <v>0.46529999999999899</v>
      </c>
      <c r="P489" s="10">
        <v>1.911</v>
      </c>
      <c r="Q489" s="10">
        <v>3.7690000000000001</v>
      </c>
      <c r="R489" s="10">
        <v>24.1999999999999</v>
      </c>
      <c r="S489" s="10">
        <v>9.8449999999999892E-3</v>
      </c>
      <c r="T489" s="10">
        <v>6.59E-2</v>
      </c>
      <c r="U489" s="10">
        <v>0.1027</v>
      </c>
      <c r="V489" s="10">
        <v>2.5270000000000001E-2</v>
      </c>
      <c r="W489" s="10">
        <v>3.4909999999999899E-2</v>
      </c>
      <c r="X489" s="10">
        <v>7.8770000000000003E-3</v>
      </c>
      <c r="Y489" s="10">
        <v>10.06</v>
      </c>
      <c r="Z489" s="10">
        <v>23.399999999999899</v>
      </c>
      <c r="AA489" s="10">
        <v>68.62</v>
      </c>
      <c r="AB489" s="10">
        <v>297.10000000000002</v>
      </c>
      <c r="AC489" s="10">
        <v>0.1221</v>
      </c>
      <c r="AD489" s="10">
        <v>0.37480000000000002</v>
      </c>
      <c r="AE489" s="10">
        <v>0.46089999999999898</v>
      </c>
      <c r="AF489" s="10">
        <v>0.1145</v>
      </c>
      <c r="AG489" s="10">
        <v>0.3135</v>
      </c>
      <c r="AH489">
        <v>0.1055</v>
      </c>
    </row>
    <row r="490" spans="3:34">
      <c r="C490" s="11" t="s">
        <v>158</v>
      </c>
      <c r="D490" s="10" t="s">
        <v>0</v>
      </c>
      <c r="E490" s="10">
        <v>13.71</v>
      </c>
      <c r="F490" s="10">
        <v>22.149999999999899</v>
      </c>
      <c r="G490" s="10">
        <v>130</v>
      </c>
      <c r="H490" s="10">
        <v>1260</v>
      </c>
      <c r="I490" s="10">
        <v>9.8309999999999897E-2</v>
      </c>
      <c r="J490" s="10">
        <v>0.1027</v>
      </c>
      <c r="K490" s="10">
        <v>0.1479</v>
      </c>
      <c r="L490" s="10">
        <v>9.4979999999999898E-2</v>
      </c>
      <c r="M490" s="10">
        <v>0.15820000000000001</v>
      </c>
      <c r="N490" s="10">
        <v>5.3949999999999901E-2</v>
      </c>
      <c r="O490" s="10">
        <v>0.75819999999999899</v>
      </c>
      <c r="P490" s="10">
        <v>1.0169999999999899</v>
      </c>
      <c r="Q490" s="10">
        <v>5.8650000000000002</v>
      </c>
      <c r="R490" s="10">
        <v>112.4</v>
      </c>
      <c r="S490" s="10">
        <v>6.4939999999999902E-3</v>
      </c>
      <c r="T490" s="10">
        <v>1.8929999999999898E-2</v>
      </c>
      <c r="U490" s="10">
        <v>3.3910000000000003E-2</v>
      </c>
      <c r="V490" s="10">
        <v>1.521E-2</v>
      </c>
      <c r="W490" s="10">
        <v>1.35599999999999E-2</v>
      </c>
      <c r="X490" s="10">
        <v>1.9970000000000001E-3</v>
      </c>
      <c r="Y490" s="10">
        <v>27.32</v>
      </c>
      <c r="Z490" s="10">
        <v>30.8799999999999</v>
      </c>
      <c r="AA490" s="10">
        <v>186.8</v>
      </c>
      <c r="AB490" s="10">
        <v>2398</v>
      </c>
      <c r="AC490" s="10">
        <v>0.1512</v>
      </c>
      <c r="AD490" s="10">
        <v>0.315</v>
      </c>
      <c r="AE490" s="10">
        <v>0.53720000000000001</v>
      </c>
      <c r="AF490" s="10">
        <v>0.23880000000000001</v>
      </c>
      <c r="AG490" s="10">
        <v>0.27679999999999899</v>
      </c>
      <c r="AH490">
        <v>7.6149999999999898E-2</v>
      </c>
    </row>
    <row r="491" spans="3:34">
      <c r="C491" s="11" t="s">
        <v>422</v>
      </c>
      <c r="D491" s="10" t="s">
        <v>0</v>
      </c>
      <c r="E491" s="10">
        <v>13.71</v>
      </c>
      <c r="F491" s="10">
        <v>18.18</v>
      </c>
      <c r="G491" s="10">
        <v>127.2</v>
      </c>
      <c r="H491" s="10">
        <v>1145</v>
      </c>
      <c r="I491" s="10">
        <v>0.1037</v>
      </c>
      <c r="J491" s="10">
        <v>0.144199999999999</v>
      </c>
      <c r="K491" s="10">
        <v>0.162599999999999</v>
      </c>
      <c r="L491" s="10">
        <v>9.4640000000000002E-2</v>
      </c>
      <c r="M491" s="10">
        <v>0.1893</v>
      </c>
      <c r="N491" s="10">
        <v>5.892E-2</v>
      </c>
      <c r="O491" s="10">
        <v>0.47089999999999899</v>
      </c>
      <c r="P491" s="10">
        <v>0.99509999999999899</v>
      </c>
      <c r="Q491" s="10">
        <v>2.903</v>
      </c>
      <c r="R491" s="10">
        <v>53.159999999999897</v>
      </c>
      <c r="S491" s="10">
        <v>5.6540000000000002E-3</v>
      </c>
      <c r="T491" s="10">
        <v>2.1989999999999899E-2</v>
      </c>
      <c r="U491" s="10">
        <v>3.0589999999999899E-2</v>
      </c>
      <c r="V491" s="10">
        <v>1.499E-2</v>
      </c>
      <c r="W491" s="10">
        <v>1.6230000000000001E-2</v>
      </c>
      <c r="X491" s="10">
        <v>1.9650000000000002E-3</v>
      </c>
      <c r="Y491" s="10">
        <v>23.7899999999999</v>
      </c>
      <c r="Z491" s="10">
        <v>28.649999999999899</v>
      </c>
      <c r="AA491" s="10">
        <v>152.4</v>
      </c>
      <c r="AB491" s="10">
        <v>1628</v>
      </c>
      <c r="AC491" s="10">
        <v>0.15179999999999899</v>
      </c>
      <c r="AD491" s="10">
        <v>0.37490000000000001</v>
      </c>
      <c r="AE491" s="10">
        <v>0.43159999999999898</v>
      </c>
      <c r="AF491" s="10">
        <v>0.22520000000000001</v>
      </c>
      <c r="AG491" s="10">
        <v>0.35899999999999899</v>
      </c>
      <c r="AH491">
        <v>7.7869999999999898E-2</v>
      </c>
    </row>
    <row r="492" spans="3:34">
      <c r="C492" s="11" t="s">
        <v>213</v>
      </c>
      <c r="D492" s="10" t="s">
        <v>0</v>
      </c>
      <c r="E492" s="10">
        <v>13.71</v>
      </c>
      <c r="F492" s="10">
        <v>15.7899999999999</v>
      </c>
      <c r="G492" s="10">
        <v>90.43</v>
      </c>
      <c r="H492" s="10">
        <v>584.1</v>
      </c>
      <c r="I492" s="10">
        <v>0.1007</v>
      </c>
      <c r="J492" s="10">
        <v>0.128</v>
      </c>
      <c r="K492" s="10">
        <v>7.7890000000000001E-2</v>
      </c>
      <c r="L492" s="10">
        <v>5.0689999999999902E-2</v>
      </c>
      <c r="M492" s="10">
        <v>0.16619999999999899</v>
      </c>
      <c r="N492" s="10">
        <v>6.5659999999999899E-2</v>
      </c>
      <c r="O492" s="10">
        <v>0.2787</v>
      </c>
      <c r="P492" s="10">
        <v>0.62050000000000005</v>
      </c>
      <c r="Q492" s="10">
        <v>1.9570000000000001</v>
      </c>
      <c r="R492" s="10">
        <v>23.35</v>
      </c>
      <c r="S492" s="10">
        <v>4.7169999999999903E-3</v>
      </c>
      <c r="T492" s="10">
        <v>2.0650000000000002E-2</v>
      </c>
      <c r="U492" s="10">
        <v>1.7590000000000001E-2</v>
      </c>
      <c r="V492" s="10">
        <v>9.2060000000000006E-3</v>
      </c>
      <c r="W492" s="10">
        <v>1.2200000000000001E-2</v>
      </c>
      <c r="X492" s="10">
        <v>3.13E-3</v>
      </c>
      <c r="Y492" s="10">
        <v>16.57</v>
      </c>
      <c r="Z492" s="10">
        <v>20.8599999999999</v>
      </c>
      <c r="AA492" s="10">
        <v>110.3</v>
      </c>
      <c r="AB492" s="10">
        <v>812.39999999999895</v>
      </c>
      <c r="AC492" s="10">
        <v>0.1411</v>
      </c>
      <c r="AD492" s="10">
        <v>0.35420000000000001</v>
      </c>
      <c r="AE492" s="10">
        <v>0.27789999999999898</v>
      </c>
      <c r="AF492" s="10">
        <v>0.13830000000000001</v>
      </c>
      <c r="AG492" s="10">
        <v>0.25890000000000002</v>
      </c>
      <c r="AH492">
        <v>0.102999999999999</v>
      </c>
    </row>
    <row r="493" spans="3:34">
      <c r="C493" s="11" t="s">
        <v>518</v>
      </c>
      <c r="D493" s="10" t="s">
        <v>1</v>
      </c>
      <c r="E493" s="10">
        <v>13.71</v>
      </c>
      <c r="F493" s="10">
        <v>15.15</v>
      </c>
      <c r="G493" s="10">
        <v>88.269999999999897</v>
      </c>
      <c r="H493" s="10">
        <v>580.6</v>
      </c>
      <c r="I493" s="10">
        <v>8.2680000000000003E-2</v>
      </c>
      <c r="J493" s="10">
        <v>7.5480000000000005E-2</v>
      </c>
      <c r="K493" s="10">
        <v>4.249E-2</v>
      </c>
      <c r="L493" s="10">
        <v>2.4709999999999899E-2</v>
      </c>
      <c r="M493" s="10">
        <v>0.1792</v>
      </c>
      <c r="N493" s="10">
        <v>5.8970000000000002E-2</v>
      </c>
      <c r="O493" s="10">
        <v>0.14019999999999899</v>
      </c>
      <c r="P493" s="10">
        <v>0.54169999999999896</v>
      </c>
      <c r="Q493" s="10">
        <v>1.101</v>
      </c>
      <c r="R493" s="10">
        <v>11.35</v>
      </c>
      <c r="S493" s="10">
        <v>5.2119999999999901E-3</v>
      </c>
      <c r="T493" s="10">
        <v>2.9839999999999901E-2</v>
      </c>
      <c r="U493" s="10">
        <v>2.443E-2</v>
      </c>
      <c r="V493" s="10">
        <v>8.3560000000000006E-3</v>
      </c>
      <c r="W493" s="10">
        <v>1.8180000000000002E-2</v>
      </c>
      <c r="X493" s="10">
        <v>4.8679999999999904E-3</v>
      </c>
      <c r="Y493" s="10">
        <v>14.5399999999999</v>
      </c>
      <c r="Z493" s="10">
        <v>19.64</v>
      </c>
      <c r="AA493" s="10">
        <v>97.959999999999894</v>
      </c>
      <c r="AB493" s="10">
        <v>657</v>
      </c>
      <c r="AC493" s="10">
        <v>0.1275</v>
      </c>
      <c r="AD493" s="10">
        <v>0.31040000000000001</v>
      </c>
      <c r="AE493" s="10">
        <v>0.25690000000000002</v>
      </c>
      <c r="AF493" s="10">
        <v>0.10539999999999899</v>
      </c>
      <c r="AG493" s="10">
        <v>0.3387</v>
      </c>
      <c r="AH493">
        <v>9.6379999999999896E-2</v>
      </c>
    </row>
    <row r="494" spans="3:34">
      <c r="C494" s="11" t="s">
        <v>240</v>
      </c>
      <c r="D494" s="10" t="s">
        <v>0</v>
      </c>
      <c r="E494" s="10">
        <v>13.71</v>
      </c>
      <c r="F494" s="10">
        <v>24.98</v>
      </c>
      <c r="G494" s="10">
        <v>88.049999999999898</v>
      </c>
      <c r="H494" s="10">
        <v>582.70000000000005</v>
      </c>
      <c r="I494" s="10">
        <v>9.4880000000000006E-2</v>
      </c>
      <c r="J494" s="10">
        <v>8.5110000000000005E-2</v>
      </c>
      <c r="K494" s="10">
        <v>8.6249999999999896E-2</v>
      </c>
      <c r="L494" s="10">
        <v>4.4889999999999902E-2</v>
      </c>
      <c r="M494" s="10">
        <v>0.16089999999999899</v>
      </c>
      <c r="N494" s="10">
        <v>5.8709999999999901E-2</v>
      </c>
      <c r="O494" s="10">
        <v>0.45650000000000002</v>
      </c>
      <c r="P494" s="10">
        <v>1.29</v>
      </c>
      <c r="Q494" s="10">
        <v>2.8610000000000002</v>
      </c>
      <c r="R494" s="10">
        <v>43.14</v>
      </c>
      <c r="S494" s="10">
        <v>5.8719999999999901E-3</v>
      </c>
      <c r="T494" s="10">
        <v>1.4880000000000001E-2</v>
      </c>
      <c r="U494" s="10">
        <v>2.647E-2</v>
      </c>
      <c r="V494" s="10">
        <v>9.9209999999999906E-3</v>
      </c>
      <c r="W494" s="10">
        <v>1.465E-2</v>
      </c>
      <c r="X494" s="10">
        <v>2.3549999999999899E-3</v>
      </c>
      <c r="Y494" s="10">
        <v>16.989999999999899</v>
      </c>
      <c r="Z494" s="10">
        <v>35.270000000000003</v>
      </c>
      <c r="AA494" s="10">
        <v>108.599999999999</v>
      </c>
      <c r="AB494" s="10">
        <v>906.5</v>
      </c>
      <c r="AC494" s="10">
        <v>0.1265</v>
      </c>
      <c r="AD494" s="10">
        <v>0.1943</v>
      </c>
      <c r="AE494" s="10">
        <v>0.31690000000000002</v>
      </c>
      <c r="AF494" s="10">
        <v>0.11840000000000001</v>
      </c>
      <c r="AG494" s="10">
        <v>0.2651</v>
      </c>
      <c r="AH494">
        <v>7.3969999999999897E-2</v>
      </c>
    </row>
    <row r="495" spans="3:34">
      <c r="C495" s="11" t="s">
        <v>503</v>
      </c>
      <c r="D495" s="10" t="s">
        <v>1</v>
      </c>
      <c r="E495" s="10">
        <v>13.71</v>
      </c>
      <c r="F495" s="10">
        <v>18.2899999999999</v>
      </c>
      <c r="G495" s="10">
        <v>106.599999999999</v>
      </c>
      <c r="H495" s="10">
        <v>838.1</v>
      </c>
      <c r="I495" s="10">
        <v>9.6860000000000002E-2</v>
      </c>
      <c r="J495" s="10">
        <v>8.4680000000000005E-2</v>
      </c>
      <c r="K495" s="10">
        <v>5.8619999999999901E-2</v>
      </c>
      <c r="L495" s="10">
        <v>4.83499999999999E-2</v>
      </c>
      <c r="M495" s="10">
        <v>0.14949999999999899</v>
      </c>
      <c r="N495" s="10">
        <v>5.5930000000000001E-2</v>
      </c>
      <c r="O495" s="10">
        <v>0.33889999999999898</v>
      </c>
      <c r="P495" s="10">
        <v>1.4390000000000001</v>
      </c>
      <c r="Q495" s="10">
        <v>2.3439999999999901</v>
      </c>
      <c r="R495" s="10">
        <v>33.579999999999899</v>
      </c>
      <c r="S495" s="10">
        <v>7.2570000000000004E-3</v>
      </c>
      <c r="T495" s="10">
        <v>1.805E-2</v>
      </c>
      <c r="U495" s="10">
        <v>1.8319999999999899E-2</v>
      </c>
      <c r="V495" s="10">
        <v>1.0330000000000001E-2</v>
      </c>
      <c r="W495" s="10">
        <v>1.694E-2</v>
      </c>
      <c r="X495" s="10">
        <v>2.0010000000000002E-3</v>
      </c>
      <c r="Y495" s="10">
        <v>18.1299999999999</v>
      </c>
      <c r="Z495" s="10">
        <v>25.4499999999999</v>
      </c>
      <c r="AA495" s="10">
        <v>117.2</v>
      </c>
      <c r="AB495" s="10">
        <v>1009</v>
      </c>
      <c r="AC495" s="10">
        <v>0.1338</v>
      </c>
      <c r="AD495" s="10">
        <v>0.16789999999999899</v>
      </c>
      <c r="AE495" s="10">
        <v>0.1663</v>
      </c>
      <c r="AF495" s="10">
        <v>9.1230000000000006E-2</v>
      </c>
      <c r="AG495" s="10">
        <v>0.2394</v>
      </c>
      <c r="AH495">
        <v>6.46899999999999E-2</v>
      </c>
    </row>
    <row r="496" spans="3:34">
      <c r="C496" s="11" t="s">
        <v>438</v>
      </c>
      <c r="D496" s="10" t="s">
        <v>1</v>
      </c>
      <c r="E496" s="10">
        <v>13.71</v>
      </c>
      <c r="F496" s="10">
        <v>18.170000000000002</v>
      </c>
      <c r="G496" s="10">
        <v>91.219999999999899</v>
      </c>
      <c r="H496" s="10">
        <v>633.1</v>
      </c>
      <c r="I496" s="10">
        <v>6.5759999999999902E-2</v>
      </c>
      <c r="J496" s="10">
        <v>5.2200000000000003E-2</v>
      </c>
      <c r="K496" s="10">
        <v>2.4750000000000001E-2</v>
      </c>
      <c r="L496" s="10">
        <v>1.374E-2</v>
      </c>
      <c r="M496" s="10">
        <v>0.16350000000000001</v>
      </c>
      <c r="N496" s="10">
        <v>5.586E-2</v>
      </c>
      <c r="O496" s="10">
        <v>0.23</v>
      </c>
      <c r="P496" s="10">
        <v>0.66900000000000004</v>
      </c>
      <c r="Q496" s="10">
        <v>1.661</v>
      </c>
      <c r="R496" s="10">
        <v>20.559999999999899</v>
      </c>
      <c r="S496" s="10">
        <v>3.16899999999999E-3</v>
      </c>
      <c r="T496" s="10">
        <v>1.37699999999999E-2</v>
      </c>
      <c r="U496" s="10">
        <v>1.07899999999999E-2</v>
      </c>
      <c r="V496" s="10">
        <v>5.2430000000000003E-3</v>
      </c>
      <c r="W496" s="10">
        <v>1.103E-2</v>
      </c>
      <c r="X496" s="10">
        <v>1.957E-3</v>
      </c>
      <c r="Y496" s="10">
        <v>16.219999999999899</v>
      </c>
      <c r="Z496" s="10">
        <v>25.26</v>
      </c>
      <c r="AA496" s="10">
        <v>105.8</v>
      </c>
      <c r="AB496" s="10">
        <v>819.7</v>
      </c>
      <c r="AC496" s="10">
        <v>9.4450000000000006E-2</v>
      </c>
      <c r="AD496" s="10">
        <v>0.2167</v>
      </c>
      <c r="AE496" s="10">
        <v>0.1565</v>
      </c>
      <c r="AF496" s="10">
        <v>7.5300000000000006E-2</v>
      </c>
      <c r="AG496" s="10">
        <v>0.2636</v>
      </c>
      <c r="AH496">
        <v>7.6759999999999898E-2</v>
      </c>
    </row>
    <row r="497" spans="3:34">
      <c r="C497" s="11" t="s">
        <v>197</v>
      </c>
      <c r="D497" s="10" t="s">
        <v>0</v>
      </c>
      <c r="E497" s="10">
        <v>13.71</v>
      </c>
      <c r="F497" s="10">
        <v>21.59</v>
      </c>
      <c r="G497" s="10">
        <v>95.549999999999898</v>
      </c>
      <c r="H497" s="10">
        <v>656.89999999999895</v>
      </c>
      <c r="I497" s="10">
        <v>0.1137</v>
      </c>
      <c r="J497" s="10">
        <v>0.13650000000000001</v>
      </c>
      <c r="K497" s="10">
        <v>0.1293</v>
      </c>
      <c r="L497" s="10">
        <v>8.12299999999999E-2</v>
      </c>
      <c r="M497" s="10">
        <v>0.20269999999999899</v>
      </c>
      <c r="N497" s="10">
        <v>6.7580000000000001E-2</v>
      </c>
      <c r="O497" s="10">
        <v>0.42259999999999898</v>
      </c>
      <c r="P497" s="10">
        <v>1.1499999999999899</v>
      </c>
      <c r="Q497" s="10">
        <v>2.7349999999999901</v>
      </c>
      <c r="R497" s="10">
        <v>40.090000000000003</v>
      </c>
      <c r="S497" s="10">
        <v>3.65899999999999E-3</v>
      </c>
      <c r="T497" s="10">
        <v>2.8549999999999898E-2</v>
      </c>
      <c r="U497" s="10">
        <v>2.572E-2</v>
      </c>
      <c r="V497" s="10">
        <v>1.272E-2</v>
      </c>
      <c r="W497" s="10">
        <v>1.8169999999999902E-2</v>
      </c>
      <c r="X497" s="10">
        <v>4.1079999999999901E-3</v>
      </c>
      <c r="Y497" s="10">
        <v>17.87</v>
      </c>
      <c r="Z497" s="10">
        <v>30.6999999999999</v>
      </c>
      <c r="AA497" s="10">
        <v>115.7</v>
      </c>
      <c r="AB497" s="10">
        <v>985.5</v>
      </c>
      <c r="AC497" s="10">
        <v>0.1368</v>
      </c>
      <c r="AD497" s="10">
        <v>0.42899999999999899</v>
      </c>
      <c r="AE497" s="10">
        <v>0.35870000000000002</v>
      </c>
      <c r="AF497" s="10">
        <v>0.18340000000000001</v>
      </c>
      <c r="AG497" s="10">
        <v>0.36980000000000002</v>
      </c>
      <c r="AH497">
        <v>0.1094</v>
      </c>
    </row>
    <row r="498" spans="3:34">
      <c r="C498" s="11" t="s">
        <v>241</v>
      </c>
      <c r="D498" s="10" t="s">
        <v>1</v>
      </c>
      <c r="E498" s="10">
        <v>13.71</v>
      </c>
      <c r="F498" s="10">
        <v>13.43</v>
      </c>
      <c r="G498" s="10">
        <v>43.7899999999999</v>
      </c>
      <c r="H498" s="10">
        <v>143.5</v>
      </c>
      <c r="I498" s="10">
        <v>0.11700000000000001</v>
      </c>
      <c r="J498" s="10">
        <v>7.56799999999999E-2</v>
      </c>
      <c r="K498" s="10">
        <v>0</v>
      </c>
      <c r="L498" s="10">
        <v>0</v>
      </c>
      <c r="M498" s="10">
        <v>0.193</v>
      </c>
      <c r="N498" s="10">
        <v>7.8179999999999902E-2</v>
      </c>
      <c r="O498" s="10">
        <v>0.22409999999999899</v>
      </c>
      <c r="P498" s="10">
        <v>1.508</v>
      </c>
      <c r="Q498" s="10">
        <v>1.5529999999999899</v>
      </c>
      <c r="R498" s="10">
        <v>9.8330000000000002</v>
      </c>
      <c r="S498" s="10">
        <v>1.0189999999999901E-2</v>
      </c>
      <c r="T498" s="10">
        <v>1.0840000000000001E-2</v>
      </c>
      <c r="U498" s="10">
        <v>0</v>
      </c>
      <c r="V498" s="10">
        <v>0</v>
      </c>
      <c r="W498" s="10">
        <v>2.6589999999999898E-2</v>
      </c>
      <c r="X498" s="10">
        <v>4.1000000000000003E-3</v>
      </c>
      <c r="Y498" s="10">
        <v>7.9299999999999899</v>
      </c>
      <c r="Z498" s="10">
        <v>19.5399999999999</v>
      </c>
      <c r="AA498" s="10">
        <v>50.409999999999897</v>
      </c>
      <c r="AB498" s="10">
        <v>185.19999999999899</v>
      </c>
      <c r="AC498" s="10">
        <v>0.15840000000000001</v>
      </c>
      <c r="AD498" s="10">
        <v>0.1202</v>
      </c>
      <c r="AE498" s="10">
        <v>0</v>
      </c>
      <c r="AF498" s="10">
        <v>0</v>
      </c>
      <c r="AG498" s="10">
        <v>0.29320000000000002</v>
      </c>
      <c r="AH498">
        <v>9.3820000000000001E-2</v>
      </c>
    </row>
    <row r="499" spans="3:34">
      <c r="C499" s="11" t="s">
        <v>364</v>
      </c>
      <c r="D499" s="10" t="s">
        <v>1</v>
      </c>
      <c r="E499" s="10">
        <v>13.71</v>
      </c>
      <c r="F499" s="10">
        <v>17.02</v>
      </c>
      <c r="G499" s="10">
        <v>84.549999999999898</v>
      </c>
      <c r="H499" s="10">
        <v>546.39999999999895</v>
      </c>
      <c r="I499" s="10">
        <v>8.44499999999999E-2</v>
      </c>
      <c r="J499" s="10">
        <v>4.9939999999999901E-2</v>
      </c>
      <c r="K499" s="10">
        <v>3.5540000000000002E-2</v>
      </c>
      <c r="L499" s="10">
        <v>2.4559999999999901E-2</v>
      </c>
      <c r="M499" s="10">
        <v>0.14960000000000001</v>
      </c>
      <c r="N499" s="10">
        <v>5.6739999999999902E-2</v>
      </c>
      <c r="O499" s="10">
        <v>0.29270000000000002</v>
      </c>
      <c r="P499" s="10">
        <v>0.89070000000000005</v>
      </c>
      <c r="Q499" s="10">
        <v>2.044</v>
      </c>
      <c r="R499" s="10">
        <v>24.68</v>
      </c>
      <c r="S499" s="10">
        <v>6.032E-3</v>
      </c>
      <c r="T499" s="10">
        <v>1.1039999999999901E-2</v>
      </c>
      <c r="U499" s="10">
        <v>2.2589999999999898E-2</v>
      </c>
      <c r="V499" s="10">
        <v>9.0570000000000008E-3</v>
      </c>
      <c r="W499" s="10">
        <v>1.482E-2</v>
      </c>
      <c r="X499" s="10">
        <v>2.496E-3</v>
      </c>
      <c r="Y499" s="10">
        <v>15.14</v>
      </c>
      <c r="Z499" s="10">
        <v>23.6</v>
      </c>
      <c r="AA499" s="10">
        <v>98.84</v>
      </c>
      <c r="AB499" s="10">
        <v>708.79999999999905</v>
      </c>
      <c r="AC499" s="10">
        <v>0.12759999999999899</v>
      </c>
      <c r="AD499" s="10">
        <v>0.131099999999999</v>
      </c>
      <c r="AE499" s="10">
        <v>0.17860000000000001</v>
      </c>
      <c r="AF499" s="10">
        <v>9.6780000000000005E-2</v>
      </c>
      <c r="AG499" s="10">
        <v>0.25059999999999899</v>
      </c>
      <c r="AH499">
        <v>7.6230000000000006E-2</v>
      </c>
    </row>
    <row r="500" spans="3:34">
      <c r="C500" s="11" t="s">
        <v>498</v>
      </c>
      <c r="D500" s="10" t="s">
        <v>1</v>
      </c>
      <c r="E500" s="10">
        <v>13.71</v>
      </c>
      <c r="F500" s="10">
        <v>15.49</v>
      </c>
      <c r="G500" s="10">
        <v>56.74</v>
      </c>
      <c r="H500" s="10">
        <v>241</v>
      </c>
      <c r="I500" s="10">
        <v>8.2930000000000004E-2</v>
      </c>
      <c r="J500" s="10">
        <v>7.6980000000000007E-2</v>
      </c>
      <c r="K500" s="10">
        <v>4.7210000000000002E-2</v>
      </c>
      <c r="L500" s="10">
        <v>2.3810000000000001E-2</v>
      </c>
      <c r="M500" s="10">
        <v>0.193</v>
      </c>
      <c r="N500" s="10">
        <v>6.6210000000000005E-2</v>
      </c>
      <c r="O500" s="10">
        <v>0.53810000000000002</v>
      </c>
      <c r="P500" s="10">
        <v>1.2</v>
      </c>
      <c r="Q500" s="10">
        <v>4.2770000000000001</v>
      </c>
      <c r="R500" s="10">
        <v>30.18</v>
      </c>
      <c r="S500" s="10">
        <v>1.093E-2</v>
      </c>
      <c r="T500" s="10">
        <v>2.8989999999999901E-2</v>
      </c>
      <c r="U500" s="10">
        <v>3.2140000000000002E-2</v>
      </c>
      <c r="V500" s="10">
        <v>1.506E-2</v>
      </c>
      <c r="W500" s="10">
        <v>2.8369999999999899E-2</v>
      </c>
      <c r="X500" s="10">
        <v>4.1739999999999902E-3</v>
      </c>
      <c r="Y500" s="10">
        <v>9.9809999999999892</v>
      </c>
      <c r="Z500" s="10">
        <v>17.6999999999999</v>
      </c>
      <c r="AA500" s="10">
        <v>65.269999999999897</v>
      </c>
      <c r="AB500" s="10">
        <v>302</v>
      </c>
      <c r="AC500" s="10">
        <v>0.10150000000000001</v>
      </c>
      <c r="AD500" s="10">
        <v>0.124799999999999</v>
      </c>
      <c r="AE500" s="10">
        <v>9.4409999999999897E-2</v>
      </c>
      <c r="AF500" s="10">
        <v>4.7620000000000003E-2</v>
      </c>
      <c r="AG500" s="10">
        <v>0.24340000000000001</v>
      </c>
      <c r="AH500">
        <v>7.4310000000000001E-2</v>
      </c>
    </row>
    <row r="501" spans="3:34">
      <c r="C501" s="11" t="s">
        <v>202</v>
      </c>
      <c r="D501" s="10" t="s">
        <v>0</v>
      </c>
      <c r="E501" s="10">
        <v>13.71</v>
      </c>
      <c r="F501" s="10">
        <v>22.149999999999899</v>
      </c>
      <c r="G501" s="10">
        <v>96.42</v>
      </c>
      <c r="H501" s="10">
        <v>645.70000000000005</v>
      </c>
      <c r="I501" s="10">
        <v>0.10489999999999899</v>
      </c>
      <c r="J501" s="10">
        <v>0.20080000000000001</v>
      </c>
      <c r="K501" s="10">
        <v>0.2135</v>
      </c>
      <c r="L501" s="10">
        <v>8.6529999999999899E-2</v>
      </c>
      <c r="M501" s="10">
        <v>0.19489999999999899</v>
      </c>
      <c r="N501" s="10">
        <v>7.2919999999999902E-2</v>
      </c>
      <c r="O501" s="10">
        <v>0.7036</v>
      </c>
      <c r="P501" s="10">
        <v>1.268</v>
      </c>
      <c r="Q501" s="10">
        <v>5.3730000000000002</v>
      </c>
      <c r="R501" s="10">
        <v>60.78</v>
      </c>
      <c r="S501" s="10">
        <v>9.4070000000000004E-3</v>
      </c>
      <c r="T501" s="10">
        <v>7.0559999999999901E-2</v>
      </c>
      <c r="U501" s="10">
        <v>6.8989999999999899E-2</v>
      </c>
      <c r="V501" s="10">
        <v>1.848E-2</v>
      </c>
      <c r="W501" s="10">
        <v>1.7000000000000001E-2</v>
      </c>
      <c r="X501" s="10">
        <v>6.1130000000000004E-3</v>
      </c>
      <c r="Y501" s="10">
        <v>17.670000000000002</v>
      </c>
      <c r="Z501" s="10">
        <v>29.51</v>
      </c>
      <c r="AA501" s="10">
        <v>119.099999999999</v>
      </c>
      <c r="AB501" s="10">
        <v>959.5</v>
      </c>
      <c r="AC501" s="10">
        <v>0.16400000000000001</v>
      </c>
      <c r="AD501" s="10">
        <v>0.62470000000000003</v>
      </c>
      <c r="AE501" s="10">
        <v>0.69220000000000004</v>
      </c>
      <c r="AF501" s="10">
        <v>0.17849999999999899</v>
      </c>
      <c r="AG501" s="10">
        <v>0.28439999999999899</v>
      </c>
      <c r="AH501">
        <v>0.1132</v>
      </c>
    </row>
    <row r="502" spans="3:34">
      <c r="C502" s="11" t="s">
        <v>392</v>
      </c>
      <c r="D502" s="10" t="s">
        <v>0</v>
      </c>
      <c r="E502" s="10">
        <v>13.71</v>
      </c>
      <c r="F502" s="10">
        <v>19.82</v>
      </c>
      <c r="G502" s="10">
        <v>130.69999999999899</v>
      </c>
      <c r="H502" s="10">
        <v>1206</v>
      </c>
      <c r="I502" s="10">
        <v>0.1062</v>
      </c>
      <c r="J502" s="10">
        <v>0.18490000000000001</v>
      </c>
      <c r="K502" s="10">
        <v>0.2417</v>
      </c>
      <c r="L502" s="10">
        <v>9.74E-2</v>
      </c>
      <c r="M502" s="10">
        <v>0.17330000000000001</v>
      </c>
      <c r="N502" s="10">
        <v>6.6970000000000002E-2</v>
      </c>
      <c r="O502" s="10">
        <v>0.7661</v>
      </c>
      <c r="P502" s="10">
        <v>0.78</v>
      </c>
      <c r="Q502" s="10">
        <v>4.1150000000000002</v>
      </c>
      <c r="R502" s="10">
        <v>92.81</v>
      </c>
      <c r="S502" s="10">
        <v>8.482E-3</v>
      </c>
      <c r="T502" s="10">
        <v>5.05699999999999E-2</v>
      </c>
      <c r="U502" s="10">
        <v>6.8000000000000005E-2</v>
      </c>
      <c r="V502" s="10">
        <v>1.9709999999999901E-2</v>
      </c>
      <c r="W502" s="10">
        <v>1.4670000000000001E-2</v>
      </c>
      <c r="X502" s="10">
        <v>7.2589999999999903E-3</v>
      </c>
      <c r="Y502" s="10">
        <v>25.28</v>
      </c>
      <c r="Z502" s="10">
        <v>25.59</v>
      </c>
      <c r="AA502" s="10">
        <v>159.80000000000001</v>
      </c>
      <c r="AB502" s="10">
        <v>1933</v>
      </c>
      <c r="AC502" s="10">
        <v>0.17100000000000001</v>
      </c>
      <c r="AD502" s="10">
        <v>0.59550000000000003</v>
      </c>
      <c r="AE502" s="10">
        <v>0.84889999999999899</v>
      </c>
      <c r="AF502" s="10">
        <v>0.25069999999999898</v>
      </c>
      <c r="AG502" s="10">
        <v>0.27489999999999898</v>
      </c>
      <c r="AH502">
        <v>0.12970000000000001</v>
      </c>
    </row>
    <row r="503" spans="3:34">
      <c r="C503" s="11" t="s">
        <v>569</v>
      </c>
      <c r="D503" s="10" t="s">
        <v>1</v>
      </c>
      <c r="E503" s="10">
        <v>13.71</v>
      </c>
      <c r="F503" s="10">
        <v>17.670000000000002</v>
      </c>
      <c r="G503" s="10">
        <v>80.98</v>
      </c>
      <c r="H503" s="10">
        <v>501.3</v>
      </c>
      <c r="I503" s="10">
        <v>7.8960000000000002E-2</v>
      </c>
      <c r="J503" s="10">
        <v>4.5220000000000003E-2</v>
      </c>
      <c r="K503" s="10">
        <v>1.4019999999999901E-2</v>
      </c>
      <c r="L503" s="10">
        <v>1.8350000000000002E-2</v>
      </c>
      <c r="M503" s="10">
        <v>0.1459</v>
      </c>
      <c r="N503" s="10">
        <v>5.5440000000000003E-2</v>
      </c>
      <c r="O503" s="10">
        <v>0.2954</v>
      </c>
      <c r="P503" s="10">
        <v>0.88360000000000005</v>
      </c>
      <c r="Q503" s="10">
        <v>2.109</v>
      </c>
      <c r="R503" s="10">
        <v>23.239999999999899</v>
      </c>
      <c r="S503" s="10">
        <v>7.3369999999999902E-3</v>
      </c>
      <c r="T503" s="10">
        <v>1.174E-2</v>
      </c>
      <c r="U503" s="10">
        <v>5.3829999999999902E-3</v>
      </c>
      <c r="V503" s="10">
        <v>5.6230000000000004E-3</v>
      </c>
      <c r="W503" s="10">
        <v>1.9400000000000001E-2</v>
      </c>
      <c r="X503" s="10">
        <v>1.1800000000000001E-3</v>
      </c>
      <c r="Y503" s="10">
        <v>13.82</v>
      </c>
      <c r="Z503" s="10">
        <v>20.96</v>
      </c>
      <c r="AA503" s="10">
        <v>88.87</v>
      </c>
      <c r="AB503" s="10">
        <v>586.79999999999905</v>
      </c>
      <c r="AC503" s="10">
        <v>0.10680000000000001</v>
      </c>
      <c r="AD503" s="10">
        <v>9.6049999999999899E-2</v>
      </c>
      <c r="AE503" s="10">
        <v>3.4689999999999901E-2</v>
      </c>
      <c r="AF503" s="10">
        <v>3.6119999999999902E-2</v>
      </c>
      <c r="AG503" s="10">
        <v>0.2165</v>
      </c>
      <c r="AH503">
        <v>6.0249999999999901E-2</v>
      </c>
    </row>
    <row r="504" spans="3:34">
      <c r="C504" s="11" t="s">
        <v>540</v>
      </c>
      <c r="D504" s="10" t="s">
        <v>0</v>
      </c>
      <c r="E504" s="10">
        <v>13.71</v>
      </c>
      <c r="F504" s="10">
        <v>21.02</v>
      </c>
      <c r="G504" s="10">
        <v>124.4</v>
      </c>
      <c r="H504" s="10">
        <v>994</v>
      </c>
      <c r="I504" s="10">
        <v>0.123</v>
      </c>
      <c r="J504" s="10">
        <v>0.2576</v>
      </c>
      <c r="K504" s="10">
        <v>0.31890000000000002</v>
      </c>
      <c r="L504" s="10">
        <v>0.1198</v>
      </c>
      <c r="M504" s="10">
        <v>0.21129999999999899</v>
      </c>
      <c r="N504" s="10">
        <v>7.1150000000000005E-2</v>
      </c>
      <c r="O504" s="10">
        <v>0.40300000000000002</v>
      </c>
      <c r="P504" s="10">
        <v>0.77470000000000006</v>
      </c>
      <c r="Q504" s="10">
        <v>3.1230000000000002</v>
      </c>
      <c r="R504" s="10">
        <v>41.509999999999899</v>
      </c>
      <c r="S504" s="10">
        <v>7.1590000000000004E-3</v>
      </c>
      <c r="T504" s="10">
        <v>3.7179999999999901E-2</v>
      </c>
      <c r="U504" s="10">
        <v>6.1650000000000003E-2</v>
      </c>
      <c r="V504" s="10">
        <v>1.051E-2</v>
      </c>
      <c r="W504" s="10">
        <v>1.5910000000000001E-2</v>
      </c>
      <c r="X504" s="10">
        <v>5.0990000000000002E-3</v>
      </c>
      <c r="Y504" s="10">
        <v>20.8</v>
      </c>
      <c r="Z504" s="10">
        <v>27.78</v>
      </c>
      <c r="AA504" s="10">
        <v>149.599999999999</v>
      </c>
      <c r="AB504" s="10">
        <v>1304</v>
      </c>
      <c r="AC504" s="10">
        <v>0.187299999999999</v>
      </c>
      <c r="AD504" s="10">
        <v>0.5917</v>
      </c>
      <c r="AE504" s="10">
        <v>0.90339999999999898</v>
      </c>
      <c r="AF504" s="10">
        <v>0.19639999999999899</v>
      </c>
      <c r="AG504" s="10">
        <v>0.32450000000000001</v>
      </c>
      <c r="AH504">
        <v>0.1198</v>
      </c>
    </row>
    <row r="505" spans="3:34">
      <c r="C505" s="11" t="s">
        <v>465</v>
      </c>
      <c r="D505" s="10" t="s">
        <v>1</v>
      </c>
      <c r="E505" s="10">
        <v>13.71</v>
      </c>
      <c r="F505" s="10">
        <v>17.3</v>
      </c>
      <c r="G505" s="10">
        <v>81.25</v>
      </c>
      <c r="H505" s="10">
        <v>489.89999999999901</v>
      </c>
      <c r="I505" s="10">
        <v>0.1028</v>
      </c>
      <c r="J505" s="10">
        <v>7.664E-2</v>
      </c>
      <c r="K505" s="10">
        <v>3.193E-2</v>
      </c>
      <c r="L505" s="10">
        <v>2.1069999999999901E-2</v>
      </c>
      <c r="M505" s="10">
        <v>0.17069999999999899</v>
      </c>
      <c r="N505" s="10">
        <v>5.98399999999999E-2</v>
      </c>
      <c r="O505" s="10">
        <v>0.20999999999999899</v>
      </c>
      <c r="P505" s="10">
        <v>0.95050000000000001</v>
      </c>
      <c r="Q505" s="10">
        <v>1.5660000000000001</v>
      </c>
      <c r="R505" s="10">
        <v>17.6099999999999</v>
      </c>
      <c r="S505" s="10">
        <v>6.8089999999999904E-3</v>
      </c>
      <c r="T505" s="10">
        <v>9.5139999999999895E-3</v>
      </c>
      <c r="U505" s="10">
        <v>1.329E-2</v>
      </c>
      <c r="V505" s="10">
        <v>6.4739999999999902E-3</v>
      </c>
      <c r="W505" s="10">
        <v>2.0570000000000001E-2</v>
      </c>
      <c r="X505" s="10">
        <v>1.784E-3</v>
      </c>
      <c r="Y505" s="10">
        <v>13.71</v>
      </c>
      <c r="Z505" s="10">
        <v>21.1</v>
      </c>
      <c r="AA505" s="10">
        <v>88.7</v>
      </c>
      <c r="AB505" s="10">
        <v>574.39999999999895</v>
      </c>
      <c r="AC505" s="10">
        <v>0.1384</v>
      </c>
      <c r="AD505" s="10">
        <v>0.1212</v>
      </c>
      <c r="AE505" s="10">
        <v>0.10199999999999899</v>
      </c>
      <c r="AF505" s="10">
        <v>5.602E-2</v>
      </c>
      <c r="AG505" s="10">
        <v>0.26879999999999898</v>
      </c>
      <c r="AH505">
        <v>6.88799999999999E-2</v>
      </c>
    </row>
    <row r="506" spans="3:34">
      <c r="C506" s="11" t="s">
        <v>423</v>
      </c>
      <c r="D506" s="10" t="s">
        <v>0</v>
      </c>
      <c r="E506" s="10">
        <v>13.71</v>
      </c>
      <c r="F506" s="10">
        <v>18.77</v>
      </c>
      <c r="G506" s="10">
        <v>108.8</v>
      </c>
      <c r="H506" s="10">
        <v>805.1</v>
      </c>
      <c r="I506" s="10">
        <v>0.1066</v>
      </c>
      <c r="J506" s="10">
        <v>0.1802</v>
      </c>
      <c r="K506" s="10">
        <v>0.1948</v>
      </c>
      <c r="L506" s="10">
        <v>9.0520000000000003E-2</v>
      </c>
      <c r="M506" s="10">
        <v>0.18759999999999899</v>
      </c>
      <c r="N506" s="10">
        <v>6.6839999999999899E-2</v>
      </c>
      <c r="O506" s="10">
        <v>0.2873</v>
      </c>
      <c r="P506" s="10">
        <v>0.9173</v>
      </c>
      <c r="Q506" s="10">
        <v>2.464</v>
      </c>
      <c r="R506" s="10">
        <v>28.09</v>
      </c>
      <c r="S506" s="10">
        <v>4.5630000000000002E-3</v>
      </c>
      <c r="T506" s="10">
        <v>3.4810000000000001E-2</v>
      </c>
      <c r="U506" s="10">
        <v>3.87199999999999E-2</v>
      </c>
      <c r="V506" s="10">
        <v>1.209E-2</v>
      </c>
      <c r="W506" s="10">
        <v>1.388E-2</v>
      </c>
      <c r="X506" s="10">
        <v>4.0810000000000004E-3</v>
      </c>
      <c r="Y506" s="10">
        <v>18.55</v>
      </c>
      <c r="Z506" s="10">
        <v>25.09</v>
      </c>
      <c r="AA506" s="10">
        <v>126.9</v>
      </c>
      <c r="AB506" s="10">
        <v>1031</v>
      </c>
      <c r="AC506" s="10">
        <v>0.13650000000000001</v>
      </c>
      <c r="AD506" s="10">
        <v>0.47060000000000002</v>
      </c>
      <c r="AE506" s="10">
        <v>0.50260000000000005</v>
      </c>
      <c r="AF506" s="10">
        <v>0.17319999999999899</v>
      </c>
      <c r="AG506" s="10">
        <v>0.27700000000000002</v>
      </c>
      <c r="AH506">
        <v>0.10630000000000001</v>
      </c>
    </row>
    <row r="507" spans="3:34">
      <c r="C507" s="11" t="s">
        <v>497</v>
      </c>
      <c r="D507" s="10" t="s">
        <v>1</v>
      </c>
      <c r="E507" s="10">
        <v>13.71</v>
      </c>
      <c r="F507" s="10">
        <v>16.21</v>
      </c>
      <c r="G507" s="10">
        <v>88.519999999999897</v>
      </c>
      <c r="H507" s="10">
        <v>593.70000000000005</v>
      </c>
      <c r="I507" s="10">
        <v>8.7429999999999897E-2</v>
      </c>
      <c r="J507" s="10">
        <v>5.4919999999999899E-2</v>
      </c>
      <c r="K507" s="10">
        <v>1.502E-2</v>
      </c>
      <c r="L507" s="10">
        <v>2.0879999999999899E-2</v>
      </c>
      <c r="M507" s="10">
        <v>0.1424</v>
      </c>
      <c r="N507" s="10">
        <v>5.883E-2</v>
      </c>
      <c r="O507" s="10">
        <v>0.25430000000000003</v>
      </c>
      <c r="P507" s="10">
        <v>1.363</v>
      </c>
      <c r="Q507" s="10">
        <v>1.7370000000000001</v>
      </c>
      <c r="R507" s="10">
        <v>20.739999999999899</v>
      </c>
      <c r="S507" s="10">
        <v>5.6379999999999902E-3</v>
      </c>
      <c r="T507" s="10">
        <v>7.9389999999999895E-3</v>
      </c>
      <c r="U507" s="10">
        <v>5.254E-3</v>
      </c>
      <c r="V507" s="10">
        <v>6.0419999999999901E-3</v>
      </c>
      <c r="W507" s="10">
        <v>1.5440000000000001E-2</v>
      </c>
      <c r="X507" s="10">
        <v>2.0869999999999899E-3</v>
      </c>
      <c r="Y507" s="10">
        <v>15.1099999999999</v>
      </c>
      <c r="Z507" s="10">
        <v>25.579999999999899</v>
      </c>
      <c r="AA507" s="10">
        <v>96.739999999999895</v>
      </c>
      <c r="AB507" s="10">
        <v>694.39999999999895</v>
      </c>
      <c r="AC507" s="10">
        <v>0.1153</v>
      </c>
      <c r="AD507" s="10">
        <v>0.1008</v>
      </c>
      <c r="AE507" s="10">
        <v>5.2850000000000001E-2</v>
      </c>
      <c r="AF507" s="10">
        <v>5.5559999999999901E-2</v>
      </c>
      <c r="AG507" s="10">
        <v>0.23619999999999899</v>
      </c>
      <c r="AH507">
        <v>7.1129999999999902E-2</v>
      </c>
    </row>
    <row r="508" spans="3:34">
      <c r="C508" s="11" t="s">
        <v>696</v>
      </c>
      <c r="D508" s="10" t="s">
        <v>1</v>
      </c>
      <c r="E508" s="10">
        <v>13.71</v>
      </c>
      <c r="F508" s="10">
        <v>19.59</v>
      </c>
      <c r="G508" s="10">
        <v>64.73</v>
      </c>
      <c r="H508" s="10">
        <v>311.69999999999902</v>
      </c>
      <c r="I508" s="10">
        <v>0.1003</v>
      </c>
      <c r="J508" s="10">
        <v>7.5039999999999898E-2</v>
      </c>
      <c r="K508" s="10">
        <v>5.025E-3</v>
      </c>
      <c r="L508" s="10">
        <v>1.116E-2</v>
      </c>
      <c r="M508" s="10">
        <v>0.17910000000000001</v>
      </c>
      <c r="N508" s="10">
        <v>6.3310000000000005E-2</v>
      </c>
      <c r="O508" s="10">
        <v>0.24410000000000001</v>
      </c>
      <c r="P508" s="10">
        <v>2.0899999999999901</v>
      </c>
      <c r="Q508" s="10">
        <v>1.6479999999999899</v>
      </c>
      <c r="R508" s="10">
        <v>16.8</v>
      </c>
      <c r="S508" s="10">
        <v>1.291E-2</v>
      </c>
      <c r="T508" s="10">
        <v>2.222E-2</v>
      </c>
      <c r="U508" s="10">
        <v>4.1739999999999902E-3</v>
      </c>
      <c r="V508" s="10">
        <v>7.0819999999999902E-3</v>
      </c>
      <c r="W508" s="10">
        <v>2.572E-2</v>
      </c>
      <c r="X508" s="10">
        <v>2.2780000000000001E-3</v>
      </c>
      <c r="Y508" s="10">
        <v>10.65</v>
      </c>
      <c r="Z508" s="10">
        <v>22.8799999999999</v>
      </c>
      <c r="AA508" s="10">
        <v>67.879999999999896</v>
      </c>
      <c r="AB508" s="10">
        <v>347.3</v>
      </c>
      <c r="AC508" s="10">
        <v>0.1265</v>
      </c>
      <c r="AD508" s="10">
        <v>0.12</v>
      </c>
      <c r="AE508" s="10">
        <v>1.005E-2</v>
      </c>
      <c r="AF508" s="10">
        <v>2.232E-2</v>
      </c>
      <c r="AG508" s="10">
        <v>0.22620000000000001</v>
      </c>
      <c r="AH508">
        <v>6.7419999999999897E-2</v>
      </c>
    </row>
    <row r="509" spans="3:34">
      <c r="C509" s="11" t="s">
        <v>404</v>
      </c>
      <c r="D509" s="10" t="s">
        <v>0</v>
      </c>
      <c r="E509" s="10">
        <v>13.71</v>
      </c>
      <c r="F509" s="10">
        <v>22.07</v>
      </c>
      <c r="G509" s="10">
        <v>111.599999999999</v>
      </c>
      <c r="H509" s="10">
        <v>928.29999999999905</v>
      </c>
      <c r="I509" s="10">
        <v>9.7259999999999902E-2</v>
      </c>
      <c r="J509" s="10">
        <v>8.9950000000000002E-2</v>
      </c>
      <c r="K509" s="10">
        <v>9.0609999999999899E-2</v>
      </c>
      <c r="L509" s="10">
        <v>6.5269999999999898E-2</v>
      </c>
      <c r="M509" s="10">
        <v>0.1867</v>
      </c>
      <c r="N509" s="10">
        <v>5.5800000000000002E-2</v>
      </c>
      <c r="O509" s="10">
        <v>0.42030000000000001</v>
      </c>
      <c r="P509" s="10">
        <v>0.73829999999999896</v>
      </c>
      <c r="Q509" s="10">
        <v>2.819</v>
      </c>
      <c r="R509" s="10">
        <v>45.42</v>
      </c>
      <c r="S509" s="10">
        <v>4.4929999999999901E-3</v>
      </c>
      <c r="T509" s="10">
        <v>1.206E-2</v>
      </c>
      <c r="U509" s="10">
        <v>2.0480000000000002E-2</v>
      </c>
      <c r="V509" s="10">
        <v>9.8750000000000001E-3</v>
      </c>
      <c r="W509" s="10">
        <v>1.1440000000000001E-2</v>
      </c>
      <c r="X509" s="10">
        <v>1.575E-3</v>
      </c>
      <c r="Y509" s="10">
        <v>21.579999999999899</v>
      </c>
      <c r="Z509" s="10">
        <v>29.329999999999899</v>
      </c>
      <c r="AA509" s="10">
        <v>140.5</v>
      </c>
      <c r="AB509" s="10">
        <v>1436</v>
      </c>
      <c r="AC509" s="10">
        <v>0.15579999999999899</v>
      </c>
      <c r="AD509" s="10">
        <v>0.25669999999999898</v>
      </c>
      <c r="AE509" s="10">
        <v>0.38890000000000002</v>
      </c>
      <c r="AF509" s="10">
        <v>0.19839999999999899</v>
      </c>
      <c r="AG509" s="10">
        <v>0.3216</v>
      </c>
      <c r="AH509">
        <v>7.5700000000000003E-2</v>
      </c>
    </row>
    <row r="510" spans="3:34">
      <c r="C510" s="11" t="s">
        <v>672</v>
      </c>
      <c r="D510" s="10" t="s">
        <v>1</v>
      </c>
      <c r="E510" s="10">
        <v>13.71</v>
      </c>
      <c r="F510" s="10">
        <v>16.329999999999899</v>
      </c>
      <c r="G510" s="10">
        <v>87.76</v>
      </c>
      <c r="H510" s="10">
        <v>575.5</v>
      </c>
      <c r="I510" s="10">
        <v>9.2770000000000005E-2</v>
      </c>
      <c r="J510" s="10">
        <v>7.2550000000000003E-2</v>
      </c>
      <c r="K510" s="10">
        <v>1.7520000000000001E-2</v>
      </c>
      <c r="L510" s="10">
        <v>1.8800000000000001E-2</v>
      </c>
      <c r="M510" s="10">
        <v>0.163099999999999</v>
      </c>
      <c r="N510" s="10">
        <v>6.1550000000000001E-2</v>
      </c>
      <c r="O510" s="10">
        <v>0.20469999999999899</v>
      </c>
      <c r="P510" s="10">
        <v>0.48010000000000003</v>
      </c>
      <c r="Q510" s="10">
        <v>1.373</v>
      </c>
      <c r="R510" s="10">
        <v>17.25</v>
      </c>
      <c r="S510" s="10">
        <v>3.8279999999999898E-3</v>
      </c>
      <c r="T510" s="10">
        <v>7.228E-3</v>
      </c>
      <c r="U510" s="10">
        <v>7.0780000000000001E-3</v>
      </c>
      <c r="V510" s="10">
        <v>5.0769999999999904E-3</v>
      </c>
      <c r="W510" s="10">
        <v>1.0540000000000001E-2</v>
      </c>
      <c r="X510" s="10">
        <v>1.69699999999999E-3</v>
      </c>
      <c r="Y510" s="10">
        <v>15.85</v>
      </c>
      <c r="Z510" s="10">
        <v>20.1999999999999</v>
      </c>
      <c r="AA510" s="10">
        <v>101.599999999999</v>
      </c>
      <c r="AB510" s="10">
        <v>773.39999999999895</v>
      </c>
      <c r="AC510" s="10">
        <v>0.12640000000000001</v>
      </c>
      <c r="AD510" s="10">
        <v>0.15640000000000001</v>
      </c>
      <c r="AE510" s="10">
        <v>0.1206</v>
      </c>
      <c r="AF510" s="10">
        <v>8.7040000000000006E-2</v>
      </c>
      <c r="AG510" s="10">
        <v>0.28060000000000002</v>
      </c>
      <c r="AH510">
        <v>7.782E-2</v>
      </c>
    </row>
    <row r="511" spans="3:34">
      <c r="C511" s="11" t="s">
        <v>314</v>
      </c>
      <c r="D511" s="10" t="s">
        <v>1</v>
      </c>
      <c r="E511" s="10">
        <v>13.71</v>
      </c>
      <c r="F511" s="10">
        <v>15.15</v>
      </c>
      <c r="G511" s="10">
        <v>67.489999999999895</v>
      </c>
      <c r="H511" s="10">
        <v>349.6</v>
      </c>
      <c r="I511" s="10">
        <v>8.7919999999999901E-2</v>
      </c>
      <c r="J511" s="10">
        <v>4.3020000000000003E-2</v>
      </c>
      <c r="K511" s="10">
        <v>0</v>
      </c>
      <c r="L511" s="10">
        <v>0</v>
      </c>
      <c r="M511" s="10">
        <v>0.1928</v>
      </c>
      <c r="N511" s="10">
        <v>5.97499999999999E-2</v>
      </c>
      <c r="O511" s="10">
        <v>0.33090000000000003</v>
      </c>
      <c r="P511" s="10">
        <v>1.925</v>
      </c>
      <c r="Q511" s="10">
        <v>2.15499999999999</v>
      </c>
      <c r="R511" s="10">
        <v>21.98</v>
      </c>
      <c r="S511" s="10">
        <v>8.7130000000000003E-3</v>
      </c>
      <c r="T511" s="10">
        <v>1.017E-2</v>
      </c>
      <c r="U511" s="10">
        <v>0</v>
      </c>
      <c r="V511" s="10">
        <v>0</v>
      </c>
      <c r="W511" s="10">
        <v>3.2649999999999901E-2</v>
      </c>
      <c r="X511" s="10">
        <v>1.0020000000000001E-3</v>
      </c>
      <c r="Y511" s="10">
        <v>11.5399999999999</v>
      </c>
      <c r="Z511" s="10">
        <v>19.1999999999999</v>
      </c>
      <c r="AA511" s="10">
        <v>73.2</v>
      </c>
      <c r="AB511" s="10">
        <v>408.3</v>
      </c>
      <c r="AC511" s="10">
        <v>0.1076</v>
      </c>
      <c r="AD511" s="10">
        <v>6.7909999999999901E-2</v>
      </c>
      <c r="AE511" s="10">
        <v>0</v>
      </c>
      <c r="AF511" s="10">
        <v>0</v>
      </c>
      <c r="AG511" s="10">
        <v>0.27100000000000002</v>
      </c>
      <c r="AH511">
        <v>6.164E-2</v>
      </c>
    </row>
    <row r="512" spans="3:34">
      <c r="C512" s="11" t="s">
        <v>316</v>
      </c>
      <c r="D512" s="10" t="s">
        <v>1</v>
      </c>
      <c r="E512" s="10">
        <v>13.71</v>
      </c>
      <c r="F512" s="10">
        <v>18.059999999999899</v>
      </c>
      <c r="G512" s="10">
        <v>64.599999999999895</v>
      </c>
      <c r="H512" s="10">
        <v>302.39999999999901</v>
      </c>
      <c r="I512" s="10">
        <v>9.6990000000000007E-2</v>
      </c>
      <c r="J512" s="10">
        <v>0.12939999999999899</v>
      </c>
      <c r="K512" s="10">
        <v>0.13070000000000001</v>
      </c>
      <c r="L512" s="10">
        <v>3.7159999999999901E-2</v>
      </c>
      <c r="M512" s="10">
        <v>0.16689999999999899</v>
      </c>
      <c r="N512" s="10">
        <v>8.1159999999999899E-2</v>
      </c>
      <c r="O512" s="10">
        <v>0.43109999999999898</v>
      </c>
      <c r="P512" s="10">
        <v>2.2610000000000001</v>
      </c>
      <c r="Q512" s="10">
        <v>3.1320000000000001</v>
      </c>
      <c r="R512" s="10">
        <v>27.48</v>
      </c>
      <c r="S512" s="10">
        <v>1.286E-2</v>
      </c>
      <c r="T512" s="10">
        <v>8.8080000000000006E-2</v>
      </c>
      <c r="U512" s="10">
        <v>0.1197</v>
      </c>
      <c r="V512" s="10">
        <v>2.46E-2</v>
      </c>
      <c r="W512" s="10">
        <v>3.8800000000000001E-2</v>
      </c>
      <c r="X512" s="10">
        <v>1.7919999999999901E-2</v>
      </c>
      <c r="Y512" s="10">
        <v>11.26</v>
      </c>
      <c r="Z512" s="10">
        <v>24.39</v>
      </c>
      <c r="AA512" s="10">
        <v>73.069999999999894</v>
      </c>
      <c r="AB512" s="10">
        <v>390.19999999999902</v>
      </c>
      <c r="AC512" s="10">
        <v>0.13009999999999899</v>
      </c>
      <c r="AD512" s="10">
        <v>0.29499999999999899</v>
      </c>
      <c r="AE512" s="10">
        <v>0.34860000000000002</v>
      </c>
      <c r="AF512" s="10">
        <v>9.9099999999999897E-2</v>
      </c>
      <c r="AG512" s="10">
        <v>0.26140000000000002</v>
      </c>
      <c r="AH512">
        <v>0.1162</v>
      </c>
    </row>
    <row r="513" spans="3:34">
      <c r="C513" s="11" t="s">
        <v>660</v>
      </c>
      <c r="D513" s="10" t="s">
        <v>1</v>
      </c>
      <c r="E513" s="10">
        <v>13.71</v>
      </c>
      <c r="F513" s="10">
        <v>13.9</v>
      </c>
      <c r="G513" s="10">
        <v>59.96</v>
      </c>
      <c r="H513" s="10">
        <v>257.8</v>
      </c>
      <c r="I513" s="10">
        <v>0.1371</v>
      </c>
      <c r="J513" s="10">
        <v>0.1225</v>
      </c>
      <c r="K513" s="10">
        <v>3.3320000000000002E-2</v>
      </c>
      <c r="L513" s="10">
        <v>2.4209999999999898E-2</v>
      </c>
      <c r="M513" s="10">
        <v>0.21970000000000001</v>
      </c>
      <c r="N513" s="10">
        <v>7.6960000000000001E-2</v>
      </c>
      <c r="O513" s="10">
        <v>0.3538</v>
      </c>
      <c r="P513" s="10">
        <v>1.1299999999999899</v>
      </c>
      <c r="Q513" s="10">
        <v>2.3879999999999901</v>
      </c>
      <c r="R513" s="10">
        <v>19.6299999999999</v>
      </c>
      <c r="S513" s="10">
        <v>1.546E-2</v>
      </c>
      <c r="T513" s="10">
        <v>2.5399999999999898E-2</v>
      </c>
      <c r="U513" s="10">
        <v>2.197E-2</v>
      </c>
      <c r="V513" s="10">
        <v>1.5800000000000002E-2</v>
      </c>
      <c r="W513" s="10">
        <v>3.9969999999999901E-2</v>
      </c>
      <c r="X513" s="10">
        <v>3.901E-3</v>
      </c>
      <c r="Y513" s="10">
        <v>10.57</v>
      </c>
      <c r="Z513" s="10">
        <v>17.84</v>
      </c>
      <c r="AA513" s="10">
        <v>67.84</v>
      </c>
      <c r="AB513" s="10">
        <v>326.60000000000002</v>
      </c>
      <c r="AC513" s="10">
        <v>0.185</v>
      </c>
      <c r="AD513" s="10">
        <v>0.2097</v>
      </c>
      <c r="AE513" s="10">
        <v>9.9959999999999896E-2</v>
      </c>
      <c r="AF513" s="10">
        <v>7.2620000000000004E-2</v>
      </c>
      <c r="AG513" s="10">
        <v>0.36809999999999898</v>
      </c>
      <c r="AH513">
        <v>8.98199999999999E-2</v>
      </c>
    </row>
    <row r="514" spans="3:34">
      <c r="C514" s="11" t="s">
        <v>312</v>
      </c>
      <c r="D514" s="10" t="s">
        <v>0</v>
      </c>
      <c r="E514" s="10">
        <v>13.71</v>
      </c>
      <c r="F514" s="10">
        <v>11.89</v>
      </c>
      <c r="G514" s="10">
        <v>102.5</v>
      </c>
      <c r="H514" s="10">
        <v>736.89999999999895</v>
      </c>
      <c r="I514" s="10">
        <v>0.12570000000000001</v>
      </c>
      <c r="J514" s="10">
        <v>0.1555</v>
      </c>
      <c r="K514" s="10">
        <v>0.20319999999999899</v>
      </c>
      <c r="L514" s="10">
        <v>0.10970000000000001</v>
      </c>
      <c r="M514" s="10">
        <v>0.1966</v>
      </c>
      <c r="N514" s="10">
        <v>7.0690000000000003E-2</v>
      </c>
      <c r="O514" s="10">
        <v>0.4209</v>
      </c>
      <c r="P514" s="10">
        <v>0.6583</v>
      </c>
      <c r="Q514" s="10">
        <v>2.8050000000000002</v>
      </c>
      <c r="R514" s="10">
        <v>44.64</v>
      </c>
      <c r="S514" s="10">
        <v>5.3930000000000002E-3</v>
      </c>
      <c r="T514" s="10">
        <v>2.3210000000000001E-2</v>
      </c>
      <c r="U514" s="10">
        <v>4.3029999999999902E-2</v>
      </c>
      <c r="V514" s="10">
        <v>1.32E-2</v>
      </c>
      <c r="W514" s="10">
        <v>1.7919999999999901E-2</v>
      </c>
      <c r="X514" s="10">
        <v>4.1679999999999903E-3</v>
      </c>
      <c r="Y514" s="10">
        <v>18.7899999999999</v>
      </c>
      <c r="Z514" s="10">
        <v>17.0399999999999</v>
      </c>
      <c r="AA514" s="10">
        <v>125</v>
      </c>
      <c r="AB514" s="10">
        <v>1102</v>
      </c>
      <c r="AC514" s="10">
        <v>0.15310000000000001</v>
      </c>
      <c r="AD514" s="10">
        <v>0.35830000000000001</v>
      </c>
      <c r="AE514" s="10">
        <v>0.58299999999999896</v>
      </c>
      <c r="AF514" s="10">
        <v>0.1827</v>
      </c>
      <c r="AG514" s="10">
        <v>0.3216</v>
      </c>
      <c r="AH514">
        <v>0.10100000000000001</v>
      </c>
    </row>
    <row r="515" spans="3:34">
      <c r="C515" s="11" t="s">
        <v>338</v>
      </c>
      <c r="D515" s="10" t="s">
        <v>0</v>
      </c>
      <c r="E515" s="10">
        <v>13.71</v>
      </c>
      <c r="F515" s="10">
        <v>22.489999999999899</v>
      </c>
      <c r="G515" s="10">
        <v>127.5</v>
      </c>
      <c r="H515" s="10">
        <v>1148</v>
      </c>
      <c r="I515" s="10">
        <v>8.523E-2</v>
      </c>
      <c r="J515" s="10">
        <v>0.14280000000000001</v>
      </c>
      <c r="K515" s="10">
        <v>0.1114</v>
      </c>
      <c r="L515" s="10">
        <v>6.7720000000000002E-2</v>
      </c>
      <c r="M515" s="10">
        <v>0.1767</v>
      </c>
      <c r="N515" s="10">
        <v>5.5289999999999902E-2</v>
      </c>
      <c r="O515" s="10">
        <v>0.43569999999999898</v>
      </c>
      <c r="P515" s="10">
        <v>1.073</v>
      </c>
      <c r="Q515" s="10">
        <v>3.8330000000000002</v>
      </c>
      <c r="R515" s="10">
        <v>54.219999999999899</v>
      </c>
      <c r="S515" s="10">
        <v>5.5240000000000003E-3</v>
      </c>
      <c r="T515" s="10">
        <v>3.6979999999999902E-2</v>
      </c>
      <c r="U515" s="10">
        <v>2.7060000000000001E-2</v>
      </c>
      <c r="V515" s="10">
        <v>1.221E-2</v>
      </c>
      <c r="W515" s="10">
        <v>1.4149999999999901E-2</v>
      </c>
      <c r="X515" s="10">
        <v>3.3969999999999899E-3</v>
      </c>
      <c r="Y515" s="10">
        <v>23.3599999999999</v>
      </c>
      <c r="Z515" s="10">
        <v>32.06</v>
      </c>
      <c r="AA515" s="10">
        <v>166.4</v>
      </c>
      <c r="AB515" s="10">
        <v>1688</v>
      </c>
      <c r="AC515" s="10">
        <v>0.13220000000000001</v>
      </c>
      <c r="AD515" s="10">
        <v>0.56010000000000004</v>
      </c>
      <c r="AE515" s="10">
        <v>0.38650000000000001</v>
      </c>
      <c r="AF515" s="10">
        <v>0.17080000000000001</v>
      </c>
      <c r="AG515" s="10">
        <v>0.31929999999999897</v>
      </c>
      <c r="AH515">
        <v>9.221E-2</v>
      </c>
    </row>
    <row r="516" spans="3:34">
      <c r="C516" s="11" t="s">
        <v>146</v>
      </c>
      <c r="D516" s="10" t="s">
        <v>0</v>
      </c>
      <c r="E516" s="10">
        <v>18.25</v>
      </c>
      <c r="F516" s="10">
        <v>19.98</v>
      </c>
      <c r="G516" s="10">
        <v>119.599999999999</v>
      </c>
      <c r="H516" s="10">
        <v>1040</v>
      </c>
      <c r="I516" s="10">
        <v>9.4630000000000006E-2</v>
      </c>
      <c r="J516" s="10">
        <v>0.109</v>
      </c>
      <c r="K516" s="10">
        <v>0.112699999999999</v>
      </c>
      <c r="L516" s="10">
        <v>7.3999999999999899E-2</v>
      </c>
      <c r="M516" s="10">
        <v>0.1794</v>
      </c>
      <c r="N516" s="10">
        <v>5.7419999999999902E-2</v>
      </c>
      <c r="O516" s="10">
        <v>0.44669999999999899</v>
      </c>
      <c r="P516" s="10">
        <v>0.7732</v>
      </c>
      <c r="Q516" s="10">
        <v>3.18</v>
      </c>
      <c r="R516" s="10">
        <v>53.909999999999897</v>
      </c>
      <c r="S516" s="10">
        <v>4.3140000000000001E-3</v>
      </c>
      <c r="T516" s="10">
        <v>1.3820000000000001E-2</v>
      </c>
      <c r="U516" s="10">
        <v>2.2540000000000001E-2</v>
      </c>
      <c r="V516" s="10">
        <v>1.039E-2</v>
      </c>
      <c r="W516" s="10">
        <v>1.3690000000000001E-2</v>
      </c>
      <c r="X516" s="10">
        <v>2.17899999999999E-3</v>
      </c>
      <c r="Y516" s="10">
        <v>22.8799999999999</v>
      </c>
      <c r="Z516" s="10">
        <v>27.66</v>
      </c>
      <c r="AA516" s="10">
        <v>153.19999999999899</v>
      </c>
      <c r="AB516" s="10">
        <v>1606</v>
      </c>
      <c r="AC516" s="10">
        <v>0.144199999999999</v>
      </c>
      <c r="AD516" s="10">
        <v>0.2576</v>
      </c>
      <c r="AE516" s="10">
        <v>0.37840000000000001</v>
      </c>
      <c r="AF516" s="10">
        <v>0.19320000000000001</v>
      </c>
      <c r="AG516" s="10">
        <v>0.30630000000000002</v>
      </c>
      <c r="AH516">
        <v>8.3680000000000004E-2</v>
      </c>
    </row>
    <row r="517" spans="3:34">
      <c r="C517" s="11" t="s">
        <v>225</v>
      </c>
      <c r="D517" s="10" t="s">
        <v>0</v>
      </c>
      <c r="E517" s="10">
        <v>13.71</v>
      </c>
      <c r="F517" s="10">
        <v>18.52</v>
      </c>
      <c r="G517" s="10">
        <v>121.099999999999</v>
      </c>
      <c r="H517" s="10">
        <v>1075</v>
      </c>
      <c r="I517" s="10">
        <v>9.8739999999999897E-2</v>
      </c>
      <c r="J517" s="10">
        <v>0.1053</v>
      </c>
      <c r="K517" s="10">
        <v>0.13350000000000001</v>
      </c>
      <c r="L517" s="10">
        <v>8.795E-2</v>
      </c>
      <c r="M517" s="10">
        <v>0.2132</v>
      </c>
      <c r="N517" s="10">
        <v>6.0220000000000003E-2</v>
      </c>
      <c r="O517" s="10">
        <v>0.69969999999999899</v>
      </c>
      <c r="P517" s="10">
        <v>1.4750000000000001</v>
      </c>
      <c r="Q517" s="10">
        <v>4.782</v>
      </c>
      <c r="R517" s="10">
        <v>80.599999999999895</v>
      </c>
      <c r="S517" s="10">
        <v>6.4710000000000002E-3</v>
      </c>
      <c r="T517" s="10">
        <v>1.6490000000000001E-2</v>
      </c>
      <c r="U517" s="10">
        <v>2.8060000000000002E-2</v>
      </c>
      <c r="V517" s="10">
        <v>1.4200000000000001E-2</v>
      </c>
      <c r="W517" s="10">
        <v>2.3699999999999902E-2</v>
      </c>
      <c r="X517" s="10">
        <v>3.7550000000000001E-3</v>
      </c>
      <c r="Y517" s="10">
        <v>22.93</v>
      </c>
      <c r="Z517" s="10">
        <v>27.68</v>
      </c>
      <c r="AA517" s="10">
        <v>152.19999999999899</v>
      </c>
      <c r="AB517" s="10">
        <v>1603</v>
      </c>
      <c r="AC517" s="10">
        <v>0.13980000000000001</v>
      </c>
      <c r="AD517" s="10">
        <v>0.2089</v>
      </c>
      <c r="AE517" s="10">
        <v>0.31569999999999898</v>
      </c>
      <c r="AF517" s="10">
        <v>0.16420000000000001</v>
      </c>
      <c r="AG517" s="10">
        <v>0.3695</v>
      </c>
      <c r="AH517">
        <v>8.5790000000000005E-2</v>
      </c>
    </row>
    <row r="518" spans="3:34">
      <c r="C518" s="11" t="s">
        <v>430</v>
      </c>
      <c r="D518" s="10" t="s">
        <v>1</v>
      </c>
      <c r="E518" s="10">
        <v>13.71</v>
      </c>
      <c r="F518" s="10">
        <v>19.73</v>
      </c>
      <c r="G518" s="10">
        <v>96.03</v>
      </c>
      <c r="H518" s="10">
        <v>651</v>
      </c>
      <c r="I518" s="10">
        <v>8.7569999999999898E-2</v>
      </c>
      <c r="J518" s="10">
        <v>0.1676</v>
      </c>
      <c r="K518" s="10">
        <v>0.13619999999999899</v>
      </c>
      <c r="L518" s="10">
        <v>6.6019999999999898E-2</v>
      </c>
      <c r="M518" s="10">
        <v>0.1714</v>
      </c>
      <c r="N518" s="10">
        <v>7.1919999999999901E-2</v>
      </c>
      <c r="O518" s="10">
        <v>0.881099999999999</v>
      </c>
      <c r="P518" s="10">
        <v>1.77</v>
      </c>
      <c r="Q518" s="10">
        <v>4.3600000000000003</v>
      </c>
      <c r="R518" s="10">
        <v>77.1099999999999</v>
      </c>
      <c r="S518" s="10">
        <v>7.7619999999999903E-3</v>
      </c>
      <c r="T518" s="10">
        <v>0.106399999999999</v>
      </c>
      <c r="U518" s="10">
        <v>9.9599999999999897E-2</v>
      </c>
      <c r="V518" s="10">
        <v>2.7709999999999901E-2</v>
      </c>
      <c r="W518" s="10">
        <v>4.0770000000000001E-2</v>
      </c>
      <c r="X518" s="10">
        <v>2.2859999999999901E-2</v>
      </c>
      <c r="Y518" s="10">
        <v>15.77</v>
      </c>
      <c r="Z518" s="10">
        <v>22.1299999999999</v>
      </c>
      <c r="AA518" s="10">
        <v>101.7</v>
      </c>
      <c r="AB518" s="10">
        <v>767.29999999999905</v>
      </c>
      <c r="AC518" s="10">
        <v>9.9830000000000002E-2</v>
      </c>
      <c r="AD518" s="10">
        <v>0.2472</v>
      </c>
      <c r="AE518" s="10">
        <v>0.222</v>
      </c>
      <c r="AF518" s="10">
        <v>0.1021</v>
      </c>
      <c r="AG518" s="10">
        <v>0.22720000000000001</v>
      </c>
      <c r="AH518">
        <v>8.7989999999999902E-2</v>
      </c>
    </row>
    <row r="519" spans="3:34">
      <c r="C519" s="11" t="s">
        <v>567</v>
      </c>
      <c r="D519" s="10" t="s">
        <v>1</v>
      </c>
      <c r="E519" s="10">
        <v>13.71</v>
      </c>
      <c r="F519" s="10">
        <v>21.98</v>
      </c>
      <c r="G519" s="10">
        <v>68.790000000000006</v>
      </c>
      <c r="H519" s="10">
        <v>359.89999999999901</v>
      </c>
      <c r="I519" s="10">
        <v>8.8010000000000005E-2</v>
      </c>
      <c r="J519" s="10">
        <v>5.7430000000000002E-2</v>
      </c>
      <c r="K519" s="10">
        <v>3.6139999999999901E-2</v>
      </c>
      <c r="L519" s="10">
        <v>1.404E-2</v>
      </c>
      <c r="M519" s="10">
        <v>0.2016</v>
      </c>
      <c r="N519" s="10">
        <v>5.97699999999999E-2</v>
      </c>
      <c r="O519" s="10">
        <v>0.30769999999999897</v>
      </c>
      <c r="P519" s="10">
        <v>1.621</v>
      </c>
      <c r="Q519" s="10">
        <v>2.2400000000000002</v>
      </c>
      <c r="R519" s="10">
        <v>20.1999999999999</v>
      </c>
      <c r="S519" s="10">
        <v>6.5430000000000002E-3</v>
      </c>
      <c r="T519" s="10">
        <v>2.1479999999999898E-2</v>
      </c>
      <c r="U519" s="10">
        <v>2.9909999999999898E-2</v>
      </c>
      <c r="V519" s="10">
        <v>1.04499999999999E-2</v>
      </c>
      <c r="W519" s="10">
        <v>1.8440000000000002E-2</v>
      </c>
      <c r="X519" s="10">
        <v>2.6900000000000001E-3</v>
      </c>
      <c r="Y519" s="10">
        <v>12.76</v>
      </c>
      <c r="Z519" s="10">
        <v>32.0399999999999</v>
      </c>
      <c r="AA519" s="10">
        <v>83.689999999999898</v>
      </c>
      <c r="AB519" s="10">
        <v>489.5</v>
      </c>
      <c r="AC519" s="10">
        <v>0.1303</v>
      </c>
      <c r="AD519" s="10">
        <v>0.1696</v>
      </c>
      <c r="AE519" s="10">
        <v>0.19270000000000001</v>
      </c>
      <c r="AF519" s="10">
        <v>7.485E-2</v>
      </c>
      <c r="AG519" s="10">
        <v>0.29649999999999899</v>
      </c>
      <c r="AH519">
        <v>7.6619999999999897E-2</v>
      </c>
    </row>
    <row r="520" spans="3:34">
      <c r="C520" s="11" t="s">
        <v>169</v>
      </c>
      <c r="D520" s="10" t="s">
        <v>0</v>
      </c>
      <c r="E520" s="10">
        <v>13.71</v>
      </c>
      <c r="F520" s="10">
        <v>15.05</v>
      </c>
      <c r="G520" s="10">
        <v>115</v>
      </c>
      <c r="H520" s="10">
        <v>955.1</v>
      </c>
      <c r="I520" s="10">
        <v>9.8470000000000002E-2</v>
      </c>
      <c r="J520" s="10">
        <v>0.1157</v>
      </c>
      <c r="K520" s="10">
        <v>9.8750000000000004E-2</v>
      </c>
      <c r="L520" s="10">
        <v>7.9530000000000003E-2</v>
      </c>
      <c r="M520" s="10">
        <v>0.1739</v>
      </c>
      <c r="N520" s="10">
        <v>6.1490000000000003E-2</v>
      </c>
      <c r="O520" s="10">
        <v>0.60029999999999895</v>
      </c>
      <c r="P520" s="10">
        <v>0.82250000000000001</v>
      </c>
      <c r="Q520" s="10">
        <v>4.6550000000000002</v>
      </c>
      <c r="R520" s="10">
        <v>61.1</v>
      </c>
      <c r="S520" s="10">
        <v>5.6270000000000001E-3</v>
      </c>
      <c r="T520" s="10">
        <v>3.0329999999999899E-2</v>
      </c>
      <c r="U520" s="10">
        <v>3.4070000000000003E-2</v>
      </c>
      <c r="V520" s="10">
        <v>1.354E-2</v>
      </c>
      <c r="W520" s="10">
        <v>1.925E-2</v>
      </c>
      <c r="X520" s="10">
        <v>3.7420000000000001E-3</v>
      </c>
      <c r="Y520" s="10">
        <v>20.010000000000002</v>
      </c>
      <c r="Z520" s="10">
        <v>19.52</v>
      </c>
      <c r="AA520" s="10">
        <v>134.9</v>
      </c>
      <c r="AB520" s="10">
        <v>1227</v>
      </c>
      <c r="AC520" s="10">
        <v>0.1255</v>
      </c>
      <c r="AD520" s="10">
        <v>0.28120000000000001</v>
      </c>
      <c r="AE520" s="10">
        <v>0.24890000000000001</v>
      </c>
      <c r="AF520" s="10">
        <v>0.14560000000000001</v>
      </c>
      <c r="AG520" s="10">
        <v>0.27560000000000001</v>
      </c>
      <c r="AH520">
        <v>7.9189999999999899E-2</v>
      </c>
    </row>
    <row r="521" spans="3:34">
      <c r="C521" s="11" t="s">
        <v>608</v>
      </c>
      <c r="D521" s="10" t="s">
        <v>0</v>
      </c>
      <c r="E521" s="10">
        <v>13.71</v>
      </c>
      <c r="F521" s="10">
        <v>23.329999999999899</v>
      </c>
      <c r="G521" s="10">
        <v>119</v>
      </c>
      <c r="H521" s="10">
        <v>980.5</v>
      </c>
      <c r="I521" s="10">
        <v>9.289E-2</v>
      </c>
      <c r="J521" s="10">
        <v>0.200399999999999</v>
      </c>
      <c r="K521" s="10">
        <v>0.21360000000000001</v>
      </c>
      <c r="L521" s="10">
        <v>0.1002</v>
      </c>
      <c r="M521" s="10">
        <v>0.1696</v>
      </c>
      <c r="N521" s="10">
        <v>7.3690000000000005E-2</v>
      </c>
      <c r="O521" s="10">
        <v>0.92889999999999895</v>
      </c>
      <c r="P521" s="10">
        <v>1.4650000000000001</v>
      </c>
      <c r="Q521" s="10">
        <v>5.8010000000000002</v>
      </c>
      <c r="R521" s="10">
        <v>104.9</v>
      </c>
      <c r="S521" s="10">
        <v>6.7660000000000003E-3</v>
      </c>
      <c r="T521" s="10">
        <v>7.0250000000000007E-2</v>
      </c>
      <c r="U521" s="10">
        <v>6.5909999999999899E-2</v>
      </c>
      <c r="V521" s="10">
        <v>2.3109999999999901E-2</v>
      </c>
      <c r="W521" s="10">
        <v>1.6729999999999901E-2</v>
      </c>
      <c r="X521" s="10">
        <v>1.12999999999999E-2</v>
      </c>
      <c r="Y521" s="10">
        <v>21.57</v>
      </c>
      <c r="Z521" s="10">
        <v>28.87</v>
      </c>
      <c r="AA521" s="10">
        <v>143.599999999999</v>
      </c>
      <c r="AB521" s="10">
        <v>1437</v>
      </c>
      <c r="AC521" s="10">
        <v>0.1207</v>
      </c>
      <c r="AD521" s="10">
        <v>0.47849999999999898</v>
      </c>
      <c r="AE521" s="10">
        <v>0.51649999999999896</v>
      </c>
      <c r="AF521" s="10">
        <v>0.1996</v>
      </c>
      <c r="AG521" s="10">
        <v>0.2301</v>
      </c>
      <c r="AH521">
        <v>0.122399999999999</v>
      </c>
    </row>
    <row r="522" spans="3:34">
      <c r="C522" s="11" t="s">
        <v>206</v>
      </c>
      <c r="D522" s="10" t="s">
        <v>1</v>
      </c>
      <c r="E522" s="10">
        <v>13.71</v>
      </c>
      <c r="F522" s="10">
        <v>21.01</v>
      </c>
      <c r="G522" s="10">
        <v>60.1099999999999</v>
      </c>
      <c r="H522" s="10">
        <v>269.39999999999901</v>
      </c>
      <c r="I522" s="10">
        <v>0.10440000000000001</v>
      </c>
      <c r="J522" s="10">
        <v>7.7729999999999896E-2</v>
      </c>
      <c r="K522" s="10">
        <v>2.172E-2</v>
      </c>
      <c r="L522" s="10">
        <v>1.504E-2</v>
      </c>
      <c r="M522" s="10">
        <v>0.17169999999999899</v>
      </c>
      <c r="N522" s="10">
        <v>6.8989999999999899E-2</v>
      </c>
      <c r="O522" s="10">
        <v>0.2351</v>
      </c>
      <c r="P522" s="10">
        <v>2.0110000000000001</v>
      </c>
      <c r="Q522" s="10">
        <v>1.6599999999999899</v>
      </c>
      <c r="R522" s="10">
        <v>14.1999999999999</v>
      </c>
      <c r="S522" s="10">
        <v>1.052E-2</v>
      </c>
      <c r="T522" s="10">
        <v>1.755E-2</v>
      </c>
      <c r="U522" s="10">
        <v>1.7139999999999898E-2</v>
      </c>
      <c r="V522" s="10">
        <v>9.3329999999999906E-3</v>
      </c>
      <c r="W522" s="10">
        <v>2.2790000000000001E-2</v>
      </c>
      <c r="X522" s="10">
        <v>4.2370000000000003E-3</v>
      </c>
      <c r="Y522" s="10">
        <v>10.41</v>
      </c>
      <c r="Z522" s="10">
        <v>31.559999999999899</v>
      </c>
      <c r="AA522" s="10">
        <v>67.03</v>
      </c>
      <c r="AB522" s="10">
        <v>330.69999999999902</v>
      </c>
      <c r="AC522" s="10">
        <v>0.15479999999999899</v>
      </c>
      <c r="AD522" s="10">
        <v>0.16639999999999899</v>
      </c>
      <c r="AE522" s="10">
        <v>9.4119999999999898E-2</v>
      </c>
      <c r="AF522" s="10">
        <v>6.5170000000000006E-2</v>
      </c>
      <c r="AG522" s="10">
        <v>0.2878</v>
      </c>
      <c r="AH522">
        <v>9.21099999999999E-2</v>
      </c>
    </row>
    <row r="523" spans="3:34">
      <c r="C523" s="11" t="s">
        <v>492</v>
      </c>
      <c r="D523" s="10" t="s">
        <v>0</v>
      </c>
      <c r="E523" s="10">
        <v>13.71</v>
      </c>
      <c r="F523" s="10">
        <v>17.46</v>
      </c>
      <c r="G523" s="10">
        <v>174.19999999999899</v>
      </c>
      <c r="H523" s="10">
        <v>2010</v>
      </c>
      <c r="I523" s="10">
        <v>0.1149</v>
      </c>
      <c r="J523" s="10">
        <v>0.23630000000000001</v>
      </c>
      <c r="K523" s="10">
        <v>0.33679999999999899</v>
      </c>
      <c r="L523" s="10">
        <v>0.1913</v>
      </c>
      <c r="M523" s="10">
        <v>0.1956</v>
      </c>
      <c r="N523" s="10">
        <v>6.1210000000000001E-2</v>
      </c>
      <c r="O523" s="10">
        <v>0.99480000000000002</v>
      </c>
      <c r="P523" s="10">
        <v>0.85089999999999899</v>
      </c>
      <c r="Q523" s="10">
        <v>7.2220000000000004</v>
      </c>
      <c r="R523" s="10">
        <v>153.099999999999</v>
      </c>
      <c r="S523" s="10">
        <v>6.3689999999999901E-3</v>
      </c>
      <c r="T523" s="10">
        <v>4.2430000000000002E-2</v>
      </c>
      <c r="U523" s="10">
        <v>4.2659999999999899E-2</v>
      </c>
      <c r="V523" s="10">
        <v>1.508E-2</v>
      </c>
      <c r="W523" s="10">
        <v>2.3349999999999899E-2</v>
      </c>
      <c r="X523" s="10">
        <v>3.385E-3</v>
      </c>
      <c r="Y523" s="10">
        <v>33.130000000000003</v>
      </c>
      <c r="Z523" s="10">
        <v>23.579999999999899</v>
      </c>
      <c r="AA523" s="10">
        <v>229.3</v>
      </c>
      <c r="AB523" s="10">
        <v>3234</v>
      </c>
      <c r="AC523" s="10">
        <v>0.153</v>
      </c>
      <c r="AD523" s="10">
        <v>0.59370000000000001</v>
      </c>
      <c r="AE523" s="10">
        <v>0.64510000000000001</v>
      </c>
      <c r="AF523" s="10">
        <v>0.27560000000000001</v>
      </c>
      <c r="AG523" s="10">
        <v>0.368999999999999</v>
      </c>
      <c r="AH523">
        <v>8.8150000000000006E-2</v>
      </c>
    </row>
    <row r="524" spans="3:34">
      <c r="C524" s="11" t="s">
        <v>224</v>
      </c>
      <c r="D524" s="10" t="s">
        <v>1</v>
      </c>
      <c r="E524" s="10">
        <v>13.71</v>
      </c>
      <c r="F524" s="10">
        <v>15.65</v>
      </c>
      <c r="G524" s="10">
        <v>76.95</v>
      </c>
      <c r="H524" s="10">
        <v>443.3</v>
      </c>
      <c r="I524" s="10">
        <v>9.72299999999999E-2</v>
      </c>
      <c r="J524" s="10">
        <v>7.1650000000000005E-2</v>
      </c>
      <c r="K524" s="10">
        <v>4.1509999999999901E-2</v>
      </c>
      <c r="L524" s="10">
        <v>1.8630000000000001E-2</v>
      </c>
      <c r="M524" s="10">
        <v>0.2079</v>
      </c>
      <c r="N524" s="10">
        <v>5.96799999999999E-2</v>
      </c>
      <c r="O524" s="10">
        <v>0.2271</v>
      </c>
      <c r="P524" s="10">
        <v>1.2549999999999899</v>
      </c>
      <c r="Q524" s="10">
        <v>1.4410000000000001</v>
      </c>
      <c r="R524" s="10">
        <v>16.16</v>
      </c>
      <c r="S524" s="10">
        <v>5.9690000000000003E-3</v>
      </c>
      <c r="T524" s="10">
        <v>1.8120000000000001E-2</v>
      </c>
      <c r="U524" s="10">
        <v>2.0070000000000001E-2</v>
      </c>
      <c r="V524" s="10">
        <v>7.0270000000000003E-3</v>
      </c>
      <c r="W524" s="10">
        <v>1.9720000000000001E-2</v>
      </c>
      <c r="X524" s="10">
        <v>2.60699999999999E-3</v>
      </c>
      <c r="Y524" s="10">
        <v>13.67</v>
      </c>
      <c r="Z524" s="10">
        <v>24.899999999999899</v>
      </c>
      <c r="AA524" s="10">
        <v>87.78</v>
      </c>
      <c r="AB524" s="10">
        <v>567.89999999999895</v>
      </c>
      <c r="AC524" s="10">
        <v>0.13769999999999899</v>
      </c>
      <c r="AD524" s="10">
        <v>0.20030000000000001</v>
      </c>
      <c r="AE524" s="10">
        <v>0.22670000000000001</v>
      </c>
      <c r="AF524" s="10">
        <v>7.6319999999999902E-2</v>
      </c>
      <c r="AG524" s="10">
        <v>0.33789999999999898</v>
      </c>
      <c r="AH524">
        <v>7.9240000000000005E-2</v>
      </c>
    </row>
    <row r="525" spans="3:34">
      <c r="C525" s="11" t="s">
        <v>410</v>
      </c>
      <c r="D525" s="10" t="s">
        <v>1</v>
      </c>
      <c r="E525" s="10">
        <v>13.71</v>
      </c>
      <c r="F525" s="10">
        <v>16.82</v>
      </c>
      <c r="G525" s="10">
        <v>90.299999999999898</v>
      </c>
      <c r="H525" s="10">
        <v>632.6</v>
      </c>
      <c r="I525" s="10">
        <v>6.429E-2</v>
      </c>
      <c r="J525" s="10">
        <v>2.6749999999999899E-2</v>
      </c>
      <c r="K525" s="10">
        <v>7.2500000000000004E-3</v>
      </c>
      <c r="L525" s="10">
        <v>6.2500000000000003E-3</v>
      </c>
      <c r="M525" s="10">
        <v>0.15079999999999899</v>
      </c>
      <c r="N525" s="10">
        <v>5.3760000000000002E-2</v>
      </c>
      <c r="O525" s="10">
        <v>0.13020000000000001</v>
      </c>
      <c r="P525" s="10">
        <v>0.7198</v>
      </c>
      <c r="Q525" s="10">
        <v>0.84389999999999898</v>
      </c>
      <c r="R525" s="10">
        <v>10.77</v>
      </c>
      <c r="S525" s="10">
        <v>3.4919999999999899E-3</v>
      </c>
      <c r="T525" s="10">
        <v>3.7100000000000002E-3</v>
      </c>
      <c r="U525" s="10">
        <v>4.8260000000000004E-3</v>
      </c>
      <c r="V525" s="10">
        <v>3.6080000000000001E-3</v>
      </c>
      <c r="W525" s="10">
        <v>1.536E-2</v>
      </c>
      <c r="X525" s="10">
        <v>1.3810000000000001E-3</v>
      </c>
      <c r="Y525" s="10">
        <v>14.91</v>
      </c>
      <c r="Z525" s="10">
        <v>20.649999999999899</v>
      </c>
      <c r="AA525" s="10">
        <v>94.439999999999898</v>
      </c>
      <c r="AB525" s="10">
        <v>684.6</v>
      </c>
      <c r="AC525" s="10">
        <v>8.5669999999999899E-2</v>
      </c>
      <c r="AD525" s="10">
        <v>5.0360000000000002E-2</v>
      </c>
      <c r="AE525" s="10">
        <v>3.866E-2</v>
      </c>
      <c r="AF525" s="10">
        <v>3.3329999999999901E-2</v>
      </c>
      <c r="AG525" s="10">
        <v>0.24579999999999899</v>
      </c>
      <c r="AH525">
        <v>6.11999999999999E-2</v>
      </c>
    </row>
    <row r="526" spans="3:34">
      <c r="C526" s="11" t="s">
        <v>667</v>
      </c>
      <c r="D526" s="10" t="s">
        <v>1</v>
      </c>
      <c r="E526" s="10">
        <v>13.71</v>
      </c>
      <c r="F526" s="10">
        <v>12.27</v>
      </c>
      <c r="G526" s="10">
        <v>78.939999999999898</v>
      </c>
      <c r="H526" s="10">
        <v>468.5</v>
      </c>
      <c r="I526" s="10">
        <v>9.0029999999999902E-2</v>
      </c>
      <c r="J526" s="10">
        <v>6.3070000000000001E-2</v>
      </c>
      <c r="K526" s="10">
        <v>2.9579999999999902E-2</v>
      </c>
      <c r="L526" s="10">
        <v>2.647E-2</v>
      </c>
      <c r="M526" s="10">
        <v>0.168899999999999</v>
      </c>
      <c r="N526" s="10">
        <v>5.808E-2</v>
      </c>
      <c r="O526" s="10">
        <v>0.1166</v>
      </c>
      <c r="P526" s="10">
        <v>0.49569999999999897</v>
      </c>
      <c r="Q526" s="10">
        <v>0.77139999999999898</v>
      </c>
      <c r="R526" s="10">
        <v>8.9550000000000001</v>
      </c>
      <c r="S526" s="10">
        <v>3.6809999999999898E-3</v>
      </c>
      <c r="T526" s="10">
        <v>9.1690000000000001E-3</v>
      </c>
      <c r="U526" s="10">
        <v>8.7320000000000002E-3</v>
      </c>
      <c r="V526" s="10">
        <v>5.7400000000000003E-3</v>
      </c>
      <c r="W526" s="10">
        <v>1.129E-2</v>
      </c>
      <c r="X526" s="10">
        <v>1.366E-3</v>
      </c>
      <c r="Y526" s="10">
        <v>13.6099999999999</v>
      </c>
      <c r="Z526" s="10">
        <v>19.27</v>
      </c>
      <c r="AA526" s="10">
        <v>87.219999999999899</v>
      </c>
      <c r="AB526" s="10">
        <v>564.89999999999895</v>
      </c>
      <c r="AC526" s="10">
        <v>0.12920000000000001</v>
      </c>
      <c r="AD526" s="10">
        <v>0.2074</v>
      </c>
      <c r="AE526" s="10">
        <v>0.17910000000000001</v>
      </c>
      <c r="AF526" s="10">
        <v>0.107</v>
      </c>
      <c r="AG526" s="10">
        <v>0.311</v>
      </c>
      <c r="AH526">
        <v>7.5920000000000001E-2</v>
      </c>
    </row>
    <row r="527" spans="3:34">
      <c r="C527" s="11" t="s">
        <v>276</v>
      </c>
      <c r="D527" s="10" t="s">
        <v>1</v>
      </c>
      <c r="E527" s="10">
        <v>13.71</v>
      </c>
      <c r="F527" s="10">
        <v>16.670000000000002</v>
      </c>
      <c r="G527" s="10">
        <v>74.719999999999899</v>
      </c>
      <c r="H527" s="10">
        <v>423.6</v>
      </c>
      <c r="I527" s="10">
        <v>0.1051</v>
      </c>
      <c r="J527" s="10">
        <v>6.09499999999999E-2</v>
      </c>
      <c r="K527" s="10">
        <v>3.5920000000000001E-2</v>
      </c>
      <c r="L527" s="10">
        <v>2.5999999999999902E-2</v>
      </c>
      <c r="M527" s="10">
        <v>0.13389999999999899</v>
      </c>
      <c r="N527" s="10">
        <v>5.9450000000000003E-2</v>
      </c>
      <c r="O527" s="10">
        <v>0.44890000000000002</v>
      </c>
      <c r="P527" s="10">
        <v>2.508</v>
      </c>
      <c r="Q527" s="10">
        <v>3.258</v>
      </c>
      <c r="R527" s="10">
        <v>34.369999999999898</v>
      </c>
      <c r="S527" s="10">
        <v>6.5779999999999901E-3</v>
      </c>
      <c r="T527" s="10">
        <v>1.38E-2</v>
      </c>
      <c r="U527" s="10">
        <v>2.6620000000000001E-2</v>
      </c>
      <c r="V527" s="10">
        <v>1.307E-2</v>
      </c>
      <c r="W527" s="10">
        <v>1.359E-2</v>
      </c>
      <c r="X527" s="10">
        <v>3.7069999999999898E-3</v>
      </c>
      <c r="Y527" s="10">
        <v>13.33</v>
      </c>
      <c r="Z527" s="10">
        <v>25.48</v>
      </c>
      <c r="AA527" s="10">
        <v>86.159999999999897</v>
      </c>
      <c r="AB527" s="10">
        <v>546.70000000000005</v>
      </c>
      <c r="AC527" s="10">
        <v>0.12709999999999899</v>
      </c>
      <c r="AD527" s="10">
        <v>0.1028</v>
      </c>
      <c r="AE527" s="10">
        <v>0.1046</v>
      </c>
      <c r="AF527" s="10">
        <v>6.9680000000000006E-2</v>
      </c>
      <c r="AG527" s="10">
        <v>0.17119999999999899</v>
      </c>
      <c r="AH527">
        <v>7.3429999999999898E-2</v>
      </c>
    </row>
    <row r="528" spans="3:34">
      <c r="C528" s="11" t="s">
        <v>491</v>
      </c>
      <c r="D528" s="10" t="s">
        <v>0</v>
      </c>
      <c r="E528" s="10">
        <v>13.71</v>
      </c>
      <c r="F528" s="10">
        <v>19.219999999999899</v>
      </c>
      <c r="G528" s="10">
        <v>107.099999999999</v>
      </c>
      <c r="H528" s="10">
        <v>758.6</v>
      </c>
      <c r="I528" s="10">
        <v>0.12429999999999899</v>
      </c>
      <c r="J528" s="10">
        <v>0.2364</v>
      </c>
      <c r="K528" s="10">
        <v>0.29139999999999899</v>
      </c>
      <c r="L528" s="10">
        <v>0.1242</v>
      </c>
      <c r="M528" s="10">
        <v>0.23749999999999899</v>
      </c>
      <c r="N528" s="10">
        <v>7.603E-2</v>
      </c>
      <c r="O528" s="10">
        <v>0.52039999999999897</v>
      </c>
      <c r="P528" s="10">
        <v>1.3240000000000001</v>
      </c>
      <c r="Q528" s="10">
        <v>3.4769999999999901</v>
      </c>
      <c r="R528" s="10">
        <v>51.219999999999899</v>
      </c>
      <c r="S528" s="10">
        <v>9.3290000000000005E-3</v>
      </c>
      <c r="T528" s="10">
        <v>6.5589999999999898E-2</v>
      </c>
      <c r="U528" s="10">
        <v>9.9529999999999896E-2</v>
      </c>
      <c r="V528" s="10">
        <v>2.283E-2</v>
      </c>
      <c r="W528" s="10">
        <v>5.543E-2</v>
      </c>
      <c r="X528" s="10">
        <v>7.3299999999999902E-3</v>
      </c>
      <c r="Y528" s="10">
        <v>17.3599999999999</v>
      </c>
      <c r="Z528" s="10">
        <v>24.17</v>
      </c>
      <c r="AA528" s="10">
        <v>119.4</v>
      </c>
      <c r="AB528" s="10">
        <v>915.29999999999905</v>
      </c>
      <c r="AC528" s="10">
        <v>0.155</v>
      </c>
      <c r="AD528" s="10">
        <v>0.50460000000000005</v>
      </c>
      <c r="AE528" s="10">
        <v>0.68720000000000003</v>
      </c>
      <c r="AF528" s="10">
        <v>0.2135</v>
      </c>
      <c r="AG528" s="10">
        <v>0.42449999999999899</v>
      </c>
      <c r="AH528">
        <v>0.105</v>
      </c>
    </row>
    <row r="529" spans="3:34">
      <c r="C529" s="11" t="s">
        <v>214</v>
      </c>
      <c r="D529" s="10" t="s">
        <v>1</v>
      </c>
      <c r="E529" s="10">
        <v>13.71</v>
      </c>
      <c r="F529" s="10">
        <v>16.52</v>
      </c>
      <c r="G529" s="10">
        <v>79.189999999999898</v>
      </c>
      <c r="H529" s="10">
        <v>470.89999999999901</v>
      </c>
      <c r="I529" s="10">
        <v>9.1719999999999899E-2</v>
      </c>
      <c r="J529" s="10">
        <v>6.8290000000000003E-2</v>
      </c>
      <c r="K529" s="10">
        <v>3.372E-2</v>
      </c>
      <c r="L529" s="10">
        <v>2.2720000000000001E-2</v>
      </c>
      <c r="M529" s="10">
        <v>0.17199999999999899</v>
      </c>
      <c r="N529" s="10">
        <v>5.9139999999999901E-2</v>
      </c>
      <c r="O529" s="10">
        <v>0.2505</v>
      </c>
      <c r="P529" s="10">
        <v>1.0249999999999899</v>
      </c>
      <c r="Q529" s="10">
        <v>1.74</v>
      </c>
      <c r="R529" s="10">
        <v>19.68</v>
      </c>
      <c r="S529" s="10">
        <v>4.8539999999999903E-3</v>
      </c>
      <c r="T529" s="10">
        <v>1.8190000000000001E-2</v>
      </c>
      <c r="U529" s="10">
        <v>1.8259999999999901E-2</v>
      </c>
      <c r="V529" s="10">
        <v>7.9649999999999894E-3</v>
      </c>
      <c r="W529" s="10">
        <v>1.3860000000000001E-2</v>
      </c>
      <c r="X529" s="10">
        <v>2.3040000000000001E-3</v>
      </c>
      <c r="Y529" s="10">
        <v>14.1099999999999</v>
      </c>
      <c r="Z529" s="10">
        <v>23.21</v>
      </c>
      <c r="AA529" s="10">
        <v>89.709999999999894</v>
      </c>
      <c r="AB529" s="10">
        <v>611.1</v>
      </c>
      <c r="AC529" s="10">
        <v>0.1176</v>
      </c>
      <c r="AD529" s="10">
        <v>0.18429999999999899</v>
      </c>
      <c r="AE529" s="10">
        <v>0.17030000000000001</v>
      </c>
      <c r="AF529" s="10">
        <v>8.6599999999999899E-2</v>
      </c>
      <c r="AG529" s="10">
        <v>0.26179999999999898</v>
      </c>
      <c r="AH529">
        <v>7.6090000000000005E-2</v>
      </c>
    </row>
    <row r="530" spans="3:34">
      <c r="C530" s="11" t="s">
        <v>250</v>
      </c>
      <c r="D530" s="10" t="s">
        <v>1</v>
      </c>
      <c r="E530" s="10">
        <v>13.71</v>
      </c>
      <c r="F530" s="10">
        <v>16.989999999999899</v>
      </c>
      <c r="G530" s="10">
        <v>62.5</v>
      </c>
      <c r="H530" s="10">
        <v>290.19999999999902</v>
      </c>
      <c r="I530" s="10">
        <v>0.1037</v>
      </c>
      <c r="J530" s="10">
        <v>8.4040000000000004E-2</v>
      </c>
      <c r="K530" s="10">
        <v>4.3339999999999899E-2</v>
      </c>
      <c r="L530" s="10">
        <v>1.7780000000000001E-2</v>
      </c>
      <c r="M530" s="10">
        <v>0.15840000000000001</v>
      </c>
      <c r="N530" s="10">
        <v>7.0650000000000004E-2</v>
      </c>
      <c r="O530" s="10">
        <v>0.40300000000000002</v>
      </c>
      <c r="P530" s="10">
        <v>1.4239999999999899</v>
      </c>
      <c r="Q530" s="10">
        <v>2.7469999999999901</v>
      </c>
      <c r="R530" s="10">
        <v>22.87</v>
      </c>
      <c r="S530" s="10">
        <v>1.3849999999999901E-2</v>
      </c>
      <c r="T530" s="10">
        <v>2.9319999999999902E-2</v>
      </c>
      <c r="U530" s="10">
        <v>2.7220000000000001E-2</v>
      </c>
      <c r="V530" s="10">
        <v>1.023E-2</v>
      </c>
      <c r="W530" s="10">
        <v>3.2809999999999902E-2</v>
      </c>
      <c r="X530" s="10">
        <v>4.6379999999999902E-3</v>
      </c>
      <c r="Y530" s="10">
        <v>11.05</v>
      </c>
      <c r="Z530" s="10">
        <v>21.469999999999899</v>
      </c>
      <c r="AA530" s="10">
        <v>71.680000000000007</v>
      </c>
      <c r="AB530" s="10">
        <v>367</v>
      </c>
      <c r="AC530" s="10">
        <v>0.1467</v>
      </c>
      <c r="AD530" s="10">
        <v>0.17649999999999899</v>
      </c>
      <c r="AE530" s="10">
        <v>0.13</v>
      </c>
      <c r="AF530" s="10">
        <v>5.3339999999999901E-2</v>
      </c>
      <c r="AG530" s="10">
        <v>0.25330000000000003</v>
      </c>
      <c r="AH530">
        <v>8.4680000000000005E-2</v>
      </c>
    </row>
    <row r="531" spans="3:34">
      <c r="C531" s="11" t="s">
        <v>191</v>
      </c>
      <c r="D531" s="10" t="s">
        <v>1</v>
      </c>
      <c r="E531" s="10">
        <v>13.71</v>
      </c>
      <c r="F531" s="10">
        <v>16.34</v>
      </c>
      <c r="G531" s="10">
        <v>87.209999999999894</v>
      </c>
      <c r="H531" s="10">
        <v>571.79999999999905</v>
      </c>
      <c r="I531" s="10">
        <v>7.6850000000000002E-2</v>
      </c>
      <c r="J531" s="10">
        <v>6.0589999999999901E-2</v>
      </c>
      <c r="K531" s="10">
        <v>1.857E-2</v>
      </c>
      <c r="L531" s="10">
        <v>1.7229999999999902E-2</v>
      </c>
      <c r="M531" s="10">
        <v>0.1353</v>
      </c>
      <c r="N531" s="10">
        <v>5.953E-2</v>
      </c>
      <c r="O531" s="10">
        <v>0.18720000000000001</v>
      </c>
      <c r="P531" s="10">
        <v>0.9234</v>
      </c>
      <c r="Q531" s="10">
        <v>1.4490000000000001</v>
      </c>
      <c r="R531" s="10">
        <v>14.55</v>
      </c>
      <c r="S531" s="10">
        <v>4.4770000000000001E-3</v>
      </c>
      <c r="T531" s="10">
        <v>1.17699999999999E-2</v>
      </c>
      <c r="U531" s="10">
        <v>1.07899999999999E-2</v>
      </c>
      <c r="V531" s="10">
        <v>7.9559999999999909E-3</v>
      </c>
      <c r="W531" s="10">
        <v>1.325E-2</v>
      </c>
      <c r="X531" s="10">
        <v>2.5509999999999899E-3</v>
      </c>
      <c r="Y531" s="10">
        <v>14.67</v>
      </c>
      <c r="Z531" s="10">
        <v>23.19</v>
      </c>
      <c r="AA531" s="10">
        <v>96.079999999999899</v>
      </c>
      <c r="AB531" s="10">
        <v>656.7</v>
      </c>
      <c r="AC531" s="10">
        <v>0.1089</v>
      </c>
      <c r="AD531" s="10">
        <v>0.15820000000000001</v>
      </c>
      <c r="AE531" s="10">
        <v>0.105</v>
      </c>
      <c r="AF531" s="10">
        <v>8.5860000000000006E-2</v>
      </c>
      <c r="AG531" s="10">
        <v>0.2346</v>
      </c>
      <c r="AH531">
        <v>8.0250000000000002E-2</v>
      </c>
    </row>
    <row r="532" spans="3:34">
      <c r="C532" s="11" t="s">
        <v>179</v>
      </c>
      <c r="D532" s="10" t="s">
        <v>0</v>
      </c>
      <c r="E532" s="10">
        <v>13.71</v>
      </c>
      <c r="F532" s="10">
        <v>20.82</v>
      </c>
      <c r="G532" s="10">
        <v>88.4</v>
      </c>
      <c r="H532" s="10">
        <v>559.20000000000005</v>
      </c>
      <c r="I532" s="10">
        <v>0.1016</v>
      </c>
      <c r="J532" s="10">
        <v>0.1255</v>
      </c>
      <c r="K532" s="10">
        <v>0.10630000000000001</v>
      </c>
      <c r="L532" s="10">
        <v>5.4390000000000001E-2</v>
      </c>
      <c r="M532" s="10">
        <v>0.17199999999999899</v>
      </c>
      <c r="N532" s="10">
        <v>6.41899999999999E-2</v>
      </c>
      <c r="O532" s="10">
        <v>0.212999999999999</v>
      </c>
      <c r="P532" s="10">
        <v>0.59140000000000004</v>
      </c>
      <c r="Q532" s="10">
        <v>1.5449999999999899</v>
      </c>
      <c r="R532" s="10">
        <v>18.52</v>
      </c>
      <c r="S532" s="10">
        <v>5.3670000000000002E-3</v>
      </c>
      <c r="T532" s="10">
        <v>2.239E-2</v>
      </c>
      <c r="U532" s="10">
        <v>3.049E-2</v>
      </c>
      <c r="V532" s="10">
        <v>1.26199999999999E-2</v>
      </c>
      <c r="W532" s="10">
        <v>1.37699999999999E-2</v>
      </c>
      <c r="X532" s="10">
        <v>3.1870000000000002E-3</v>
      </c>
      <c r="Y532" s="10">
        <v>15.5299999999999</v>
      </c>
      <c r="Z532" s="10">
        <v>26.02</v>
      </c>
      <c r="AA532" s="10">
        <v>107.3</v>
      </c>
      <c r="AB532" s="10">
        <v>740.39999999999895</v>
      </c>
      <c r="AC532" s="10">
        <v>0.161</v>
      </c>
      <c r="AD532" s="10">
        <v>0.42249999999999899</v>
      </c>
      <c r="AE532" s="10">
        <v>0.503</v>
      </c>
      <c r="AF532" s="10">
        <v>0.2258</v>
      </c>
      <c r="AG532" s="10">
        <v>0.28070000000000001</v>
      </c>
      <c r="AH532">
        <v>0.1071</v>
      </c>
    </row>
    <row r="533" spans="3:34">
      <c r="C533" s="11" t="s">
        <v>451</v>
      </c>
      <c r="D533" s="10" t="s">
        <v>1</v>
      </c>
      <c r="E533" s="10">
        <v>13.71</v>
      </c>
      <c r="F533" s="10">
        <v>15.69</v>
      </c>
      <c r="G533" s="10">
        <v>92.68</v>
      </c>
      <c r="H533" s="10">
        <v>664.89999999999895</v>
      </c>
      <c r="I533" s="10">
        <v>7.6179999999999901E-2</v>
      </c>
      <c r="J533" s="10">
        <v>3.5150000000000001E-2</v>
      </c>
      <c r="K533" s="10">
        <v>1.447E-2</v>
      </c>
      <c r="L533" s="10">
        <v>1.8769999999999901E-2</v>
      </c>
      <c r="M533" s="10">
        <v>0.16320000000000001</v>
      </c>
      <c r="N533" s="10">
        <v>5.2549999999999902E-2</v>
      </c>
      <c r="O533" s="10">
        <v>0.316</v>
      </c>
      <c r="P533" s="10">
        <v>0.91149999999999898</v>
      </c>
      <c r="Q533" s="10">
        <v>1.954</v>
      </c>
      <c r="R533" s="10">
        <v>28.899999999999899</v>
      </c>
      <c r="S533" s="10">
        <v>5.0309999999999903E-3</v>
      </c>
      <c r="T533" s="10">
        <v>6.0210000000000003E-3</v>
      </c>
      <c r="U533" s="10">
        <v>5.3249999999999903E-3</v>
      </c>
      <c r="V533" s="10">
        <v>6.3239999999999902E-3</v>
      </c>
      <c r="W533" s="10">
        <v>1.494E-2</v>
      </c>
      <c r="X533" s="10">
        <v>8.9479999999999898E-4</v>
      </c>
      <c r="Y533" s="10">
        <v>16.46</v>
      </c>
      <c r="Z533" s="10">
        <v>21.75</v>
      </c>
      <c r="AA533" s="10">
        <v>103.7</v>
      </c>
      <c r="AB533" s="10">
        <v>840.79999999999905</v>
      </c>
      <c r="AC533" s="10">
        <v>0.1011</v>
      </c>
      <c r="AD533" s="10">
        <v>7.0870000000000002E-2</v>
      </c>
      <c r="AE533" s="10">
        <v>4.7460000000000002E-2</v>
      </c>
      <c r="AF533" s="10">
        <v>5.8130000000000001E-2</v>
      </c>
      <c r="AG533" s="10">
        <v>0.253</v>
      </c>
      <c r="AH533">
        <v>5.6950000000000001E-2</v>
      </c>
    </row>
    <row r="534" spans="3:34">
      <c r="C534" s="11" t="s">
        <v>528</v>
      </c>
      <c r="D534" s="10" t="s">
        <v>1</v>
      </c>
      <c r="E534" s="10">
        <v>13.71</v>
      </c>
      <c r="F534" s="10">
        <v>15.5</v>
      </c>
      <c r="G534" s="10">
        <v>73.379999999999896</v>
      </c>
      <c r="H534" s="10">
        <v>392</v>
      </c>
      <c r="I534" s="10">
        <v>8.3650000000000002E-2</v>
      </c>
      <c r="J534" s="10">
        <v>0.1114</v>
      </c>
      <c r="K534" s="10">
        <v>0.1007</v>
      </c>
      <c r="L534" s="10">
        <v>2.7570000000000001E-2</v>
      </c>
      <c r="M534" s="10">
        <v>0.180999999999999</v>
      </c>
      <c r="N534" s="10">
        <v>7.2520000000000001E-2</v>
      </c>
      <c r="O534" s="10">
        <v>0.33050000000000002</v>
      </c>
      <c r="P534" s="10">
        <v>1.06699999999999</v>
      </c>
      <c r="Q534" s="10">
        <v>2.569</v>
      </c>
      <c r="R534" s="10">
        <v>22.969999999999899</v>
      </c>
      <c r="S534" s="10">
        <v>1.038E-2</v>
      </c>
      <c r="T534" s="10">
        <v>6.6689999999999902E-2</v>
      </c>
      <c r="U534" s="10">
        <v>9.4719999999999901E-2</v>
      </c>
      <c r="V534" s="10">
        <v>2.0469999999999901E-2</v>
      </c>
      <c r="W534" s="10">
        <v>1.2189999999999901E-2</v>
      </c>
      <c r="X534" s="10">
        <v>1.2330000000000001E-2</v>
      </c>
      <c r="Y534" s="10">
        <v>12.0399999999999</v>
      </c>
      <c r="Z534" s="10">
        <v>18.93</v>
      </c>
      <c r="AA534" s="10">
        <v>79.73</v>
      </c>
      <c r="AB534" s="10">
        <v>450</v>
      </c>
      <c r="AC534" s="10">
        <v>0.11020000000000001</v>
      </c>
      <c r="AD534" s="10">
        <v>0.28089999999999898</v>
      </c>
      <c r="AE534" s="10">
        <v>0.30209999999999898</v>
      </c>
      <c r="AF534" s="10">
        <v>8.2720000000000002E-2</v>
      </c>
      <c r="AG534" s="10">
        <v>0.2157</v>
      </c>
      <c r="AH534">
        <v>0.1043</v>
      </c>
    </row>
    <row r="535" spans="3:34">
      <c r="C535" s="11" t="s">
        <v>365</v>
      </c>
      <c r="D535" s="10" t="s">
        <v>1</v>
      </c>
      <c r="E535" s="10">
        <v>13.71</v>
      </c>
      <c r="F535" s="10">
        <v>13.47</v>
      </c>
      <c r="G535" s="10">
        <v>92.51</v>
      </c>
      <c r="H535" s="10">
        <v>641.20000000000005</v>
      </c>
      <c r="I535" s="10">
        <v>9.9059999999999898E-2</v>
      </c>
      <c r="J535" s="10">
        <v>7.6240000000000002E-2</v>
      </c>
      <c r="K535" s="10">
        <v>5.7239999999999902E-2</v>
      </c>
      <c r="L535" s="10">
        <v>4.6030000000000001E-2</v>
      </c>
      <c r="M535" s="10">
        <v>0.20749999999999899</v>
      </c>
      <c r="N535" s="10">
        <v>5.4480000000000001E-2</v>
      </c>
      <c r="O535" s="10">
        <v>0.52200000000000002</v>
      </c>
      <c r="P535" s="10">
        <v>0.81210000000000004</v>
      </c>
      <c r="Q535" s="10">
        <v>3.7629999999999901</v>
      </c>
      <c r="R535" s="10">
        <v>48.2899999999999</v>
      </c>
      <c r="S535" s="10">
        <v>7.0889999999999903E-3</v>
      </c>
      <c r="T535" s="10">
        <v>1.42799999999999E-2</v>
      </c>
      <c r="U535" s="10">
        <v>2.3599999999999899E-2</v>
      </c>
      <c r="V535" s="10">
        <v>1.286E-2</v>
      </c>
      <c r="W535" s="10">
        <v>2.266E-2</v>
      </c>
      <c r="X535" s="10">
        <v>1.4630000000000001E-3</v>
      </c>
      <c r="Y535" s="10">
        <v>16.77</v>
      </c>
      <c r="Z535" s="10">
        <v>16.899999999999899</v>
      </c>
      <c r="AA535" s="10">
        <v>110.4</v>
      </c>
      <c r="AB535" s="10">
        <v>873.2</v>
      </c>
      <c r="AC535" s="10">
        <v>0.12970000000000001</v>
      </c>
      <c r="AD535" s="10">
        <v>0.1525</v>
      </c>
      <c r="AE535" s="10">
        <v>0.16320000000000001</v>
      </c>
      <c r="AF535" s="10">
        <v>0.1087</v>
      </c>
      <c r="AG535" s="10">
        <v>0.30620000000000003</v>
      </c>
      <c r="AH535">
        <v>6.0720000000000003E-2</v>
      </c>
    </row>
    <row r="536" spans="3:34">
      <c r="C536" s="11" t="s">
        <v>232</v>
      </c>
      <c r="D536" s="10" t="s">
        <v>1</v>
      </c>
      <c r="E536" s="10">
        <v>13.71</v>
      </c>
      <c r="F536" s="10">
        <v>14.76</v>
      </c>
      <c r="G536" s="10">
        <v>84.739999999999895</v>
      </c>
      <c r="H536" s="10">
        <v>551.70000000000005</v>
      </c>
      <c r="I536" s="10">
        <v>7.3550000000000004E-2</v>
      </c>
      <c r="J536" s="10">
        <v>5.0549999999999901E-2</v>
      </c>
      <c r="K536" s="10">
        <v>3.261E-2</v>
      </c>
      <c r="L536" s="10">
        <v>2.648E-2</v>
      </c>
      <c r="M536" s="10">
        <v>0.1386</v>
      </c>
      <c r="N536" s="10">
        <v>5.3179999999999901E-2</v>
      </c>
      <c r="O536" s="10">
        <v>0.40570000000000001</v>
      </c>
      <c r="P536" s="10">
        <v>1.153</v>
      </c>
      <c r="Q536" s="10">
        <v>2.7010000000000001</v>
      </c>
      <c r="R536" s="10">
        <v>36.35</v>
      </c>
      <c r="S536" s="10">
        <v>4.4809999999999902E-3</v>
      </c>
      <c r="T536" s="10">
        <v>1.038E-2</v>
      </c>
      <c r="U536" s="10">
        <v>1.358E-2</v>
      </c>
      <c r="V536" s="10">
        <v>1.082E-2</v>
      </c>
      <c r="W536" s="10">
        <v>1.069E-2</v>
      </c>
      <c r="X536" s="10">
        <v>1.4350000000000001E-3</v>
      </c>
      <c r="Y536" s="10">
        <v>16.3599999999999</v>
      </c>
      <c r="Z536" s="10">
        <v>22.35</v>
      </c>
      <c r="AA536" s="10">
        <v>104.5</v>
      </c>
      <c r="AB536" s="10">
        <v>830.6</v>
      </c>
      <c r="AC536" s="10">
        <v>0.100599999999999</v>
      </c>
      <c r="AD536" s="10">
        <v>0.12379999999999899</v>
      </c>
      <c r="AE536" s="10">
        <v>0.13500000000000001</v>
      </c>
      <c r="AF536" s="10">
        <v>0.100099999999999</v>
      </c>
      <c r="AG536" s="10">
        <v>0.20269999999999899</v>
      </c>
      <c r="AH536">
        <v>6.20599999999999E-2</v>
      </c>
    </row>
    <row r="537" spans="3:34">
      <c r="C537" s="11" t="s">
        <v>355</v>
      </c>
      <c r="D537" s="10" t="s">
        <v>0</v>
      </c>
      <c r="E537" s="10">
        <v>13.71</v>
      </c>
      <c r="F537" s="10">
        <v>16.93</v>
      </c>
      <c r="G537" s="10">
        <v>90.959999999999894</v>
      </c>
      <c r="H537" s="10">
        <v>578.89999999999895</v>
      </c>
      <c r="I537" s="10">
        <v>0.1026</v>
      </c>
      <c r="J537" s="10">
        <v>0.1517</v>
      </c>
      <c r="K537" s="10">
        <v>9.9010000000000001E-2</v>
      </c>
      <c r="L537" s="10">
        <v>5.602E-2</v>
      </c>
      <c r="M537" s="10">
        <v>0.21060000000000001</v>
      </c>
      <c r="N537" s="10">
        <v>6.9159999999999902E-2</v>
      </c>
      <c r="O537" s="10">
        <v>0.25629999999999897</v>
      </c>
      <c r="P537" s="10">
        <v>1.194</v>
      </c>
      <c r="Q537" s="10">
        <v>1.9330000000000001</v>
      </c>
      <c r="R537" s="10">
        <v>22.69</v>
      </c>
      <c r="S537" s="10">
        <v>5.96E-3</v>
      </c>
      <c r="T537" s="10">
        <v>3.4380000000000001E-2</v>
      </c>
      <c r="U537" s="10">
        <v>3.909E-2</v>
      </c>
      <c r="V537" s="10">
        <v>1.435E-2</v>
      </c>
      <c r="W537" s="10">
        <v>1.9390000000000001E-2</v>
      </c>
      <c r="X537" s="10">
        <v>4.5599999999999903E-3</v>
      </c>
      <c r="Y537" s="10">
        <v>15.75</v>
      </c>
      <c r="Z537" s="10">
        <v>26.93</v>
      </c>
      <c r="AA537" s="10">
        <v>104.4</v>
      </c>
      <c r="AB537" s="10">
        <v>750.1</v>
      </c>
      <c r="AC537" s="10">
        <v>0.14599999999999899</v>
      </c>
      <c r="AD537" s="10">
        <v>0.437</v>
      </c>
      <c r="AE537" s="10">
        <v>0.46360000000000001</v>
      </c>
      <c r="AF537" s="10">
        <v>0.16539999999999899</v>
      </c>
      <c r="AG537" s="10">
        <v>0.36299999999999899</v>
      </c>
      <c r="AH537">
        <v>0.10589999999999899</v>
      </c>
    </row>
    <row r="538" spans="3:34">
      <c r="C538" s="11" t="s">
        <v>242</v>
      </c>
      <c r="D538" s="10" t="s">
        <v>1</v>
      </c>
      <c r="E538" s="10">
        <v>13.71</v>
      </c>
      <c r="F538" s="10">
        <v>20.52</v>
      </c>
      <c r="G538" s="10">
        <v>77.219999999999899</v>
      </c>
      <c r="H538" s="10">
        <v>458.69999999999902</v>
      </c>
      <c r="I538" s="10">
        <v>8.0130000000000007E-2</v>
      </c>
      <c r="J538" s="10">
        <v>4.0379999999999902E-2</v>
      </c>
      <c r="K538" s="10">
        <v>2.383E-2</v>
      </c>
      <c r="L538" s="10">
        <v>1.77E-2</v>
      </c>
      <c r="M538" s="10">
        <v>0.1739</v>
      </c>
      <c r="N538" s="10">
        <v>5.6770000000000001E-2</v>
      </c>
      <c r="O538" s="10">
        <v>0.19239999999999899</v>
      </c>
      <c r="P538" s="10">
        <v>1.571</v>
      </c>
      <c r="Q538" s="10">
        <v>1.1830000000000001</v>
      </c>
      <c r="R538" s="10">
        <v>14.68</v>
      </c>
      <c r="S538" s="10">
        <v>5.0800000000000003E-3</v>
      </c>
      <c r="T538" s="10">
        <v>6.0980000000000001E-3</v>
      </c>
      <c r="U538" s="10">
        <v>1.069E-2</v>
      </c>
      <c r="V538" s="10">
        <v>6.7970000000000001E-3</v>
      </c>
      <c r="W538" s="10">
        <v>1.447E-2</v>
      </c>
      <c r="X538" s="10">
        <v>1.53199999999999E-3</v>
      </c>
      <c r="Y538" s="10">
        <v>13.34</v>
      </c>
      <c r="Z538" s="10">
        <v>32.840000000000003</v>
      </c>
      <c r="AA538" s="10">
        <v>84.579999999999899</v>
      </c>
      <c r="AB538" s="10">
        <v>547.79999999999905</v>
      </c>
      <c r="AC538" s="10">
        <v>0.1123</v>
      </c>
      <c r="AD538" s="10">
        <v>8.8620000000000004E-2</v>
      </c>
      <c r="AE538" s="10">
        <v>0.1145</v>
      </c>
      <c r="AF538" s="10">
        <v>7.4310000000000001E-2</v>
      </c>
      <c r="AG538" s="10">
        <v>0.26939999999999897</v>
      </c>
      <c r="AH538">
        <v>6.8779999999999897E-2</v>
      </c>
    </row>
    <row r="539" spans="3:34">
      <c r="C539" s="11" t="s">
        <v>480</v>
      </c>
      <c r="D539" s="10" t="s">
        <v>1</v>
      </c>
      <c r="E539" s="10">
        <v>13.71</v>
      </c>
      <c r="F539" s="10">
        <v>16.5399999999999</v>
      </c>
      <c r="G539" s="10">
        <v>94.15</v>
      </c>
      <c r="H539" s="10">
        <v>641.20000000000005</v>
      </c>
      <c r="I539" s="10">
        <v>9.7509999999999902E-2</v>
      </c>
      <c r="J539" s="10">
        <v>0.1139</v>
      </c>
      <c r="K539" s="10">
        <v>8.0070000000000002E-2</v>
      </c>
      <c r="L539" s="10">
        <v>4.22299999999999E-2</v>
      </c>
      <c r="M539" s="10">
        <v>0.19120000000000001</v>
      </c>
      <c r="N539" s="10">
        <v>6.4119999999999899E-2</v>
      </c>
      <c r="O539" s="10">
        <v>0.34910000000000002</v>
      </c>
      <c r="P539" s="10">
        <v>0.77059999999999895</v>
      </c>
      <c r="Q539" s="10">
        <v>2.677</v>
      </c>
      <c r="R539" s="10">
        <v>32.14</v>
      </c>
      <c r="S539" s="10">
        <v>4.5770000000000003E-3</v>
      </c>
      <c r="T539" s="10">
        <v>3.0530000000000002E-2</v>
      </c>
      <c r="U539" s="10">
        <v>3.8399999999999899E-2</v>
      </c>
      <c r="V539" s="10">
        <v>1.243E-2</v>
      </c>
      <c r="W539" s="10">
        <v>1.873E-2</v>
      </c>
      <c r="X539" s="10">
        <v>3.3730000000000001E-3</v>
      </c>
      <c r="Y539" s="10">
        <v>16.670000000000002</v>
      </c>
      <c r="Z539" s="10">
        <v>21.51</v>
      </c>
      <c r="AA539" s="10">
        <v>111.4</v>
      </c>
      <c r="AB539" s="10">
        <v>862.1</v>
      </c>
      <c r="AC539" s="10">
        <v>0.12939999999999899</v>
      </c>
      <c r="AD539" s="10">
        <v>0.33710000000000001</v>
      </c>
      <c r="AE539" s="10">
        <v>0.3755</v>
      </c>
      <c r="AF539" s="10">
        <v>0.1414</v>
      </c>
      <c r="AG539" s="10">
        <v>0.30530000000000002</v>
      </c>
      <c r="AH539">
        <v>8.7639999999999899E-2</v>
      </c>
    </row>
    <row r="540" spans="3:34">
      <c r="C540" s="11" t="s">
        <v>270</v>
      </c>
      <c r="D540" s="10" t="s">
        <v>1</v>
      </c>
      <c r="E540" s="10">
        <v>13.71</v>
      </c>
      <c r="F540" s="10">
        <v>13.2899999999999</v>
      </c>
      <c r="G540" s="10">
        <v>79.079999999999899</v>
      </c>
      <c r="H540" s="10">
        <v>455.8</v>
      </c>
      <c r="I540" s="10">
        <v>0.1066</v>
      </c>
      <c r="J540" s="10">
        <v>9.5089999999999897E-2</v>
      </c>
      <c r="K540" s="10">
        <v>2.8549999999999898E-2</v>
      </c>
      <c r="L540" s="10">
        <v>2.8819999999999901E-2</v>
      </c>
      <c r="M540" s="10">
        <v>0.188</v>
      </c>
      <c r="N540" s="10">
        <v>6.4710000000000004E-2</v>
      </c>
      <c r="O540" s="10">
        <v>0.20050000000000001</v>
      </c>
      <c r="P540" s="10">
        <v>0.81630000000000003</v>
      </c>
      <c r="Q540" s="10">
        <v>1.9730000000000001</v>
      </c>
      <c r="R540" s="10">
        <v>15.24</v>
      </c>
      <c r="S540" s="10">
        <v>6.7730000000000004E-3</v>
      </c>
      <c r="T540" s="10">
        <v>2.4559999999999901E-2</v>
      </c>
      <c r="U540" s="10">
        <v>1.018E-2</v>
      </c>
      <c r="V540" s="10">
        <v>8.0940000000000005E-3</v>
      </c>
      <c r="W540" s="10">
        <v>2.6620000000000001E-2</v>
      </c>
      <c r="X540" s="10">
        <v>4.143E-3</v>
      </c>
      <c r="Y540" s="10">
        <v>13.34</v>
      </c>
      <c r="Z540" s="10">
        <v>17.809999999999899</v>
      </c>
      <c r="AA540" s="10">
        <v>91.379999999999896</v>
      </c>
      <c r="AB540" s="10">
        <v>545.20000000000005</v>
      </c>
      <c r="AC540" s="10">
        <v>0.14269999999999899</v>
      </c>
      <c r="AD540" s="10">
        <v>0.25850000000000001</v>
      </c>
      <c r="AE540" s="10">
        <v>9.9150000000000002E-2</v>
      </c>
      <c r="AF540" s="10">
        <v>8.1869999999999901E-2</v>
      </c>
      <c r="AG540" s="10">
        <v>0.34689999999999899</v>
      </c>
      <c r="AH540">
        <v>9.2410000000000006E-2</v>
      </c>
    </row>
    <row r="541" spans="3:34">
      <c r="C541" s="11" t="s">
        <v>440</v>
      </c>
      <c r="D541" s="10" t="s">
        <v>0</v>
      </c>
      <c r="E541" s="10">
        <v>13.71</v>
      </c>
      <c r="F541" s="10">
        <v>18.899999999999899</v>
      </c>
      <c r="G541" s="10">
        <v>129.5</v>
      </c>
      <c r="H541" s="10">
        <v>1217</v>
      </c>
      <c r="I541" s="10">
        <v>0.115</v>
      </c>
      <c r="J541" s="10">
        <v>0.16420000000000001</v>
      </c>
      <c r="K541" s="10">
        <v>0.21970000000000001</v>
      </c>
      <c r="L541" s="10">
        <v>0.1062</v>
      </c>
      <c r="M541" s="10">
        <v>0.1792</v>
      </c>
      <c r="N541" s="10">
        <v>6.5519999999999898E-2</v>
      </c>
      <c r="O541" s="10">
        <v>1.111</v>
      </c>
      <c r="P541" s="10">
        <v>1.161</v>
      </c>
      <c r="Q541" s="10">
        <v>7.2370000000000001</v>
      </c>
      <c r="R541" s="10">
        <v>133</v>
      </c>
      <c r="S541" s="10">
        <v>6.0559999999999902E-3</v>
      </c>
      <c r="T541" s="10">
        <v>3.2030000000000003E-2</v>
      </c>
      <c r="U541" s="10">
        <v>5.638E-2</v>
      </c>
      <c r="V541" s="10">
        <v>1.7330000000000002E-2</v>
      </c>
      <c r="W541" s="10">
        <v>1.8839999999999898E-2</v>
      </c>
      <c r="X541" s="10">
        <v>4.78699999999999E-3</v>
      </c>
      <c r="Y541" s="10">
        <v>25.93</v>
      </c>
      <c r="Z541" s="10">
        <v>26.239999999999899</v>
      </c>
      <c r="AA541" s="10">
        <v>171.099999999999</v>
      </c>
      <c r="AB541" s="10">
        <v>2053</v>
      </c>
      <c r="AC541" s="10">
        <v>0.14949999999999899</v>
      </c>
      <c r="AD541" s="10">
        <v>0.41160000000000002</v>
      </c>
      <c r="AE541" s="10">
        <v>0.61209999999999898</v>
      </c>
      <c r="AF541" s="10">
        <v>0.19800000000000001</v>
      </c>
      <c r="AG541" s="10">
        <v>0.29680000000000001</v>
      </c>
      <c r="AH541">
        <v>9.9290000000000003E-2</v>
      </c>
    </row>
    <row r="542" spans="3:34">
      <c r="C542" s="11" t="s">
        <v>484</v>
      </c>
      <c r="D542" s="10" t="s">
        <v>1</v>
      </c>
      <c r="E542" s="10">
        <v>13.71</v>
      </c>
      <c r="F542" s="10">
        <v>15.4499999999999</v>
      </c>
      <c r="G542" s="10">
        <v>75.03</v>
      </c>
      <c r="H542" s="10">
        <v>420.3</v>
      </c>
      <c r="I542" s="10">
        <v>0.115</v>
      </c>
      <c r="J542" s="10">
        <v>7.281E-2</v>
      </c>
      <c r="K542" s="10">
        <v>4.0059999999999901E-2</v>
      </c>
      <c r="L542" s="10">
        <v>3.2500000000000001E-2</v>
      </c>
      <c r="M542" s="10">
        <v>0.2009</v>
      </c>
      <c r="N542" s="10">
        <v>6.5060000000000007E-2</v>
      </c>
      <c r="O542" s="10">
        <v>0.34460000000000002</v>
      </c>
      <c r="P542" s="10">
        <v>0.73950000000000005</v>
      </c>
      <c r="Q542" s="10">
        <v>2.355</v>
      </c>
      <c r="R542" s="10">
        <v>24.53</v>
      </c>
      <c r="S542" s="10">
        <v>9.5359999999999907E-3</v>
      </c>
      <c r="T542" s="10">
        <v>1.0970000000000001E-2</v>
      </c>
      <c r="U542" s="10">
        <v>1.651E-2</v>
      </c>
      <c r="V542" s="10">
        <v>1.1209999999999901E-2</v>
      </c>
      <c r="W542" s="10">
        <v>1.9529999999999902E-2</v>
      </c>
      <c r="X542" s="10">
        <v>3.0999999999999899E-3</v>
      </c>
      <c r="Y542" s="10">
        <v>13.06</v>
      </c>
      <c r="Z542" s="10">
        <v>18.16</v>
      </c>
      <c r="AA542" s="10">
        <v>84.159999999999897</v>
      </c>
      <c r="AB542" s="10">
        <v>516.39999999999895</v>
      </c>
      <c r="AC542" s="10">
        <v>0.14599999999999899</v>
      </c>
      <c r="AD542" s="10">
        <v>0.1115</v>
      </c>
      <c r="AE542" s="10">
        <v>0.1087</v>
      </c>
      <c r="AF542" s="10">
        <v>7.8640000000000002E-2</v>
      </c>
      <c r="AG542" s="10">
        <v>0.27650000000000002</v>
      </c>
      <c r="AH542">
        <v>7.8060000000000004E-2</v>
      </c>
    </row>
    <row r="543" spans="3:34">
      <c r="C543" s="11" t="s">
        <v>366</v>
      </c>
      <c r="D543" s="10" t="s">
        <v>1</v>
      </c>
      <c r="E543" s="10">
        <v>13.71</v>
      </c>
      <c r="F543" s="10">
        <v>15.46</v>
      </c>
      <c r="G543" s="10">
        <v>66.62</v>
      </c>
      <c r="H543" s="10">
        <v>329.6</v>
      </c>
      <c r="I543" s="10">
        <v>0.1053</v>
      </c>
      <c r="J543" s="10">
        <v>7.72199999999999E-2</v>
      </c>
      <c r="K543" s="10">
        <v>6.6429999999999901E-3</v>
      </c>
      <c r="L543" s="10">
        <v>1.2160000000000001E-2</v>
      </c>
      <c r="M543" s="10">
        <v>0.17879999999999899</v>
      </c>
      <c r="N543" s="10">
        <v>6.4500000000000002E-2</v>
      </c>
      <c r="O543" s="10">
        <v>0.1913</v>
      </c>
      <c r="P543" s="10">
        <v>0.90269999999999895</v>
      </c>
      <c r="Q543" s="10">
        <v>1.208</v>
      </c>
      <c r="R543" s="10">
        <v>11.8599999999999</v>
      </c>
      <c r="S543" s="10">
        <v>6.5129999999999902E-3</v>
      </c>
      <c r="T543" s="10">
        <v>8.0610000000000005E-3</v>
      </c>
      <c r="U543" s="10">
        <v>2.8170000000000001E-3</v>
      </c>
      <c r="V543" s="10">
        <v>4.9719999999999903E-3</v>
      </c>
      <c r="W543" s="10">
        <v>1.502E-2</v>
      </c>
      <c r="X543" s="10">
        <v>2.8210000000000002E-3</v>
      </c>
      <c r="Y543" s="10">
        <v>11.52</v>
      </c>
      <c r="Z543" s="10">
        <v>19.8</v>
      </c>
      <c r="AA543" s="10">
        <v>73.469999999999899</v>
      </c>
      <c r="AB543" s="10">
        <v>395.39999999999901</v>
      </c>
      <c r="AC543" s="10">
        <v>0.1341</v>
      </c>
      <c r="AD543" s="10">
        <v>0.1153</v>
      </c>
      <c r="AE543" s="10">
        <v>2.639E-2</v>
      </c>
      <c r="AF543" s="10">
        <v>4.4639999999999902E-2</v>
      </c>
      <c r="AG543" s="10">
        <v>0.26150000000000001</v>
      </c>
      <c r="AH543">
        <v>8.269E-2</v>
      </c>
    </row>
    <row r="544" spans="3:34">
      <c r="C544" s="11" t="s">
        <v>345</v>
      </c>
      <c r="D544" s="10" t="s">
        <v>0</v>
      </c>
      <c r="E544" s="10">
        <v>13.71</v>
      </c>
      <c r="F544" s="10">
        <v>16.68</v>
      </c>
      <c r="G544" s="10">
        <v>98.78</v>
      </c>
      <c r="H544" s="10">
        <v>716.6</v>
      </c>
      <c r="I544" s="10">
        <v>8.8760000000000006E-2</v>
      </c>
      <c r="J544" s="10">
        <v>9.5880000000000007E-2</v>
      </c>
      <c r="K544" s="10">
        <v>7.5499999999999901E-2</v>
      </c>
      <c r="L544" s="10">
        <v>4.079E-2</v>
      </c>
      <c r="M544" s="10">
        <v>0.15939999999999899</v>
      </c>
      <c r="N544" s="10">
        <v>5.9859999999999899E-2</v>
      </c>
      <c r="O544" s="10">
        <v>0.27110000000000001</v>
      </c>
      <c r="P544" s="10">
        <v>0.36209999999999898</v>
      </c>
      <c r="Q544" s="10">
        <v>1.974</v>
      </c>
      <c r="R544" s="10">
        <v>26.44</v>
      </c>
      <c r="S544" s="10">
        <v>5.4720000000000003E-3</v>
      </c>
      <c r="T544" s="10">
        <v>1.9189999999999902E-2</v>
      </c>
      <c r="U544" s="10">
        <v>2.0389999999999901E-2</v>
      </c>
      <c r="V544" s="10">
        <v>8.26E-3</v>
      </c>
      <c r="W544" s="10">
        <v>1.523E-2</v>
      </c>
      <c r="X544" s="10">
        <v>2.8809999999999899E-3</v>
      </c>
      <c r="Y544" s="10">
        <v>17.77</v>
      </c>
      <c r="Z544" s="10">
        <v>20.239999999999899</v>
      </c>
      <c r="AA544" s="10">
        <v>117.7</v>
      </c>
      <c r="AB544" s="10">
        <v>989.5</v>
      </c>
      <c r="AC544" s="10">
        <v>0.14910000000000001</v>
      </c>
      <c r="AD544" s="10">
        <v>0.33310000000000001</v>
      </c>
      <c r="AE544" s="10">
        <v>0.3327</v>
      </c>
      <c r="AF544" s="10">
        <v>0.12520000000000001</v>
      </c>
      <c r="AG544" s="10">
        <v>0.34150000000000003</v>
      </c>
      <c r="AH544">
        <v>9.74E-2</v>
      </c>
    </row>
    <row r="545" spans="3:34">
      <c r="C545" s="11" t="s">
        <v>291</v>
      </c>
      <c r="D545" s="10" t="s">
        <v>1</v>
      </c>
      <c r="E545" s="10">
        <v>13.71</v>
      </c>
      <c r="F545" s="10">
        <v>20.6999999999999</v>
      </c>
      <c r="G545" s="10">
        <v>53.27</v>
      </c>
      <c r="H545" s="10">
        <v>203.9</v>
      </c>
      <c r="I545" s="10">
        <v>9.4049999999999898E-2</v>
      </c>
      <c r="J545" s="10">
        <v>0.1305</v>
      </c>
      <c r="K545" s="10">
        <v>0.1321</v>
      </c>
      <c r="L545" s="10">
        <v>2.1680000000000001E-2</v>
      </c>
      <c r="M545" s="10">
        <v>0.22220000000000001</v>
      </c>
      <c r="N545" s="10">
        <v>8.2610000000000003E-2</v>
      </c>
      <c r="O545" s="10">
        <v>0.19350000000000001</v>
      </c>
      <c r="P545" s="10">
        <v>1.962</v>
      </c>
      <c r="Q545" s="10">
        <v>1.2430000000000001</v>
      </c>
      <c r="R545" s="10">
        <v>10.210000000000001</v>
      </c>
      <c r="S545" s="10">
        <v>1.243E-2</v>
      </c>
      <c r="T545" s="10">
        <v>5.416E-2</v>
      </c>
      <c r="U545" s="10">
        <v>7.7530000000000002E-2</v>
      </c>
      <c r="V545" s="10">
        <v>1.022E-2</v>
      </c>
      <c r="W545" s="10">
        <v>2.3089999999999899E-2</v>
      </c>
      <c r="X545" s="10">
        <v>1.1780000000000001E-2</v>
      </c>
      <c r="Y545" s="10">
        <v>9.0920000000000005</v>
      </c>
      <c r="Z545" s="10">
        <v>29.719999999999899</v>
      </c>
      <c r="AA545" s="10">
        <v>58.079999999999899</v>
      </c>
      <c r="AB545" s="10">
        <v>249.8</v>
      </c>
      <c r="AC545" s="10">
        <v>0.16300000000000001</v>
      </c>
      <c r="AD545" s="10">
        <v>0.430999999999999</v>
      </c>
      <c r="AE545" s="10">
        <v>0.53810000000000002</v>
      </c>
      <c r="AF545" s="10">
        <v>7.8789999999999902E-2</v>
      </c>
      <c r="AG545" s="10">
        <v>0.3322</v>
      </c>
      <c r="AH545">
        <v>0.14860000000000001</v>
      </c>
    </row>
    <row r="546" spans="3:34">
      <c r="C546" s="11" t="s">
        <v>352</v>
      </c>
      <c r="D546" s="10" t="s">
        <v>0</v>
      </c>
      <c r="E546" s="10">
        <v>13.71</v>
      </c>
      <c r="F546" s="10">
        <v>18.469999999999899</v>
      </c>
      <c r="G546" s="10">
        <v>188.5</v>
      </c>
      <c r="H546" s="10">
        <v>2499</v>
      </c>
      <c r="I546" s="10">
        <v>0.1142</v>
      </c>
      <c r="J546" s="10">
        <v>0.15160000000000001</v>
      </c>
      <c r="K546" s="10">
        <v>0.3201</v>
      </c>
      <c r="L546" s="10">
        <v>0.1595</v>
      </c>
      <c r="M546" s="10">
        <v>0.1648</v>
      </c>
      <c r="N546" s="10">
        <v>5.525E-2</v>
      </c>
      <c r="O546" s="10">
        <v>2.8730000000000002</v>
      </c>
      <c r="P546" s="10">
        <v>1.476</v>
      </c>
      <c r="Q546" s="10">
        <v>21.98</v>
      </c>
      <c r="R546" s="10">
        <v>525.6</v>
      </c>
      <c r="S546" s="10">
        <v>1.345E-2</v>
      </c>
      <c r="T546" s="10">
        <v>2.7720000000000002E-2</v>
      </c>
      <c r="U546" s="10">
        <v>6.3890000000000002E-2</v>
      </c>
      <c r="V546" s="10">
        <v>1.40699999999999E-2</v>
      </c>
      <c r="W546" s="10">
        <v>4.78299999999999E-2</v>
      </c>
      <c r="X546" s="10">
        <v>4.4759999999999904E-3</v>
      </c>
      <c r="Y546" s="10">
        <v>28.1099999999999</v>
      </c>
      <c r="Z546" s="10">
        <v>18.469999999999899</v>
      </c>
      <c r="AA546" s="10">
        <v>188.5</v>
      </c>
      <c r="AB546" s="10">
        <v>2499</v>
      </c>
      <c r="AC546" s="10">
        <v>0.1142</v>
      </c>
      <c r="AD546" s="10">
        <v>0.15160000000000001</v>
      </c>
      <c r="AE546" s="10">
        <v>0.3201</v>
      </c>
      <c r="AF546" s="10">
        <v>0.1595</v>
      </c>
      <c r="AG546" s="10">
        <v>0.1648</v>
      </c>
      <c r="AH546">
        <v>5.525E-2</v>
      </c>
    </row>
    <row r="547" spans="3:34">
      <c r="C547" s="11" t="s">
        <v>534</v>
      </c>
      <c r="D547" s="10" t="s">
        <v>1</v>
      </c>
      <c r="E547" s="10">
        <v>13.71</v>
      </c>
      <c r="F547" s="10">
        <v>17.719999999999899</v>
      </c>
      <c r="G547" s="10">
        <v>78.069999999999894</v>
      </c>
      <c r="H547" s="10">
        <v>446.19999999999902</v>
      </c>
      <c r="I547" s="10">
        <v>0.10290000000000001</v>
      </c>
      <c r="J547" s="10">
        <v>9.758E-2</v>
      </c>
      <c r="K547" s="10">
        <v>4.78299999999999E-2</v>
      </c>
      <c r="L547" s="10">
        <v>3.3259999999999901E-2</v>
      </c>
      <c r="M547" s="10">
        <v>0.19370000000000001</v>
      </c>
      <c r="N547" s="10">
        <v>6.1609999999999901E-2</v>
      </c>
      <c r="O547" s="10">
        <v>0.28410000000000002</v>
      </c>
      <c r="P547" s="10">
        <v>1.6519999999999899</v>
      </c>
      <c r="Q547" s="10">
        <v>1.869</v>
      </c>
      <c r="R547" s="10">
        <v>22.219999999999899</v>
      </c>
      <c r="S547" s="10">
        <v>8.1460000000000005E-3</v>
      </c>
      <c r="T547" s="10">
        <v>1.6310000000000002E-2</v>
      </c>
      <c r="U547" s="10">
        <v>1.8429999999999901E-2</v>
      </c>
      <c r="V547" s="10">
        <v>7.5129999999999902E-3</v>
      </c>
      <c r="W547" s="10">
        <v>2.0150000000000001E-2</v>
      </c>
      <c r="X547" s="10">
        <v>1.7979999999999899E-3</v>
      </c>
      <c r="Y547" s="10">
        <v>13.56</v>
      </c>
      <c r="Z547" s="10">
        <v>25.8</v>
      </c>
      <c r="AA547" s="10">
        <v>88.329999999999899</v>
      </c>
      <c r="AB547" s="10">
        <v>559.5</v>
      </c>
      <c r="AC547" s="10">
        <v>0.14319999999999899</v>
      </c>
      <c r="AD547" s="10">
        <v>0.17730000000000001</v>
      </c>
      <c r="AE547" s="10">
        <v>0.1603</v>
      </c>
      <c r="AF547" s="10">
        <v>6.2659999999999896E-2</v>
      </c>
      <c r="AG547" s="10">
        <v>0.3049</v>
      </c>
      <c r="AH547">
        <v>7.0809999999999901E-2</v>
      </c>
    </row>
    <row r="548" spans="3:34">
      <c r="C548" s="11" t="s">
        <v>185</v>
      </c>
      <c r="D548" s="10" t="s">
        <v>0</v>
      </c>
      <c r="E548" s="10">
        <v>13.71</v>
      </c>
      <c r="F548" s="10">
        <v>17.600000000000001</v>
      </c>
      <c r="G548" s="10">
        <v>123.7</v>
      </c>
      <c r="H548" s="10">
        <v>1076</v>
      </c>
      <c r="I548" s="10">
        <v>0.1099</v>
      </c>
      <c r="J548" s="10">
        <v>0.1686</v>
      </c>
      <c r="K548" s="10">
        <v>0.19739999999999899</v>
      </c>
      <c r="L548" s="10">
        <v>0.1009</v>
      </c>
      <c r="M548" s="10">
        <v>0.19070000000000001</v>
      </c>
      <c r="N548" s="10">
        <v>6.0490000000000002E-2</v>
      </c>
      <c r="O548" s="10">
        <v>0.62890000000000001</v>
      </c>
      <c r="P548" s="10">
        <v>0.6633</v>
      </c>
      <c r="Q548" s="10">
        <v>4.2930000000000001</v>
      </c>
      <c r="R548" s="10">
        <v>71.56</v>
      </c>
      <c r="S548" s="10">
        <v>6.2940000000000001E-3</v>
      </c>
      <c r="T548" s="10">
        <v>3.9940000000000003E-2</v>
      </c>
      <c r="U548" s="10">
        <v>5.5539999999999902E-2</v>
      </c>
      <c r="V548" s="10">
        <v>1.695E-2</v>
      </c>
      <c r="W548" s="10">
        <v>2.4279999999999899E-2</v>
      </c>
      <c r="X548" s="10">
        <v>3.53499999999999E-3</v>
      </c>
      <c r="Y548" s="10">
        <v>22.82</v>
      </c>
      <c r="Z548" s="10">
        <v>21.32</v>
      </c>
      <c r="AA548" s="10">
        <v>150.599999999999</v>
      </c>
      <c r="AB548" s="10">
        <v>1567</v>
      </c>
      <c r="AC548" s="10">
        <v>0.16789999999999899</v>
      </c>
      <c r="AD548" s="10">
        <v>0.50900000000000001</v>
      </c>
      <c r="AE548" s="10">
        <v>0.73450000000000004</v>
      </c>
      <c r="AF548" s="10">
        <v>0.23780000000000001</v>
      </c>
      <c r="AG548" s="10">
        <v>0.37990000000000002</v>
      </c>
      <c r="AH548">
        <v>9.1850000000000001E-2</v>
      </c>
    </row>
    <row r="549" spans="3:34">
      <c r="C549" s="11" t="s">
        <v>556</v>
      </c>
      <c r="D549" s="10" t="s">
        <v>1</v>
      </c>
      <c r="E549" s="10">
        <v>13.71</v>
      </c>
      <c r="F549" s="10">
        <v>21.6999999999999</v>
      </c>
      <c r="G549" s="10">
        <v>59.6</v>
      </c>
      <c r="H549" s="10">
        <v>271.19999999999902</v>
      </c>
      <c r="I549" s="10">
        <v>0.10440000000000001</v>
      </c>
      <c r="J549" s="10">
        <v>6.1589999999999902E-2</v>
      </c>
      <c r="K549" s="10">
        <v>2.0469999999999901E-2</v>
      </c>
      <c r="L549" s="10">
        <v>1.257E-2</v>
      </c>
      <c r="M549" s="10">
        <v>0.20250000000000001</v>
      </c>
      <c r="N549" s="10">
        <v>6.6009999999999902E-2</v>
      </c>
      <c r="O549" s="10">
        <v>0.43020000000000003</v>
      </c>
      <c r="P549" s="10">
        <v>2.8780000000000001</v>
      </c>
      <c r="Q549" s="10">
        <v>2.7589999999999901</v>
      </c>
      <c r="R549" s="10">
        <v>25.17</v>
      </c>
      <c r="S549" s="10">
        <v>1.474E-2</v>
      </c>
      <c r="T549" s="10">
        <v>1.6740000000000001E-2</v>
      </c>
      <c r="U549" s="10">
        <v>1.367E-2</v>
      </c>
      <c r="V549" s="10">
        <v>8.6739999999999907E-3</v>
      </c>
      <c r="W549" s="10">
        <v>3.0439999999999901E-2</v>
      </c>
      <c r="X549" s="10">
        <v>4.5900000000000003E-3</v>
      </c>
      <c r="Y549" s="10">
        <v>10.85</v>
      </c>
      <c r="Z549" s="10">
        <v>31.239999999999899</v>
      </c>
      <c r="AA549" s="10">
        <v>68.73</v>
      </c>
      <c r="AB549" s="10">
        <v>359.39999999999901</v>
      </c>
      <c r="AC549" s="10">
        <v>0.15260000000000001</v>
      </c>
      <c r="AD549" s="10">
        <v>0.1193</v>
      </c>
      <c r="AE549" s="10">
        <v>6.1409999999999902E-2</v>
      </c>
      <c r="AF549" s="10">
        <v>3.76999999999999E-2</v>
      </c>
      <c r="AG549" s="10">
        <v>0.28720000000000001</v>
      </c>
      <c r="AH549">
        <v>8.3040000000000003E-2</v>
      </c>
    </row>
    <row r="550" spans="3:34">
      <c r="C550" s="11" t="s">
        <v>148</v>
      </c>
      <c r="D550" s="10" t="s">
        <v>0</v>
      </c>
      <c r="E550" s="10">
        <v>13.71</v>
      </c>
      <c r="F550" s="10">
        <v>21.82</v>
      </c>
      <c r="G550" s="10">
        <v>87.5</v>
      </c>
      <c r="H550" s="10">
        <v>519.79999999999905</v>
      </c>
      <c r="I550" s="10">
        <v>0.1273</v>
      </c>
      <c r="J550" s="10">
        <v>0.19320000000000001</v>
      </c>
      <c r="K550" s="10">
        <v>0.18590000000000001</v>
      </c>
      <c r="L550" s="10">
        <v>9.3530000000000002E-2</v>
      </c>
      <c r="M550" s="10">
        <v>0.23499999999999899</v>
      </c>
      <c r="N550" s="10">
        <v>7.38899999999999E-2</v>
      </c>
      <c r="O550" s="10">
        <v>0.30630000000000002</v>
      </c>
      <c r="P550" s="10">
        <v>1.002</v>
      </c>
      <c r="Q550" s="10">
        <v>2.4060000000000001</v>
      </c>
      <c r="R550" s="10">
        <v>24.32</v>
      </c>
      <c r="S550" s="10">
        <v>5.731E-3</v>
      </c>
      <c r="T550" s="10">
        <v>3.5020000000000003E-2</v>
      </c>
      <c r="U550" s="10">
        <v>3.5529999999999902E-2</v>
      </c>
      <c r="V550" s="10">
        <v>1.226E-2</v>
      </c>
      <c r="W550" s="10">
        <v>2.1430000000000001E-2</v>
      </c>
      <c r="X550" s="10">
        <v>3.7490000000000002E-3</v>
      </c>
      <c r="Y550" s="10">
        <v>15.49</v>
      </c>
      <c r="Z550" s="10">
        <v>30.73</v>
      </c>
      <c r="AA550" s="10">
        <v>106.2</v>
      </c>
      <c r="AB550" s="10">
        <v>739.29999999999905</v>
      </c>
      <c r="AC550" s="10">
        <v>0.17030000000000001</v>
      </c>
      <c r="AD550" s="10">
        <v>0.54010000000000002</v>
      </c>
      <c r="AE550" s="10">
        <v>0.53900000000000003</v>
      </c>
      <c r="AF550" s="10">
        <v>0.20599999999999899</v>
      </c>
      <c r="AG550" s="10">
        <v>0.43780000000000002</v>
      </c>
      <c r="AH550">
        <v>0.1072</v>
      </c>
    </row>
    <row r="551" spans="3:34">
      <c r="C551" s="11" t="s">
        <v>668</v>
      </c>
      <c r="D551" s="10" t="s">
        <v>1</v>
      </c>
      <c r="E551" s="10">
        <v>13.71</v>
      </c>
      <c r="F551" s="10">
        <v>13.17</v>
      </c>
      <c r="G551" s="10">
        <v>90.31</v>
      </c>
      <c r="H551" s="10">
        <v>594.20000000000005</v>
      </c>
      <c r="I551" s="10">
        <v>0.124799999999999</v>
      </c>
      <c r="J551" s="10">
        <v>9.7549999999999901E-2</v>
      </c>
      <c r="K551" s="10">
        <v>0.10100000000000001</v>
      </c>
      <c r="L551" s="10">
        <v>6.615E-2</v>
      </c>
      <c r="M551" s="10">
        <v>0.1976</v>
      </c>
      <c r="N551" s="10">
        <v>6.4570000000000002E-2</v>
      </c>
      <c r="O551" s="10">
        <v>0.54610000000000003</v>
      </c>
      <c r="P551" s="10">
        <v>2.63499999999999</v>
      </c>
      <c r="Q551" s="10">
        <v>4.0910000000000002</v>
      </c>
      <c r="R551" s="10">
        <v>44.74</v>
      </c>
      <c r="S551" s="10">
        <v>1.004E-2</v>
      </c>
      <c r="T551" s="10">
        <v>3.2469999999999902E-2</v>
      </c>
      <c r="U551" s="10">
        <v>4.7629999999999902E-2</v>
      </c>
      <c r="V551" s="10">
        <v>2.853E-2</v>
      </c>
      <c r="W551" s="10">
        <v>1.7149999999999901E-2</v>
      </c>
      <c r="X551" s="10">
        <v>5.5279999999999904E-3</v>
      </c>
      <c r="Y551" s="10">
        <v>14.6199999999999</v>
      </c>
      <c r="Z551" s="10">
        <v>15.38</v>
      </c>
      <c r="AA551" s="10">
        <v>94.519999999999897</v>
      </c>
      <c r="AB551" s="10">
        <v>653.29999999999905</v>
      </c>
      <c r="AC551" s="10">
        <v>0.1394</v>
      </c>
      <c r="AD551" s="10">
        <v>0.13639999999999899</v>
      </c>
      <c r="AE551" s="10">
        <v>0.15590000000000001</v>
      </c>
      <c r="AF551" s="10">
        <v>0.10150000000000001</v>
      </c>
      <c r="AG551" s="10">
        <v>0.216</v>
      </c>
      <c r="AH551">
        <v>7.25299999999999E-2</v>
      </c>
    </row>
    <row r="552" spans="3:34">
      <c r="C552" s="11" t="s">
        <v>644</v>
      </c>
      <c r="D552" s="10" t="s">
        <v>1</v>
      </c>
      <c r="E552" s="10">
        <v>13.71</v>
      </c>
      <c r="F552" s="10">
        <v>12.8699999999999</v>
      </c>
      <c r="G552" s="10">
        <v>61.49</v>
      </c>
      <c r="H552" s="10">
        <v>248.69999999999899</v>
      </c>
      <c r="I552" s="10">
        <v>0.16339999999999899</v>
      </c>
      <c r="J552" s="10">
        <v>0.22389999999999899</v>
      </c>
      <c r="K552" s="10">
        <v>9.72999999999999E-2</v>
      </c>
      <c r="L552" s="10">
        <v>5.25199999999999E-2</v>
      </c>
      <c r="M552" s="10">
        <v>0.23780000000000001</v>
      </c>
      <c r="N552" s="10">
        <v>9.5019999999999896E-2</v>
      </c>
      <c r="O552" s="10">
        <v>0.40760000000000002</v>
      </c>
      <c r="P552" s="10">
        <v>1.093</v>
      </c>
      <c r="Q552" s="10">
        <v>3.01399999999999</v>
      </c>
      <c r="R552" s="10">
        <v>20.0399999999999</v>
      </c>
      <c r="S552" s="10">
        <v>9.783E-3</v>
      </c>
      <c r="T552" s="10">
        <v>4.5420000000000002E-2</v>
      </c>
      <c r="U552" s="10">
        <v>3.483E-2</v>
      </c>
      <c r="V552" s="10">
        <v>2.188E-2</v>
      </c>
      <c r="W552" s="10">
        <v>2.5420000000000002E-2</v>
      </c>
      <c r="X552" s="10">
        <v>1.04499999999999E-2</v>
      </c>
      <c r="Y552" s="10">
        <v>10.2799999999999</v>
      </c>
      <c r="Z552" s="10">
        <v>16.3799999999999</v>
      </c>
      <c r="AA552" s="10">
        <v>69.049999999999898</v>
      </c>
      <c r="AB552" s="10">
        <v>300.19999999999902</v>
      </c>
      <c r="AC552" s="10">
        <v>0.19020000000000001</v>
      </c>
      <c r="AD552" s="10">
        <v>0.34410000000000002</v>
      </c>
      <c r="AE552" s="10">
        <v>0.2099</v>
      </c>
      <c r="AF552" s="10">
        <v>0.10249999999999899</v>
      </c>
      <c r="AG552" s="10">
        <v>0.30380000000000001</v>
      </c>
      <c r="AH552">
        <v>0.12520000000000001</v>
      </c>
    </row>
    <row r="553" spans="3:34">
      <c r="C553" s="11" t="s">
        <v>610</v>
      </c>
      <c r="D553" s="10" t="s">
        <v>1</v>
      </c>
      <c r="E553" s="10">
        <v>13.71</v>
      </c>
      <c r="F553" s="10">
        <v>18.489999999999899</v>
      </c>
      <c r="G553" s="10">
        <v>61.49</v>
      </c>
      <c r="H553" s="10">
        <v>289.10000000000002</v>
      </c>
      <c r="I553" s="10">
        <v>8.9459999999999901E-2</v>
      </c>
      <c r="J553" s="10">
        <v>6.25799999999999E-2</v>
      </c>
      <c r="K553" s="10">
        <v>2.9479999999999899E-2</v>
      </c>
      <c r="L553" s="10">
        <v>1.5140000000000001E-2</v>
      </c>
      <c r="M553" s="10">
        <v>0.2238</v>
      </c>
      <c r="N553" s="10">
        <v>6.4130000000000006E-2</v>
      </c>
      <c r="O553" s="10">
        <v>0.37759999999999899</v>
      </c>
      <c r="P553" s="10">
        <v>1.35</v>
      </c>
      <c r="Q553" s="10">
        <v>2.569</v>
      </c>
      <c r="R553" s="10">
        <v>22.73</v>
      </c>
      <c r="S553" s="10">
        <v>7.5009999999999903E-3</v>
      </c>
      <c r="T553" s="10">
        <v>1.9890000000000001E-2</v>
      </c>
      <c r="U553" s="10">
        <v>2.7140000000000001E-2</v>
      </c>
      <c r="V553" s="10">
        <v>9.8829999999999908E-3</v>
      </c>
      <c r="W553" s="10">
        <v>1.9599999999999899E-2</v>
      </c>
      <c r="X553" s="10">
        <v>3.9129999999999903E-3</v>
      </c>
      <c r="Y553" s="10">
        <v>11.14</v>
      </c>
      <c r="Z553" s="10">
        <v>25.62</v>
      </c>
      <c r="AA553" s="10">
        <v>70.879999999999896</v>
      </c>
      <c r="AB553" s="10">
        <v>385.19999999999902</v>
      </c>
      <c r="AC553" s="10">
        <v>0.1234</v>
      </c>
      <c r="AD553" s="10">
        <v>0.1542</v>
      </c>
      <c r="AE553" s="10">
        <v>0.12770000000000001</v>
      </c>
      <c r="AF553" s="10">
        <v>6.5600000000000006E-2</v>
      </c>
      <c r="AG553" s="10">
        <v>0.31740000000000002</v>
      </c>
      <c r="AH553">
        <v>8.5239999999999899E-2</v>
      </c>
    </row>
    <row r="554" spans="3:34">
      <c r="C554" s="11" t="s">
        <v>370</v>
      </c>
      <c r="D554" s="10" t="s">
        <v>0</v>
      </c>
      <c r="E554" s="10">
        <v>13.71</v>
      </c>
      <c r="F554" s="10">
        <v>19.079999999999899</v>
      </c>
      <c r="G554" s="10">
        <v>113.4</v>
      </c>
      <c r="H554" s="10">
        <v>895</v>
      </c>
      <c r="I554" s="10">
        <v>0.11409999999999899</v>
      </c>
      <c r="J554" s="10">
        <v>0.15720000000000001</v>
      </c>
      <c r="K554" s="10">
        <v>0.191</v>
      </c>
      <c r="L554" s="10">
        <v>0.109</v>
      </c>
      <c r="M554" s="10">
        <v>0.21310000000000001</v>
      </c>
      <c r="N554" s="10">
        <v>6.3250000000000001E-2</v>
      </c>
      <c r="O554" s="10">
        <v>0.2959</v>
      </c>
      <c r="P554" s="10">
        <v>0.67900000000000005</v>
      </c>
      <c r="Q554" s="10">
        <v>2.153</v>
      </c>
      <c r="R554" s="10">
        <v>31.98</v>
      </c>
      <c r="S554" s="10">
        <v>5.5319999999999901E-3</v>
      </c>
      <c r="T554" s="10">
        <v>2.0080000000000001E-2</v>
      </c>
      <c r="U554" s="10">
        <v>3.0550000000000001E-2</v>
      </c>
      <c r="V554" s="10">
        <v>1.384E-2</v>
      </c>
      <c r="W554" s="10">
        <v>1.17699999999999E-2</v>
      </c>
      <c r="X554" s="10">
        <v>2.336E-3</v>
      </c>
      <c r="Y554" s="10">
        <v>19.59</v>
      </c>
      <c r="Z554" s="10">
        <v>24.89</v>
      </c>
      <c r="AA554" s="10">
        <v>133.5</v>
      </c>
      <c r="AB554" s="10">
        <v>1189</v>
      </c>
      <c r="AC554" s="10">
        <v>0.17030000000000001</v>
      </c>
      <c r="AD554" s="10">
        <v>0.39340000000000003</v>
      </c>
      <c r="AE554" s="10">
        <v>0.50180000000000002</v>
      </c>
      <c r="AF554" s="10">
        <v>0.25430000000000003</v>
      </c>
      <c r="AG554" s="10">
        <v>0.31090000000000001</v>
      </c>
      <c r="AH554">
        <v>9.0609999999999899E-2</v>
      </c>
    </row>
    <row r="555" spans="3:34">
      <c r="C555" s="11" t="s">
        <v>470</v>
      </c>
      <c r="D555" s="10" t="s">
        <v>0</v>
      </c>
      <c r="E555" s="10">
        <v>13.71</v>
      </c>
      <c r="F555" s="10">
        <v>15.51</v>
      </c>
      <c r="G555" s="10">
        <v>105.8</v>
      </c>
      <c r="H555" s="10">
        <v>793.2</v>
      </c>
      <c r="I555" s="10">
        <v>9.4909999999999897E-2</v>
      </c>
      <c r="J555" s="10">
        <v>0.1371</v>
      </c>
      <c r="K555" s="10">
        <v>0.12039999999999899</v>
      </c>
      <c r="L555" s="10">
        <v>7.041E-2</v>
      </c>
      <c r="M555" s="10">
        <v>0.1782</v>
      </c>
      <c r="N555" s="10">
        <v>5.9760000000000001E-2</v>
      </c>
      <c r="O555" s="10">
        <v>0.33710000000000001</v>
      </c>
      <c r="P555" s="10">
        <v>0.74760000000000004</v>
      </c>
      <c r="Q555" s="10">
        <v>2.629</v>
      </c>
      <c r="R555" s="10">
        <v>33.270000000000003</v>
      </c>
      <c r="S555" s="10">
        <v>5.83899999999999E-3</v>
      </c>
      <c r="T555" s="10">
        <v>3.245E-2</v>
      </c>
      <c r="U555" s="10">
        <v>3.7150000000000002E-2</v>
      </c>
      <c r="V555" s="10">
        <v>1.4590000000000001E-2</v>
      </c>
      <c r="W555" s="10">
        <v>1.4670000000000001E-2</v>
      </c>
      <c r="X555" s="10">
        <v>3.1210000000000001E-3</v>
      </c>
      <c r="Y555" s="10">
        <v>18.760000000000002</v>
      </c>
      <c r="Z555" s="10">
        <v>21.98</v>
      </c>
      <c r="AA555" s="10">
        <v>124.3</v>
      </c>
      <c r="AB555" s="10">
        <v>1070</v>
      </c>
      <c r="AC555" s="10">
        <v>0.14349999999999899</v>
      </c>
      <c r="AD555" s="10">
        <v>0.44779999999999898</v>
      </c>
      <c r="AE555" s="10">
        <v>0.49559999999999899</v>
      </c>
      <c r="AF555" s="10">
        <v>0.1981</v>
      </c>
      <c r="AG555" s="10">
        <v>0.3019</v>
      </c>
      <c r="AH555">
        <v>9.1240000000000002E-2</v>
      </c>
    </row>
    <row r="556" spans="3:34">
      <c r="C556" s="11" t="s">
        <v>229</v>
      </c>
      <c r="D556" s="10" t="s">
        <v>1</v>
      </c>
      <c r="E556" s="10">
        <v>13.71</v>
      </c>
      <c r="F556" s="10">
        <v>15.24</v>
      </c>
      <c r="G556" s="10">
        <v>95.769999999999897</v>
      </c>
      <c r="H556" s="10">
        <v>651.89999999999895</v>
      </c>
      <c r="I556" s="10">
        <v>0.1132</v>
      </c>
      <c r="J556" s="10">
        <v>0.13389999999999899</v>
      </c>
      <c r="K556" s="10">
        <v>9.9659999999999901E-2</v>
      </c>
      <c r="L556" s="10">
        <v>7.0639999999999897E-2</v>
      </c>
      <c r="M556" s="10">
        <v>0.21160000000000001</v>
      </c>
      <c r="N556" s="10">
        <v>6.3460000000000003E-2</v>
      </c>
      <c r="O556" s="10">
        <v>0.51149999999999896</v>
      </c>
      <c r="P556" s="10">
        <v>0.73719999999999897</v>
      </c>
      <c r="Q556" s="10">
        <v>3.8140000000000001</v>
      </c>
      <c r="R556" s="10">
        <v>42.759999999999899</v>
      </c>
      <c r="S556" s="10">
        <v>5.5079999999999903E-3</v>
      </c>
      <c r="T556" s="10">
        <v>4.4119999999999902E-2</v>
      </c>
      <c r="U556" s="10">
        <v>4.43599999999999E-2</v>
      </c>
      <c r="V556" s="10">
        <v>1.6230000000000001E-2</v>
      </c>
      <c r="W556" s="10">
        <v>2.427E-2</v>
      </c>
      <c r="X556" s="10">
        <v>4.8409999999999903E-3</v>
      </c>
      <c r="Y556" s="10">
        <v>16.34</v>
      </c>
      <c r="Z556" s="10">
        <v>18.239999999999899</v>
      </c>
      <c r="AA556" s="10">
        <v>109.4</v>
      </c>
      <c r="AB556" s="10">
        <v>803.6</v>
      </c>
      <c r="AC556" s="10">
        <v>0.12770000000000001</v>
      </c>
      <c r="AD556" s="10">
        <v>0.30890000000000001</v>
      </c>
      <c r="AE556" s="10">
        <v>0.26040000000000002</v>
      </c>
      <c r="AF556" s="10">
        <v>0.13969999999999899</v>
      </c>
      <c r="AG556" s="10">
        <v>0.31509999999999899</v>
      </c>
      <c r="AH556">
        <v>8.473E-2</v>
      </c>
    </row>
    <row r="557" spans="3:34">
      <c r="C557" s="11" t="s">
        <v>671</v>
      </c>
      <c r="D557" s="10" t="s">
        <v>1</v>
      </c>
      <c r="E557" s="10">
        <v>13.71</v>
      </c>
      <c r="F557" s="10">
        <v>20.02</v>
      </c>
      <c r="G557" s="10">
        <v>75.209999999999894</v>
      </c>
      <c r="H557" s="10">
        <v>416.19999999999902</v>
      </c>
      <c r="I557" s="10">
        <v>0.1016</v>
      </c>
      <c r="J557" s="10">
        <v>9.4530000000000003E-2</v>
      </c>
      <c r="K557" s="10">
        <v>4.2000000000000003E-2</v>
      </c>
      <c r="L557" s="10">
        <v>2.1569999999999898E-2</v>
      </c>
      <c r="M557" s="10">
        <v>0.18590000000000001</v>
      </c>
      <c r="N557" s="10">
        <v>6.4610000000000001E-2</v>
      </c>
      <c r="O557" s="10">
        <v>0.206699999999999</v>
      </c>
      <c r="P557" s="10">
        <v>0.87450000000000006</v>
      </c>
      <c r="Q557" s="10">
        <v>1.393</v>
      </c>
      <c r="R557" s="10">
        <v>15.34</v>
      </c>
      <c r="S557" s="10">
        <v>5.2509999999999901E-3</v>
      </c>
      <c r="T557" s="10">
        <v>1.7270000000000001E-2</v>
      </c>
      <c r="U557" s="10">
        <v>1.84E-2</v>
      </c>
      <c r="V557" s="10">
        <v>5.2979999999999902E-3</v>
      </c>
      <c r="W557" s="10">
        <v>1.4489999999999901E-2</v>
      </c>
      <c r="X557" s="10">
        <v>2.6710000000000002E-3</v>
      </c>
      <c r="Y557" s="10">
        <v>13.35</v>
      </c>
      <c r="Z557" s="10">
        <v>28.809999999999899</v>
      </c>
      <c r="AA557" s="10">
        <v>87</v>
      </c>
      <c r="AB557" s="10">
        <v>550.6</v>
      </c>
      <c r="AC557" s="10">
        <v>0.155</v>
      </c>
      <c r="AD557" s="10">
        <v>0.2964</v>
      </c>
      <c r="AE557" s="10">
        <v>0.27579999999999899</v>
      </c>
      <c r="AF557" s="10">
        <v>8.1199999999999897E-2</v>
      </c>
      <c r="AG557" s="10">
        <v>0.3206</v>
      </c>
      <c r="AH557">
        <v>8.9499999999999899E-2</v>
      </c>
    </row>
    <row r="558" spans="3:34">
      <c r="C558" s="11" t="s">
        <v>218</v>
      </c>
      <c r="D558" s="10" t="s">
        <v>0</v>
      </c>
      <c r="E558" s="10">
        <v>13.71</v>
      </c>
      <c r="F558" s="10">
        <v>23.969999999999899</v>
      </c>
      <c r="G558" s="10">
        <v>143.69999999999899</v>
      </c>
      <c r="H558" s="10">
        <v>1245</v>
      </c>
      <c r="I558" s="10">
        <v>0.12859999999999899</v>
      </c>
      <c r="J558" s="10">
        <v>0.34539999999999899</v>
      </c>
      <c r="K558" s="10">
        <v>0.37540000000000001</v>
      </c>
      <c r="L558" s="10">
        <v>0.16039999999999899</v>
      </c>
      <c r="M558" s="10">
        <v>0.29060000000000002</v>
      </c>
      <c r="N558" s="10">
        <v>8.1420000000000006E-2</v>
      </c>
      <c r="O558" s="10">
        <v>0.93169999999999897</v>
      </c>
      <c r="P558" s="10">
        <v>1.885</v>
      </c>
      <c r="Q558" s="10">
        <v>8.6489999999999903</v>
      </c>
      <c r="R558" s="10">
        <v>116.4</v>
      </c>
      <c r="S558" s="10">
        <v>1.038E-2</v>
      </c>
      <c r="T558" s="10">
        <v>6.8349999999999897E-2</v>
      </c>
      <c r="U558" s="10">
        <v>0.1091</v>
      </c>
      <c r="V558" s="10">
        <v>2.5930000000000002E-2</v>
      </c>
      <c r="W558" s="10">
        <v>7.8950000000000006E-2</v>
      </c>
      <c r="X558" s="10">
        <v>5.9870000000000001E-3</v>
      </c>
      <c r="Y558" s="10">
        <v>23.37</v>
      </c>
      <c r="Z558" s="10">
        <v>31.719999999999899</v>
      </c>
      <c r="AA558" s="10">
        <v>170.3</v>
      </c>
      <c r="AB558" s="10">
        <v>1623</v>
      </c>
      <c r="AC558" s="10">
        <v>0.16389999999999899</v>
      </c>
      <c r="AD558" s="10">
        <v>0.61639999999999895</v>
      </c>
      <c r="AE558" s="10">
        <v>0.7681</v>
      </c>
      <c r="AF558" s="10">
        <v>0.25080000000000002</v>
      </c>
      <c r="AG558" s="10">
        <v>0.54400000000000004</v>
      </c>
      <c r="AH558">
        <v>9.9640000000000006E-2</v>
      </c>
    </row>
    <row r="559" spans="3:34">
      <c r="C559" s="11" t="s">
        <v>263</v>
      </c>
      <c r="D559" s="10" t="s">
        <v>1</v>
      </c>
      <c r="E559" s="10">
        <v>13.71</v>
      </c>
      <c r="F559" s="10">
        <v>10.89</v>
      </c>
      <c r="G559" s="10">
        <v>94.28</v>
      </c>
      <c r="H559" s="10">
        <v>640.70000000000005</v>
      </c>
      <c r="I559" s="10">
        <v>0.1101</v>
      </c>
      <c r="J559" s="10">
        <v>0.1099</v>
      </c>
      <c r="K559" s="10">
        <v>8.8419999999999901E-2</v>
      </c>
      <c r="L559" s="10">
        <v>5.7779999999999901E-2</v>
      </c>
      <c r="M559" s="10">
        <v>0.18559999999999899</v>
      </c>
      <c r="N559" s="10">
        <v>6.4019999999999896E-2</v>
      </c>
      <c r="O559" s="10">
        <v>0.29289999999999899</v>
      </c>
      <c r="P559" s="10">
        <v>0.85699999999999898</v>
      </c>
      <c r="Q559" s="10">
        <v>1.9279999999999899</v>
      </c>
      <c r="R559" s="10">
        <v>24.19</v>
      </c>
      <c r="S559" s="10">
        <v>3.8180000000000002E-3</v>
      </c>
      <c r="T559" s="10">
        <v>1.2760000000000001E-2</v>
      </c>
      <c r="U559" s="10">
        <v>2.8819999999999901E-2</v>
      </c>
      <c r="V559" s="10">
        <v>1.2E-2</v>
      </c>
      <c r="W559" s="10">
        <v>1.9099999999999898E-2</v>
      </c>
      <c r="X559" s="10">
        <v>2.8080000000000002E-3</v>
      </c>
      <c r="Y559" s="10">
        <v>15.6999999999999</v>
      </c>
      <c r="Z559" s="10">
        <v>15.98</v>
      </c>
      <c r="AA559" s="10">
        <v>102.8</v>
      </c>
      <c r="AB559" s="10">
        <v>745.5</v>
      </c>
      <c r="AC559" s="10">
        <v>0.1313</v>
      </c>
      <c r="AD559" s="10">
        <v>0.17879999999999899</v>
      </c>
      <c r="AE559" s="10">
        <v>0.25600000000000001</v>
      </c>
      <c r="AF559" s="10">
        <v>0.1221</v>
      </c>
      <c r="AG559" s="10">
        <v>0.28889999999999899</v>
      </c>
      <c r="AH559">
        <v>8.0060000000000006E-2</v>
      </c>
    </row>
    <row r="560" spans="3:34">
      <c r="C560" s="11" t="s">
        <v>522</v>
      </c>
      <c r="D560" s="10" t="s">
        <v>1</v>
      </c>
      <c r="E560" s="10">
        <v>13.71</v>
      </c>
      <c r="F560" s="10">
        <v>22.719999999999899</v>
      </c>
      <c r="G560" s="10">
        <v>78.75</v>
      </c>
      <c r="H560" s="10">
        <v>447.8</v>
      </c>
      <c r="I560" s="10">
        <v>6.9349999999999898E-2</v>
      </c>
      <c r="J560" s="10">
        <v>0.10730000000000001</v>
      </c>
      <c r="K560" s="10">
        <v>7.9430000000000001E-2</v>
      </c>
      <c r="L560" s="10">
        <v>2.9780000000000001E-2</v>
      </c>
      <c r="M560" s="10">
        <v>0.1203</v>
      </c>
      <c r="N560" s="10">
        <v>6.6589999999999899E-2</v>
      </c>
      <c r="O560" s="10">
        <v>0.11940000000000001</v>
      </c>
      <c r="P560" s="10">
        <v>1.4339999999999899</v>
      </c>
      <c r="Q560" s="10">
        <v>1.778</v>
      </c>
      <c r="R560" s="10">
        <v>9.5489999999999906</v>
      </c>
      <c r="S560" s="10">
        <v>5.0419999999999901E-3</v>
      </c>
      <c r="T560" s="10">
        <v>4.5600000000000002E-2</v>
      </c>
      <c r="U560" s="10">
        <v>4.3049999999999901E-2</v>
      </c>
      <c r="V560" s="10">
        <v>1.6670000000000001E-2</v>
      </c>
      <c r="W560" s="10">
        <v>2.47E-2</v>
      </c>
      <c r="X560" s="10">
        <v>7.358E-3</v>
      </c>
      <c r="Y560" s="10">
        <v>12.57</v>
      </c>
      <c r="Z560" s="10">
        <v>28.71</v>
      </c>
      <c r="AA560" s="10">
        <v>87.3599999999999</v>
      </c>
      <c r="AB560" s="10">
        <v>488.39999999999901</v>
      </c>
      <c r="AC560" s="10">
        <v>8.7989999999999902E-2</v>
      </c>
      <c r="AD560" s="10">
        <v>0.32140000000000002</v>
      </c>
      <c r="AE560" s="10">
        <v>0.29120000000000001</v>
      </c>
      <c r="AF560" s="10">
        <v>0.10920000000000001</v>
      </c>
      <c r="AG560" s="10">
        <v>0.21909999999999899</v>
      </c>
      <c r="AH560">
        <v>9.3490000000000004E-2</v>
      </c>
    </row>
    <row r="561" spans="3:34">
      <c r="C561" s="11" t="s">
        <v>589</v>
      </c>
      <c r="D561" s="10" t="s">
        <v>0</v>
      </c>
      <c r="E561" s="10">
        <v>13.71</v>
      </c>
      <c r="F561" s="10">
        <v>20.52</v>
      </c>
      <c r="G561" s="10">
        <v>138.099999999999</v>
      </c>
      <c r="H561" s="10">
        <v>1384</v>
      </c>
      <c r="I561" s="10">
        <v>9.6839999999999898E-2</v>
      </c>
      <c r="J561" s="10">
        <v>0.11749999999999899</v>
      </c>
      <c r="K561" s="10">
        <v>0.15720000000000001</v>
      </c>
      <c r="L561" s="10">
        <v>0.11550000000000001</v>
      </c>
      <c r="M561" s="10">
        <v>0.15540000000000001</v>
      </c>
      <c r="N561" s="10">
        <v>5.6610000000000001E-2</v>
      </c>
      <c r="O561" s="10">
        <v>0.6643</v>
      </c>
      <c r="P561" s="10">
        <v>1.361</v>
      </c>
      <c r="Q561" s="10">
        <v>4.54199999999999</v>
      </c>
      <c r="R561" s="10">
        <v>81.89</v>
      </c>
      <c r="S561" s="10">
        <v>5.4669999999999901E-3</v>
      </c>
      <c r="T561" s="10">
        <v>2.0750000000000001E-2</v>
      </c>
      <c r="U561" s="10">
        <v>3.1850000000000003E-2</v>
      </c>
      <c r="V561" s="10">
        <v>1.4659999999999901E-2</v>
      </c>
      <c r="W561" s="10">
        <v>1.0290000000000001E-2</v>
      </c>
      <c r="X561" s="10">
        <v>2.20499999999999E-3</v>
      </c>
      <c r="Y561" s="10">
        <v>25.68</v>
      </c>
      <c r="Z561" s="10">
        <v>32.07</v>
      </c>
      <c r="AA561" s="10">
        <v>168.19999999999899</v>
      </c>
      <c r="AB561" s="10">
        <v>2022</v>
      </c>
      <c r="AC561" s="10">
        <v>0.1368</v>
      </c>
      <c r="AD561" s="10">
        <v>0.31009999999999899</v>
      </c>
      <c r="AE561" s="10">
        <v>0.43990000000000001</v>
      </c>
      <c r="AF561" s="10">
        <v>0.22800000000000001</v>
      </c>
      <c r="AG561" s="10">
        <v>0.2268</v>
      </c>
      <c r="AH561">
        <v>7.4249999999999899E-2</v>
      </c>
    </row>
    <row r="562" spans="3:34">
      <c r="C562" s="11" t="s">
        <v>600</v>
      </c>
      <c r="D562" s="10" t="s">
        <v>0</v>
      </c>
      <c r="E562" s="10">
        <v>13.71</v>
      </c>
      <c r="F562" s="10">
        <v>27.149999999999899</v>
      </c>
      <c r="G562" s="10">
        <v>111.2</v>
      </c>
      <c r="H562" s="10">
        <v>930.89999999999895</v>
      </c>
      <c r="I562" s="10">
        <v>9.8979999999999901E-2</v>
      </c>
      <c r="J562" s="10">
        <v>0.111</v>
      </c>
      <c r="K562" s="10">
        <v>0.1007</v>
      </c>
      <c r="L562" s="10">
        <v>6.4310000000000006E-2</v>
      </c>
      <c r="M562" s="10">
        <v>0.17929999999999899</v>
      </c>
      <c r="N562" s="10">
        <v>6.2810000000000005E-2</v>
      </c>
      <c r="O562" s="10">
        <v>0.92910000000000004</v>
      </c>
      <c r="P562" s="10">
        <v>1.1519999999999899</v>
      </c>
      <c r="Q562" s="10">
        <v>6.0510000000000002</v>
      </c>
      <c r="R562" s="10">
        <v>115.2</v>
      </c>
      <c r="S562" s="10">
        <v>8.7399999999999908E-3</v>
      </c>
      <c r="T562" s="10">
        <v>2.2190000000000001E-2</v>
      </c>
      <c r="U562" s="10">
        <v>2.7210000000000002E-2</v>
      </c>
      <c r="V562" s="10">
        <v>1.45799999999999E-2</v>
      </c>
      <c r="W562" s="10">
        <v>2.0449999999999899E-2</v>
      </c>
      <c r="X562" s="10">
        <v>4.4169999999999904E-3</v>
      </c>
      <c r="Y562" s="10">
        <v>22.96</v>
      </c>
      <c r="Z562" s="10">
        <v>34.49</v>
      </c>
      <c r="AA562" s="10">
        <v>152.099999999999</v>
      </c>
      <c r="AB562" s="10">
        <v>1648</v>
      </c>
      <c r="AC562" s="10">
        <v>0.16</v>
      </c>
      <c r="AD562" s="10">
        <v>0.24440000000000001</v>
      </c>
      <c r="AE562" s="10">
        <v>0.26390000000000002</v>
      </c>
      <c r="AF562" s="10">
        <v>0.1555</v>
      </c>
      <c r="AG562" s="10">
        <v>0.30099999999999899</v>
      </c>
      <c r="AH562">
        <v>9.06E-2</v>
      </c>
    </row>
    <row r="563" spans="3:34">
      <c r="C563" s="11" t="s">
        <v>444</v>
      </c>
      <c r="D563" s="10" t="s">
        <v>1</v>
      </c>
      <c r="E563" s="10">
        <v>13.71</v>
      </c>
      <c r="F563" s="10">
        <v>18.16</v>
      </c>
      <c r="G563" s="10">
        <v>73.59</v>
      </c>
      <c r="H563" s="10">
        <v>403.1</v>
      </c>
      <c r="I563" s="10">
        <v>8.85299999999999E-2</v>
      </c>
      <c r="J563" s="10">
        <v>7.6939999999999897E-2</v>
      </c>
      <c r="K563" s="10">
        <v>3.34399999999999E-2</v>
      </c>
      <c r="L563" s="10">
        <v>1.502E-2</v>
      </c>
      <c r="M563" s="10">
        <v>0.1411</v>
      </c>
      <c r="N563" s="10">
        <v>6.2429999999999902E-2</v>
      </c>
      <c r="O563" s="10">
        <v>0.32779999999999898</v>
      </c>
      <c r="P563" s="10">
        <v>1.0589999999999899</v>
      </c>
      <c r="Q563" s="10">
        <v>2.4750000000000001</v>
      </c>
      <c r="R563" s="10">
        <v>22.93</v>
      </c>
      <c r="S563" s="10">
        <v>6.6519999999999904E-3</v>
      </c>
      <c r="T563" s="10">
        <v>2.6519999999999901E-2</v>
      </c>
      <c r="U563" s="10">
        <v>2.2210000000000001E-2</v>
      </c>
      <c r="V563" s="10">
        <v>7.8069999999999902E-3</v>
      </c>
      <c r="W563" s="10">
        <v>1.8939999999999901E-2</v>
      </c>
      <c r="X563" s="10">
        <v>3.411E-3</v>
      </c>
      <c r="Y563" s="10">
        <v>12.68</v>
      </c>
      <c r="Z563" s="10">
        <v>21.6099999999999</v>
      </c>
      <c r="AA563" s="10">
        <v>82.689999999999898</v>
      </c>
      <c r="AB563" s="10">
        <v>489.8</v>
      </c>
      <c r="AC563" s="10">
        <v>0.1144</v>
      </c>
      <c r="AD563" s="10">
        <v>0.1789</v>
      </c>
      <c r="AE563" s="10">
        <v>0.1226</v>
      </c>
      <c r="AF563" s="10">
        <v>5.509E-2</v>
      </c>
      <c r="AG563" s="10">
        <v>0.2208</v>
      </c>
      <c r="AH563">
        <v>7.6380000000000003E-2</v>
      </c>
    </row>
    <row r="564" spans="3:34">
      <c r="C564" s="11" t="s">
        <v>513</v>
      </c>
      <c r="D564" s="10" t="s">
        <v>0</v>
      </c>
      <c r="E564" s="10">
        <v>13.71</v>
      </c>
      <c r="F564" s="10">
        <v>17.350000000000001</v>
      </c>
      <c r="G564" s="10">
        <v>134.80000000000001</v>
      </c>
      <c r="H564" s="10">
        <v>1335</v>
      </c>
      <c r="I564" s="10">
        <v>9.4460000000000002E-2</v>
      </c>
      <c r="J564" s="10">
        <v>0.1076</v>
      </c>
      <c r="K564" s="10">
        <v>0.1527</v>
      </c>
      <c r="L564" s="10">
        <v>8.9410000000000003E-2</v>
      </c>
      <c r="M564" s="10">
        <v>0.15709999999999899</v>
      </c>
      <c r="N564" s="10">
        <v>5.4780000000000002E-2</v>
      </c>
      <c r="O564" s="10">
        <v>0.61370000000000002</v>
      </c>
      <c r="P564" s="10">
        <v>0.65749999999999897</v>
      </c>
      <c r="Q564" s="10">
        <v>4.11899999999999</v>
      </c>
      <c r="R564" s="10">
        <v>77.019999999999897</v>
      </c>
      <c r="S564" s="10">
        <v>6.2110000000000004E-3</v>
      </c>
      <c r="T564" s="10">
        <v>1.8950000000000002E-2</v>
      </c>
      <c r="U564" s="10">
        <v>2.681E-2</v>
      </c>
      <c r="V564" s="10">
        <v>1.23199999999999E-2</v>
      </c>
      <c r="W564" s="10">
        <v>1.2760000000000001E-2</v>
      </c>
      <c r="X564" s="10">
        <v>1.7110000000000001E-3</v>
      </c>
      <c r="Y564" s="10">
        <v>25.37</v>
      </c>
      <c r="Z564" s="10">
        <v>23.17</v>
      </c>
      <c r="AA564" s="10">
        <v>166.8</v>
      </c>
      <c r="AB564" s="10">
        <v>1946</v>
      </c>
      <c r="AC564" s="10">
        <v>0.15620000000000001</v>
      </c>
      <c r="AD564" s="10">
        <v>0.30549999999999899</v>
      </c>
      <c r="AE564" s="10">
        <v>0.41589999999999899</v>
      </c>
      <c r="AF564" s="10">
        <v>0.2112</v>
      </c>
      <c r="AG564" s="10">
        <v>0.26889999999999897</v>
      </c>
      <c r="AH564">
        <v>7.0550000000000002E-2</v>
      </c>
    </row>
    <row r="565" spans="3:34">
      <c r="C565" s="11" t="s">
        <v>506</v>
      </c>
      <c r="D565" s="10" t="s">
        <v>0</v>
      </c>
      <c r="E565" s="10">
        <v>13.71</v>
      </c>
      <c r="F565" s="10">
        <v>26.829999999999899</v>
      </c>
      <c r="G565" s="10">
        <v>133.69999999999899</v>
      </c>
      <c r="H565" s="10">
        <v>1234</v>
      </c>
      <c r="I565" s="10">
        <v>9.9049999999999902E-2</v>
      </c>
      <c r="J565" s="10">
        <v>0.16689999999999899</v>
      </c>
      <c r="K565" s="10">
        <v>0.1641</v>
      </c>
      <c r="L565" s="10">
        <v>0.1265</v>
      </c>
      <c r="M565" s="10">
        <v>0.1875</v>
      </c>
      <c r="N565" s="10">
        <v>6.0199999999999899E-2</v>
      </c>
      <c r="O565" s="10">
        <v>0.97609999999999897</v>
      </c>
      <c r="P565" s="10">
        <v>1.8919999999999899</v>
      </c>
      <c r="Q565" s="10">
        <v>7.1280000000000001</v>
      </c>
      <c r="R565" s="10">
        <v>103.599999999999</v>
      </c>
      <c r="S565" s="10">
        <v>8.4390000000000003E-3</v>
      </c>
      <c r="T565" s="10">
        <v>4.67399999999999E-2</v>
      </c>
      <c r="U565" s="10">
        <v>5.9040000000000002E-2</v>
      </c>
      <c r="V565" s="10">
        <v>2.5360000000000001E-2</v>
      </c>
      <c r="W565" s="10">
        <v>3.7100000000000001E-2</v>
      </c>
      <c r="X565" s="10">
        <v>4.2859999999999903E-3</v>
      </c>
      <c r="Y565" s="10">
        <v>24.19</v>
      </c>
      <c r="Z565" s="10">
        <v>33.81</v>
      </c>
      <c r="AA565" s="10">
        <v>160</v>
      </c>
      <c r="AB565" s="10">
        <v>1671</v>
      </c>
      <c r="AC565" s="10">
        <v>0.1278</v>
      </c>
      <c r="AD565" s="10">
        <v>0.34160000000000001</v>
      </c>
      <c r="AE565" s="10">
        <v>0.37030000000000002</v>
      </c>
      <c r="AF565" s="10">
        <v>0.2152</v>
      </c>
      <c r="AG565" s="10">
        <v>0.3271</v>
      </c>
      <c r="AH565">
        <v>7.6319999999999902E-2</v>
      </c>
    </row>
    <row r="566" spans="3:34">
      <c r="C566" s="11" t="s">
        <v>299</v>
      </c>
      <c r="D566" s="10" t="s">
        <v>1</v>
      </c>
      <c r="E566" s="10">
        <v>13.71</v>
      </c>
      <c r="F566" s="10">
        <v>12.96</v>
      </c>
      <c r="G566" s="10">
        <v>68.689999999999898</v>
      </c>
      <c r="H566" s="10">
        <v>366.8</v>
      </c>
      <c r="I566" s="10">
        <v>7.5149999999999897E-2</v>
      </c>
      <c r="J566" s="10">
        <v>3.7179999999999901E-2</v>
      </c>
      <c r="K566" s="10">
        <v>3.0899999999999899E-3</v>
      </c>
      <c r="L566" s="10">
        <v>6.5880000000000001E-3</v>
      </c>
      <c r="M566" s="10">
        <v>0.144199999999999</v>
      </c>
      <c r="N566" s="10">
        <v>5.7430000000000002E-2</v>
      </c>
      <c r="O566" s="10">
        <v>0.281799999999999</v>
      </c>
      <c r="P566" s="10">
        <v>0.76139999999999897</v>
      </c>
      <c r="Q566" s="10">
        <v>1.8080000000000001</v>
      </c>
      <c r="R566" s="10">
        <v>18.5399999999999</v>
      </c>
      <c r="S566" s="10">
        <v>6.1419999999999903E-3</v>
      </c>
      <c r="T566" s="10">
        <v>6.1339999999999902E-3</v>
      </c>
      <c r="U566" s="10">
        <v>1.835E-3</v>
      </c>
      <c r="V566" s="10">
        <v>3.5760000000000002E-3</v>
      </c>
      <c r="W566" s="10">
        <v>1.6369999999999899E-2</v>
      </c>
      <c r="X566" s="10">
        <v>2.6649999999999899E-3</v>
      </c>
      <c r="Y566" s="10">
        <v>12.3599999999999</v>
      </c>
      <c r="Z566" s="10">
        <v>18.1999999999999</v>
      </c>
      <c r="AA566" s="10">
        <v>78.069999999999894</v>
      </c>
      <c r="AB566" s="10">
        <v>470</v>
      </c>
      <c r="AC566" s="10">
        <v>0.1171</v>
      </c>
      <c r="AD566" s="10">
        <v>8.294E-2</v>
      </c>
      <c r="AE566" s="10">
        <v>1.8540000000000001E-2</v>
      </c>
      <c r="AF566" s="10">
        <v>3.9530000000000003E-2</v>
      </c>
      <c r="AG566" s="10">
        <v>0.27379999999999899</v>
      </c>
      <c r="AH566">
        <v>7.6850000000000002E-2</v>
      </c>
    </row>
    <row r="567" spans="3:34">
      <c r="C567" s="11" t="s">
        <v>412</v>
      </c>
      <c r="D567" s="10" t="s">
        <v>0</v>
      </c>
      <c r="E567" s="10">
        <v>13.71</v>
      </c>
      <c r="F567" s="10">
        <v>20.989999999999899</v>
      </c>
      <c r="G567" s="10">
        <v>147.30000000000001</v>
      </c>
      <c r="H567" s="10">
        <v>1491</v>
      </c>
      <c r="I567" s="10">
        <v>9.4009999999999899E-2</v>
      </c>
      <c r="J567" s="10">
        <v>0.1961</v>
      </c>
      <c r="K567" s="10">
        <v>0.2195</v>
      </c>
      <c r="L567" s="10">
        <v>0.10879999999999899</v>
      </c>
      <c r="M567" s="10">
        <v>0.1721</v>
      </c>
      <c r="N567" s="10">
        <v>6.1940000000000002E-2</v>
      </c>
      <c r="O567" s="10">
        <v>1.167</v>
      </c>
      <c r="P567" s="10">
        <v>1.3520000000000001</v>
      </c>
      <c r="Q567" s="10">
        <v>8.8670000000000009</v>
      </c>
      <c r="R567" s="10">
        <v>156.80000000000001</v>
      </c>
      <c r="S567" s="10">
        <v>5.6870000000000002E-3</v>
      </c>
      <c r="T567" s="10">
        <v>4.9599999999999901E-2</v>
      </c>
      <c r="U567" s="10">
        <v>6.3289999999999902E-2</v>
      </c>
      <c r="V567" s="10">
        <v>1.5610000000000001E-2</v>
      </c>
      <c r="W567" s="10">
        <v>1.924E-2</v>
      </c>
      <c r="X567" s="10">
        <v>4.614E-3</v>
      </c>
      <c r="Y567" s="10">
        <v>28.19</v>
      </c>
      <c r="Z567" s="10">
        <v>28.18</v>
      </c>
      <c r="AA567" s="10">
        <v>195.9</v>
      </c>
      <c r="AB567" s="10">
        <v>2384</v>
      </c>
      <c r="AC567" s="10">
        <v>0.12720000000000001</v>
      </c>
      <c r="AD567" s="10">
        <v>0.47249999999999898</v>
      </c>
      <c r="AE567" s="10">
        <v>0.58069999999999899</v>
      </c>
      <c r="AF567" s="10">
        <v>0.18410000000000001</v>
      </c>
      <c r="AG567" s="10">
        <v>0.2833</v>
      </c>
      <c r="AH567">
        <v>8.8580000000000006E-2</v>
      </c>
    </row>
    <row r="568" spans="3:34">
      <c r="C568" s="11" t="s">
        <v>682</v>
      </c>
      <c r="D568" s="10" t="s">
        <v>1</v>
      </c>
      <c r="E568" s="10">
        <v>13.71</v>
      </c>
      <c r="F568" s="10">
        <v>25.42</v>
      </c>
      <c r="G568" s="10">
        <v>94.7</v>
      </c>
      <c r="H568" s="10">
        <v>668.6</v>
      </c>
      <c r="I568" s="10">
        <v>8.2750000000000004E-2</v>
      </c>
      <c r="J568" s="10">
        <v>7.2139999999999899E-2</v>
      </c>
      <c r="K568" s="10">
        <v>4.1050000000000003E-2</v>
      </c>
      <c r="L568" s="10">
        <v>3.0269999999999901E-2</v>
      </c>
      <c r="M568" s="10">
        <v>0.184</v>
      </c>
      <c r="N568" s="10">
        <v>5.6800000000000003E-2</v>
      </c>
      <c r="O568" s="10">
        <v>0.30309999999999898</v>
      </c>
      <c r="P568" s="10">
        <v>1.385</v>
      </c>
      <c r="Q568" s="10">
        <v>2.177</v>
      </c>
      <c r="R568" s="10">
        <v>27.41</v>
      </c>
      <c r="S568" s="10">
        <v>4.7749999999999902E-3</v>
      </c>
      <c r="T568" s="10">
        <v>1.172E-2</v>
      </c>
      <c r="U568" s="10">
        <v>1.9470000000000001E-2</v>
      </c>
      <c r="V568" s="10">
        <v>1.269E-2</v>
      </c>
      <c r="W568" s="10">
        <v>1.8700000000000001E-2</v>
      </c>
      <c r="X568" s="10">
        <v>2.6259999999999899E-3</v>
      </c>
      <c r="Y568" s="10">
        <v>16.510000000000002</v>
      </c>
      <c r="Z568" s="10">
        <v>32.2899999999999</v>
      </c>
      <c r="AA568" s="10">
        <v>107.4</v>
      </c>
      <c r="AB568" s="10">
        <v>826.39999999999895</v>
      </c>
      <c r="AC568" s="10">
        <v>0.106</v>
      </c>
      <c r="AD568" s="10">
        <v>0.1376</v>
      </c>
      <c r="AE568" s="10">
        <v>0.16109999999999899</v>
      </c>
      <c r="AF568" s="10">
        <v>0.1095</v>
      </c>
      <c r="AG568" s="10">
        <v>0.2722</v>
      </c>
      <c r="AH568">
        <v>6.95599999999999E-2</v>
      </c>
    </row>
    <row r="569" spans="3:34">
      <c r="C569" s="11" t="s">
        <v>623</v>
      </c>
      <c r="D569" s="10" t="s">
        <v>1</v>
      </c>
      <c r="E569" s="10">
        <v>13.71</v>
      </c>
      <c r="F569" s="10">
        <v>17.64</v>
      </c>
      <c r="G569" s="10">
        <v>87.76</v>
      </c>
      <c r="H569" s="10">
        <v>571.1</v>
      </c>
      <c r="I569" s="10">
        <v>9.9500000000000005E-2</v>
      </c>
      <c r="J569" s="10">
        <v>7.9570000000000002E-2</v>
      </c>
      <c r="K569" s="10">
        <v>4.548E-2</v>
      </c>
      <c r="L569" s="10">
        <v>3.1600000000000003E-2</v>
      </c>
      <c r="M569" s="10">
        <v>0.17319999999999899</v>
      </c>
      <c r="N569" s="10">
        <v>6.0879999999999899E-2</v>
      </c>
      <c r="O569" s="10">
        <v>0.24310000000000001</v>
      </c>
      <c r="P569" s="10">
        <v>0.94620000000000004</v>
      </c>
      <c r="Q569" s="10">
        <v>1.5640000000000001</v>
      </c>
      <c r="R569" s="10">
        <v>20.64</v>
      </c>
      <c r="S569" s="10">
        <v>3.2450000000000001E-3</v>
      </c>
      <c r="T569" s="10">
        <v>8.1860000000000006E-3</v>
      </c>
      <c r="U569" s="10">
        <v>1.6979999999999901E-2</v>
      </c>
      <c r="V569" s="10">
        <v>9.2329999999999895E-3</v>
      </c>
      <c r="W569" s="10">
        <v>1.285E-2</v>
      </c>
      <c r="X569" s="10">
        <v>1.524E-3</v>
      </c>
      <c r="Y569" s="10">
        <v>14.96</v>
      </c>
      <c r="Z569" s="10">
        <v>23.53</v>
      </c>
      <c r="AA569" s="10">
        <v>95.78</v>
      </c>
      <c r="AB569" s="10">
        <v>686.5</v>
      </c>
      <c r="AC569" s="10">
        <v>0.11990000000000001</v>
      </c>
      <c r="AD569" s="10">
        <v>0.1346</v>
      </c>
      <c r="AE569" s="10">
        <v>0.17419999999999899</v>
      </c>
      <c r="AF569" s="10">
        <v>9.0770000000000003E-2</v>
      </c>
      <c r="AG569" s="10">
        <v>0.25180000000000002</v>
      </c>
      <c r="AH569">
        <v>6.9599999999999898E-2</v>
      </c>
    </row>
    <row r="570" spans="3:34">
      <c r="C570" s="11" t="s">
        <v>337</v>
      </c>
      <c r="D570" s="10" t="s">
        <v>0</v>
      </c>
      <c r="E570" s="10">
        <v>13.71</v>
      </c>
      <c r="F570" s="10">
        <v>21.84</v>
      </c>
      <c r="G570" s="10">
        <v>117.4</v>
      </c>
      <c r="H570" s="10">
        <v>1024</v>
      </c>
      <c r="I570" s="10">
        <v>7.3709999999999901E-2</v>
      </c>
      <c r="J570" s="10">
        <v>8.64199999999999E-2</v>
      </c>
      <c r="K570" s="10">
        <v>0.1103</v>
      </c>
      <c r="L570" s="10">
        <v>5.7779999999999901E-2</v>
      </c>
      <c r="M570" s="10">
        <v>0.17699999999999899</v>
      </c>
      <c r="N570" s="10">
        <v>5.3400000000000003E-2</v>
      </c>
      <c r="O570" s="10">
        <v>0.63619999999999899</v>
      </c>
      <c r="P570" s="10">
        <v>1.3049999999999899</v>
      </c>
      <c r="Q570" s="10">
        <v>4.3120000000000003</v>
      </c>
      <c r="R570" s="10">
        <v>76.3599999999999</v>
      </c>
      <c r="S570" s="10">
        <v>5.5300000000000002E-3</v>
      </c>
      <c r="T570" s="10">
        <v>5.296E-2</v>
      </c>
      <c r="U570" s="10">
        <v>6.1100000000000002E-2</v>
      </c>
      <c r="V570" s="10">
        <v>1.444E-2</v>
      </c>
      <c r="W570" s="10">
        <v>2.1399999999999898E-2</v>
      </c>
      <c r="X570" s="10">
        <v>5.0359999999999901E-3</v>
      </c>
      <c r="Y570" s="10">
        <v>19.760000000000002</v>
      </c>
      <c r="Z570" s="10">
        <v>24.6999999999999</v>
      </c>
      <c r="AA570" s="10">
        <v>129.099999999999</v>
      </c>
      <c r="AB570" s="10">
        <v>1228</v>
      </c>
      <c r="AC570" s="10">
        <v>8.8220000000000007E-2</v>
      </c>
      <c r="AD570" s="10">
        <v>0.1963</v>
      </c>
      <c r="AE570" s="10">
        <v>0.2535</v>
      </c>
      <c r="AF570" s="10">
        <v>9.1810000000000003E-2</v>
      </c>
      <c r="AG570" s="10">
        <v>0.2369</v>
      </c>
      <c r="AH570">
        <v>6.5579999999999902E-2</v>
      </c>
    </row>
    <row r="571" spans="3:34">
      <c r="C571" s="11" t="s">
        <v>646</v>
      </c>
      <c r="D571" s="10" t="s">
        <v>1</v>
      </c>
      <c r="E571" s="10">
        <v>13.71</v>
      </c>
      <c r="F571" s="10">
        <v>20.0399999999999</v>
      </c>
      <c r="G571" s="10">
        <v>79.469999999999899</v>
      </c>
      <c r="H571" s="10">
        <v>453.1</v>
      </c>
      <c r="I571" s="10">
        <v>0.1096</v>
      </c>
      <c r="J571" s="10">
        <v>0.1152</v>
      </c>
      <c r="K571" s="10">
        <v>8.1750000000000003E-2</v>
      </c>
      <c r="L571" s="10">
        <v>2.1659999999999902E-2</v>
      </c>
      <c r="M571" s="10">
        <v>0.21240000000000001</v>
      </c>
      <c r="N571" s="10">
        <v>6.8940000000000001E-2</v>
      </c>
      <c r="O571" s="10">
        <v>0.18110000000000001</v>
      </c>
      <c r="P571" s="10">
        <v>0.79590000000000005</v>
      </c>
      <c r="Q571" s="10">
        <v>0.98570000000000002</v>
      </c>
      <c r="R571" s="10">
        <v>12.58</v>
      </c>
      <c r="S571" s="10">
        <v>6.2719999999999903E-3</v>
      </c>
      <c r="T571" s="10">
        <v>2.198E-2</v>
      </c>
      <c r="U571" s="10">
        <v>3.9660000000000001E-2</v>
      </c>
      <c r="V571" s="10">
        <v>9.894E-3</v>
      </c>
      <c r="W571" s="10">
        <v>1.32E-2</v>
      </c>
      <c r="X571" s="10">
        <v>3.813E-3</v>
      </c>
      <c r="Y571" s="10">
        <v>13.16</v>
      </c>
      <c r="Z571" s="10">
        <v>24.17</v>
      </c>
      <c r="AA571" s="10">
        <v>85.129999999999896</v>
      </c>
      <c r="AB571" s="10">
        <v>515.29999999999905</v>
      </c>
      <c r="AC571" s="10">
        <v>0.14019999999999899</v>
      </c>
      <c r="AD571" s="10">
        <v>0.23150000000000001</v>
      </c>
      <c r="AE571" s="10">
        <v>0.35349999999999898</v>
      </c>
      <c r="AF571" s="10">
        <v>8.0879999999999896E-2</v>
      </c>
      <c r="AG571" s="10">
        <v>0.27089999999999897</v>
      </c>
      <c r="AH571">
        <v>8.8389999999999899E-2</v>
      </c>
    </row>
    <row r="572" spans="3:34">
      <c r="C572" s="11" t="s">
        <v>294</v>
      </c>
      <c r="D572" s="10" t="s">
        <v>1</v>
      </c>
      <c r="E572" s="10">
        <v>13.71</v>
      </c>
      <c r="F572" s="10">
        <v>15.34</v>
      </c>
      <c r="G572" s="10">
        <v>85.31</v>
      </c>
      <c r="H572" s="10">
        <v>538.89999999999895</v>
      </c>
      <c r="I572" s="10">
        <v>9.3840000000000007E-2</v>
      </c>
      <c r="J572" s="10">
        <v>8.498E-2</v>
      </c>
      <c r="K572" s="10">
        <v>9.2929999999999902E-2</v>
      </c>
      <c r="L572" s="10">
        <v>3.483E-2</v>
      </c>
      <c r="M572" s="10">
        <v>0.1822</v>
      </c>
      <c r="N572" s="10">
        <v>6.207E-2</v>
      </c>
      <c r="O572" s="10">
        <v>0.27100000000000002</v>
      </c>
      <c r="P572" s="10">
        <v>0.79269999999999896</v>
      </c>
      <c r="Q572" s="10">
        <v>1.819</v>
      </c>
      <c r="R572" s="10">
        <v>22.7899999999999</v>
      </c>
      <c r="S572" s="10">
        <v>8.5839999999999892E-3</v>
      </c>
      <c r="T572" s="10">
        <v>2.017E-2</v>
      </c>
      <c r="U572" s="10">
        <v>3.0470000000000001E-2</v>
      </c>
      <c r="V572" s="10">
        <v>9.5359999999999907E-3</v>
      </c>
      <c r="W572" s="10">
        <v>2.7689999999999899E-2</v>
      </c>
      <c r="X572" s="10">
        <v>3.4789999999999899E-3</v>
      </c>
      <c r="Y572" s="10">
        <v>14.77</v>
      </c>
      <c r="Z572" s="10">
        <v>20.5</v>
      </c>
      <c r="AA572" s="10">
        <v>97.67</v>
      </c>
      <c r="AB572" s="10">
        <v>677.29999999999905</v>
      </c>
      <c r="AC572" s="10">
        <v>0.14779999999999899</v>
      </c>
      <c r="AD572" s="10">
        <v>0.225599999999999</v>
      </c>
      <c r="AE572" s="10">
        <v>0.3009</v>
      </c>
      <c r="AF572" s="10">
        <v>9.7220000000000001E-2</v>
      </c>
      <c r="AG572" s="10">
        <v>0.38490000000000002</v>
      </c>
      <c r="AH572">
        <v>8.6330000000000004E-2</v>
      </c>
    </row>
    <row r="573" spans="3:34">
      <c r="C573" s="11" t="s">
        <v>622</v>
      </c>
      <c r="D573" s="10" t="s">
        <v>1</v>
      </c>
      <c r="E573" s="10">
        <v>13.71</v>
      </c>
      <c r="F573" s="10">
        <v>14.06</v>
      </c>
      <c r="G573" s="10">
        <v>87.319999999999894</v>
      </c>
      <c r="H573" s="10">
        <v>546.29999999999905</v>
      </c>
      <c r="I573" s="10">
        <v>0.1071</v>
      </c>
      <c r="J573" s="10">
        <v>0.11550000000000001</v>
      </c>
      <c r="K573" s="10">
        <v>5.7860000000000002E-2</v>
      </c>
      <c r="L573" s="10">
        <v>5.2659999999999901E-2</v>
      </c>
      <c r="M573" s="10">
        <v>0.1779</v>
      </c>
      <c r="N573" s="10">
        <v>6.6390000000000005E-2</v>
      </c>
      <c r="O573" s="10">
        <v>0.1588</v>
      </c>
      <c r="P573" s="10">
        <v>0.57330000000000003</v>
      </c>
      <c r="Q573" s="10">
        <v>1.1020000000000001</v>
      </c>
      <c r="R573" s="10">
        <v>12.84</v>
      </c>
      <c r="S573" s="10">
        <v>4.45E-3</v>
      </c>
      <c r="T573" s="10">
        <v>1.452E-2</v>
      </c>
      <c r="U573" s="10">
        <v>1.3339999999999901E-2</v>
      </c>
      <c r="V573" s="10">
        <v>8.7910000000000002E-3</v>
      </c>
      <c r="W573" s="10">
        <v>1.6979999999999901E-2</v>
      </c>
      <c r="X573" s="10">
        <v>2.787E-3</v>
      </c>
      <c r="Y573" s="10">
        <v>14.83</v>
      </c>
      <c r="Z573" s="10">
        <v>18.32</v>
      </c>
      <c r="AA573" s="10">
        <v>94.939999999999898</v>
      </c>
      <c r="AB573" s="10">
        <v>660.2</v>
      </c>
      <c r="AC573" s="10">
        <v>0.13930000000000001</v>
      </c>
      <c r="AD573" s="10">
        <v>0.24990000000000001</v>
      </c>
      <c r="AE573" s="10">
        <v>0.18479999999999899</v>
      </c>
      <c r="AF573" s="10">
        <v>0.13350000000000001</v>
      </c>
      <c r="AG573" s="10">
        <v>0.32269999999999899</v>
      </c>
      <c r="AH573">
        <v>9.3259999999999899E-2</v>
      </c>
    </row>
    <row r="574" spans="3:34">
      <c r="C574" s="11" t="s">
        <v>266</v>
      </c>
      <c r="D574" s="10" t="s">
        <v>0</v>
      </c>
      <c r="E574" s="10">
        <v>13.71</v>
      </c>
      <c r="F574" s="10">
        <v>24.69</v>
      </c>
      <c r="G574" s="10">
        <v>87.76</v>
      </c>
      <c r="H574" s="10">
        <v>572.6</v>
      </c>
      <c r="I574" s="10">
        <v>9.2579999999999898E-2</v>
      </c>
      <c r="J574" s="10">
        <v>7.8619999999999898E-2</v>
      </c>
      <c r="K574" s="10">
        <v>5.2850000000000001E-2</v>
      </c>
      <c r="L574" s="10">
        <v>3.0849999999999898E-2</v>
      </c>
      <c r="M574" s="10">
        <v>0.17610000000000001</v>
      </c>
      <c r="N574" s="10">
        <v>6.13E-2</v>
      </c>
      <c r="O574" s="10">
        <v>0.23100000000000001</v>
      </c>
      <c r="P574" s="10">
        <v>1.0049999999999899</v>
      </c>
      <c r="Q574" s="10">
        <v>1.752</v>
      </c>
      <c r="R574" s="10">
        <v>19.829999999999899</v>
      </c>
      <c r="S574" s="10">
        <v>4.0879999999999901E-3</v>
      </c>
      <c r="T574" s="10">
        <v>1.174E-2</v>
      </c>
      <c r="U574" s="10">
        <v>1.796E-2</v>
      </c>
      <c r="V574" s="10">
        <v>6.8799999999999903E-3</v>
      </c>
      <c r="W574" s="10">
        <v>1.323E-2</v>
      </c>
      <c r="X574" s="10">
        <v>1.46499999999999E-3</v>
      </c>
      <c r="Y574" s="10">
        <v>16.89</v>
      </c>
      <c r="Z574" s="10">
        <v>35.64</v>
      </c>
      <c r="AA574" s="10">
        <v>113.2</v>
      </c>
      <c r="AB574" s="10">
        <v>848.7</v>
      </c>
      <c r="AC574" s="10">
        <v>0.14710000000000001</v>
      </c>
      <c r="AD574" s="10">
        <v>0.28839999999999899</v>
      </c>
      <c r="AE574" s="10">
        <v>0.37959999999999899</v>
      </c>
      <c r="AF574" s="10">
        <v>0.13289999999999899</v>
      </c>
      <c r="AG574" s="10">
        <v>0.34699999999999898</v>
      </c>
      <c r="AH574">
        <v>7.9000000000000001E-2</v>
      </c>
    </row>
    <row r="575" spans="3:34">
      <c r="C575" s="11" t="s">
        <v>652</v>
      </c>
      <c r="D575" s="10" t="s">
        <v>0</v>
      </c>
      <c r="E575" s="10">
        <v>13.71</v>
      </c>
      <c r="F575" s="10">
        <v>20.52</v>
      </c>
      <c r="G575" s="10">
        <v>88.64</v>
      </c>
      <c r="H575" s="10">
        <v>556.70000000000005</v>
      </c>
      <c r="I575" s="10">
        <v>0.1106</v>
      </c>
      <c r="J575" s="10">
        <v>0.1469</v>
      </c>
      <c r="K575" s="10">
        <v>0.14449999999999899</v>
      </c>
      <c r="L575" s="10">
        <v>8.1720000000000001E-2</v>
      </c>
      <c r="M575" s="10">
        <v>0.21160000000000001</v>
      </c>
      <c r="N575" s="10">
        <v>7.3249999999999899E-2</v>
      </c>
      <c r="O575" s="10">
        <v>0.3906</v>
      </c>
      <c r="P575" s="10">
        <v>0.93059999999999898</v>
      </c>
      <c r="Q575" s="10">
        <v>3.093</v>
      </c>
      <c r="R575" s="10">
        <v>33.67</v>
      </c>
      <c r="S575" s="10">
        <v>5.4140000000000004E-3</v>
      </c>
      <c r="T575" s="10">
        <v>2.265E-2</v>
      </c>
      <c r="U575" s="10">
        <v>3.4520000000000002E-2</v>
      </c>
      <c r="V575" s="10">
        <v>1.3339999999999901E-2</v>
      </c>
      <c r="W575" s="10">
        <v>1.7049999999999899E-2</v>
      </c>
      <c r="X575" s="10">
        <v>4.0049999999999903E-3</v>
      </c>
      <c r="Y575" s="10">
        <v>16.41</v>
      </c>
      <c r="Z575" s="10">
        <v>29.66</v>
      </c>
      <c r="AA575" s="10">
        <v>113.3</v>
      </c>
      <c r="AB575" s="10">
        <v>844.39999999999895</v>
      </c>
      <c r="AC575" s="10">
        <v>0.15740000000000001</v>
      </c>
      <c r="AD575" s="10">
        <v>0.3856</v>
      </c>
      <c r="AE575" s="10">
        <v>0.51060000000000005</v>
      </c>
      <c r="AF575" s="10">
        <v>0.2051</v>
      </c>
      <c r="AG575" s="10">
        <v>0.35849999999999899</v>
      </c>
      <c r="AH575">
        <v>0.1109</v>
      </c>
    </row>
    <row r="576" spans="3:34">
      <c r="C576" s="11" t="s">
        <v>521</v>
      </c>
      <c r="D576" s="10" t="s">
        <v>1</v>
      </c>
      <c r="E576" s="10">
        <v>13.71</v>
      </c>
      <c r="F576" s="10">
        <v>14.93</v>
      </c>
      <c r="G576" s="10">
        <v>70.67</v>
      </c>
      <c r="H576" s="10">
        <v>372.69999999999902</v>
      </c>
      <c r="I576" s="10">
        <v>7.9869999999999899E-2</v>
      </c>
      <c r="J576" s="10">
        <v>7.0790000000000006E-2</v>
      </c>
      <c r="K576" s="10">
        <v>3.5459999999999901E-2</v>
      </c>
      <c r="L576" s="10">
        <v>2.0740000000000001E-2</v>
      </c>
      <c r="M576" s="10">
        <v>0.20030000000000001</v>
      </c>
      <c r="N576" s="10">
        <v>6.2460000000000002E-2</v>
      </c>
      <c r="O576" s="10">
        <v>0.16420000000000001</v>
      </c>
      <c r="P576" s="10">
        <v>1.0309999999999899</v>
      </c>
      <c r="Q576" s="10">
        <v>1.2809999999999899</v>
      </c>
      <c r="R576" s="10">
        <v>11.68</v>
      </c>
      <c r="S576" s="10">
        <v>5.2960000000000004E-3</v>
      </c>
      <c r="T576" s="10">
        <v>1.9029999999999901E-2</v>
      </c>
      <c r="U576" s="10">
        <v>1.7229999999999902E-2</v>
      </c>
      <c r="V576" s="10">
        <v>6.96E-3</v>
      </c>
      <c r="W576" s="10">
        <v>1.8800000000000001E-2</v>
      </c>
      <c r="X576" s="10">
        <v>1.941E-3</v>
      </c>
      <c r="Y576" s="10">
        <v>12.09</v>
      </c>
      <c r="Z576" s="10">
        <v>20.829999999999899</v>
      </c>
      <c r="AA576" s="10">
        <v>79.73</v>
      </c>
      <c r="AB576" s="10">
        <v>447.1</v>
      </c>
      <c r="AC576" s="10">
        <v>0.1095</v>
      </c>
      <c r="AD576" s="10">
        <v>0.19819999999999899</v>
      </c>
      <c r="AE576" s="10">
        <v>0.15529999999999899</v>
      </c>
      <c r="AF576" s="10">
        <v>6.7540000000000003E-2</v>
      </c>
      <c r="AG576" s="10">
        <v>0.32019999999999899</v>
      </c>
      <c r="AH576">
        <v>7.2870000000000004E-2</v>
      </c>
    </row>
    <row r="577" spans="3:34">
      <c r="C577" s="11" t="s">
        <v>336</v>
      </c>
      <c r="D577" s="10" t="s">
        <v>0</v>
      </c>
      <c r="E577" s="10">
        <v>13.71</v>
      </c>
      <c r="F577" s="10">
        <v>22.2899999999999</v>
      </c>
      <c r="G577" s="10">
        <v>90.629999999999896</v>
      </c>
      <c r="H577" s="10">
        <v>588.89999999999895</v>
      </c>
      <c r="I577" s="10">
        <v>0.12</v>
      </c>
      <c r="J577" s="10">
        <v>0.12670000000000001</v>
      </c>
      <c r="K577" s="10">
        <v>0.13850000000000001</v>
      </c>
      <c r="L577" s="10">
        <v>6.5259999999999901E-2</v>
      </c>
      <c r="M577" s="10">
        <v>0.18340000000000001</v>
      </c>
      <c r="N577" s="10">
        <v>6.8769999999999901E-2</v>
      </c>
      <c r="O577" s="10">
        <v>0.61909999999999898</v>
      </c>
      <c r="P577" s="10">
        <v>2.1120000000000001</v>
      </c>
      <c r="Q577" s="10">
        <v>4.9059999999999899</v>
      </c>
      <c r="R577" s="10">
        <v>49.7</v>
      </c>
      <c r="S577" s="10">
        <v>1.38E-2</v>
      </c>
      <c r="T577" s="10">
        <v>3.3480000000000003E-2</v>
      </c>
      <c r="U577" s="10">
        <v>4.66499999999999E-2</v>
      </c>
      <c r="V577" s="10">
        <v>2.06E-2</v>
      </c>
      <c r="W577" s="10">
        <v>2.6890000000000001E-2</v>
      </c>
      <c r="X577" s="10">
        <v>4.3059999999999904E-3</v>
      </c>
      <c r="Y577" s="10">
        <v>16.39</v>
      </c>
      <c r="Z577" s="10">
        <v>34.009999999999899</v>
      </c>
      <c r="AA577" s="10">
        <v>111.599999999999</v>
      </c>
      <c r="AB577" s="10">
        <v>806.89999999999895</v>
      </c>
      <c r="AC577" s="10">
        <v>0.17369999999999899</v>
      </c>
      <c r="AD577" s="10">
        <v>0.31219999999999898</v>
      </c>
      <c r="AE577" s="10">
        <v>0.38090000000000002</v>
      </c>
      <c r="AF577" s="10">
        <v>0.1673</v>
      </c>
      <c r="AG577" s="10">
        <v>0.308</v>
      </c>
      <c r="AH577">
        <v>9.3329999999999899E-2</v>
      </c>
    </row>
    <row r="578" spans="3:34">
      <c r="C578" s="11" t="s">
        <v>274</v>
      </c>
      <c r="D578" s="10" t="s">
        <v>0</v>
      </c>
      <c r="E578" s="10">
        <v>13.71</v>
      </c>
      <c r="F578" s="10">
        <v>21.91</v>
      </c>
      <c r="G578" s="10">
        <v>120.2</v>
      </c>
      <c r="H578" s="10">
        <v>1075</v>
      </c>
      <c r="I578" s="10">
        <v>9.4299999999999898E-2</v>
      </c>
      <c r="J578" s="10">
        <v>9.7089999999999899E-2</v>
      </c>
      <c r="K578" s="10">
        <v>0.1153</v>
      </c>
      <c r="L578" s="10">
        <v>6.8470000000000003E-2</v>
      </c>
      <c r="M578" s="10">
        <v>0.16919999999999899</v>
      </c>
      <c r="N578" s="10">
        <v>5.7270000000000001E-2</v>
      </c>
      <c r="O578" s="10">
        <v>0.59589999999999899</v>
      </c>
      <c r="P578" s="10">
        <v>1.202</v>
      </c>
      <c r="Q578" s="10">
        <v>3.766</v>
      </c>
      <c r="R578" s="10">
        <v>68.349999999999895</v>
      </c>
      <c r="S578" s="10">
        <v>6.0010000000000003E-3</v>
      </c>
      <c r="T578" s="10">
        <v>1.422E-2</v>
      </c>
      <c r="U578" s="10">
        <v>2.8549999999999898E-2</v>
      </c>
      <c r="V578" s="10">
        <v>9.1479999999999895E-3</v>
      </c>
      <c r="W578" s="10">
        <v>1.49199999999999E-2</v>
      </c>
      <c r="X578" s="10">
        <v>2.20499999999999E-3</v>
      </c>
      <c r="Y578" s="10">
        <v>22.52</v>
      </c>
      <c r="Z578" s="10">
        <v>31.39</v>
      </c>
      <c r="AA578" s="10">
        <v>145.599999999999</v>
      </c>
      <c r="AB578" s="10">
        <v>1590</v>
      </c>
      <c r="AC578" s="10">
        <v>0.14649999999999899</v>
      </c>
      <c r="AD578" s="10">
        <v>0.22750000000000001</v>
      </c>
      <c r="AE578" s="10">
        <v>0.39650000000000002</v>
      </c>
      <c r="AF578" s="10">
        <v>0.137899999999999</v>
      </c>
      <c r="AG578" s="10">
        <v>0.31090000000000001</v>
      </c>
      <c r="AH578">
        <v>7.6100000000000001E-2</v>
      </c>
    </row>
    <row r="579" spans="3:34">
      <c r="C579" s="11" t="s">
        <v>478</v>
      </c>
      <c r="D579" s="10" t="s">
        <v>1</v>
      </c>
      <c r="E579" s="10">
        <v>13.71</v>
      </c>
      <c r="F579" s="10">
        <v>17.53</v>
      </c>
      <c r="G579" s="10">
        <v>64.409999999999897</v>
      </c>
      <c r="H579" s="10">
        <v>310.8</v>
      </c>
      <c r="I579" s="10">
        <v>0.1007</v>
      </c>
      <c r="J579" s="10">
        <v>7.3260000000000006E-2</v>
      </c>
      <c r="K579" s="10">
        <v>2.511E-2</v>
      </c>
      <c r="L579" s="10">
        <v>1.7749999999999901E-2</v>
      </c>
      <c r="M579" s="10">
        <v>0.189</v>
      </c>
      <c r="N579" s="10">
        <v>6.3310000000000005E-2</v>
      </c>
      <c r="O579" s="10">
        <v>0.26190000000000002</v>
      </c>
      <c r="P579" s="10">
        <v>2.0150000000000001</v>
      </c>
      <c r="Q579" s="10">
        <v>1.778</v>
      </c>
      <c r="R579" s="10">
        <v>16.850000000000001</v>
      </c>
      <c r="S579" s="10">
        <v>7.803E-3</v>
      </c>
      <c r="T579" s="10">
        <v>1.4489999999999901E-2</v>
      </c>
      <c r="U579" s="10">
        <v>1.6899999999999901E-2</v>
      </c>
      <c r="V579" s="10">
        <v>8.0429999999999894E-3</v>
      </c>
      <c r="W579" s="10">
        <v>2.1000000000000001E-2</v>
      </c>
      <c r="X579" s="10">
        <v>2.7780000000000001E-3</v>
      </c>
      <c r="Y579" s="10">
        <v>11.16</v>
      </c>
      <c r="Z579" s="10">
        <v>26.84</v>
      </c>
      <c r="AA579" s="10">
        <v>71.98</v>
      </c>
      <c r="AB579" s="10">
        <v>384</v>
      </c>
      <c r="AC579" s="10">
        <v>0.14019999999999899</v>
      </c>
      <c r="AD579" s="10">
        <v>0.14019999999999899</v>
      </c>
      <c r="AE579" s="10">
        <v>0.1055</v>
      </c>
      <c r="AF579" s="10">
        <v>6.4990000000000006E-2</v>
      </c>
      <c r="AG579" s="10">
        <v>0.28939999999999899</v>
      </c>
      <c r="AH579">
        <v>7.664E-2</v>
      </c>
    </row>
    <row r="580" spans="3:34">
      <c r="C580" s="11" t="s">
        <v>319</v>
      </c>
      <c r="D580" s="10" t="s">
        <v>1</v>
      </c>
      <c r="E580" s="10">
        <v>13.71</v>
      </c>
      <c r="F580" s="10">
        <v>13.06</v>
      </c>
      <c r="G580" s="10">
        <v>81.290000000000006</v>
      </c>
      <c r="H580" s="10">
        <v>508.8</v>
      </c>
      <c r="I580" s="10">
        <v>8.7389999999999898E-2</v>
      </c>
      <c r="J580" s="10">
        <v>3.7740000000000003E-2</v>
      </c>
      <c r="K580" s="10">
        <v>9.1929999999999894E-3</v>
      </c>
      <c r="L580" s="10">
        <v>1.32999999999999E-2</v>
      </c>
      <c r="M580" s="10">
        <v>0.14660000000000001</v>
      </c>
      <c r="N580" s="10">
        <v>6.1330000000000003E-2</v>
      </c>
      <c r="O580" s="10">
        <v>0.28889999999999899</v>
      </c>
      <c r="P580" s="10">
        <v>0.9899</v>
      </c>
      <c r="Q580" s="10">
        <v>1.778</v>
      </c>
      <c r="R580" s="10">
        <v>21.7899999999999</v>
      </c>
      <c r="S580" s="10">
        <v>8.5339999999999895E-3</v>
      </c>
      <c r="T580" s="10">
        <v>6.3639999999999903E-3</v>
      </c>
      <c r="U580" s="10">
        <v>6.1799999999999902E-3</v>
      </c>
      <c r="V580" s="10">
        <v>7.4079999999999901E-3</v>
      </c>
      <c r="W580" s="10">
        <v>1.065E-2</v>
      </c>
      <c r="X580" s="10">
        <v>3.3509999999999898E-3</v>
      </c>
      <c r="Y580" s="10">
        <v>13.63</v>
      </c>
      <c r="Z580" s="10">
        <v>16.149999999999899</v>
      </c>
      <c r="AA580" s="10">
        <v>86.7</v>
      </c>
      <c r="AB580" s="10">
        <v>570.70000000000005</v>
      </c>
      <c r="AC580" s="10">
        <v>0.1162</v>
      </c>
      <c r="AD580" s="10">
        <v>5.4449999999999901E-2</v>
      </c>
      <c r="AE580" s="10">
        <v>2.758E-2</v>
      </c>
      <c r="AF580" s="10">
        <v>3.9899999999999901E-2</v>
      </c>
      <c r="AG580" s="10">
        <v>0.17829999999999899</v>
      </c>
      <c r="AH580">
        <v>7.3190000000000005E-2</v>
      </c>
    </row>
    <row r="581" spans="3:34">
      <c r="C581" s="11" t="s">
        <v>689</v>
      </c>
      <c r="D581" s="10" t="s">
        <v>1</v>
      </c>
      <c r="E581" s="10">
        <v>13.71</v>
      </c>
      <c r="F581" s="10">
        <v>24.21</v>
      </c>
      <c r="G581" s="10">
        <v>68.89</v>
      </c>
      <c r="H581" s="10">
        <v>361.6</v>
      </c>
      <c r="I581" s="10">
        <v>8.1920000000000007E-2</v>
      </c>
      <c r="J581" s="10">
        <v>6.6019999999999898E-2</v>
      </c>
      <c r="K581" s="10">
        <v>1.5480000000000001E-2</v>
      </c>
      <c r="L581" s="10">
        <v>8.1600000000000006E-3</v>
      </c>
      <c r="M581" s="10">
        <v>0.1976</v>
      </c>
      <c r="N581" s="10">
        <v>6.3280000000000003E-2</v>
      </c>
      <c r="O581" s="10">
        <v>0.51959999999999895</v>
      </c>
      <c r="P581" s="10">
        <v>1.9179999999999899</v>
      </c>
      <c r="Q581" s="10">
        <v>3.5640000000000001</v>
      </c>
      <c r="R581" s="10">
        <v>33</v>
      </c>
      <c r="S581" s="10">
        <v>8.2629999999999908E-3</v>
      </c>
      <c r="T581" s="10">
        <v>1.8700000000000001E-2</v>
      </c>
      <c r="U581" s="10">
        <v>1.277E-2</v>
      </c>
      <c r="V581" s="10">
        <v>5.9170000000000004E-3</v>
      </c>
      <c r="W581" s="10">
        <v>2.4660000000000001E-2</v>
      </c>
      <c r="X581" s="10">
        <v>2.977E-3</v>
      </c>
      <c r="Y581" s="10">
        <v>13.0299999999999</v>
      </c>
      <c r="Z581" s="10">
        <v>31.4499999999999</v>
      </c>
      <c r="AA581" s="10">
        <v>83.9</v>
      </c>
      <c r="AB581" s="10">
        <v>505.6</v>
      </c>
      <c r="AC581" s="10">
        <v>0.12039999999999899</v>
      </c>
      <c r="AD581" s="10">
        <v>0.1633</v>
      </c>
      <c r="AE581" s="10">
        <v>6.1940000000000002E-2</v>
      </c>
      <c r="AF581" s="10">
        <v>3.2640000000000002E-2</v>
      </c>
      <c r="AG581" s="10">
        <v>0.30590000000000001</v>
      </c>
      <c r="AH581">
        <v>7.6259999999999897E-2</v>
      </c>
    </row>
    <row r="582" spans="3:34">
      <c r="C582" s="11" t="s">
        <v>598</v>
      </c>
      <c r="D582" s="10" t="s">
        <v>1</v>
      </c>
      <c r="E582" s="10">
        <v>13.71</v>
      </c>
      <c r="F582" s="10">
        <v>25.1299999999999</v>
      </c>
      <c r="G582" s="10">
        <v>82.6099999999999</v>
      </c>
      <c r="H582" s="10">
        <v>520.20000000000005</v>
      </c>
      <c r="I582" s="10">
        <v>8.3690000000000001E-2</v>
      </c>
      <c r="J582" s="10">
        <v>5.07299999999999E-2</v>
      </c>
      <c r="K582" s="10">
        <v>1.206E-2</v>
      </c>
      <c r="L582" s="10">
        <v>1.762E-2</v>
      </c>
      <c r="M582" s="10">
        <v>0.16669999999999899</v>
      </c>
      <c r="N582" s="10">
        <v>5.44899999999999E-2</v>
      </c>
      <c r="O582" s="10">
        <v>0.2621</v>
      </c>
      <c r="P582" s="10">
        <v>1.232</v>
      </c>
      <c r="Q582" s="10">
        <v>1.657</v>
      </c>
      <c r="R582" s="10">
        <v>21.19</v>
      </c>
      <c r="S582" s="10">
        <v>6.0540000000000004E-3</v>
      </c>
      <c r="T582" s="10">
        <v>8.9739999999999907E-3</v>
      </c>
      <c r="U582" s="10">
        <v>5.6810000000000003E-3</v>
      </c>
      <c r="V582" s="10">
        <v>6.3359999999999901E-3</v>
      </c>
      <c r="W582" s="10">
        <v>1.21499999999999E-2</v>
      </c>
      <c r="X582" s="10">
        <v>1.51399999999999E-3</v>
      </c>
      <c r="Y582" s="10">
        <v>14.34</v>
      </c>
      <c r="Z582" s="10">
        <v>31.8799999999999</v>
      </c>
      <c r="AA582" s="10">
        <v>91.06</v>
      </c>
      <c r="AB582" s="10">
        <v>628.5</v>
      </c>
      <c r="AC582" s="10">
        <v>0.12180000000000001</v>
      </c>
      <c r="AD582" s="10">
        <v>0.109299999999999</v>
      </c>
      <c r="AE582" s="10">
        <v>4.462E-2</v>
      </c>
      <c r="AF582" s="10">
        <v>5.9209999999999902E-2</v>
      </c>
      <c r="AG582" s="10">
        <v>0.2306</v>
      </c>
      <c r="AH582">
        <v>6.2909999999999897E-2</v>
      </c>
    </row>
    <row r="583" spans="3:34">
      <c r="C583" s="11" t="s">
        <v>290</v>
      </c>
      <c r="D583" s="10" t="s">
        <v>1</v>
      </c>
      <c r="E583" s="10">
        <v>13.71</v>
      </c>
      <c r="F583" s="10">
        <v>20.78</v>
      </c>
      <c r="G583" s="10">
        <v>83.51</v>
      </c>
      <c r="H583" s="10">
        <v>519.39999999999895</v>
      </c>
      <c r="I583" s="10">
        <v>0.1135</v>
      </c>
      <c r="J583" s="10">
        <v>7.5889999999999902E-2</v>
      </c>
      <c r="K583" s="10">
        <v>3.1359999999999902E-2</v>
      </c>
      <c r="L583" s="10">
        <v>2.6450000000000001E-2</v>
      </c>
      <c r="M583" s="10">
        <v>0.254</v>
      </c>
      <c r="N583" s="10">
        <v>6.087E-2</v>
      </c>
      <c r="O583" s="10">
        <v>0.42020000000000002</v>
      </c>
      <c r="P583" s="10">
        <v>1.3220000000000001</v>
      </c>
      <c r="Q583" s="10">
        <v>2.8730000000000002</v>
      </c>
      <c r="R583" s="10">
        <v>34.78</v>
      </c>
      <c r="S583" s="10">
        <v>7.0169999999999903E-3</v>
      </c>
      <c r="T583" s="10">
        <v>1.142E-2</v>
      </c>
      <c r="U583" s="10">
        <v>1.949E-2</v>
      </c>
      <c r="V583" s="10">
        <v>1.153E-2</v>
      </c>
      <c r="W583" s="10">
        <v>2.9510000000000002E-2</v>
      </c>
      <c r="X583" s="10">
        <v>1.5330000000000001E-3</v>
      </c>
      <c r="Y583" s="10">
        <v>14.16</v>
      </c>
      <c r="Z583" s="10">
        <v>24.1099999999999</v>
      </c>
      <c r="AA583" s="10">
        <v>90.819999999999894</v>
      </c>
      <c r="AB583" s="10">
        <v>616.70000000000005</v>
      </c>
      <c r="AC583" s="10">
        <v>0.12970000000000001</v>
      </c>
      <c r="AD583" s="10">
        <v>0.1105</v>
      </c>
      <c r="AE583" s="10">
        <v>8.1119999999999901E-2</v>
      </c>
      <c r="AF583" s="10">
        <v>6.2960000000000002E-2</v>
      </c>
      <c r="AG583" s="10">
        <v>0.3196</v>
      </c>
      <c r="AH583">
        <v>6.4350000000000004E-2</v>
      </c>
    </row>
    <row r="584" spans="3:34">
      <c r="C584" s="11" t="s">
        <v>311</v>
      </c>
      <c r="D584" s="10" t="s">
        <v>0</v>
      </c>
      <c r="E584" s="10">
        <v>13.71</v>
      </c>
      <c r="F584" s="10">
        <v>19.6299999999999</v>
      </c>
      <c r="G584" s="10">
        <v>85.84</v>
      </c>
      <c r="H584" s="10">
        <v>565.39999999999895</v>
      </c>
      <c r="I584" s="10">
        <v>9.0480000000000005E-2</v>
      </c>
      <c r="J584" s="10">
        <v>6.2880000000000005E-2</v>
      </c>
      <c r="K584" s="10">
        <v>5.858E-2</v>
      </c>
      <c r="L584" s="10">
        <v>3.4380000000000001E-2</v>
      </c>
      <c r="M584" s="10">
        <v>0.1598</v>
      </c>
      <c r="N584" s="10">
        <v>5.6710000000000003E-2</v>
      </c>
      <c r="O584" s="10">
        <v>0.46970000000000001</v>
      </c>
      <c r="P584" s="10">
        <v>1.147</v>
      </c>
      <c r="Q584" s="10">
        <v>3.1419999999999901</v>
      </c>
      <c r="R584" s="10">
        <v>43.399999999999899</v>
      </c>
      <c r="S584" s="10">
        <v>6.0029999999999901E-3</v>
      </c>
      <c r="T584" s="10">
        <v>1.0630000000000001E-2</v>
      </c>
      <c r="U584" s="10">
        <v>2.1510000000000001E-2</v>
      </c>
      <c r="V584" s="10">
        <v>9.443E-3</v>
      </c>
      <c r="W584" s="10">
        <v>1.52E-2</v>
      </c>
      <c r="X584" s="10">
        <v>1.8680000000000001E-3</v>
      </c>
      <c r="Y584" s="10">
        <v>17.98</v>
      </c>
      <c r="Z584" s="10">
        <v>29.87</v>
      </c>
      <c r="AA584" s="10">
        <v>116.599999999999</v>
      </c>
      <c r="AB584" s="10">
        <v>993.6</v>
      </c>
      <c r="AC584" s="10">
        <v>0.1401</v>
      </c>
      <c r="AD584" s="10">
        <v>0.15459999999999899</v>
      </c>
      <c r="AE584" s="10">
        <v>0.26440000000000002</v>
      </c>
      <c r="AF584" s="10">
        <v>0.11600000000000001</v>
      </c>
      <c r="AG584" s="10">
        <v>0.28839999999999899</v>
      </c>
      <c r="AH584">
        <v>7.3709999999999901E-2</v>
      </c>
    </row>
    <row r="585" spans="3:34">
      <c r="C585" s="11" t="s">
        <v>562</v>
      </c>
      <c r="D585" s="10" t="s">
        <v>1</v>
      </c>
      <c r="E585" s="10">
        <v>13.71</v>
      </c>
      <c r="F585" s="10">
        <v>16.02</v>
      </c>
      <c r="G585" s="10">
        <v>75.459999999999894</v>
      </c>
      <c r="H585" s="10">
        <v>408.19999999999902</v>
      </c>
      <c r="I585" s="10">
        <v>0.10879999999999899</v>
      </c>
      <c r="J585" s="10">
        <v>0.1168</v>
      </c>
      <c r="K585" s="10">
        <v>7.0970000000000005E-2</v>
      </c>
      <c r="L585" s="10">
        <v>4.4970000000000003E-2</v>
      </c>
      <c r="M585" s="10">
        <v>0.18859999999999899</v>
      </c>
      <c r="N585" s="10">
        <v>6.3200000000000006E-2</v>
      </c>
      <c r="O585" s="10">
        <v>0.24560000000000001</v>
      </c>
      <c r="P585" s="10">
        <v>0.7339</v>
      </c>
      <c r="Q585" s="10">
        <v>1.667</v>
      </c>
      <c r="R585" s="10">
        <v>15.89</v>
      </c>
      <c r="S585" s="10">
        <v>5.8840000000000003E-3</v>
      </c>
      <c r="T585" s="10">
        <v>2.0049999999999901E-2</v>
      </c>
      <c r="U585" s="10">
        <v>2.631E-2</v>
      </c>
      <c r="V585" s="10">
        <v>1.304E-2</v>
      </c>
      <c r="W585" s="10">
        <v>1.848E-2</v>
      </c>
      <c r="X585" s="10">
        <v>1.9819999999999898E-3</v>
      </c>
      <c r="Y585" s="10">
        <v>12.64</v>
      </c>
      <c r="Z585" s="10">
        <v>19.670000000000002</v>
      </c>
      <c r="AA585" s="10">
        <v>81.93</v>
      </c>
      <c r="AB585" s="10">
        <v>475.69999999999902</v>
      </c>
      <c r="AC585" s="10">
        <v>0.14149999999999899</v>
      </c>
      <c r="AD585" s="10">
        <v>0.217</v>
      </c>
      <c r="AE585" s="10">
        <v>0.23019999999999899</v>
      </c>
      <c r="AF585" s="10">
        <v>0.1105</v>
      </c>
      <c r="AG585" s="10">
        <v>0.2787</v>
      </c>
      <c r="AH585">
        <v>7.4270000000000003E-2</v>
      </c>
    </row>
    <row r="586" spans="3:34">
      <c r="C586" s="11" t="s">
        <v>260</v>
      </c>
      <c r="D586" s="10" t="s">
        <v>1</v>
      </c>
      <c r="E586" s="10">
        <v>13.71</v>
      </c>
      <c r="F586" s="10">
        <v>10.82</v>
      </c>
      <c r="G586" s="10">
        <v>73.34</v>
      </c>
      <c r="H586" s="10">
        <v>403.3</v>
      </c>
      <c r="I586" s="10">
        <v>9.3729999999999897E-2</v>
      </c>
      <c r="J586" s="10">
        <v>6.6850000000000007E-2</v>
      </c>
      <c r="K586" s="10">
        <v>3.5119999999999901E-2</v>
      </c>
      <c r="L586" s="10">
        <v>2.623E-2</v>
      </c>
      <c r="M586" s="10">
        <v>0.16669999999999899</v>
      </c>
      <c r="N586" s="10">
        <v>6.11299999999999E-2</v>
      </c>
      <c r="O586" s="10">
        <v>0.14080000000000001</v>
      </c>
      <c r="P586" s="10">
        <v>0.4607</v>
      </c>
      <c r="Q586" s="10">
        <v>1.103</v>
      </c>
      <c r="R586" s="10">
        <v>10.5</v>
      </c>
      <c r="S586" s="10">
        <v>6.0400000000000002E-3</v>
      </c>
      <c r="T586" s="10">
        <v>1.529E-2</v>
      </c>
      <c r="U586" s="10">
        <v>1.5140000000000001E-2</v>
      </c>
      <c r="V586" s="10">
        <v>6.4599999999999901E-3</v>
      </c>
      <c r="W586" s="10">
        <v>1.3440000000000001E-2</v>
      </c>
      <c r="X586" s="10">
        <v>2.2060000000000001E-3</v>
      </c>
      <c r="Y586" s="10">
        <v>12.82</v>
      </c>
      <c r="Z586" s="10">
        <v>15.97</v>
      </c>
      <c r="AA586" s="10">
        <v>83.739999999999895</v>
      </c>
      <c r="AB586" s="10">
        <v>510.5</v>
      </c>
      <c r="AC586" s="10">
        <v>0.15479999999999899</v>
      </c>
      <c r="AD586" s="10">
        <v>0.23899999999999899</v>
      </c>
      <c r="AE586" s="10">
        <v>0.2102</v>
      </c>
      <c r="AF586" s="10">
        <v>8.9580000000000007E-2</v>
      </c>
      <c r="AG586" s="10">
        <v>0.30159999999999898</v>
      </c>
      <c r="AH586">
        <v>8.523E-2</v>
      </c>
    </row>
    <row r="587" spans="3:34">
      <c r="C587" s="11" t="s">
        <v>317</v>
      </c>
      <c r="D587" s="10" t="s">
        <v>0</v>
      </c>
      <c r="E587" s="10">
        <v>13.71</v>
      </c>
      <c r="F587" s="10">
        <v>20.1099999999999</v>
      </c>
      <c r="G587" s="10">
        <v>109.3</v>
      </c>
      <c r="H587" s="10">
        <v>832.89999999999895</v>
      </c>
      <c r="I587" s="10">
        <v>9.8309999999999897E-2</v>
      </c>
      <c r="J587" s="10">
        <v>0.15559999999999899</v>
      </c>
      <c r="K587" s="10">
        <v>0.17929999999999899</v>
      </c>
      <c r="L587" s="10">
        <v>8.8660000000000003E-2</v>
      </c>
      <c r="M587" s="10">
        <v>0.1794</v>
      </c>
      <c r="N587" s="10">
        <v>6.3229999999999897E-2</v>
      </c>
      <c r="O587" s="10">
        <v>0.30370000000000003</v>
      </c>
      <c r="P587" s="10">
        <v>1.284</v>
      </c>
      <c r="Q587" s="10">
        <v>2.4820000000000002</v>
      </c>
      <c r="R587" s="10">
        <v>31.59</v>
      </c>
      <c r="S587" s="10">
        <v>6.6270000000000001E-3</v>
      </c>
      <c r="T587" s="10">
        <v>4.09399999999999E-2</v>
      </c>
      <c r="U587" s="10">
        <v>5.3710000000000001E-2</v>
      </c>
      <c r="V587" s="10">
        <v>1.813E-2</v>
      </c>
      <c r="W587" s="10">
        <v>1.6820000000000002E-2</v>
      </c>
      <c r="X587" s="10">
        <v>4.5840000000000004E-3</v>
      </c>
      <c r="Y587" s="10">
        <v>17.7899999999999</v>
      </c>
      <c r="Z587" s="10">
        <v>28.4499999999999</v>
      </c>
      <c r="AA587" s="10">
        <v>123.5</v>
      </c>
      <c r="AB587" s="10">
        <v>981.2</v>
      </c>
      <c r="AC587" s="10">
        <v>0.14149999999999899</v>
      </c>
      <c r="AD587" s="10">
        <v>0.4667</v>
      </c>
      <c r="AE587" s="10">
        <v>0.58620000000000005</v>
      </c>
      <c r="AF587" s="10">
        <v>0.20349999999999899</v>
      </c>
      <c r="AG587" s="10">
        <v>0.3054</v>
      </c>
      <c r="AH587">
        <v>9.51899999999999E-2</v>
      </c>
    </row>
    <row r="588" spans="3:34">
      <c r="C588" s="11" t="s">
        <v>415</v>
      </c>
      <c r="D588" s="10" t="s">
        <v>1</v>
      </c>
      <c r="E588" s="10">
        <v>13.71</v>
      </c>
      <c r="F588" s="10">
        <v>17.3599999999999</v>
      </c>
      <c r="G588" s="10">
        <v>76.2</v>
      </c>
      <c r="H588" s="10">
        <v>435.6</v>
      </c>
      <c r="I588" s="10">
        <v>0.1225</v>
      </c>
      <c r="J588" s="10">
        <v>7.20999999999999E-2</v>
      </c>
      <c r="K588" s="10">
        <v>5.9290000000000002E-2</v>
      </c>
      <c r="L588" s="10">
        <v>7.4039999999999898E-2</v>
      </c>
      <c r="M588" s="10">
        <v>0.20150000000000001</v>
      </c>
      <c r="N588" s="10">
        <v>5.87499999999999E-2</v>
      </c>
      <c r="O588" s="10">
        <v>0.64119999999999899</v>
      </c>
      <c r="P588" s="10">
        <v>2.2930000000000001</v>
      </c>
      <c r="Q588" s="10">
        <v>4.0209999999999901</v>
      </c>
      <c r="R588" s="10">
        <v>48.84</v>
      </c>
      <c r="S588" s="10">
        <v>1.418E-2</v>
      </c>
      <c r="T588" s="10">
        <v>1.489E-2</v>
      </c>
      <c r="U588" s="10">
        <v>1.2670000000000001E-2</v>
      </c>
      <c r="V588" s="10">
        <v>1.9099999999999898E-2</v>
      </c>
      <c r="W588" s="10">
        <v>2.6780000000000002E-2</v>
      </c>
      <c r="X588" s="10">
        <v>3.0019999999999899E-3</v>
      </c>
      <c r="Y588" s="10">
        <v>12.4</v>
      </c>
      <c r="Z588" s="10">
        <v>18.989999999999899</v>
      </c>
      <c r="AA588" s="10">
        <v>79.459999999999894</v>
      </c>
      <c r="AB588" s="10">
        <v>472.39999999999901</v>
      </c>
      <c r="AC588" s="10">
        <v>0.13589999999999899</v>
      </c>
      <c r="AD588" s="10">
        <v>8.3680000000000004E-2</v>
      </c>
      <c r="AE588" s="10">
        <v>7.1529999999999899E-2</v>
      </c>
      <c r="AF588" s="10">
        <v>8.9459999999999901E-2</v>
      </c>
      <c r="AG588" s="10">
        <v>0.222</v>
      </c>
      <c r="AH588">
        <v>6.0330000000000002E-2</v>
      </c>
    </row>
    <row r="589" spans="3:34">
      <c r="C589" s="11" t="s">
        <v>173</v>
      </c>
      <c r="D589" s="10" t="s">
        <v>0</v>
      </c>
      <c r="E589" s="10">
        <v>13.71</v>
      </c>
      <c r="F589" s="10">
        <v>26.469999999999899</v>
      </c>
      <c r="G589" s="10">
        <v>127.9</v>
      </c>
      <c r="H589" s="10">
        <v>1162</v>
      </c>
      <c r="I589" s="10">
        <v>9.4009999999999899E-2</v>
      </c>
      <c r="J589" s="10">
        <v>0.1719</v>
      </c>
      <c r="K589" s="10">
        <v>0.16569999999999899</v>
      </c>
      <c r="L589" s="10">
        <v>7.59299999999999E-2</v>
      </c>
      <c r="M589" s="10">
        <v>0.18529999999999899</v>
      </c>
      <c r="N589" s="10">
        <v>6.2609999999999902E-2</v>
      </c>
      <c r="O589" s="10">
        <v>0.55579999999999896</v>
      </c>
      <c r="P589" s="10">
        <v>0.60619999999999896</v>
      </c>
      <c r="Q589" s="10">
        <v>3.528</v>
      </c>
      <c r="R589" s="10">
        <v>68.17</v>
      </c>
      <c r="S589" s="10">
        <v>5.0150000000000004E-3</v>
      </c>
      <c r="T589" s="10">
        <v>3.3180000000000001E-2</v>
      </c>
      <c r="U589" s="10">
        <v>3.4970000000000001E-2</v>
      </c>
      <c r="V589" s="10">
        <v>9.6430000000000005E-3</v>
      </c>
      <c r="W589" s="10">
        <v>1.54299999999999E-2</v>
      </c>
      <c r="X589" s="10">
        <v>3.8960000000000002E-3</v>
      </c>
      <c r="Y589" s="10">
        <v>24.149999999999899</v>
      </c>
      <c r="Z589" s="10">
        <v>30.899999999999899</v>
      </c>
      <c r="AA589" s="10">
        <v>161.4</v>
      </c>
      <c r="AB589" s="10">
        <v>1813</v>
      </c>
      <c r="AC589" s="10">
        <v>0.15090000000000001</v>
      </c>
      <c r="AD589" s="10">
        <v>0.65900000000000003</v>
      </c>
      <c r="AE589" s="10">
        <v>0.60909999999999898</v>
      </c>
      <c r="AF589" s="10">
        <v>0.17849999999999899</v>
      </c>
      <c r="AG589" s="10">
        <v>0.36720000000000003</v>
      </c>
      <c r="AH589">
        <v>0.1123</v>
      </c>
    </row>
    <row r="590" spans="3:34">
      <c r="C590" s="11" t="s">
        <v>504</v>
      </c>
      <c r="D590" s="10" t="s">
        <v>1</v>
      </c>
      <c r="E590" s="10">
        <v>13.71</v>
      </c>
      <c r="F590" s="10">
        <v>16.9499999999999</v>
      </c>
      <c r="G590" s="10">
        <v>85.48</v>
      </c>
      <c r="H590" s="10">
        <v>552.39999999999895</v>
      </c>
      <c r="I590" s="10">
        <v>7.9369999999999899E-2</v>
      </c>
      <c r="J590" s="10">
        <v>5.69599999999999E-2</v>
      </c>
      <c r="K590" s="10">
        <v>2.181E-2</v>
      </c>
      <c r="L590" s="10">
        <v>1.473E-2</v>
      </c>
      <c r="M590" s="10">
        <v>0.16500000000000001</v>
      </c>
      <c r="N590" s="10">
        <v>5.7009999999999901E-2</v>
      </c>
      <c r="O590" s="10">
        <v>0.15840000000000001</v>
      </c>
      <c r="P590" s="10">
        <v>0.61240000000000006</v>
      </c>
      <c r="Q590" s="10">
        <v>1.036</v>
      </c>
      <c r="R590" s="10">
        <v>13.22</v>
      </c>
      <c r="S590" s="10">
        <v>4.3940000000000003E-3</v>
      </c>
      <c r="T590" s="10">
        <v>1.2500000000000001E-2</v>
      </c>
      <c r="U590" s="10">
        <v>1.451E-2</v>
      </c>
      <c r="V590" s="10">
        <v>5.4840000000000002E-3</v>
      </c>
      <c r="W590" s="10">
        <v>1.291E-2</v>
      </c>
      <c r="X590" s="10">
        <v>2.0739999999999899E-3</v>
      </c>
      <c r="Y590" s="10">
        <v>14.73</v>
      </c>
      <c r="Z590" s="10">
        <v>21.6999999999999</v>
      </c>
      <c r="AA590" s="10">
        <v>93.76</v>
      </c>
      <c r="AB590" s="10">
        <v>663.5</v>
      </c>
      <c r="AC590" s="10">
        <v>0.12130000000000001</v>
      </c>
      <c r="AD590" s="10">
        <v>0.1676</v>
      </c>
      <c r="AE590" s="10">
        <v>0.13639999999999899</v>
      </c>
      <c r="AF590" s="10">
        <v>6.9870000000000002E-2</v>
      </c>
      <c r="AG590" s="10">
        <v>0.27410000000000001</v>
      </c>
      <c r="AH590">
        <v>7.5819999999999901E-2</v>
      </c>
    </row>
    <row r="591" spans="3:34">
      <c r="C591" s="11" t="s">
        <v>647</v>
      </c>
      <c r="D591" s="10" t="s">
        <v>1</v>
      </c>
      <c r="E591" s="10">
        <v>13.71</v>
      </c>
      <c r="F591" s="10">
        <v>17.12</v>
      </c>
      <c r="G591" s="10">
        <v>71.25</v>
      </c>
      <c r="H591" s="10">
        <v>366.5</v>
      </c>
      <c r="I591" s="10">
        <v>0.11940000000000001</v>
      </c>
      <c r="J591" s="10">
        <v>0.1071</v>
      </c>
      <c r="K591" s="10">
        <v>4.0629999999999902E-2</v>
      </c>
      <c r="L591" s="10">
        <v>4.2680000000000003E-2</v>
      </c>
      <c r="M591" s="10">
        <v>0.19539999999999899</v>
      </c>
      <c r="N591" s="10">
        <v>7.97599999999999E-2</v>
      </c>
      <c r="O591" s="10">
        <v>0.1779</v>
      </c>
      <c r="P591" s="10">
        <v>1.03</v>
      </c>
      <c r="Q591" s="10">
        <v>1.3180000000000001</v>
      </c>
      <c r="R591" s="10">
        <v>12.3</v>
      </c>
      <c r="S591" s="10">
        <v>1.26199999999999E-2</v>
      </c>
      <c r="T591" s="10">
        <v>2.3480000000000001E-2</v>
      </c>
      <c r="U591" s="10">
        <v>1.7999999999999901E-2</v>
      </c>
      <c r="V591" s="10">
        <v>1.285E-2</v>
      </c>
      <c r="W591" s="10">
        <v>2.2200000000000001E-2</v>
      </c>
      <c r="X591" s="10">
        <v>8.3129999999999905E-3</v>
      </c>
      <c r="Y591" s="10">
        <v>11.69</v>
      </c>
      <c r="Z591" s="10">
        <v>20.739999999999899</v>
      </c>
      <c r="AA591" s="10">
        <v>76.079999999999899</v>
      </c>
      <c r="AB591" s="10">
        <v>411.1</v>
      </c>
      <c r="AC591" s="10">
        <v>0.16619999999999899</v>
      </c>
      <c r="AD591" s="10">
        <v>0.2031</v>
      </c>
      <c r="AE591" s="10">
        <v>0.12559999999999899</v>
      </c>
      <c r="AF591" s="10">
        <v>9.5140000000000002E-2</v>
      </c>
      <c r="AG591" s="10">
        <v>0.27800000000000002</v>
      </c>
      <c r="AH591">
        <v>0.1168</v>
      </c>
    </row>
    <row r="592" spans="3:34">
      <c r="C592" s="11" t="s">
        <v>235</v>
      </c>
      <c r="D592" s="10" t="s">
        <v>0</v>
      </c>
      <c r="E592" s="10">
        <v>13.71</v>
      </c>
      <c r="F592" s="10">
        <v>23.03</v>
      </c>
      <c r="G592" s="10">
        <v>132.4</v>
      </c>
      <c r="H592" s="10">
        <v>1264</v>
      </c>
      <c r="I592" s="10">
        <v>9.078E-2</v>
      </c>
      <c r="J592" s="10">
        <v>0.1313</v>
      </c>
      <c r="K592" s="10">
        <v>0.14649999999999899</v>
      </c>
      <c r="L592" s="10">
        <v>8.6830000000000004E-2</v>
      </c>
      <c r="M592" s="10">
        <v>0.20949999999999899</v>
      </c>
      <c r="N592" s="10">
        <v>5.6489999999999901E-2</v>
      </c>
      <c r="O592" s="10">
        <v>0.75760000000000005</v>
      </c>
      <c r="P592" s="10">
        <v>1.5089999999999899</v>
      </c>
      <c r="Q592" s="10">
        <v>4.5540000000000003</v>
      </c>
      <c r="R592" s="10">
        <v>87.87</v>
      </c>
      <c r="S592" s="10">
        <v>6.0159999999999901E-3</v>
      </c>
      <c r="T592" s="10">
        <v>3.48199999999999E-2</v>
      </c>
      <c r="U592" s="10">
        <v>4.2320000000000003E-2</v>
      </c>
      <c r="V592" s="10">
        <v>1.269E-2</v>
      </c>
      <c r="W592" s="10">
        <v>2.657E-2</v>
      </c>
      <c r="X592" s="10">
        <v>4.411E-3</v>
      </c>
      <c r="Y592" s="10">
        <v>24.219999999999899</v>
      </c>
      <c r="Z592" s="10">
        <v>31.59</v>
      </c>
      <c r="AA592" s="10">
        <v>156.099999999999</v>
      </c>
      <c r="AB592" s="10">
        <v>1750</v>
      </c>
      <c r="AC592" s="10">
        <v>0.118999999999999</v>
      </c>
      <c r="AD592" s="10">
        <v>0.35389999999999899</v>
      </c>
      <c r="AE592" s="10">
        <v>0.4098</v>
      </c>
      <c r="AF592" s="10">
        <v>0.1573</v>
      </c>
      <c r="AG592" s="10">
        <v>0.36890000000000001</v>
      </c>
      <c r="AH592">
        <v>8.3680000000000004E-2</v>
      </c>
    </row>
    <row r="593" spans="3:34">
      <c r="C593" s="11" t="s">
        <v>619</v>
      </c>
      <c r="D593" s="10" t="s">
        <v>0</v>
      </c>
      <c r="E593" s="10">
        <v>13.71</v>
      </c>
      <c r="F593" s="10">
        <v>19.510000000000002</v>
      </c>
      <c r="G593" s="10">
        <v>109.8</v>
      </c>
      <c r="H593" s="10">
        <v>815.79999999999905</v>
      </c>
      <c r="I593" s="10">
        <v>0.1026</v>
      </c>
      <c r="J593" s="10">
        <v>0.1893</v>
      </c>
      <c r="K593" s="10">
        <v>0.22359999999999899</v>
      </c>
      <c r="L593" s="10">
        <v>9.1939999999999897E-2</v>
      </c>
      <c r="M593" s="10">
        <v>0.21510000000000001</v>
      </c>
      <c r="N593" s="10">
        <v>6.5780000000000005E-2</v>
      </c>
      <c r="O593" s="10">
        <v>0.31469999999999898</v>
      </c>
      <c r="P593" s="10">
        <v>0.98570000000000002</v>
      </c>
      <c r="Q593" s="10">
        <v>3.0699999999999901</v>
      </c>
      <c r="R593" s="10">
        <v>33.119999999999898</v>
      </c>
      <c r="S593" s="10">
        <v>9.1970000000000003E-3</v>
      </c>
      <c r="T593" s="10">
        <v>5.4699999999999901E-2</v>
      </c>
      <c r="U593" s="10">
        <v>8.0790000000000001E-2</v>
      </c>
      <c r="V593" s="10">
        <v>2.215E-2</v>
      </c>
      <c r="W593" s="10">
        <v>2.7730000000000001E-2</v>
      </c>
      <c r="X593" s="10">
        <v>6.3550000000000004E-3</v>
      </c>
      <c r="Y593" s="10">
        <v>17.39</v>
      </c>
      <c r="Z593" s="10">
        <v>23.05</v>
      </c>
      <c r="AA593" s="10">
        <v>122.099999999999</v>
      </c>
      <c r="AB593" s="10">
        <v>939.7</v>
      </c>
      <c r="AC593" s="10">
        <v>0.13769999999999899</v>
      </c>
      <c r="AD593" s="10">
        <v>0.44619999999999899</v>
      </c>
      <c r="AE593" s="10">
        <v>0.5897</v>
      </c>
      <c r="AF593" s="10">
        <v>0.17749999999999899</v>
      </c>
      <c r="AG593" s="10">
        <v>0.33179999999999898</v>
      </c>
      <c r="AH593">
        <v>9.13599999999999E-2</v>
      </c>
    </row>
    <row r="594" spans="3:34">
      <c r="C594" s="11" t="s">
        <v>427</v>
      </c>
      <c r="D594" s="10" t="s">
        <v>1</v>
      </c>
      <c r="E594" s="10">
        <v>13.71</v>
      </c>
      <c r="F594" s="10">
        <v>13.1199999999999</v>
      </c>
      <c r="G594" s="10">
        <v>81.89</v>
      </c>
      <c r="H594" s="10">
        <v>515.89999999999895</v>
      </c>
      <c r="I594" s="10">
        <v>6.9550000000000001E-2</v>
      </c>
      <c r="J594" s="10">
        <v>3.72899999999999E-2</v>
      </c>
      <c r="K594" s="10">
        <v>2.2599999999999901E-2</v>
      </c>
      <c r="L594" s="10">
        <v>1.171E-2</v>
      </c>
      <c r="M594" s="10">
        <v>0.13370000000000001</v>
      </c>
      <c r="N594" s="10">
        <v>5.5809999999999901E-2</v>
      </c>
      <c r="O594" s="10">
        <v>0.1532</v>
      </c>
      <c r="P594" s="10">
        <v>0.46899999999999897</v>
      </c>
      <c r="Q594" s="10">
        <v>1.115</v>
      </c>
      <c r="R594" s="10">
        <v>12.68</v>
      </c>
      <c r="S594" s="10">
        <v>4.731E-3</v>
      </c>
      <c r="T594" s="10">
        <v>1.345E-2</v>
      </c>
      <c r="U594" s="10">
        <v>1.652E-2</v>
      </c>
      <c r="V594" s="10">
        <v>5.9049999999999901E-3</v>
      </c>
      <c r="W594" s="10">
        <v>1.619E-2</v>
      </c>
      <c r="X594" s="10">
        <v>2.081E-3</v>
      </c>
      <c r="Y594" s="10">
        <v>13.6199999999999</v>
      </c>
      <c r="Z594" s="10">
        <v>15.5399999999999</v>
      </c>
      <c r="AA594" s="10">
        <v>87.4</v>
      </c>
      <c r="AB594" s="10">
        <v>577</v>
      </c>
      <c r="AC594" s="10">
        <v>9.6159999999999898E-2</v>
      </c>
      <c r="AD594" s="10">
        <v>0.1147</v>
      </c>
      <c r="AE594" s="10">
        <v>0.1186</v>
      </c>
      <c r="AF594" s="10">
        <v>5.3659999999999902E-2</v>
      </c>
      <c r="AG594" s="10">
        <v>0.23089999999999899</v>
      </c>
      <c r="AH594">
        <v>6.9150000000000003E-2</v>
      </c>
    </row>
    <row r="595" spans="3:34">
      <c r="C595" s="11" t="s">
        <v>394</v>
      </c>
      <c r="D595" s="10" t="s">
        <v>0</v>
      </c>
      <c r="E595" s="10">
        <v>13.71</v>
      </c>
      <c r="F595" s="10">
        <v>19.329999999999899</v>
      </c>
      <c r="G595" s="10">
        <v>126.5</v>
      </c>
      <c r="H595" s="10">
        <v>1169</v>
      </c>
      <c r="I595" s="10">
        <v>0.103499999999999</v>
      </c>
      <c r="J595" s="10">
        <v>0.1188</v>
      </c>
      <c r="K595" s="10">
        <v>0.137899999999999</v>
      </c>
      <c r="L595" s="10">
        <v>8.591E-2</v>
      </c>
      <c r="M595" s="10">
        <v>0.17760000000000001</v>
      </c>
      <c r="N595" s="10">
        <v>5.6469999999999902E-2</v>
      </c>
      <c r="O595" s="10">
        <v>0.59589999999999899</v>
      </c>
      <c r="P595" s="10">
        <v>0.63419999999999899</v>
      </c>
      <c r="Q595" s="10">
        <v>3.7970000000000002</v>
      </c>
      <c r="R595" s="10">
        <v>71</v>
      </c>
      <c r="S595" s="10">
        <v>4.6490000000000004E-3</v>
      </c>
      <c r="T595" s="10">
        <v>1.7999999999999901E-2</v>
      </c>
      <c r="U595" s="10">
        <v>2.7490000000000001E-2</v>
      </c>
      <c r="V595" s="10">
        <v>1.2670000000000001E-2</v>
      </c>
      <c r="W595" s="10">
        <v>1.3650000000000001E-2</v>
      </c>
      <c r="X595" s="10">
        <v>2.5500000000000002E-3</v>
      </c>
      <c r="Y595" s="10">
        <v>25.6999999999999</v>
      </c>
      <c r="Z595" s="10">
        <v>24.57</v>
      </c>
      <c r="AA595" s="10">
        <v>163.099999999999</v>
      </c>
      <c r="AB595" s="10">
        <v>1972</v>
      </c>
      <c r="AC595" s="10">
        <v>0.1497</v>
      </c>
      <c r="AD595" s="10">
        <v>0.31609999999999899</v>
      </c>
      <c r="AE595" s="10">
        <v>0.43169999999999897</v>
      </c>
      <c r="AF595" s="10">
        <v>0.199899999999999</v>
      </c>
      <c r="AG595" s="10">
        <v>0.33789999999999898</v>
      </c>
      <c r="AH595">
        <v>8.9499999999999899E-2</v>
      </c>
    </row>
    <row r="596" spans="3:34">
      <c r="C596" s="11" t="s">
        <v>629</v>
      </c>
      <c r="D596" s="10" t="s">
        <v>0</v>
      </c>
      <c r="E596" s="10">
        <v>13.71</v>
      </c>
      <c r="F596" s="10">
        <v>20.1999999999999</v>
      </c>
      <c r="G596" s="10">
        <v>107.099999999999</v>
      </c>
      <c r="H596" s="10">
        <v>857.6</v>
      </c>
      <c r="I596" s="10">
        <v>7.4969999999999898E-2</v>
      </c>
      <c r="J596" s="10">
        <v>7.1120000000000003E-2</v>
      </c>
      <c r="K596" s="10">
        <v>3.6490000000000002E-2</v>
      </c>
      <c r="L596" s="10">
        <v>2.307E-2</v>
      </c>
      <c r="M596" s="10">
        <v>0.18459999999999899</v>
      </c>
      <c r="N596" s="10">
        <v>5.3249999999999902E-2</v>
      </c>
      <c r="O596" s="10">
        <v>0.24729999999999899</v>
      </c>
      <c r="P596" s="10">
        <v>0.56789999999999896</v>
      </c>
      <c r="Q596" s="10">
        <v>1.7749999999999899</v>
      </c>
      <c r="R596" s="10">
        <v>22.9499999999999</v>
      </c>
      <c r="S596" s="10">
        <v>2.6670000000000001E-3</v>
      </c>
      <c r="T596" s="10">
        <v>1.4460000000000001E-2</v>
      </c>
      <c r="U596" s="10">
        <v>1.423E-2</v>
      </c>
      <c r="V596" s="10">
        <v>5.2969999999999901E-3</v>
      </c>
      <c r="W596" s="10">
        <v>1.9609999999999898E-2</v>
      </c>
      <c r="X596" s="10">
        <v>1.6999999999999899E-3</v>
      </c>
      <c r="Y596" s="10">
        <v>19.18</v>
      </c>
      <c r="Z596" s="10">
        <v>26.559999999999899</v>
      </c>
      <c r="AA596" s="10">
        <v>127.3</v>
      </c>
      <c r="AB596" s="10">
        <v>1084</v>
      </c>
      <c r="AC596" s="10">
        <v>0.1009</v>
      </c>
      <c r="AD596" s="10">
        <v>0.29199999999999898</v>
      </c>
      <c r="AE596" s="10">
        <v>0.2477</v>
      </c>
      <c r="AF596" s="10">
        <v>8.7370000000000003E-2</v>
      </c>
      <c r="AG596" s="10">
        <v>0.4677</v>
      </c>
      <c r="AH596">
        <v>7.6230000000000006E-2</v>
      </c>
    </row>
    <row r="597" spans="3:34">
      <c r="C597" s="11" t="s">
        <v>377</v>
      </c>
      <c r="D597" s="10" t="s">
        <v>0</v>
      </c>
      <c r="E597" s="10">
        <v>13.71</v>
      </c>
      <c r="F597" s="10">
        <v>21.46</v>
      </c>
      <c r="G597" s="10">
        <v>132.5</v>
      </c>
      <c r="H597" s="10">
        <v>1306</v>
      </c>
      <c r="I597" s="10">
        <v>8.3549999999999902E-2</v>
      </c>
      <c r="J597" s="10">
        <v>8.3479999999999902E-2</v>
      </c>
      <c r="K597" s="10">
        <v>9.042E-2</v>
      </c>
      <c r="L597" s="10">
        <v>6.0220000000000003E-2</v>
      </c>
      <c r="M597" s="10">
        <v>0.1467</v>
      </c>
      <c r="N597" s="10">
        <v>5.1769999999999899E-2</v>
      </c>
      <c r="O597" s="10">
        <v>0.68740000000000001</v>
      </c>
      <c r="P597" s="10">
        <v>1.0409999999999899</v>
      </c>
      <c r="Q597" s="10">
        <v>5.1440000000000001</v>
      </c>
      <c r="R597" s="10">
        <v>83.5</v>
      </c>
      <c r="S597" s="10">
        <v>7.9590000000000008E-3</v>
      </c>
      <c r="T597" s="10">
        <v>3.13299999999999E-2</v>
      </c>
      <c r="U597" s="10">
        <v>4.25699999999999E-2</v>
      </c>
      <c r="V597" s="10">
        <v>1.6709999999999899E-2</v>
      </c>
      <c r="W597" s="10">
        <v>1.341E-2</v>
      </c>
      <c r="X597" s="10">
        <v>3.9329999999999903E-3</v>
      </c>
      <c r="Y597" s="10">
        <v>24.219999999999899</v>
      </c>
      <c r="Z597" s="10">
        <v>26.17</v>
      </c>
      <c r="AA597" s="10">
        <v>161.69999999999899</v>
      </c>
      <c r="AB597" s="10">
        <v>1750</v>
      </c>
      <c r="AC597" s="10">
        <v>0.12280000000000001</v>
      </c>
      <c r="AD597" s="10">
        <v>0.2311</v>
      </c>
      <c r="AE597" s="10">
        <v>0.31580000000000003</v>
      </c>
      <c r="AF597" s="10">
        <v>0.14449999999999899</v>
      </c>
      <c r="AG597" s="10">
        <v>0.2238</v>
      </c>
      <c r="AH597">
        <v>7.127E-2</v>
      </c>
    </row>
    <row r="598" spans="3:34">
      <c r="C598" s="11" t="s">
        <v>342</v>
      </c>
      <c r="D598" s="10" t="s">
        <v>0</v>
      </c>
      <c r="E598" s="10">
        <v>13.71</v>
      </c>
      <c r="F598" s="10">
        <v>26.67</v>
      </c>
      <c r="G598" s="10">
        <v>158.9</v>
      </c>
      <c r="H598" s="10">
        <v>1685</v>
      </c>
      <c r="I598" s="10">
        <v>0.11409999999999899</v>
      </c>
      <c r="J598" s="10">
        <v>0.2084</v>
      </c>
      <c r="K598" s="10">
        <v>0.3523</v>
      </c>
      <c r="L598" s="10">
        <v>0.16200000000000001</v>
      </c>
      <c r="M598" s="10">
        <v>0.22</v>
      </c>
      <c r="N598" s="10">
        <v>6.2289999999999901E-2</v>
      </c>
      <c r="O598" s="10">
        <v>0.55389999999999895</v>
      </c>
      <c r="P598" s="10">
        <v>1.56</v>
      </c>
      <c r="Q598" s="10">
        <v>4.66699999999999</v>
      </c>
      <c r="R598" s="10">
        <v>83.159999999999897</v>
      </c>
      <c r="S598" s="10">
        <v>9.3270000000000002E-3</v>
      </c>
      <c r="T598" s="10">
        <v>5.1209999999999901E-2</v>
      </c>
      <c r="U598" s="10">
        <v>8.9580000000000007E-2</v>
      </c>
      <c r="V598" s="10">
        <v>2.4649999999999901E-2</v>
      </c>
      <c r="W598" s="10">
        <v>2.1749999999999901E-2</v>
      </c>
      <c r="X598" s="10">
        <v>5.195E-3</v>
      </c>
      <c r="Y598" s="10">
        <v>25.12</v>
      </c>
      <c r="Z598" s="10">
        <v>32.68</v>
      </c>
      <c r="AA598" s="10">
        <v>177</v>
      </c>
      <c r="AB598" s="10">
        <v>1986</v>
      </c>
      <c r="AC598" s="10">
        <v>0.15359999999999899</v>
      </c>
      <c r="AD598" s="10">
        <v>0.41670000000000001</v>
      </c>
      <c r="AE598" s="10">
        <v>0.78920000000000001</v>
      </c>
      <c r="AF598" s="10">
        <v>0.27329999999999899</v>
      </c>
      <c r="AG598" s="10">
        <v>0.31979999999999897</v>
      </c>
      <c r="AH598">
        <v>8.7620000000000003E-2</v>
      </c>
    </row>
    <row r="599" spans="3:34">
      <c r="C599" s="11" t="s">
        <v>445</v>
      </c>
      <c r="D599" s="10" t="s">
        <v>1</v>
      </c>
      <c r="E599" s="10">
        <v>13.71</v>
      </c>
      <c r="F599" s="10">
        <v>24.489999999999899</v>
      </c>
      <c r="G599" s="10">
        <v>74.23</v>
      </c>
      <c r="H599" s="10">
        <v>417.19999999999902</v>
      </c>
      <c r="I599" s="10">
        <v>7.4740000000000001E-2</v>
      </c>
      <c r="J599" s="10">
        <v>5.688E-2</v>
      </c>
      <c r="K599" s="10">
        <v>1.9740000000000001E-2</v>
      </c>
      <c r="L599" s="10">
        <v>1.31299999999999E-2</v>
      </c>
      <c r="M599" s="10">
        <v>0.19350000000000001</v>
      </c>
      <c r="N599" s="10">
        <v>5.8779999999999902E-2</v>
      </c>
      <c r="O599" s="10">
        <v>0.25119999999999898</v>
      </c>
      <c r="P599" s="10">
        <v>1.786</v>
      </c>
      <c r="Q599" s="10">
        <v>1.9610000000000001</v>
      </c>
      <c r="R599" s="10">
        <v>18.21</v>
      </c>
      <c r="S599" s="10">
        <v>6.1219999999999903E-3</v>
      </c>
      <c r="T599" s="10">
        <v>2.3369999999999901E-2</v>
      </c>
      <c r="U599" s="10">
        <v>1.5959999999999901E-2</v>
      </c>
      <c r="V599" s="10">
        <v>6.9979999999999903E-3</v>
      </c>
      <c r="W599" s="10">
        <v>3.1940000000000003E-2</v>
      </c>
      <c r="X599" s="10">
        <v>2.2109999999999899E-3</v>
      </c>
      <c r="Y599" s="10">
        <v>12.44</v>
      </c>
      <c r="Z599" s="10">
        <v>31.62</v>
      </c>
      <c r="AA599" s="10">
        <v>81.39</v>
      </c>
      <c r="AB599" s="10">
        <v>476.5</v>
      </c>
      <c r="AC599" s="10">
        <v>9.5449999999999896E-2</v>
      </c>
      <c r="AD599" s="10">
        <v>0.1361</v>
      </c>
      <c r="AE599" s="10">
        <v>7.2389999999999899E-2</v>
      </c>
      <c r="AF599" s="10">
        <v>4.8149999999999901E-2</v>
      </c>
      <c r="AG599" s="10">
        <v>0.32440000000000002</v>
      </c>
      <c r="AH599">
        <v>6.7449999999999899E-2</v>
      </c>
    </row>
    <row r="600" spans="3:34">
      <c r="C600" s="11" t="s">
        <v>683</v>
      </c>
      <c r="D600" s="10" t="s">
        <v>1</v>
      </c>
      <c r="E600" s="10">
        <v>13.71</v>
      </c>
      <c r="F600" s="10">
        <v>28.059999999999899</v>
      </c>
      <c r="G600" s="10">
        <v>84.879999999999896</v>
      </c>
      <c r="H600" s="10">
        <v>538.39999999999895</v>
      </c>
      <c r="I600" s="10">
        <v>8.6709999999999898E-2</v>
      </c>
      <c r="J600" s="10">
        <v>6.8769999999999901E-2</v>
      </c>
      <c r="K600" s="10">
        <v>2.9870000000000001E-2</v>
      </c>
      <c r="L600" s="10">
        <v>3.2750000000000001E-2</v>
      </c>
      <c r="M600" s="10">
        <v>0.1628</v>
      </c>
      <c r="N600" s="10">
        <v>5.781E-2</v>
      </c>
      <c r="O600" s="10">
        <v>0.2351</v>
      </c>
      <c r="P600" s="10">
        <v>1.597</v>
      </c>
      <c r="Q600" s="10">
        <v>1.5389999999999899</v>
      </c>
      <c r="R600" s="10">
        <v>17.850000000000001</v>
      </c>
      <c r="S600" s="10">
        <v>4.973E-3</v>
      </c>
      <c r="T600" s="10">
        <v>1.372E-2</v>
      </c>
      <c r="U600" s="10">
        <v>1.498E-2</v>
      </c>
      <c r="V600" s="10">
        <v>9.1170000000000001E-3</v>
      </c>
      <c r="W600" s="10">
        <v>1.7239999999999901E-2</v>
      </c>
      <c r="X600" s="10">
        <v>1.343E-3</v>
      </c>
      <c r="Y600" s="10">
        <v>14.3699999999999</v>
      </c>
      <c r="Z600" s="10">
        <v>37.17</v>
      </c>
      <c r="AA600" s="10">
        <v>92.48</v>
      </c>
      <c r="AB600" s="10">
        <v>629.6</v>
      </c>
      <c r="AC600" s="10">
        <v>0.1072</v>
      </c>
      <c r="AD600" s="10">
        <v>0.1381</v>
      </c>
      <c r="AE600" s="10">
        <v>0.1062</v>
      </c>
      <c r="AF600" s="10">
        <v>7.9579999999999901E-2</v>
      </c>
      <c r="AG600" s="10">
        <v>0.24729999999999899</v>
      </c>
      <c r="AH600">
        <v>6.4430000000000001E-2</v>
      </c>
    </row>
    <row r="601" spans="3:34">
      <c r="C601" s="11" t="s">
        <v>435</v>
      </c>
      <c r="D601" s="10" t="s">
        <v>1</v>
      </c>
      <c r="E601" s="10">
        <v>13.71</v>
      </c>
      <c r="F601" s="10">
        <v>13.27</v>
      </c>
      <c r="G601" s="10">
        <v>88.06</v>
      </c>
      <c r="H601" s="10">
        <v>582.70000000000005</v>
      </c>
      <c r="I601" s="10">
        <v>9.1980000000000006E-2</v>
      </c>
      <c r="J601" s="10">
        <v>6.2210000000000001E-2</v>
      </c>
      <c r="K601" s="10">
        <v>1.0630000000000001E-2</v>
      </c>
      <c r="L601" s="10">
        <v>1.917E-2</v>
      </c>
      <c r="M601" s="10">
        <v>0.15920000000000001</v>
      </c>
      <c r="N601" s="10">
        <v>5.9119999999999902E-2</v>
      </c>
      <c r="O601" s="10">
        <v>0.21909999999999899</v>
      </c>
      <c r="P601" s="10">
        <v>0.6946</v>
      </c>
      <c r="Q601" s="10">
        <v>1.4790000000000001</v>
      </c>
      <c r="R601" s="10">
        <v>17.739999999999899</v>
      </c>
      <c r="S601" s="10">
        <v>4.3480000000000003E-3</v>
      </c>
      <c r="T601" s="10">
        <v>8.1530000000000005E-3</v>
      </c>
      <c r="U601" s="10">
        <v>4.2719999999999902E-3</v>
      </c>
      <c r="V601" s="10">
        <v>6.829E-3</v>
      </c>
      <c r="W601" s="10">
        <v>2.154E-2</v>
      </c>
      <c r="X601" s="10">
        <v>1.802E-3</v>
      </c>
      <c r="Y601" s="10">
        <v>14.67</v>
      </c>
      <c r="Z601" s="10">
        <v>16.93</v>
      </c>
      <c r="AA601" s="10">
        <v>94.17</v>
      </c>
      <c r="AB601" s="10">
        <v>661.1</v>
      </c>
      <c r="AC601" s="10">
        <v>0.11700000000000001</v>
      </c>
      <c r="AD601" s="10">
        <v>0.1072</v>
      </c>
      <c r="AE601" s="10">
        <v>3.7319999999999902E-2</v>
      </c>
      <c r="AF601" s="10">
        <v>5.8020000000000002E-2</v>
      </c>
      <c r="AG601" s="10">
        <v>0.2823</v>
      </c>
      <c r="AH601">
        <v>6.794E-2</v>
      </c>
    </row>
    <row r="602" spans="3:34">
      <c r="C602" s="11" t="s">
        <v>563</v>
      </c>
      <c r="D602" s="10" t="s">
        <v>1</v>
      </c>
      <c r="E602" s="10">
        <v>13.71</v>
      </c>
      <c r="F602" s="10">
        <v>19.1299999999999</v>
      </c>
      <c r="G602" s="10">
        <v>89.459999999999894</v>
      </c>
      <c r="H602" s="10">
        <v>575.29999999999905</v>
      </c>
      <c r="I602" s="10">
        <v>9.0569999999999901E-2</v>
      </c>
      <c r="J602" s="10">
        <v>0.1147</v>
      </c>
      <c r="K602" s="10">
        <v>9.6570000000000003E-2</v>
      </c>
      <c r="L602" s="10">
        <v>4.8120000000000003E-2</v>
      </c>
      <c r="M602" s="10">
        <v>0.18479999999999899</v>
      </c>
      <c r="N602" s="10">
        <v>6.18099999999999E-2</v>
      </c>
      <c r="O602" s="10">
        <v>0.22439999999999899</v>
      </c>
      <c r="P602" s="10">
        <v>0.89500000000000002</v>
      </c>
      <c r="Q602" s="10">
        <v>1.804</v>
      </c>
      <c r="R602" s="10">
        <v>19.3599999999999</v>
      </c>
      <c r="S602" s="10">
        <v>3.98E-3</v>
      </c>
      <c r="T602" s="10">
        <v>2.809E-2</v>
      </c>
      <c r="U602" s="10">
        <v>3.669E-2</v>
      </c>
      <c r="V602" s="10">
        <v>1.274E-2</v>
      </c>
      <c r="W602" s="10">
        <v>1.5810000000000001E-2</v>
      </c>
      <c r="X602" s="10">
        <v>3.9560000000000003E-3</v>
      </c>
      <c r="Y602" s="10">
        <v>15.14</v>
      </c>
      <c r="Z602" s="10">
        <v>25.5</v>
      </c>
      <c r="AA602" s="10">
        <v>101.4</v>
      </c>
      <c r="AB602" s="10">
        <v>708.79999999999905</v>
      </c>
      <c r="AC602" s="10">
        <v>0.1147</v>
      </c>
      <c r="AD602" s="10">
        <v>0.31669999999999898</v>
      </c>
      <c r="AE602" s="10">
        <v>0.36599999999999899</v>
      </c>
      <c r="AF602" s="10">
        <v>0.14069999999999899</v>
      </c>
      <c r="AG602" s="10">
        <v>0.27439999999999898</v>
      </c>
      <c r="AH602">
        <v>8.8389999999999899E-2</v>
      </c>
    </row>
    <row r="603" spans="3:34">
      <c r="C603" s="11" t="s">
        <v>288</v>
      </c>
      <c r="D603" s="10" t="s">
        <v>1</v>
      </c>
      <c r="E603" s="10">
        <v>13.71</v>
      </c>
      <c r="F603" s="10">
        <v>15.18</v>
      </c>
      <c r="G603" s="10">
        <v>93.969999999999899</v>
      </c>
      <c r="H603" s="10">
        <v>640.1</v>
      </c>
      <c r="I603" s="10">
        <v>9.96999999999999E-2</v>
      </c>
      <c r="J603" s="10">
        <v>0.1021</v>
      </c>
      <c r="K603" s="10">
        <v>8.4870000000000001E-2</v>
      </c>
      <c r="L603" s="10">
        <v>5.5320000000000001E-2</v>
      </c>
      <c r="M603" s="10">
        <v>0.1724</v>
      </c>
      <c r="N603" s="10">
        <v>6.0810000000000003E-2</v>
      </c>
      <c r="O603" s="10">
        <v>0.24060000000000001</v>
      </c>
      <c r="P603" s="10">
        <v>0.73939999999999895</v>
      </c>
      <c r="Q603" s="10">
        <v>2.12</v>
      </c>
      <c r="R603" s="10">
        <v>21.1999999999999</v>
      </c>
      <c r="S603" s="10">
        <v>5.7060000000000001E-3</v>
      </c>
      <c r="T603" s="10">
        <v>2.2970000000000001E-2</v>
      </c>
      <c r="U603" s="10">
        <v>3.1140000000000001E-2</v>
      </c>
      <c r="V603" s="10">
        <v>1.4930000000000001E-2</v>
      </c>
      <c r="W603" s="10">
        <v>1.4540000000000001E-2</v>
      </c>
      <c r="X603" s="10">
        <v>2.5279999999999899E-3</v>
      </c>
      <c r="Y603" s="10">
        <v>15.85</v>
      </c>
      <c r="Z603" s="10">
        <v>19.850000000000001</v>
      </c>
      <c r="AA603" s="10">
        <v>108.599999999999</v>
      </c>
      <c r="AB603" s="10">
        <v>766.89999999999895</v>
      </c>
      <c r="AC603" s="10">
        <v>0.131599999999999</v>
      </c>
      <c r="AD603" s="10">
        <v>0.27350000000000002</v>
      </c>
      <c r="AE603" s="10">
        <v>0.31030000000000002</v>
      </c>
      <c r="AF603" s="10">
        <v>0.15989999999999899</v>
      </c>
      <c r="AG603" s="10">
        <v>0.26910000000000001</v>
      </c>
      <c r="AH603">
        <v>7.6829999999999898E-2</v>
      </c>
    </row>
    <row r="604" spans="3:34">
      <c r="C604" s="11" t="s">
        <v>545</v>
      </c>
      <c r="D604" s="10" t="s">
        <v>1</v>
      </c>
      <c r="E604" s="10">
        <v>13.71</v>
      </c>
      <c r="F604" s="10">
        <v>18.59</v>
      </c>
      <c r="G604" s="10">
        <v>70.39</v>
      </c>
      <c r="H604" s="10">
        <v>370</v>
      </c>
      <c r="I604" s="10">
        <v>0.1004</v>
      </c>
      <c r="J604" s="10">
        <v>7.46E-2</v>
      </c>
      <c r="K604" s="10">
        <v>4.9439999999999901E-2</v>
      </c>
      <c r="L604" s="10">
        <v>2.9319999999999902E-2</v>
      </c>
      <c r="M604" s="10">
        <v>0.14860000000000001</v>
      </c>
      <c r="N604" s="10">
        <v>6.615E-2</v>
      </c>
      <c r="O604" s="10">
        <v>0.37959999999999899</v>
      </c>
      <c r="P604" s="10">
        <v>1.7430000000000001</v>
      </c>
      <c r="Q604" s="10">
        <v>3.01799999999999</v>
      </c>
      <c r="R604" s="10">
        <v>25.78</v>
      </c>
      <c r="S604" s="10">
        <v>9.5189999999999893E-3</v>
      </c>
      <c r="T604" s="10">
        <v>2.1340000000000001E-2</v>
      </c>
      <c r="U604" s="10">
        <v>1.9900000000000001E-2</v>
      </c>
      <c r="V604" s="10">
        <v>1.155E-2</v>
      </c>
      <c r="W604" s="10">
        <v>2.0789999999999899E-2</v>
      </c>
      <c r="X604" s="10">
        <v>2.7009999999999899E-3</v>
      </c>
      <c r="Y604" s="10">
        <v>12.4</v>
      </c>
      <c r="Z604" s="10">
        <v>25.579999999999899</v>
      </c>
      <c r="AA604" s="10">
        <v>82.76</v>
      </c>
      <c r="AB604" s="10">
        <v>472.39999999999901</v>
      </c>
      <c r="AC604" s="10">
        <v>0.1363</v>
      </c>
      <c r="AD604" s="10">
        <v>0.16439999999999899</v>
      </c>
      <c r="AE604" s="10">
        <v>0.14119999999999899</v>
      </c>
      <c r="AF604" s="10">
        <v>7.8869999999999899E-2</v>
      </c>
      <c r="AG604" s="10">
        <v>0.225099999999999</v>
      </c>
      <c r="AH604">
        <v>7.732E-2</v>
      </c>
    </row>
    <row r="605" spans="3:34">
      <c r="C605" s="11" t="s">
        <v>449</v>
      </c>
      <c r="D605" s="10" t="s">
        <v>1</v>
      </c>
      <c r="E605" s="10">
        <v>13.71</v>
      </c>
      <c r="F605" s="10">
        <v>13.84</v>
      </c>
      <c r="G605" s="10">
        <v>82.709999999999894</v>
      </c>
      <c r="H605" s="10">
        <v>530.6</v>
      </c>
      <c r="I605" s="10">
        <v>8.35199999999999E-2</v>
      </c>
      <c r="J605" s="10">
        <v>3.7350000000000001E-2</v>
      </c>
      <c r="K605" s="10">
        <v>4.5589999999999901E-3</v>
      </c>
      <c r="L605" s="10">
        <v>8.829E-3</v>
      </c>
      <c r="M605" s="10">
        <v>0.14530000000000001</v>
      </c>
      <c r="N605" s="10">
        <v>5.518E-2</v>
      </c>
      <c r="O605" s="10">
        <v>0.39750000000000002</v>
      </c>
      <c r="P605" s="10">
        <v>0.82850000000000001</v>
      </c>
      <c r="Q605" s="10">
        <v>2.5670000000000002</v>
      </c>
      <c r="R605" s="10">
        <v>33.009999999999899</v>
      </c>
      <c r="S605" s="10">
        <v>4.1479999999999902E-3</v>
      </c>
      <c r="T605" s="10">
        <v>4.7109999999999904E-3</v>
      </c>
      <c r="U605" s="10">
        <v>2.8310000000000002E-3</v>
      </c>
      <c r="V605" s="10">
        <v>4.8209999999999902E-3</v>
      </c>
      <c r="W605" s="10">
        <v>1.422E-2</v>
      </c>
      <c r="X605" s="10">
        <v>2.2729999999999899E-3</v>
      </c>
      <c r="Y605" s="10">
        <v>14.73</v>
      </c>
      <c r="Z605" s="10">
        <v>17.399999999999899</v>
      </c>
      <c r="AA605" s="10">
        <v>93.959999999999894</v>
      </c>
      <c r="AB605" s="10">
        <v>672.39999999999895</v>
      </c>
      <c r="AC605" s="10">
        <v>0.1016</v>
      </c>
      <c r="AD605" s="10">
        <v>5.8470000000000001E-2</v>
      </c>
      <c r="AE605" s="10">
        <v>1.8239999999999899E-2</v>
      </c>
      <c r="AF605" s="10">
        <v>3.53199999999999E-2</v>
      </c>
      <c r="AG605" s="10">
        <v>0.2107</v>
      </c>
      <c r="AH605">
        <v>6.57999999999999E-2</v>
      </c>
    </row>
  </sheetData>
  <mergeCells count="27"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C18:AJ18"/>
    <mergeCell ref="C19:E19"/>
    <mergeCell ref="C20:E20"/>
    <mergeCell ref="F19:AJ19"/>
    <mergeCell ref="C22:I22"/>
    <mergeCell ref="C24:E24"/>
    <mergeCell ref="C25:E25"/>
    <mergeCell ref="C26:E26"/>
    <mergeCell ref="F23:I23"/>
    <mergeCell ref="F24:I24"/>
    <mergeCell ref="F25:I25"/>
    <mergeCell ref="F26:I26"/>
    <mergeCell ref="C23:E23"/>
    <mergeCell ref="B4:C4"/>
    <mergeCell ref="D4:E4"/>
    <mergeCell ref="F4:G4"/>
    <mergeCell ref="B3:G3"/>
    <mergeCell ref="J3:M3"/>
  </mergeCells>
  <hyperlinks>
    <hyperlink ref="B4" location="'STDPartition'!$B$10:$B$10" display="Inputs" xr:uid="{D0D90B6D-50AC-4EA5-90F3-69AC6630D8BF}"/>
    <hyperlink ref="D4" location="'STDPartition'!$B$28:$B$28" display="Partition Summary" xr:uid="{CFD4A4C1-68F1-4F14-A032-A3062A50BABA}"/>
    <hyperlink ref="F4" location="'STDPartition'!$B$34:$B$34" display="Partitioned Data" xr:uid="{E1536E63-B63E-4943-A2F9-997A67327B0B}"/>
  </hyperlinks>
  <pageMargins left="0.7" right="0.7" top="0.75" bottom="0.75" header="0.3" footer="0.3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646A2-C1AD-4928-9C3E-6EF710AD3C3D}">
  <dimension ref="B1:CV64"/>
  <sheetViews>
    <sheetView showGridLines="0" topLeftCell="A51" workbookViewId="0"/>
  </sheetViews>
  <sheetFormatPr defaultRowHeight="14.4"/>
  <cols>
    <col min="14" max="14" width="29.109375" bestFit="1" customWidth="1"/>
  </cols>
  <sheetData>
    <row r="1" spans="2:100" ht="18">
      <c r="B1" s="8" t="s">
        <v>1178</v>
      </c>
      <c r="N1" t="s">
        <v>1474</v>
      </c>
      <c r="CV1" s="15" t="s">
        <v>1995</v>
      </c>
    </row>
    <row r="3" spans="2:100" ht="15.6">
      <c r="B3" s="17" t="s">
        <v>80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103</v>
      </c>
      <c r="O3" s="18"/>
      <c r="P3" s="18"/>
      <c r="Q3" s="19"/>
    </row>
    <row r="4" spans="2:100">
      <c r="B4" s="25" t="s">
        <v>81</v>
      </c>
      <c r="C4" s="26"/>
      <c r="D4" s="25" t="s">
        <v>729</v>
      </c>
      <c r="E4" s="26"/>
      <c r="F4" s="25" t="s">
        <v>1120</v>
      </c>
      <c r="G4" s="26"/>
      <c r="H4" s="25" t="s">
        <v>1121</v>
      </c>
      <c r="I4" s="26"/>
      <c r="J4" s="25" t="s">
        <v>1122</v>
      </c>
      <c r="K4" s="2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00">
      <c r="N5" s="12">
        <v>516</v>
      </c>
      <c r="O5" s="12">
        <v>109</v>
      </c>
      <c r="P5" s="12">
        <v>18</v>
      </c>
      <c r="Q5" s="12">
        <v>643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  <c r="J12" s="22"/>
      <c r="K12" s="22"/>
    </row>
    <row r="13" spans="2:100">
      <c r="C13" s="20" t="s">
        <v>84</v>
      </c>
      <c r="D13" s="20"/>
      <c r="E13" s="20"/>
      <c r="F13" s="21"/>
      <c r="G13" s="23" t="s">
        <v>98</v>
      </c>
      <c r="H13" s="23"/>
      <c r="I13" s="23"/>
      <c r="J13" s="23"/>
      <c r="K13" s="23"/>
    </row>
    <row r="14" spans="2:100">
      <c r="C14" s="20" t="s">
        <v>85</v>
      </c>
      <c r="D14" s="20"/>
      <c r="E14" s="20"/>
      <c r="F14" s="21"/>
      <c r="G14" s="23" t="s">
        <v>1194</v>
      </c>
      <c r="H14" s="23"/>
      <c r="I14" s="23"/>
      <c r="J14" s="23"/>
      <c r="K14" s="23"/>
    </row>
    <row r="15" spans="2:100">
      <c r="C15" s="20" t="s">
        <v>1179</v>
      </c>
      <c r="D15" s="20"/>
      <c r="E15" s="20"/>
      <c r="F15" s="21"/>
      <c r="G15" s="23" t="s">
        <v>1195</v>
      </c>
      <c r="H15" s="23"/>
      <c r="I15" s="23"/>
      <c r="J15" s="23"/>
      <c r="K15" s="23"/>
    </row>
    <row r="16" spans="2:100">
      <c r="C16" s="20" t="s">
        <v>1180</v>
      </c>
      <c r="D16" s="20"/>
      <c r="E16" s="20"/>
      <c r="F16" s="21"/>
      <c r="G16" s="23">
        <v>341</v>
      </c>
      <c r="H16" s="23"/>
      <c r="I16" s="23"/>
      <c r="J16" s="23"/>
      <c r="K16" s="23"/>
    </row>
    <row r="17" spans="3:34">
      <c r="C17" s="20" t="s">
        <v>1181</v>
      </c>
      <c r="D17" s="20"/>
      <c r="E17" s="20"/>
      <c r="F17" s="21"/>
      <c r="G17" s="23" t="s">
        <v>1196</v>
      </c>
      <c r="H17" s="23"/>
      <c r="I17" s="23"/>
      <c r="J17" s="23"/>
      <c r="K17" s="23"/>
    </row>
    <row r="18" spans="3:34">
      <c r="C18" s="20" t="s">
        <v>1182</v>
      </c>
      <c r="D18" s="20"/>
      <c r="E18" s="20"/>
      <c r="F18" s="21"/>
      <c r="G18" s="23">
        <v>228</v>
      </c>
      <c r="H18" s="23"/>
      <c r="I18" s="23"/>
      <c r="J18" s="23"/>
      <c r="K18" s="23"/>
    </row>
    <row r="20" spans="3:34" ht="15.6">
      <c r="C20" s="22" t="s">
        <v>88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3:34">
      <c r="C21" s="20" t="s">
        <v>1183</v>
      </c>
      <c r="D21" s="21"/>
      <c r="E21" s="23">
        <v>30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3:34">
      <c r="C22" s="20" t="s">
        <v>1184</v>
      </c>
      <c r="D22" s="21"/>
      <c r="E22" s="12" t="s">
        <v>110</v>
      </c>
      <c r="F22" s="12" t="s">
        <v>111</v>
      </c>
      <c r="G22" s="12" t="s">
        <v>112</v>
      </c>
      <c r="H22" s="12" t="s">
        <v>113</v>
      </c>
      <c r="I22" s="12" t="s">
        <v>114</v>
      </c>
      <c r="J22" s="12" t="s">
        <v>115</v>
      </c>
      <c r="K22" s="12" t="s">
        <v>116</v>
      </c>
      <c r="L22" s="12" t="s">
        <v>117</v>
      </c>
      <c r="M22" s="12" t="s">
        <v>118</v>
      </c>
      <c r="N22" s="12" t="s">
        <v>119</v>
      </c>
      <c r="O22" s="12" t="s">
        <v>120</v>
      </c>
      <c r="P22" s="12" t="s">
        <v>121</v>
      </c>
      <c r="Q22" s="12" t="s">
        <v>122</v>
      </c>
      <c r="R22" s="12" t="s">
        <v>123</v>
      </c>
      <c r="S22" s="12" t="s">
        <v>124</v>
      </c>
      <c r="T22" s="12" t="s">
        <v>125</v>
      </c>
      <c r="U22" s="12" t="s">
        <v>126</v>
      </c>
      <c r="V22" s="12" t="s">
        <v>127</v>
      </c>
      <c r="W22" s="12" t="s">
        <v>128</v>
      </c>
      <c r="X22" s="12" t="s">
        <v>129</v>
      </c>
      <c r="Y22" s="12" t="s">
        <v>130</v>
      </c>
      <c r="Z22" s="12" t="s">
        <v>131</v>
      </c>
      <c r="AA22" s="12" t="s">
        <v>132</v>
      </c>
      <c r="AB22" s="12" t="s">
        <v>133</v>
      </c>
      <c r="AC22" s="12" t="s">
        <v>134</v>
      </c>
      <c r="AD22" s="12" t="s">
        <v>135</v>
      </c>
      <c r="AE22" s="12" t="s">
        <v>136</v>
      </c>
      <c r="AF22" s="12" t="s">
        <v>137</v>
      </c>
      <c r="AG22" s="12" t="s">
        <v>138</v>
      </c>
      <c r="AH22" s="12" t="s">
        <v>139</v>
      </c>
    </row>
    <row r="23" spans="3:34">
      <c r="C23" s="20" t="s">
        <v>1185</v>
      </c>
      <c r="D23" s="2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3:34">
      <c r="C24" s="20" t="s">
        <v>1186</v>
      </c>
      <c r="D24" s="21"/>
      <c r="E24" s="24" t="s">
        <v>718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6" spans="3:34" ht="15.6">
      <c r="C26" s="22" t="s">
        <v>1187</v>
      </c>
      <c r="D26" s="22"/>
      <c r="E26" s="22"/>
      <c r="F26" s="22"/>
      <c r="G26" s="22"/>
      <c r="H26" s="22"/>
      <c r="I26" s="22"/>
    </row>
    <row r="27" spans="3:34">
      <c r="C27" s="20" t="s">
        <v>1188</v>
      </c>
      <c r="D27" s="20"/>
      <c r="E27" s="21"/>
      <c r="F27" s="23" t="b">
        <v>1</v>
      </c>
      <c r="G27" s="23"/>
      <c r="H27" s="23"/>
      <c r="I27" s="23"/>
    </row>
    <row r="28" spans="3:34">
      <c r="C28" s="20" t="s">
        <v>1189</v>
      </c>
      <c r="D28" s="20"/>
      <c r="E28" s="21"/>
      <c r="F28" s="23" t="s">
        <v>1193</v>
      </c>
      <c r="G28" s="23"/>
      <c r="H28" s="23"/>
      <c r="I28" s="23"/>
    </row>
    <row r="30" spans="3:34" ht="15.6">
      <c r="C30" s="17" t="s">
        <v>1190</v>
      </c>
      <c r="D30" s="18"/>
      <c r="E30" s="18"/>
      <c r="F30" s="18"/>
      <c r="G30" s="18"/>
      <c r="H30" s="18"/>
      <c r="I30" s="19"/>
    </row>
    <row r="31" spans="3:34">
      <c r="C31" s="21" t="s">
        <v>1191</v>
      </c>
      <c r="D31" s="30"/>
      <c r="E31" s="31"/>
      <c r="F31" s="32">
        <v>12345</v>
      </c>
      <c r="G31" s="33"/>
      <c r="H31" s="33"/>
      <c r="I31" s="34"/>
    </row>
    <row r="32" spans="3:34">
      <c r="C32" s="21" t="s">
        <v>1192</v>
      </c>
      <c r="D32" s="30"/>
      <c r="E32" s="31"/>
      <c r="F32" s="32">
        <v>1</v>
      </c>
      <c r="G32" s="33"/>
      <c r="H32" s="33"/>
      <c r="I32" s="34"/>
    </row>
    <row r="33" spans="3:9">
      <c r="C33" s="21" t="s">
        <v>1198</v>
      </c>
      <c r="D33" s="30"/>
      <c r="E33" s="31"/>
      <c r="F33" s="32">
        <v>15</v>
      </c>
      <c r="G33" s="33"/>
      <c r="H33" s="33"/>
      <c r="I33" s="34"/>
    </row>
    <row r="34" spans="3:9">
      <c r="C34" s="21" t="s">
        <v>1199</v>
      </c>
      <c r="D34" s="30"/>
      <c r="E34" s="31"/>
      <c r="F34" s="32">
        <v>0.1</v>
      </c>
      <c r="G34" s="33"/>
      <c r="H34" s="33"/>
      <c r="I34" s="34"/>
    </row>
    <row r="35" spans="3:9">
      <c r="C35" s="21" t="s">
        <v>1200</v>
      </c>
      <c r="D35" s="30"/>
      <c r="E35" s="31"/>
      <c r="F35" s="32">
        <v>0.6</v>
      </c>
      <c r="G35" s="33"/>
      <c r="H35" s="33"/>
      <c r="I35" s="34"/>
    </row>
    <row r="36" spans="3:9">
      <c r="C36" s="21" t="s">
        <v>1201</v>
      </c>
      <c r="D36" s="30"/>
      <c r="E36" s="31"/>
      <c r="F36" s="32">
        <v>0.01</v>
      </c>
      <c r="G36" s="33"/>
      <c r="H36" s="33"/>
      <c r="I36" s="34"/>
    </row>
    <row r="37" spans="3:9">
      <c r="C37" s="21" t="s">
        <v>1202</v>
      </c>
      <c r="D37" s="30"/>
      <c r="E37" s="31"/>
      <c r="F37" s="32">
        <v>0</v>
      </c>
      <c r="G37" s="33"/>
      <c r="H37" s="33"/>
      <c r="I37" s="34"/>
    </row>
    <row r="38" spans="3:9">
      <c r="C38" s="21" t="s">
        <v>1203</v>
      </c>
      <c r="D38" s="30"/>
      <c r="E38" s="31"/>
      <c r="F38" s="32" t="s">
        <v>1224</v>
      </c>
      <c r="G38" s="33"/>
      <c r="H38" s="33"/>
      <c r="I38" s="34"/>
    </row>
    <row r="39" spans="3:9">
      <c r="C39" s="21" t="s">
        <v>1204</v>
      </c>
      <c r="D39" s="30"/>
      <c r="E39" s="31"/>
      <c r="F39" s="32" t="s">
        <v>1225</v>
      </c>
      <c r="G39" s="33"/>
      <c r="H39" s="33"/>
      <c r="I39" s="34"/>
    </row>
    <row r="40" spans="3:9">
      <c r="C40" s="21" t="s">
        <v>1205</v>
      </c>
      <c r="D40" s="30"/>
      <c r="E40" s="31"/>
      <c r="F40" s="32" t="s">
        <v>1225</v>
      </c>
      <c r="G40" s="33"/>
      <c r="H40" s="33"/>
      <c r="I40" s="34"/>
    </row>
    <row r="41" spans="3:9">
      <c r="C41" s="21" t="s">
        <v>1206</v>
      </c>
      <c r="D41" s="30"/>
      <c r="E41" s="31"/>
      <c r="F41" s="32" t="s">
        <v>1226</v>
      </c>
      <c r="G41" s="33"/>
      <c r="H41" s="33"/>
      <c r="I41" s="34"/>
    </row>
    <row r="42" spans="3:9">
      <c r="C42" s="21" t="s">
        <v>1207</v>
      </c>
      <c r="D42" s="30"/>
      <c r="E42" s="31"/>
      <c r="F42" s="32">
        <v>0.01</v>
      </c>
      <c r="G42" s="33"/>
      <c r="H42" s="33"/>
      <c r="I42" s="34"/>
    </row>
    <row r="43" spans="3:9">
      <c r="C43" s="21" t="s">
        <v>1208</v>
      </c>
      <c r="D43" s="30"/>
      <c r="E43" s="31"/>
      <c r="F43" s="32" t="s">
        <v>1227</v>
      </c>
      <c r="G43" s="33"/>
      <c r="H43" s="33"/>
      <c r="I43" s="34"/>
    </row>
    <row r="44" spans="3:9">
      <c r="C44" s="21" t="s">
        <v>1209</v>
      </c>
      <c r="D44" s="30"/>
      <c r="E44" s="31"/>
      <c r="F44" s="32">
        <v>50</v>
      </c>
      <c r="G44" s="33"/>
      <c r="H44" s="33"/>
      <c r="I44" s="34"/>
    </row>
    <row r="45" spans="3:9">
      <c r="C45" s="21" t="s">
        <v>1210</v>
      </c>
      <c r="D45" s="30"/>
      <c r="E45" s="31"/>
      <c r="F45" s="32">
        <v>5</v>
      </c>
      <c r="G45" s="33"/>
      <c r="H45" s="33"/>
      <c r="I45" s="34"/>
    </row>
    <row r="46" spans="3:9">
      <c r="C46" s="21" t="s">
        <v>1211</v>
      </c>
      <c r="D46" s="30"/>
      <c r="E46" s="31"/>
      <c r="F46" s="32">
        <v>3600</v>
      </c>
      <c r="G46" s="33"/>
      <c r="H46" s="33"/>
      <c r="I46" s="34"/>
    </row>
    <row r="47" spans="3:9">
      <c r="C47" s="21" t="s">
        <v>1212</v>
      </c>
      <c r="D47" s="30"/>
      <c r="E47" s="31"/>
      <c r="F47" s="32">
        <v>1E-4</v>
      </c>
      <c r="G47" s="33"/>
      <c r="H47" s="33"/>
      <c r="I47" s="34"/>
    </row>
    <row r="48" spans="3:9">
      <c r="C48" s="21" t="s">
        <v>1213</v>
      </c>
      <c r="D48" s="30"/>
      <c r="E48" s="31"/>
      <c r="F48" s="32">
        <v>1E-3</v>
      </c>
      <c r="G48" s="33"/>
      <c r="H48" s="33"/>
      <c r="I48" s="34"/>
    </row>
    <row r="50" spans="3:9" ht="15.6">
      <c r="C50" s="17" t="s">
        <v>1214</v>
      </c>
      <c r="D50" s="18"/>
      <c r="E50" s="18"/>
      <c r="F50" s="18"/>
      <c r="G50" s="18"/>
      <c r="H50" s="18"/>
      <c r="I50" s="19"/>
    </row>
    <row r="51" spans="3:9">
      <c r="C51" s="21" t="s">
        <v>1215</v>
      </c>
      <c r="D51" s="30"/>
      <c r="E51" s="31"/>
      <c r="F51" s="32" t="s">
        <v>1228</v>
      </c>
      <c r="G51" s="33"/>
      <c r="H51" s="33"/>
      <c r="I51" s="34"/>
    </row>
    <row r="53" spans="3:9" ht="15.6">
      <c r="C53" s="17" t="s">
        <v>1216</v>
      </c>
      <c r="D53" s="18"/>
      <c r="E53" s="18"/>
      <c r="F53" s="18"/>
      <c r="G53" s="18"/>
      <c r="H53" s="18"/>
      <c r="I53" s="19"/>
    </row>
    <row r="54" spans="3:9">
      <c r="C54" s="21" t="s">
        <v>1217</v>
      </c>
      <c r="D54" s="30"/>
      <c r="E54" s="31"/>
      <c r="F54" s="32">
        <v>2</v>
      </c>
      <c r="G54" s="33"/>
      <c r="H54" s="33"/>
      <c r="I54" s="34"/>
    </row>
    <row r="55" spans="3:9">
      <c r="C55" s="21" t="s">
        <v>1136</v>
      </c>
      <c r="D55" s="30"/>
      <c r="E55" s="31"/>
      <c r="F55" s="32" t="s">
        <v>0</v>
      </c>
      <c r="G55" s="33"/>
      <c r="H55" s="33"/>
      <c r="I55" s="34"/>
    </row>
    <row r="56" spans="3:9">
      <c r="C56" s="21" t="s">
        <v>1137</v>
      </c>
      <c r="D56" s="30"/>
      <c r="E56" s="31"/>
      <c r="F56" s="32">
        <v>0.5</v>
      </c>
      <c r="G56" s="33"/>
      <c r="H56" s="33"/>
      <c r="I56" s="34"/>
    </row>
    <row r="58" spans="3:9" ht="15.6">
      <c r="C58" s="17" t="s">
        <v>1218</v>
      </c>
      <c r="D58" s="18"/>
      <c r="E58" s="18"/>
      <c r="F58" s="18"/>
      <c r="G58" s="18"/>
      <c r="H58" s="18"/>
      <c r="I58" s="19"/>
    </row>
    <row r="59" spans="3:9">
      <c r="C59" s="21" t="s">
        <v>1219</v>
      </c>
      <c r="D59" s="30"/>
      <c r="E59" s="31"/>
      <c r="F59" s="32" t="b">
        <v>0</v>
      </c>
      <c r="G59" s="33"/>
      <c r="H59" s="33"/>
      <c r="I59" s="34"/>
    </row>
    <row r="60" spans="3:9">
      <c r="C60" s="21" t="s">
        <v>1220</v>
      </c>
      <c r="D60" s="30"/>
      <c r="E60" s="31"/>
      <c r="F60" s="32" t="b">
        <v>0</v>
      </c>
      <c r="G60" s="33"/>
      <c r="H60" s="33"/>
      <c r="I60" s="34"/>
    </row>
    <row r="62" spans="3:9" ht="15.6">
      <c r="C62" s="17" t="s">
        <v>1221</v>
      </c>
      <c r="D62" s="18"/>
      <c r="E62" s="18"/>
      <c r="F62" s="18"/>
      <c r="G62" s="19"/>
    </row>
    <row r="63" spans="3:9">
      <c r="C63" s="27" t="s">
        <v>1222</v>
      </c>
      <c r="D63" s="28"/>
      <c r="E63" s="28"/>
      <c r="F63" s="28"/>
      <c r="G63" s="29"/>
    </row>
    <row r="64" spans="3:9">
      <c r="C64" s="27" t="s">
        <v>1223</v>
      </c>
      <c r="D64" s="28"/>
      <c r="E64" s="28"/>
      <c r="F64" s="28"/>
      <c r="G64" s="29"/>
    </row>
  </sheetData>
  <mergeCells count="87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30:I30"/>
    <mergeCell ref="C20:AH20"/>
    <mergeCell ref="C21:D21"/>
    <mergeCell ref="C22:D22"/>
    <mergeCell ref="C23:D23"/>
    <mergeCell ref="C24:D24"/>
    <mergeCell ref="E21:AH21"/>
    <mergeCell ref="E24:AH24"/>
    <mergeCell ref="C26:I26"/>
    <mergeCell ref="C27:E27"/>
    <mergeCell ref="C28:E28"/>
    <mergeCell ref="F27:I27"/>
    <mergeCell ref="F28:I28"/>
    <mergeCell ref="C31:E31"/>
    <mergeCell ref="C32:E32"/>
    <mergeCell ref="C33:E33"/>
    <mergeCell ref="C34:E34"/>
    <mergeCell ref="C35:E35"/>
    <mergeCell ref="C47:E47"/>
    <mergeCell ref="C48:E48"/>
    <mergeCell ref="C37:E37"/>
    <mergeCell ref="C38:E38"/>
    <mergeCell ref="C39:E39"/>
    <mergeCell ref="C40:E40"/>
    <mergeCell ref="C41:E41"/>
    <mergeCell ref="C42:E42"/>
    <mergeCell ref="F36:I36"/>
    <mergeCell ref="C43:E43"/>
    <mergeCell ref="C44:E44"/>
    <mergeCell ref="C45:E45"/>
    <mergeCell ref="C46:E46"/>
    <mergeCell ref="C36:E36"/>
    <mergeCell ref="F31:I31"/>
    <mergeCell ref="F32:I32"/>
    <mergeCell ref="F33:I33"/>
    <mergeCell ref="F34:I34"/>
    <mergeCell ref="F35:I35"/>
    <mergeCell ref="F48:I48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C50:I50"/>
    <mergeCell ref="C51:E51"/>
    <mergeCell ref="F51:I51"/>
    <mergeCell ref="C53:I53"/>
    <mergeCell ref="C54:E54"/>
    <mergeCell ref="C64:G64"/>
    <mergeCell ref="C56:E56"/>
    <mergeCell ref="F54:I54"/>
    <mergeCell ref="F55:I55"/>
    <mergeCell ref="F56:I56"/>
    <mergeCell ref="C58:I58"/>
    <mergeCell ref="C59:E59"/>
    <mergeCell ref="C55:E55"/>
    <mergeCell ref="C60:E60"/>
    <mergeCell ref="F59:I59"/>
    <mergeCell ref="F60:I60"/>
    <mergeCell ref="C62:G62"/>
    <mergeCell ref="C63:G63"/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2'!$B$10:$B$10" display="Inputs" xr:uid="{B6E1154A-59B1-4ABB-AF30-413C178179B4}"/>
    <hyperlink ref="D4" location="'NNC_Stored2'!$B$10:$B$10" display="PMML Model" xr:uid="{2F57CE57-55CD-4824-B296-3C940F9054D1}"/>
    <hyperlink ref="F4" location="'NNC_TrainLog2'!$B$10:$B$10" display="Training Log" xr:uid="{F4E848F3-EAEF-4C6C-8405-56400E748F70}"/>
    <hyperlink ref="H4" location="'NNC_TrainingScore2'!$B$10:$B$10" display="Training: Classification Summary" xr:uid="{AFF49AE2-3CEF-47B5-BEAB-6DFA76FE15A2}"/>
    <hyperlink ref="J4" location="'NNC_ValidationScore2'!$B$10:$B$10" display="Validation: Classification Summary" xr:uid="{526FF35D-DF9C-45BF-9015-7AE6E39B53E3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70C38-B35C-4735-9900-E9DE3DF3F65E}">
  <dimension ref="B1:Q62"/>
  <sheetViews>
    <sheetView showGridLines="0" workbookViewId="0"/>
  </sheetViews>
  <sheetFormatPr defaultRowHeight="14.4"/>
  <cols>
    <col min="4" max="4" width="37.33203125" customWidth="1"/>
    <col min="5" max="5" width="34.5546875" customWidth="1"/>
    <col min="14" max="14" width="24.44140625" bestFit="1" customWidth="1"/>
  </cols>
  <sheetData>
    <row r="1" spans="2:17" ht="18">
      <c r="B1" s="8" t="s">
        <v>1144</v>
      </c>
      <c r="N1" t="s">
        <v>1474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516</v>
      </c>
      <c r="O5" s="12">
        <v>109</v>
      </c>
      <c r="P5" s="12">
        <v>18</v>
      </c>
      <c r="Q5" s="12">
        <v>643</v>
      </c>
    </row>
    <row r="10" spans="2:17" ht="18">
      <c r="B10" s="9" t="s">
        <v>1120</v>
      </c>
    </row>
    <row r="12" spans="2:17">
      <c r="C12" s="11" t="s">
        <v>1145</v>
      </c>
      <c r="D12" t="s">
        <v>1146</v>
      </c>
      <c r="E12" t="s">
        <v>1147</v>
      </c>
    </row>
    <row r="13" spans="2:17">
      <c r="C13" s="11" t="s">
        <v>1148</v>
      </c>
      <c r="D13" s="10">
        <v>0.46261484535966341</v>
      </c>
      <c r="E13">
        <v>0.34017595307917886</v>
      </c>
    </row>
    <row r="14" spans="2:17">
      <c r="C14" s="11" t="s">
        <v>1149</v>
      </c>
      <c r="D14" s="10">
        <v>0.33625655039117708</v>
      </c>
      <c r="E14">
        <v>0.16129032258064516</v>
      </c>
    </row>
    <row r="15" spans="2:17">
      <c r="C15" s="11" t="s">
        <v>1150</v>
      </c>
      <c r="D15" s="10">
        <v>0.26586625785356144</v>
      </c>
      <c r="E15">
        <v>9.9706744868035199E-2</v>
      </c>
    </row>
    <row r="16" spans="2:17">
      <c r="C16" s="11" t="s">
        <v>1151</v>
      </c>
      <c r="D16" s="10">
        <v>0.23054394870588865</v>
      </c>
      <c r="E16">
        <v>7.6246334310850442E-2</v>
      </c>
    </row>
    <row r="17" spans="3:5">
      <c r="C17" s="11" t="s">
        <v>1152</v>
      </c>
      <c r="D17" s="10">
        <v>0.20825256080435112</v>
      </c>
      <c r="E17">
        <v>5.865102639296188E-2</v>
      </c>
    </row>
    <row r="18" spans="3:5">
      <c r="C18" s="11" t="s">
        <v>1153</v>
      </c>
      <c r="D18" s="10">
        <v>0.19003028311954095</v>
      </c>
      <c r="E18">
        <v>4.9853372434017593E-2</v>
      </c>
    </row>
    <row r="19" spans="3:5">
      <c r="C19" s="11" t="s">
        <v>1154</v>
      </c>
      <c r="D19" s="10">
        <v>0.17326875976338835</v>
      </c>
      <c r="E19">
        <v>4.6920821114369501E-2</v>
      </c>
    </row>
    <row r="20" spans="3:5">
      <c r="C20" s="11" t="s">
        <v>1155</v>
      </c>
      <c r="D20" s="10">
        <v>0.15764056783656394</v>
      </c>
      <c r="E20">
        <v>4.398826979472141E-2</v>
      </c>
    </row>
    <row r="21" spans="3:5">
      <c r="C21" s="11" t="s">
        <v>1156</v>
      </c>
      <c r="D21" s="10">
        <v>0.14345756629862466</v>
      </c>
      <c r="E21">
        <v>3.8123167155425221E-2</v>
      </c>
    </row>
    <row r="22" spans="3:5">
      <c r="C22" s="11" t="s">
        <v>1157</v>
      </c>
      <c r="D22" s="10">
        <v>0.13104518582991623</v>
      </c>
      <c r="E22">
        <v>3.8123167155425221E-2</v>
      </c>
    </row>
    <row r="23" spans="3:5">
      <c r="C23" s="11" t="s">
        <v>1158</v>
      </c>
      <c r="D23" s="10">
        <v>0.12053668079293176</v>
      </c>
      <c r="E23">
        <v>3.8123167155425221E-2</v>
      </c>
    </row>
    <row r="24" spans="3:5">
      <c r="C24" s="11" t="s">
        <v>1159</v>
      </c>
      <c r="D24" s="10">
        <v>0.11185532179413452</v>
      </c>
      <c r="E24">
        <v>3.2258064516129031E-2</v>
      </c>
    </row>
    <row r="25" spans="3:5">
      <c r="C25" s="11" t="s">
        <v>1160</v>
      </c>
      <c r="D25" s="10">
        <v>0.10477476835553561</v>
      </c>
      <c r="E25">
        <v>3.519061583577713E-2</v>
      </c>
    </row>
    <row r="26" spans="3:5">
      <c r="C26" s="11" t="s">
        <v>1161</v>
      </c>
      <c r="D26" s="10">
        <v>9.8999769965078394E-2</v>
      </c>
      <c r="E26">
        <v>3.8123167155425221E-2</v>
      </c>
    </row>
    <row r="27" spans="3:5">
      <c r="C27" s="11" t="s">
        <v>1162</v>
      </c>
      <c r="D27" s="10">
        <v>9.4237603494608843E-2</v>
      </c>
      <c r="E27">
        <v>3.519061583577713E-2</v>
      </c>
    </row>
    <row r="28" spans="3:5">
      <c r="C28" s="11" t="s">
        <v>1163</v>
      </c>
      <c r="D28" s="10">
        <v>9.0244257532970579E-2</v>
      </c>
      <c r="E28">
        <v>3.519061583577713E-2</v>
      </c>
    </row>
    <row r="29" spans="3:5">
      <c r="C29" s="11" t="s">
        <v>1164</v>
      </c>
      <c r="D29" s="10">
        <v>8.683995105894167E-2</v>
      </c>
      <c r="E29">
        <v>3.2258064516129031E-2</v>
      </c>
    </row>
    <row r="30" spans="3:5">
      <c r="C30" s="11" t="s">
        <v>1165</v>
      </c>
      <c r="D30" s="10">
        <v>8.3900922293832711E-2</v>
      </c>
      <c r="E30">
        <v>3.2258064516129031E-2</v>
      </c>
    </row>
    <row r="31" spans="3:5">
      <c r="C31" s="11" t="s">
        <v>1166</v>
      </c>
      <c r="D31" s="10">
        <v>8.1341517997806437E-2</v>
      </c>
      <c r="E31">
        <v>3.2258064516129031E-2</v>
      </c>
    </row>
    <row r="32" spans="3:5">
      <c r="C32" s="11" t="s">
        <v>1167</v>
      </c>
      <c r="D32" s="10">
        <v>7.9098201021929979E-2</v>
      </c>
      <c r="E32">
        <v>3.2258064516129031E-2</v>
      </c>
    </row>
    <row r="33" spans="3:5">
      <c r="C33" s="11" t="s">
        <v>1168</v>
      </c>
      <c r="D33" s="10">
        <v>7.7119969893771179E-2</v>
      </c>
      <c r="E33">
        <v>3.2258064516129031E-2</v>
      </c>
    </row>
    <row r="34" spans="3:5">
      <c r="C34" s="11" t="s">
        <v>1169</v>
      </c>
      <c r="D34" s="10">
        <v>7.5364224469142663E-2</v>
      </c>
      <c r="E34">
        <v>2.932551319648094E-2</v>
      </c>
    </row>
    <row r="35" spans="3:5">
      <c r="C35" s="11" t="s">
        <v>1170</v>
      </c>
      <c r="D35" s="10">
        <v>7.3795381681186684E-2</v>
      </c>
      <c r="E35">
        <v>2.932551319648094E-2</v>
      </c>
    </row>
    <row r="36" spans="3:5">
      <c r="C36" s="11" t="s">
        <v>1171</v>
      </c>
      <c r="D36" s="10">
        <v>7.2384200967157419E-2</v>
      </c>
      <c r="E36">
        <v>2.932551319648094E-2</v>
      </c>
    </row>
    <row r="37" spans="3:5">
      <c r="C37" s="11" t="s">
        <v>1172</v>
      </c>
      <c r="D37" s="10">
        <v>7.1106972736966173E-2</v>
      </c>
      <c r="E37">
        <v>3.2258064516129031E-2</v>
      </c>
    </row>
    <row r="38" spans="3:5">
      <c r="C38" s="11" t="s">
        <v>1173</v>
      </c>
      <c r="D38" s="10">
        <v>6.9944509259340731E-2</v>
      </c>
      <c r="E38">
        <v>2.932551319648094E-2</v>
      </c>
    </row>
    <row r="39" spans="3:5">
      <c r="C39" s="11" t="s">
        <v>1174</v>
      </c>
      <c r="D39" s="10">
        <v>6.8881141045363983E-2</v>
      </c>
      <c r="E39">
        <v>2.932551319648094E-2</v>
      </c>
    </row>
    <row r="40" spans="3:5">
      <c r="C40" s="11" t="s">
        <v>1175</v>
      </c>
      <c r="D40" s="10">
        <v>6.7903885292186841E-2</v>
      </c>
      <c r="E40">
        <v>2.932551319648094E-2</v>
      </c>
    </row>
    <row r="41" spans="3:5">
      <c r="C41" s="11" t="s">
        <v>1176</v>
      </c>
      <c r="D41" s="10">
        <v>6.7001836784422217E-2</v>
      </c>
      <c r="E41">
        <v>2.932551319648094E-2</v>
      </c>
    </row>
    <row r="42" spans="3:5">
      <c r="C42" s="11" t="s">
        <v>1177</v>
      </c>
      <c r="D42" s="10">
        <v>6.6165748060957819E-2</v>
      </c>
      <c r="E42">
        <v>2.932551319648094E-2</v>
      </c>
    </row>
    <row r="43" spans="3:5">
      <c r="C43" s="11" t="s">
        <v>1975</v>
      </c>
      <c r="D43" s="10">
        <v>6.5387737173429467E-2</v>
      </c>
      <c r="E43">
        <v>2.932551319648094E-2</v>
      </c>
    </row>
    <row r="44" spans="3:5">
      <c r="C44" s="11" t="s">
        <v>1976</v>
      </c>
      <c r="D44" s="10">
        <v>6.4661069481254274E-2</v>
      </c>
      <c r="E44">
        <v>2.932551319648094E-2</v>
      </c>
    </row>
    <row r="45" spans="3:5">
      <c r="C45" s="11" t="s">
        <v>1977</v>
      </c>
      <c r="D45" s="10">
        <v>6.3979980456636207E-2</v>
      </c>
      <c r="E45">
        <v>2.932551319648094E-2</v>
      </c>
    </row>
    <row r="46" spans="3:5">
      <c r="C46" s="11" t="s">
        <v>1978</v>
      </c>
      <c r="D46" s="10">
        <v>6.3339524301754754E-2</v>
      </c>
      <c r="E46">
        <v>2.932551319648094E-2</v>
      </c>
    </row>
    <row r="47" spans="3:5">
      <c r="C47" s="11" t="s">
        <v>1979</v>
      </c>
      <c r="D47" s="10">
        <v>6.2735443389248524E-2</v>
      </c>
      <c r="E47">
        <v>2.932551319648094E-2</v>
      </c>
    </row>
    <row r="48" spans="3:5">
      <c r="C48" s="11" t="s">
        <v>1980</v>
      </c>
      <c r="D48" s="10">
        <v>6.2164057247741725E-2</v>
      </c>
      <c r="E48">
        <v>2.6392961876832845E-2</v>
      </c>
    </row>
    <row r="49" spans="3:5">
      <c r="C49" s="11" t="s">
        <v>1981</v>
      </c>
      <c r="D49" s="10">
        <v>6.1622170003393373E-2</v>
      </c>
      <c r="E49">
        <v>2.6392961876832845E-2</v>
      </c>
    </row>
    <row r="50" spans="3:5">
      <c r="C50" s="11" t="s">
        <v>1982</v>
      </c>
      <c r="D50" s="10">
        <v>6.1106994321733422E-2</v>
      </c>
      <c r="E50">
        <v>2.6392961876832845E-2</v>
      </c>
    </row>
    <row r="51" spans="3:5">
      <c r="C51" s="11" t="s">
        <v>1983</v>
      </c>
      <c r="D51" s="10">
        <v>6.0616089250785689E-2</v>
      </c>
      <c r="E51">
        <v>2.6392961876832845E-2</v>
      </c>
    </row>
    <row r="52" spans="3:5">
      <c r="C52" s="11" t="s">
        <v>1984</v>
      </c>
      <c r="D52" s="10">
        <v>6.0147309277829755E-2</v>
      </c>
      <c r="E52">
        <v>2.6392961876832845E-2</v>
      </c>
    </row>
    <row r="53" spans="3:5">
      <c r="C53" s="11" t="s">
        <v>1985</v>
      </c>
      <c r="D53" s="10">
        <v>5.9698762236003219E-2</v>
      </c>
      <c r="E53">
        <v>2.6392961876832845E-2</v>
      </c>
    </row>
    <row r="54" spans="3:5">
      <c r="C54" s="11" t="s">
        <v>1986</v>
      </c>
      <c r="D54" s="10">
        <v>5.9268774183046859E-2</v>
      </c>
      <c r="E54">
        <v>2.3460410557184751E-2</v>
      </c>
    </row>
    <row r="55" spans="3:5">
      <c r="C55" s="11" t="s">
        <v>1987</v>
      </c>
      <c r="D55" s="10">
        <v>5.8855859839921081E-2</v>
      </c>
      <c r="E55">
        <v>2.3460410557184751E-2</v>
      </c>
    </row>
    <row r="56" spans="3:5">
      <c r="C56" s="11" t="s">
        <v>1988</v>
      </c>
      <c r="D56" s="10">
        <v>5.8458697541295061E-2</v>
      </c>
      <c r="E56">
        <v>2.3460410557184751E-2</v>
      </c>
    </row>
    <row r="57" spans="3:5">
      <c r="C57" s="11" t="s">
        <v>1989</v>
      </c>
      <c r="D57" s="10">
        <v>5.8076107905763986E-2</v>
      </c>
      <c r="E57">
        <v>2.6392961876832845E-2</v>
      </c>
    </row>
    <row r="58" spans="3:5">
      <c r="C58" s="11" t="s">
        <v>1990</v>
      </c>
      <c r="D58" s="10">
        <v>5.7707035606445571E-2</v>
      </c>
      <c r="E58">
        <v>2.6392961876832845E-2</v>
      </c>
    </row>
    <row r="59" spans="3:5">
      <c r="C59" s="11" t="s">
        <v>1991</v>
      </c>
      <c r="D59" s="10">
        <v>5.7350533742296705E-2</v>
      </c>
      <c r="E59">
        <v>2.6392961876832845E-2</v>
      </c>
    </row>
    <row r="60" spans="3:5">
      <c r="C60" s="11" t="s">
        <v>1992</v>
      </c>
      <c r="D60" s="10">
        <v>5.7005750399260216E-2</v>
      </c>
      <c r="E60">
        <v>2.6392961876832845E-2</v>
      </c>
    </row>
    <row r="61" spans="3:5">
      <c r="C61" s="11" t="s">
        <v>1993</v>
      </c>
      <c r="D61" s="10">
        <v>5.6671917060882551E-2</v>
      </c>
      <c r="E61">
        <v>2.6392961876832845E-2</v>
      </c>
    </row>
    <row r="62" spans="3:5">
      <c r="C62" s="11" t="s">
        <v>1994</v>
      </c>
      <c r="D62" s="10">
        <v>5.6348338586248936E-2</v>
      </c>
      <c r="E62">
        <v>2.6392961876832845E-2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2'!$B$10:$B$10" display="Inputs" xr:uid="{0325DA1B-D35A-4451-88C7-A4BFF7FEC1F1}"/>
    <hyperlink ref="D4" location="'NNC_Stored2'!$B$10:$B$10" display="PMML Model" xr:uid="{4DEC5344-CD44-45D4-8F6C-EF9DE54BCDF3}"/>
    <hyperlink ref="F4" location="'NNC_TrainLog2'!$B$10:$B$10" display="Training Log" xr:uid="{04895646-D0EE-4828-A0D0-AA813B87AF37}"/>
    <hyperlink ref="H4" location="'NNC_TrainingScore2'!$B$10:$B$10" display="Training: Classification Summary" xr:uid="{DCDFC58C-6F37-4245-885F-31CE0B3356E2}"/>
    <hyperlink ref="J4" location="'NNC_ValidationScore2'!$B$10:$B$10" display="Validation: Classification Summary" xr:uid="{98D203A9-1CDD-471A-A468-174EB000CBDF}"/>
  </hyperlink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66AC-ED98-43DB-A7CC-47A3CCB67F27}">
  <dimension ref="B1:Q32"/>
  <sheetViews>
    <sheetView showGridLines="0" topLeftCell="A12" workbookViewId="0">
      <selection activeCell="F21" sqref="F21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1143</v>
      </c>
      <c r="N1" t="s">
        <v>1474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516</v>
      </c>
      <c r="O5" s="12">
        <v>109</v>
      </c>
      <c r="P5" s="12">
        <v>18</v>
      </c>
      <c r="Q5" s="12">
        <v>643</v>
      </c>
    </row>
    <row r="10" spans="2:17" ht="18">
      <c r="B10" s="9" t="s">
        <v>1121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213</v>
      </c>
      <c r="E14">
        <v>1</v>
      </c>
    </row>
    <row r="15" spans="2:17">
      <c r="C15" s="11" t="s">
        <v>0</v>
      </c>
      <c r="D15" s="10">
        <v>8</v>
      </c>
      <c r="E15">
        <v>119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214</v>
      </c>
      <c r="E19">
        <f>SUM($D$14:$E$14) - $D$14</f>
        <v>1</v>
      </c>
      <c r="F19">
        <f>IF($D$19=0,"Undefined",$E$19*100 / $D$19)</f>
        <v>0.46728971962616822</v>
      </c>
    </row>
    <row r="20" spans="3:6">
      <c r="C20" s="11" t="s">
        <v>0</v>
      </c>
      <c r="D20">
        <f>SUM($D$15:$E$15)</f>
        <v>127</v>
      </c>
      <c r="E20">
        <f>SUM($D$15:$E$15) - $E$15</f>
        <v>8</v>
      </c>
      <c r="F20">
        <f>IF($D$20=0,"Undefined",$E$20*100 / $D$20)</f>
        <v>6.2992125984251972</v>
      </c>
    </row>
    <row r="21" spans="3:6">
      <c r="C21" s="11" t="s">
        <v>1127</v>
      </c>
      <c r="D21">
        <f>SUM($D$19:$D$20)</f>
        <v>341</v>
      </c>
      <c r="E21">
        <f>SUM($E$19:$E$20)</f>
        <v>9</v>
      </c>
      <c r="F21">
        <f>IF($D$21=0,"Undefined",$E$21*100 / $D$21)</f>
        <v>2.6392961876832843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332</v>
      </c>
    </row>
    <row r="26" spans="3:6">
      <c r="C26" t="s">
        <v>1131</v>
      </c>
      <c r="D26">
        <v>97.360703812316714</v>
      </c>
    </row>
    <row r="27" spans="3:6">
      <c r="C27" t="s">
        <v>1132</v>
      </c>
      <c r="D27">
        <v>0.99532710280373837</v>
      </c>
    </row>
    <row r="28" spans="3:6">
      <c r="C28" t="s">
        <v>1133</v>
      </c>
      <c r="D28">
        <v>0.93700787401574803</v>
      </c>
    </row>
    <row r="29" spans="3:6">
      <c r="C29" t="s">
        <v>1134</v>
      </c>
      <c r="D29">
        <v>0.99166666666666681</v>
      </c>
    </row>
    <row r="30" spans="3:6">
      <c r="C30" t="s">
        <v>1135</v>
      </c>
      <c r="D30">
        <v>0.96356275303643724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2'!$B$10:$B$10" display="Inputs" xr:uid="{DEFD7C41-52A8-42D2-BD43-D94FFE6FABBC}"/>
    <hyperlink ref="D4" location="'NNC_Stored2'!$B$10:$B$10" display="PMML Model" xr:uid="{5E9E76AE-AB9E-4372-9030-BE887243005E}"/>
    <hyperlink ref="F4" location="'NNC_TrainLog2'!$B$10:$B$10" display="Training Log" xr:uid="{43325B25-394A-43D2-BCB0-DFCA689A0995}"/>
    <hyperlink ref="H4" location="'NNC_TrainingScore2'!$B$10:$B$10" display="Training: Classification Summary" xr:uid="{E43379A2-2FB2-4210-82EF-2E507F27B4C7}"/>
    <hyperlink ref="J4" location="'NNC_ValidationScore2'!$B$10:$B$10" display="Validation: Classification Summary" xr:uid="{E06DA095-64B8-4BD1-A3C6-0496C0B58908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CD64B-C5D2-4053-A9DD-1F0E47A0E6B1}">
  <dimension ref="B1:Q32"/>
  <sheetViews>
    <sheetView showGridLines="0" topLeftCell="A9" workbookViewId="0">
      <selection activeCell="D26" sqref="D26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1123</v>
      </c>
      <c r="N1" t="s">
        <v>1474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516</v>
      </c>
      <c r="O5" s="12">
        <v>109</v>
      </c>
      <c r="P5" s="12">
        <v>18</v>
      </c>
      <c r="Q5" s="12">
        <v>643</v>
      </c>
    </row>
    <row r="10" spans="2:17" ht="18">
      <c r="B10" s="9" t="s">
        <v>1122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143</v>
      </c>
      <c r="E14">
        <v>0</v>
      </c>
    </row>
    <row r="15" spans="2:17">
      <c r="C15" s="11" t="s">
        <v>0</v>
      </c>
      <c r="D15" s="10">
        <v>2</v>
      </c>
      <c r="E15">
        <v>83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143</v>
      </c>
      <c r="E19">
        <f>SUM($D$14:$E$14) - $D$14</f>
        <v>0</v>
      </c>
      <c r="F19">
        <f>IF($D$19=0,"Undefined",$E$19*100 / $D$19)</f>
        <v>0</v>
      </c>
    </row>
    <row r="20" spans="3:6">
      <c r="C20" s="11" t="s">
        <v>0</v>
      </c>
      <c r="D20">
        <f>SUM($D$15:$E$15)</f>
        <v>85</v>
      </c>
      <c r="E20">
        <f>SUM($D$15:$E$15) - $E$15</f>
        <v>2</v>
      </c>
      <c r="F20">
        <f>IF($D$20=0,"Undefined",$E$20*100 / $D$20)</f>
        <v>2.3529411764705883</v>
      </c>
    </row>
    <row r="21" spans="3:6">
      <c r="C21" s="11" t="s">
        <v>1127</v>
      </c>
      <c r="D21">
        <f>SUM($D$19:$D$20)</f>
        <v>228</v>
      </c>
      <c r="E21">
        <f>SUM($E$19:$E$20)</f>
        <v>2</v>
      </c>
      <c r="F21">
        <f>IF($D$21=0,"Undefined",$E$21*100 / $D$21)</f>
        <v>0.8771929824561403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226</v>
      </c>
    </row>
    <row r="26" spans="3:6">
      <c r="C26" t="s">
        <v>1131</v>
      </c>
      <c r="D26">
        <v>99.122807017543863</v>
      </c>
    </row>
    <row r="27" spans="3:6">
      <c r="C27" t="s">
        <v>1132</v>
      </c>
      <c r="D27">
        <v>1</v>
      </c>
    </row>
    <row r="28" spans="3:6">
      <c r="C28" t="s">
        <v>1133</v>
      </c>
      <c r="D28">
        <v>0.97647058823529398</v>
      </c>
    </row>
    <row r="29" spans="3:6">
      <c r="C29" t="s">
        <v>1134</v>
      </c>
      <c r="D29">
        <v>1</v>
      </c>
    </row>
    <row r="30" spans="3:6">
      <c r="C30" t="s">
        <v>1135</v>
      </c>
      <c r="D30">
        <v>0.98809523809523803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2'!$B$10:$B$10" display="Inputs" xr:uid="{C92033CC-8E4F-4934-B68D-CC7DBAA1A396}"/>
    <hyperlink ref="D4" location="'NNC_Stored2'!$B$10:$B$10" display="PMML Model" xr:uid="{DA22D639-799C-4A96-B2DE-B9AB272230E4}"/>
    <hyperlink ref="F4" location="'NNC_TrainLog2'!$B$10:$B$10" display="Training Log" xr:uid="{7563656F-8BF4-4730-803A-94629A576789}"/>
    <hyperlink ref="H4" location="'NNC_TrainingScore2'!$B$10:$B$10" display="Training: Classification Summary" xr:uid="{61283F9C-7FEF-402C-8853-0A9274B5C102}"/>
    <hyperlink ref="J4" location="'NNC_ValidationScore2'!$B$10:$B$10" display="Validation: Classification Summary" xr:uid="{A429B9F0-E9D1-43D4-8A6E-57B2BC2CCA32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B6D5F-11AB-40D4-BB70-D2082E3147DD}">
  <dimension ref="B1:Q963"/>
  <sheetViews>
    <sheetView showGridLines="0" workbookViewId="0"/>
  </sheetViews>
  <sheetFormatPr defaultRowHeight="14.4"/>
  <cols>
    <col min="14" max="14" width="24.44140625" bestFit="1" customWidth="1"/>
  </cols>
  <sheetData>
    <row r="1" spans="2:17" ht="18">
      <c r="B1" s="8" t="s">
        <v>728</v>
      </c>
      <c r="N1" t="s">
        <v>1474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516</v>
      </c>
      <c r="O5" s="12">
        <v>109</v>
      </c>
      <c r="P5" s="12">
        <v>18</v>
      </c>
      <c r="Q5" s="12">
        <v>643</v>
      </c>
    </row>
    <row r="10" spans="2:17" ht="18">
      <c r="B10" s="9" t="s">
        <v>729</v>
      </c>
    </row>
    <row r="12" spans="2:17">
      <c r="B12" t="s">
        <v>730</v>
      </c>
    </row>
    <row r="13" spans="2:17">
      <c r="B13" t="s">
        <v>731</v>
      </c>
    </row>
    <row r="14" spans="2:17">
      <c r="B14" t="s">
        <v>732</v>
      </c>
    </row>
    <row r="15" spans="2:17">
      <c r="B15" t="s">
        <v>733</v>
      </c>
    </row>
    <row r="16" spans="2:17">
      <c r="B16" t="s">
        <v>1473</v>
      </c>
    </row>
    <row r="17" spans="2:2">
      <c r="B17" t="s">
        <v>735</v>
      </c>
    </row>
    <row r="18" spans="2:2">
      <c r="B18" t="s">
        <v>736</v>
      </c>
    </row>
    <row r="19" spans="2:2">
      <c r="B19" t="s">
        <v>737</v>
      </c>
    </row>
    <row r="20" spans="2:2">
      <c r="B20" t="s">
        <v>738</v>
      </c>
    </row>
    <row r="21" spans="2:2">
      <c r="B21" t="s">
        <v>739</v>
      </c>
    </row>
    <row r="22" spans="2:2">
      <c r="B22" t="s">
        <v>740</v>
      </c>
    </row>
    <row r="23" spans="2:2">
      <c r="B23" t="s">
        <v>741</v>
      </c>
    </row>
    <row r="24" spans="2:2">
      <c r="B24" t="s">
        <v>742</v>
      </c>
    </row>
    <row r="25" spans="2:2">
      <c r="B25" t="s">
        <v>743</v>
      </c>
    </row>
    <row r="26" spans="2:2">
      <c r="B26" t="s">
        <v>744</v>
      </c>
    </row>
    <row r="27" spans="2:2">
      <c r="B27" t="s">
        <v>745</v>
      </c>
    </row>
    <row r="28" spans="2:2">
      <c r="B28" t="s">
        <v>746</v>
      </c>
    </row>
    <row r="29" spans="2:2">
      <c r="B29" t="s">
        <v>747</v>
      </c>
    </row>
    <row r="30" spans="2:2">
      <c r="B30" t="s">
        <v>748</v>
      </c>
    </row>
    <row r="31" spans="2:2">
      <c r="B31" t="s">
        <v>749</v>
      </c>
    </row>
    <row r="32" spans="2:2">
      <c r="B32" t="s">
        <v>750</v>
      </c>
    </row>
    <row r="33" spans="2:2">
      <c r="B33" t="s">
        <v>752</v>
      </c>
    </row>
    <row r="34" spans="2:2">
      <c r="B34" t="s">
        <v>753</v>
      </c>
    </row>
    <row r="35" spans="2:2">
      <c r="B35" t="s">
        <v>754</v>
      </c>
    </row>
    <row r="36" spans="2:2">
      <c r="B36" t="s">
        <v>755</v>
      </c>
    </row>
    <row r="37" spans="2:2">
      <c r="B37" t="s">
        <v>756</v>
      </c>
    </row>
    <row r="38" spans="2:2">
      <c r="B38" t="s">
        <v>757</v>
      </c>
    </row>
    <row r="39" spans="2:2">
      <c r="B39" t="s">
        <v>758</v>
      </c>
    </row>
    <row r="40" spans="2:2">
      <c r="B40" t="s">
        <v>759</v>
      </c>
    </row>
    <row r="41" spans="2:2">
      <c r="B41" t="s">
        <v>760</v>
      </c>
    </row>
    <row r="42" spans="2:2">
      <c r="B42" t="s">
        <v>761</v>
      </c>
    </row>
    <row r="43" spans="2:2">
      <c r="B43" t="s">
        <v>762</v>
      </c>
    </row>
    <row r="44" spans="2:2">
      <c r="B44" t="s">
        <v>763</v>
      </c>
    </row>
    <row r="45" spans="2:2">
      <c r="B45" t="s">
        <v>764</v>
      </c>
    </row>
    <row r="46" spans="2:2">
      <c r="B46" t="s">
        <v>765</v>
      </c>
    </row>
    <row r="47" spans="2:2">
      <c r="B47" t="s">
        <v>766</v>
      </c>
    </row>
    <row r="48" spans="2:2">
      <c r="B48" t="s">
        <v>767</v>
      </c>
    </row>
    <row r="49" spans="2:2">
      <c r="B49" t="s">
        <v>768</v>
      </c>
    </row>
    <row r="50" spans="2:2">
      <c r="B50" t="s">
        <v>769</v>
      </c>
    </row>
    <row r="51" spans="2:2">
      <c r="B51" t="s">
        <v>770</v>
      </c>
    </row>
    <row r="52" spans="2:2">
      <c r="B52" t="s">
        <v>771</v>
      </c>
    </row>
    <row r="53" spans="2:2">
      <c r="B53" t="s">
        <v>772</v>
      </c>
    </row>
    <row r="54" spans="2:2">
      <c r="B54" t="s">
        <v>773</v>
      </c>
    </row>
    <row r="55" spans="2:2">
      <c r="B55" t="s">
        <v>774</v>
      </c>
    </row>
    <row r="56" spans="2:2">
      <c r="B56" t="s">
        <v>775</v>
      </c>
    </row>
    <row r="57" spans="2:2">
      <c r="B57" t="s">
        <v>776</v>
      </c>
    </row>
    <row r="58" spans="2:2">
      <c r="B58" t="s">
        <v>777</v>
      </c>
    </row>
    <row r="59" spans="2:2">
      <c r="B59" t="s">
        <v>778</v>
      </c>
    </row>
    <row r="60" spans="2:2">
      <c r="B60" t="s">
        <v>779</v>
      </c>
    </row>
    <row r="61" spans="2:2">
      <c r="B61" t="s">
        <v>780</v>
      </c>
    </row>
    <row r="62" spans="2:2">
      <c r="B62" t="s">
        <v>781</v>
      </c>
    </row>
    <row r="63" spans="2:2">
      <c r="B63" t="s">
        <v>782</v>
      </c>
    </row>
    <row r="64" spans="2:2">
      <c r="B64" t="s">
        <v>783</v>
      </c>
    </row>
    <row r="65" spans="2:2">
      <c r="B65" t="s">
        <v>784</v>
      </c>
    </row>
    <row r="66" spans="2:2">
      <c r="B66" t="s">
        <v>785</v>
      </c>
    </row>
    <row r="67" spans="2:2">
      <c r="B67" t="s">
        <v>786</v>
      </c>
    </row>
    <row r="68" spans="2:2">
      <c r="B68" t="s">
        <v>787</v>
      </c>
    </row>
    <row r="69" spans="2:2">
      <c r="B69" t="s">
        <v>788</v>
      </c>
    </row>
    <row r="70" spans="2:2">
      <c r="B70" t="s">
        <v>789</v>
      </c>
    </row>
    <row r="71" spans="2:2">
      <c r="B71" t="s">
        <v>790</v>
      </c>
    </row>
    <row r="72" spans="2:2">
      <c r="B72" t="s">
        <v>791</v>
      </c>
    </row>
    <row r="73" spans="2:2">
      <c r="B73" t="s">
        <v>792</v>
      </c>
    </row>
    <row r="74" spans="2:2">
      <c r="B74" t="s">
        <v>793</v>
      </c>
    </row>
    <row r="75" spans="2:2">
      <c r="B75" t="s">
        <v>794</v>
      </c>
    </row>
    <row r="76" spans="2:2">
      <c r="B76" t="s">
        <v>795</v>
      </c>
    </row>
    <row r="77" spans="2:2">
      <c r="B77" t="s">
        <v>796</v>
      </c>
    </row>
    <row r="78" spans="2:2">
      <c r="B78" t="s">
        <v>797</v>
      </c>
    </row>
    <row r="79" spans="2:2">
      <c r="B79" t="s">
        <v>798</v>
      </c>
    </row>
    <row r="80" spans="2:2">
      <c r="B80" t="s">
        <v>799</v>
      </c>
    </row>
    <row r="81" spans="2:2">
      <c r="B81" t="s">
        <v>800</v>
      </c>
    </row>
    <row r="82" spans="2:2">
      <c r="B82" t="s">
        <v>801</v>
      </c>
    </row>
    <row r="83" spans="2:2">
      <c r="B83" t="s">
        <v>802</v>
      </c>
    </row>
    <row r="84" spans="2:2">
      <c r="B84" t="s">
        <v>803</v>
      </c>
    </row>
    <row r="85" spans="2:2">
      <c r="B85" t="s">
        <v>804</v>
      </c>
    </row>
    <row r="86" spans="2:2">
      <c r="B86" t="s">
        <v>805</v>
      </c>
    </row>
    <row r="87" spans="2:2">
      <c r="B87" t="s">
        <v>806</v>
      </c>
    </row>
    <row r="88" spans="2:2">
      <c r="B88" t="s">
        <v>807</v>
      </c>
    </row>
    <row r="89" spans="2:2">
      <c r="B89" t="s">
        <v>808</v>
      </c>
    </row>
    <row r="90" spans="2:2">
      <c r="B90" t="s">
        <v>809</v>
      </c>
    </row>
    <row r="91" spans="2:2">
      <c r="B91" t="s">
        <v>810</v>
      </c>
    </row>
    <row r="92" spans="2:2">
      <c r="B92" t="s">
        <v>811</v>
      </c>
    </row>
    <row r="93" spans="2:2">
      <c r="B93" t="s">
        <v>812</v>
      </c>
    </row>
    <row r="94" spans="2:2">
      <c r="B94" t="s">
        <v>813</v>
      </c>
    </row>
    <row r="95" spans="2:2">
      <c r="B95" t="s">
        <v>814</v>
      </c>
    </row>
    <row r="96" spans="2:2">
      <c r="B96" t="s">
        <v>815</v>
      </c>
    </row>
    <row r="97" spans="2:2">
      <c r="B97" t="s">
        <v>816</v>
      </c>
    </row>
    <row r="98" spans="2:2">
      <c r="B98" t="s">
        <v>817</v>
      </c>
    </row>
    <row r="99" spans="2:2">
      <c r="B99" t="s">
        <v>818</v>
      </c>
    </row>
    <row r="100" spans="2:2">
      <c r="B100" t="s">
        <v>819</v>
      </c>
    </row>
    <row r="101" spans="2:2">
      <c r="B101" t="s">
        <v>820</v>
      </c>
    </row>
    <row r="102" spans="2:2">
      <c r="B102" t="s">
        <v>821</v>
      </c>
    </row>
    <row r="103" spans="2:2">
      <c r="B103" t="s">
        <v>822</v>
      </c>
    </row>
    <row r="104" spans="2:2">
      <c r="B104" t="s">
        <v>823</v>
      </c>
    </row>
    <row r="105" spans="2:2">
      <c r="B105" t="s">
        <v>824</v>
      </c>
    </row>
    <row r="106" spans="2:2">
      <c r="B106" t="s">
        <v>825</v>
      </c>
    </row>
    <row r="107" spans="2:2">
      <c r="B107" t="s">
        <v>826</v>
      </c>
    </row>
    <row r="108" spans="2:2">
      <c r="B108" t="s">
        <v>827</v>
      </c>
    </row>
    <row r="109" spans="2:2">
      <c r="B109" t="s">
        <v>822</v>
      </c>
    </row>
    <row r="110" spans="2:2">
      <c r="B110" t="s">
        <v>823</v>
      </c>
    </row>
    <row r="111" spans="2:2">
      <c r="B111" t="s">
        <v>828</v>
      </c>
    </row>
    <row r="112" spans="2:2">
      <c r="B112" t="s">
        <v>829</v>
      </c>
    </row>
    <row r="113" spans="2:2">
      <c r="B113" t="s">
        <v>830</v>
      </c>
    </row>
    <row r="114" spans="2:2">
      <c r="B114" t="s">
        <v>831</v>
      </c>
    </row>
    <row r="115" spans="2:2">
      <c r="B115" t="s">
        <v>822</v>
      </c>
    </row>
    <row r="116" spans="2:2">
      <c r="B116" t="s">
        <v>823</v>
      </c>
    </row>
    <row r="117" spans="2:2">
      <c r="B117" t="s">
        <v>832</v>
      </c>
    </row>
    <row r="118" spans="2:2">
      <c r="B118" t="s">
        <v>833</v>
      </c>
    </row>
    <row r="119" spans="2:2">
      <c r="B119" t="s">
        <v>834</v>
      </c>
    </row>
    <row r="120" spans="2:2">
      <c r="B120" t="s">
        <v>835</v>
      </c>
    </row>
    <row r="121" spans="2:2">
      <c r="B121" t="s">
        <v>822</v>
      </c>
    </row>
    <row r="122" spans="2:2">
      <c r="B122" t="s">
        <v>823</v>
      </c>
    </row>
    <row r="123" spans="2:2">
      <c r="B123" t="s">
        <v>836</v>
      </c>
    </row>
    <row r="124" spans="2:2">
      <c r="B124" t="s">
        <v>837</v>
      </c>
    </row>
    <row r="125" spans="2:2">
      <c r="B125" t="s">
        <v>838</v>
      </c>
    </row>
    <row r="126" spans="2:2">
      <c r="B126" t="s">
        <v>839</v>
      </c>
    </row>
    <row r="127" spans="2:2">
      <c r="B127" t="s">
        <v>822</v>
      </c>
    </row>
    <row r="128" spans="2:2">
      <c r="B128" t="s">
        <v>823</v>
      </c>
    </row>
    <row r="129" spans="2:2">
      <c r="B129" t="s">
        <v>840</v>
      </c>
    </row>
    <row r="130" spans="2:2">
      <c r="B130" t="s">
        <v>841</v>
      </c>
    </row>
    <row r="131" spans="2:2">
      <c r="B131" t="s">
        <v>842</v>
      </c>
    </row>
    <row r="132" spans="2:2">
      <c r="B132" t="s">
        <v>843</v>
      </c>
    </row>
    <row r="133" spans="2:2">
      <c r="B133" t="s">
        <v>822</v>
      </c>
    </row>
    <row r="134" spans="2:2">
      <c r="B134" t="s">
        <v>823</v>
      </c>
    </row>
    <row r="135" spans="2:2">
      <c r="B135" t="s">
        <v>844</v>
      </c>
    </row>
    <row r="136" spans="2:2">
      <c r="B136" t="s">
        <v>845</v>
      </c>
    </row>
    <row r="137" spans="2:2">
      <c r="B137" t="s">
        <v>846</v>
      </c>
    </row>
    <row r="138" spans="2:2">
      <c r="B138" t="s">
        <v>847</v>
      </c>
    </row>
    <row r="139" spans="2:2">
      <c r="B139" t="s">
        <v>822</v>
      </c>
    </row>
    <row r="140" spans="2:2">
      <c r="B140" t="s">
        <v>823</v>
      </c>
    </row>
    <row r="141" spans="2:2">
      <c r="B141" t="s">
        <v>848</v>
      </c>
    </row>
    <row r="142" spans="2:2">
      <c r="B142" t="s">
        <v>849</v>
      </c>
    </row>
    <row r="143" spans="2:2">
      <c r="B143" t="s">
        <v>850</v>
      </c>
    </row>
    <row r="144" spans="2:2">
      <c r="B144" t="s">
        <v>851</v>
      </c>
    </row>
    <row r="145" spans="2:2">
      <c r="B145" t="s">
        <v>822</v>
      </c>
    </row>
    <row r="146" spans="2:2">
      <c r="B146" t="s">
        <v>823</v>
      </c>
    </row>
    <row r="147" spans="2:2">
      <c r="B147" t="s">
        <v>852</v>
      </c>
    </row>
    <row r="148" spans="2:2">
      <c r="B148" t="s">
        <v>853</v>
      </c>
    </row>
    <row r="149" spans="2:2">
      <c r="B149" t="s">
        <v>854</v>
      </c>
    </row>
    <row r="150" spans="2:2">
      <c r="B150" t="s">
        <v>855</v>
      </c>
    </row>
    <row r="151" spans="2:2">
      <c r="B151" t="s">
        <v>822</v>
      </c>
    </row>
    <row r="152" spans="2:2">
      <c r="B152" t="s">
        <v>823</v>
      </c>
    </row>
    <row r="153" spans="2:2">
      <c r="B153" t="s">
        <v>856</v>
      </c>
    </row>
    <row r="154" spans="2:2">
      <c r="B154" t="s">
        <v>857</v>
      </c>
    </row>
    <row r="155" spans="2:2">
      <c r="B155" t="s">
        <v>858</v>
      </c>
    </row>
    <row r="156" spans="2:2">
      <c r="B156" t="s">
        <v>859</v>
      </c>
    </row>
    <row r="157" spans="2:2">
      <c r="B157" t="s">
        <v>822</v>
      </c>
    </row>
    <row r="158" spans="2:2">
      <c r="B158" t="s">
        <v>823</v>
      </c>
    </row>
    <row r="159" spans="2:2">
      <c r="B159" t="s">
        <v>860</v>
      </c>
    </row>
    <row r="160" spans="2:2">
      <c r="B160" t="s">
        <v>861</v>
      </c>
    </row>
    <row r="161" spans="2:2">
      <c r="B161" t="s">
        <v>862</v>
      </c>
    </row>
    <row r="162" spans="2:2">
      <c r="B162" t="s">
        <v>863</v>
      </c>
    </row>
    <row r="163" spans="2:2">
      <c r="B163" t="s">
        <v>822</v>
      </c>
    </row>
    <row r="164" spans="2:2">
      <c r="B164" t="s">
        <v>823</v>
      </c>
    </row>
    <row r="165" spans="2:2">
      <c r="B165" t="s">
        <v>864</v>
      </c>
    </row>
    <row r="166" spans="2:2">
      <c r="B166" t="s">
        <v>865</v>
      </c>
    </row>
    <row r="167" spans="2:2">
      <c r="B167" t="s">
        <v>866</v>
      </c>
    </row>
    <row r="168" spans="2:2">
      <c r="B168" t="s">
        <v>867</v>
      </c>
    </row>
    <row r="169" spans="2:2">
      <c r="B169" t="s">
        <v>822</v>
      </c>
    </row>
    <row r="170" spans="2:2">
      <c r="B170" t="s">
        <v>823</v>
      </c>
    </row>
    <row r="171" spans="2:2">
      <c r="B171" t="s">
        <v>868</v>
      </c>
    </row>
    <row r="172" spans="2:2">
      <c r="B172" t="s">
        <v>869</v>
      </c>
    </row>
    <row r="173" spans="2:2">
      <c r="B173" t="s">
        <v>870</v>
      </c>
    </row>
    <row r="174" spans="2:2">
      <c r="B174" t="s">
        <v>871</v>
      </c>
    </row>
    <row r="175" spans="2:2">
      <c r="B175" t="s">
        <v>822</v>
      </c>
    </row>
    <row r="176" spans="2:2">
      <c r="B176" t="s">
        <v>823</v>
      </c>
    </row>
    <row r="177" spans="2:2">
      <c r="B177" t="s">
        <v>872</v>
      </c>
    </row>
    <row r="178" spans="2:2">
      <c r="B178" t="s">
        <v>873</v>
      </c>
    </row>
    <row r="179" spans="2:2">
      <c r="B179" t="s">
        <v>874</v>
      </c>
    </row>
    <row r="180" spans="2:2">
      <c r="B180" t="s">
        <v>875</v>
      </c>
    </row>
    <row r="181" spans="2:2">
      <c r="B181" t="s">
        <v>822</v>
      </c>
    </row>
    <row r="182" spans="2:2">
      <c r="B182" t="s">
        <v>823</v>
      </c>
    </row>
    <row r="183" spans="2:2">
      <c r="B183" t="s">
        <v>876</v>
      </c>
    </row>
    <row r="184" spans="2:2">
      <c r="B184" t="s">
        <v>877</v>
      </c>
    </row>
    <row r="185" spans="2:2">
      <c r="B185" t="s">
        <v>878</v>
      </c>
    </row>
    <row r="186" spans="2:2">
      <c r="B186" t="s">
        <v>879</v>
      </c>
    </row>
    <row r="187" spans="2:2">
      <c r="B187" t="s">
        <v>822</v>
      </c>
    </row>
    <row r="188" spans="2:2">
      <c r="B188" t="s">
        <v>823</v>
      </c>
    </row>
    <row r="189" spans="2:2">
      <c r="B189" t="s">
        <v>880</v>
      </c>
    </row>
    <row r="190" spans="2:2">
      <c r="B190" t="s">
        <v>881</v>
      </c>
    </row>
    <row r="191" spans="2:2">
      <c r="B191" t="s">
        <v>882</v>
      </c>
    </row>
    <row r="192" spans="2:2">
      <c r="B192" t="s">
        <v>883</v>
      </c>
    </row>
    <row r="193" spans="2:2">
      <c r="B193" t="s">
        <v>822</v>
      </c>
    </row>
    <row r="194" spans="2:2">
      <c r="B194" t="s">
        <v>823</v>
      </c>
    </row>
    <row r="195" spans="2:2">
      <c r="B195" t="s">
        <v>884</v>
      </c>
    </row>
    <row r="196" spans="2:2">
      <c r="B196" t="s">
        <v>885</v>
      </c>
    </row>
    <row r="197" spans="2:2">
      <c r="B197" t="s">
        <v>886</v>
      </c>
    </row>
    <row r="198" spans="2:2">
      <c r="B198" t="s">
        <v>887</v>
      </c>
    </row>
    <row r="199" spans="2:2">
      <c r="B199" t="s">
        <v>822</v>
      </c>
    </row>
    <row r="200" spans="2:2">
      <c r="B200" t="s">
        <v>823</v>
      </c>
    </row>
    <row r="201" spans="2:2">
      <c r="B201" t="s">
        <v>888</v>
      </c>
    </row>
    <row r="202" spans="2:2">
      <c r="B202" t="s">
        <v>889</v>
      </c>
    </row>
    <row r="203" spans="2:2">
      <c r="B203" t="s">
        <v>890</v>
      </c>
    </row>
    <row r="204" spans="2:2">
      <c r="B204" t="s">
        <v>891</v>
      </c>
    </row>
    <row r="205" spans="2:2">
      <c r="B205" t="s">
        <v>822</v>
      </c>
    </row>
    <row r="206" spans="2:2">
      <c r="B206" t="s">
        <v>823</v>
      </c>
    </row>
    <row r="207" spans="2:2">
      <c r="B207" t="s">
        <v>892</v>
      </c>
    </row>
    <row r="208" spans="2:2">
      <c r="B208" t="s">
        <v>893</v>
      </c>
    </row>
    <row r="209" spans="2:2">
      <c r="B209" t="s">
        <v>894</v>
      </c>
    </row>
    <row r="210" spans="2:2">
      <c r="B210" t="s">
        <v>895</v>
      </c>
    </row>
    <row r="211" spans="2:2">
      <c r="B211" t="s">
        <v>822</v>
      </c>
    </row>
    <row r="212" spans="2:2">
      <c r="B212" t="s">
        <v>823</v>
      </c>
    </row>
    <row r="213" spans="2:2">
      <c r="B213" t="s">
        <v>896</v>
      </c>
    </row>
    <row r="214" spans="2:2">
      <c r="B214" t="s">
        <v>897</v>
      </c>
    </row>
    <row r="215" spans="2:2">
      <c r="B215" t="s">
        <v>898</v>
      </c>
    </row>
    <row r="216" spans="2:2">
      <c r="B216" t="s">
        <v>899</v>
      </c>
    </row>
    <row r="217" spans="2:2">
      <c r="B217" t="s">
        <v>822</v>
      </c>
    </row>
    <row r="218" spans="2:2">
      <c r="B218" t="s">
        <v>823</v>
      </c>
    </row>
    <row r="219" spans="2:2">
      <c r="B219" t="s">
        <v>900</v>
      </c>
    </row>
    <row r="220" spans="2:2">
      <c r="B220" t="s">
        <v>901</v>
      </c>
    </row>
    <row r="221" spans="2:2">
      <c r="B221" t="s">
        <v>902</v>
      </c>
    </row>
    <row r="222" spans="2:2">
      <c r="B222" t="s">
        <v>903</v>
      </c>
    </row>
    <row r="223" spans="2:2">
      <c r="B223" t="s">
        <v>822</v>
      </c>
    </row>
    <row r="224" spans="2:2">
      <c r="B224" t="s">
        <v>823</v>
      </c>
    </row>
    <row r="225" spans="2:2">
      <c r="B225" t="s">
        <v>904</v>
      </c>
    </row>
    <row r="226" spans="2:2">
      <c r="B226" t="s">
        <v>905</v>
      </c>
    </row>
    <row r="227" spans="2:2">
      <c r="B227" t="s">
        <v>906</v>
      </c>
    </row>
    <row r="228" spans="2:2">
      <c r="B228" t="s">
        <v>907</v>
      </c>
    </row>
    <row r="229" spans="2:2">
      <c r="B229" t="s">
        <v>822</v>
      </c>
    </row>
    <row r="230" spans="2:2">
      <c r="B230" t="s">
        <v>823</v>
      </c>
    </row>
    <row r="231" spans="2:2">
      <c r="B231" t="s">
        <v>908</v>
      </c>
    </row>
    <row r="232" spans="2:2">
      <c r="B232" t="s">
        <v>909</v>
      </c>
    </row>
    <row r="233" spans="2:2">
      <c r="B233" t="s">
        <v>910</v>
      </c>
    </row>
    <row r="234" spans="2:2">
      <c r="B234" t="s">
        <v>911</v>
      </c>
    </row>
    <row r="235" spans="2:2">
      <c r="B235" t="s">
        <v>822</v>
      </c>
    </row>
    <row r="236" spans="2:2">
      <c r="B236" t="s">
        <v>823</v>
      </c>
    </row>
    <row r="237" spans="2:2">
      <c r="B237" t="s">
        <v>912</v>
      </c>
    </row>
    <row r="238" spans="2:2">
      <c r="B238" t="s">
        <v>913</v>
      </c>
    </row>
    <row r="239" spans="2:2">
      <c r="B239" t="s">
        <v>914</v>
      </c>
    </row>
    <row r="240" spans="2:2">
      <c r="B240" t="s">
        <v>915</v>
      </c>
    </row>
    <row r="241" spans="2:2">
      <c r="B241" t="s">
        <v>822</v>
      </c>
    </row>
    <row r="242" spans="2:2">
      <c r="B242" t="s">
        <v>823</v>
      </c>
    </row>
    <row r="243" spans="2:2">
      <c r="B243" t="s">
        <v>916</v>
      </c>
    </row>
    <row r="244" spans="2:2">
      <c r="B244" t="s">
        <v>917</v>
      </c>
    </row>
    <row r="245" spans="2:2">
      <c r="B245" t="s">
        <v>918</v>
      </c>
    </row>
    <row r="246" spans="2:2">
      <c r="B246" t="s">
        <v>919</v>
      </c>
    </row>
    <row r="247" spans="2:2">
      <c r="B247" t="s">
        <v>822</v>
      </c>
    </row>
    <row r="248" spans="2:2">
      <c r="B248" t="s">
        <v>823</v>
      </c>
    </row>
    <row r="249" spans="2:2">
      <c r="B249" t="s">
        <v>920</v>
      </c>
    </row>
    <row r="250" spans="2:2">
      <c r="B250" t="s">
        <v>921</v>
      </c>
    </row>
    <row r="251" spans="2:2">
      <c r="B251" t="s">
        <v>922</v>
      </c>
    </row>
    <row r="252" spans="2:2">
      <c r="B252" t="s">
        <v>923</v>
      </c>
    </row>
    <row r="253" spans="2:2">
      <c r="B253" t="s">
        <v>822</v>
      </c>
    </row>
    <row r="254" spans="2:2">
      <c r="B254" t="s">
        <v>823</v>
      </c>
    </row>
    <row r="255" spans="2:2">
      <c r="B255" t="s">
        <v>924</v>
      </c>
    </row>
    <row r="256" spans="2:2">
      <c r="B256" t="s">
        <v>925</v>
      </c>
    </row>
    <row r="257" spans="2:2">
      <c r="B257" t="s">
        <v>926</v>
      </c>
    </row>
    <row r="258" spans="2:2">
      <c r="B258" t="s">
        <v>927</v>
      </c>
    </row>
    <row r="259" spans="2:2">
      <c r="B259" t="s">
        <v>822</v>
      </c>
    </row>
    <row r="260" spans="2:2">
      <c r="B260" t="s">
        <v>823</v>
      </c>
    </row>
    <row r="261" spans="2:2">
      <c r="B261" t="s">
        <v>928</v>
      </c>
    </row>
    <row r="262" spans="2:2">
      <c r="B262" t="s">
        <v>929</v>
      </c>
    </row>
    <row r="263" spans="2:2">
      <c r="B263" t="s">
        <v>930</v>
      </c>
    </row>
    <row r="264" spans="2:2">
      <c r="B264" t="s">
        <v>931</v>
      </c>
    </row>
    <row r="265" spans="2:2">
      <c r="B265" t="s">
        <v>822</v>
      </c>
    </row>
    <row r="266" spans="2:2">
      <c r="B266" t="s">
        <v>823</v>
      </c>
    </row>
    <row r="267" spans="2:2">
      <c r="B267" t="s">
        <v>932</v>
      </c>
    </row>
    <row r="268" spans="2:2">
      <c r="B268" t="s">
        <v>933</v>
      </c>
    </row>
    <row r="269" spans="2:2">
      <c r="B269" t="s">
        <v>934</v>
      </c>
    </row>
    <row r="270" spans="2:2">
      <c r="B270" t="s">
        <v>935</v>
      </c>
    </row>
    <row r="271" spans="2:2">
      <c r="B271" t="s">
        <v>822</v>
      </c>
    </row>
    <row r="272" spans="2:2">
      <c r="B272" t="s">
        <v>823</v>
      </c>
    </row>
    <row r="273" spans="2:2">
      <c r="B273" t="s">
        <v>936</v>
      </c>
    </row>
    <row r="274" spans="2:2">
      <c r="B274" t="s">
        <v>937</v>
      </c>
    </row>
    <row r="275" spans="2:2">
      <c r="B275" t="s">
        <v>938</v>
      </c>
    </row>
    <row r="276" spans="2:2">
      <c r="B276" t="s">
        <v>939</v>
      </c>
    </row>
    <row r="277" spans="2:2">
      <c r="B277" t="s">
        <v>822</v>
      </c>
    </row>
    <row r="278" spans="2:2">
      <c r="B278" t="s">
        <v>823</v>
      </c>
    </row>
    <row r="279" spans="2:2">
      <c r="B279" t="s">
        <v>940</v>
      </c>
    </row>
    <row r="280" spans="2:2">
      <c r="B280" t="s">
        <v>941</v>
      </c>
    </row>
    <row r="281" spans="2:2">
      <c r="B281" t="s">
        <v>942</v>
      </c>
    </row>
    <row r="282" spans="2:2">
      <c r="B282" t="s">
        <v>943</v>
      </c>
    </row>
    <row r="283" spans="2:2">
      <c r="B283" t="s">
        <v>944</v>
      </c>
    </row>
    <row r="284" spans="2:2">
      <c r="B284" t="s">
        <v>823</v>
      </c>
    </row>
    <row r="285" spans="2:2">
      <c r="B285" t="s">
        <v>945</v>
      </c>
    </row>
    <row r="286" spans="2:2">
      <c r="B286" t="s">
        <v>946</v>
      </c>
    </row>
    <row r="287" spans="2:2">
      <c r="B287" t="s">
        <v>943</v>
      </c>
    </row>
    <row r="288" spans="2:2">
      <c r="B288" t="s">
        <v>947</v>
      </c>
    </row>
    <row r="289" spans="2:2">
      <c r="B289" t="s">
        <v>823</v>
      </c>
    </row>
    <row r="290" spans="2:2">
      <c r="B290" t="s">
        <v>945</v>
      </c>
    </row>
    <row r="291" spans="2:2">
      <c r="B291" t="s">
        <v>948</v>
      </c>
    </row>
    <row r="292" spans="2:2">
      <c r="B292" t="s">
        <v>943</v>
      </c>
    </row>
    <row r="293" spans="2:2">
      <c r="B293" t="s">
        <v>949</v>
      </c>
    </row>
    <row r="294" spans="2:2">
      <c r="B294" t="s">
        <v>823</v>
      </c>
    </row>
    <row r="295" spans="2:2">
      <c r="B295" t="s">
        <v>945</v>
      </c>
    </row>
    <row r="296" spans="2:2">
      <c r="B296" t="s">
        <v>950</v>
      </c>
    </row>
    <row r="297" spans="2:2">
      <c r="B297" t="s">
        <v>943</v>
      </c>
    </row>
    <row r="298" spans="2:2">
      <c r="B298" t="s">
        <v>951</v>
      </c>
    </row>
    <row r="299" spans="2:2">
      <c r="B299" t="s">
        <v>823</v>
      </c>
    </row>
    <row r="300" spans="2:2">
      <c r="B300" t="s">
        <v>945</v>
      </c>
    </row>
    <row r="301" spans="2:2">
      <c r="B301" t="s">
        <v>952</v>
      </c>
    </row>
    <row r="302" spans="2:2">
      <c r="B302" t="s">
        <v>943</v>
      </c>
    </row>
    <row r="303" spans="2:2">
      <c r="B303" t="s">
        <v>953</v>
      </c>
    </row>
    <row r="304" spans="2:2">
      <c r="B304" t="s">
        <v>823</v>
      </c>
    </row>
    <row r="305" spans="2:2">
      <c r="B305" t="s">
        <v>945</v>
      </c>
    </row>
    <row r="306" spans="2:2">
      <c r="B306" t="s">
        <v>954</v>
      </c>
    </row>
    <row r="307" spans="2:2">
      <c r="B307" t="s">
        <v>943</v>
      </c>
    </row>
    <row r="308" spans="2:2">
      <c r="B308" t="s">
        <v>955</v>
      </c>
    </row>
    <row r="309" spans="2:2">
      <c r="B309" t="s">
        <v>823</v>
      </c>
    </row>
    <row r="310" spans="2:2">
      <c r="B310" t="s">
        <v>945</v>
      </c>
    </row>
    <row r="311" spans="2:2">
      <c r="B311" t="s">
        <v>956</v>
      </c>
    </row>
    <row r="312" spans="2:2">
      <c r="B312" t="s">
        <v>943</v>
      </c>
    </row>
    <row r="313" spans="2:2">
      <c r="B313" t="s">
        <v>957</v>
      </c>
    </row>
    <row r="314" spans="2:2">
      <c r="B314" t="s">
        <v>823</v>
      </c>
    </row>
    <row r="315" spans="2:2">
      <c r="B315" t="s">
        <v>945</v>
      </c>
    </row>
    <row r="316" spans="2:2">
      <c r="B316" t="s">
        <v>958</v>
      </c>
    </row>
    <row r="317" spans="2:2">
      <c r="B317" t="s">
        <v>943</v>
      </c>
    </row>
    <row r="318" spans="2:2">
      <c r="B318" t="s">
        <v>959</v>
      </c>
    </row>
    <row r="319" spans="2:2">
      <c r="B319" t="s">
        <v>823</v>
      </c>
    </row>
    <row r="320" spans="2:2">
      <c r="B320" t="s">
        <v>945</v>
      </c>
    </row>
    <row r="321" spans="2:2">
      <c r="B321" t="s">
        <v>960</v>
      </c>
    </row>
    <row r="322" spans="2:2">
      <c r="B322" t="s">
        <v>943</v>
      </c>
    </row>
    <row r="323" spans="2:2">
      <c r="B323" t="s">
        <v>961</v>
      </c>
    </row>
    <row r="324" spans="2:2">
      <c r="B324" t="s">
        <v>823</v>
      </c>
    </row>
    <row r="325" spans="2:2">
      <c r="B325" t="s">
        <v>945</v>
      </c>
    </row>
    <row r="326" spans="2:2">
      <c r="B326" t="s">
        <v>962</v>
      </c>
    </row>
    <row r="327" spans="2:2">
      <c r="B327" t="s">
        <v>943</v>
      </c>
    </row>
    <row r="328" spans="2:2">
      <c r="B328" t="s">
        <v>963</v>
      </c>
    </row>
    <row r="329" spans="2:2">
      <c r="B329" t="s">
        <v>823</v>
      </c>
    </row>
    <row r="330" spans="2:2">
      <c r="B330" t="s">
        <v>945</v>
      </c>
    </row>
    <row r="331" spans="2:2">
      <c r="B331" t="s">
        <v>964</v>
      </c>
    </row>
    <row r="332" spans="2:2">
      <c r="B332" t="s">
        <v>943</v>
      </c>
    </row>
    <row r="333" spans="2:2">
      <c r="B333" t="s">
        <v>965</v>
      </c>
    </row>
    <row r="334" spans="2:2">
      <c r="B334" t="s">
        <v>823</v>
      </c>
    </row>
    <row r="335" spans="2:2">
      <c r="B335" t="s">
        <v>945</v>
      </c>
    </row>
    <row r="336" spans="2:2">
      <c r="B336" t="s">
        <v>966</v>
      </c>
    </row>
    <row r="337" spans="2:2">
      <c r="B337" t="s">
        <v>943</v>
      </c>
    </row>
    <row r="338" spans="2:2">
      <c r="B338" t="s">
        <v>967</v>
      </c>
    </row>
    <row r="339" spans="2:2">
      <c r="B339" t="s">
        <v>823</v>
      </c>
    </row>
    <row r="340" spans="2:2">
      <c r="B340" t="s">
        <v>945</v>
      </c>
    </row>
    <row r="341" spans="2:2">
      <c r="B341" t="s">
        <v>968</v>
      </c>
    </row>
    <row r="342" spans="2:2">
      <c r="B342" t="s">
        <v>943</v>
      </c>
    </row>
    <row r="343" spans="2:2">
      <c r="B343" t="s">
        <v>969</v>
      </c>
    </row>
    <row r="344" spans="2:2">
      <c r="B344" t="s">
        <v>823</v>
      </c>
    </row>
    <row r="345" spans="2:2">
      <c r="B345" t="s">
        <v>945</v>
      </c>
    </row>
    <row r="346" spans="2:2">
      <c r="B346" t="s">
        <v>970</v>
      </c>
    </row>
    <row r="347" spans="2:2">
      <c r="B347" t="s">
        <v>943</v>
      </c>
    </row>
    <row r="348" spans="2:2">
      <c r="B348" t="s">
        <v>971</v>
      </c>
    </row>
    <row r="349" spans="2:2">
      <c r="B349" t="s">
        <v>823</v>
      </c>
    </row>
    <row r="350" spans="2:2">
      <c r="B350" t="s">
        <v>945</v>
      </c>
    </row>
    <row r="351" spans="2:2">
      <c r="B351" t="s">
        <v>972</v>
      </c>
    </row>
    <row r="352" spans="2:2">
      <c r="B352" t="s">
        <v>943</v>
      </c>
    </row>
    <row r="353" spans="2:2">
      <c r="B353" t="s">
        <v>973</v>
      </c>
    </row>
    <row r="354" spans="2:2">
      <c r="B354" t="s">
        <v>823</v>
      </c>
    </row>
    <row r="355" spans="2:2">
      <c r="B355" t="s">
        <v>945</v>
      </c>
    </row>
    <row r="356" spans="2:2">
      <c r="B356" t="s">
        <v>974</v>
      </c>
    </row>
    <row r="357" spans="2:2">
      <c r="B357" t="s">
        <v>943</v>
      </c>
    </row>
    <row r="358" spans="2:2">
      <c r="B358" t="s">
        <v>975</v>
      </c>
    </row>
    <row r="359" spans="2:2">
      <c r="B359" t="s">
        <v>823</v>
      </c>
    </row>
    <row r="360" spans="2:2">
      <c r="B360" t="s">
        <v>945</v>
      </c>
    </row>
    <row r="361" spans="2:2">
      <c r="B361" t="s">
        <v>976</v>
      </c>
    </row>
    <row r="362" spans="2:2">
      <c r="B362" t="s">
        <v>943</v>
      </c>
    </row>
    <row r="363" spans="2:2">
      <c r="B363" t="s">
        <v>977</v>
      </c>
    </row>
    <row r="364" spans="2:2">
      <c r="B364" t="s">
        <v>823</v>
      </c>
    </row>
    <row r="365" spans="2:2">
      <c r="B365" t="s">
        <v>945</v>
      </c>
    </row>
    <row r="366" spans="2:2">
      <c r="B366" t="s">
        <v>978</v>
      </c>
    </row>
    <row r="367" spans="2:2">
      <c r="B367" t="s">
        <v>943</v>
      </c>
    </row>
    <row r="368" spans="2:2">
      <c r="B368" t="s">
        <v>979</v>
      </c>
    </row>
    <row r="369" spans="2:2">
      <c r="B369" t="s">
        <v>823</v>
      </c>
    </row>
    <row r="370" spans="2:2">
      <c r="B370" t="s">
        <v>945</v>
      </c>
    </row>
    <row r="371" spans="2:2">
      <c r="B371" t="s">
        <v>980</v>
      </c>
    </row>
    <row r="372" spans="2:2">
      <c r="B372" t="s">
        <v>943</v>
      </c>
    </row>
    <row r="373" spans="2:2">
      <c r="B373" t="s">
        <v>981</v>
      </c>
    </row>
    <row r="374" spans="2:2">
      <c r="B374" t="s">
        <v>823</v>
      </c>
    </row>
    <row r="375" spans="2:2">
      <c r="B375" t="s">
        <v>945</v>
      </c>
    </row>
    <row r="376" spans="2:2">
      <c r="B376" t="s">
        <v>982</v>
      </c>
    </row>
    <row r="377" spans="2:2">
      <c r="B377" t="s">
        <v>943</v>
      </c>
    </row>
    <row r="378" spans="2:2">
      <c r="B378" t="s">
        <v>983</v>
      </c>
    </row>
    <row r="379" spans="2:2">
      <c r="B379" t="s">
        <v>823</v>
      </c>
    </row>
    <row r="380" spans="2:2">
      <c r="B380" t="s">
        <v>945</v>
      </c>
    </row>
    <row r="381" spans="2:2">
      <c r="B381" t="s">
        <v>984</v>
      </c>
    </row>
    <row r="382" spans="2:2">
      <c r="B382" t="s">
        <v>943</v>
      </c>
    </row>
    <row r="383" spans="2:2">
      <c r="B383" t="s">
        <v>985</v>
      </c>
    </row>
    <row r="384" spans="2:2">
      <c r="B384" t="s">
        <v>823</v>
      </c>
    </row>
    <row r="385" spans="2:2">
      <c r="B385" t="s">
        <v>945</v>
      </c>
    </row>
    <row r="386" spans="2:2">
      <c r="B386" t="s">
        <v>986</v>
      </c>
    </row>
    <row r="387" spans="2:2">
      <c r="B387" t="s">
        <v>943</v>
      </c>
    </row>
    <row r="388" spans="2:2">
      <c r="B388" t="s">
        <v>987</v>
      </c>
    </row>
    <row r="389" spans="2:2">
      <c r="B389" t="s">
        <v>823</v>
      </c>
    </row>
    <row r="390" spans="2:2">
      <c r="B390" t="s">
        <v>945</v>
      </c>
    </row>
    <row r="391" spans="2:2">
      <c r="B391" t="s">
        <v>988</v>
      </c>
    </row>
    <row r="392" spans="2:2">
      <c r="B392" t="s">
        <v>943</v>
      </c>
    </row>
    <row r="393" spans="2:2">
      <c r="B393" t="s">
        <v>989</v>
      </c>
    </row>
    <row r="394" spans="2:2">
      <c r="B394" t="s">
        <v>823</v>
      </c>
    </row>
    <row r="395" spans="2:2">
      <c r="B395" t="s">
        <v>945</v>
      </c>
    </row>
    <row r="396" spans="2:2">
      <c r="B396" t="s">
        <v>990</v>
      </c>
    </row>
    <row r="397" spans="2:2">
      <c r="B397" t="s">
        <v>943</v>
      </c>
    </row>
    <row r="398" spans="2:2">
      <c r="B398" t="s">
        <v>991</v>
      </c>
    </row>
    <row r="399" spans="2:2">
      <c r="B399" t="s">
        <v>823</v>
      </c>
    </row>
    <row r="400" spans="2:2">
      <c r="B400" t="s">
        <v>945</v>
      </c>
    </row>
    <row r="401" spans="2:2">
      <c r="B401" t="s">
        <v>992</v>
      </c>
    </row>
    <row r="402" spans="2:2">
      <c r="B402" t="s">
        <v>943</v>
      </c>
    </row>
    <row r="403" spans="2:2">
      <c r="B403" t="s">
        <v>993</v>
      </c>
    </row>
    <row r="404" spans="2:2">
      <c r="B404" t="s">
        <v>823</v>
      </c>
    </row>
    <row r="405" spans="2:2">
      <c r="B405" t="s">
        <v>945</v>
      </c>
    </row>
    <row r="406" spans="2:2">
      <c r="B406" t="s">
        <v>994</v>
      </c>
    </row>
    <row r="407" spans="2:2">
      <c r="B407" t="s">
        <v>943</v>
      </c>
    </row>
    <row r="408" spans="2:2">
      <c r="B408" t="s">
        <v>995</v>
      </c>
    </row>
    <row r="409" spans="2:2">
      <c r="B409" t="s">
        <v>823</v>
      </c>
    </row>
    <row r="410" spans="2:2">
      <c r="B410" t="s">
        <v>945</v>
      </c>
    </row>
    <row r="411" spans="2:2">
      <c r="B411" t="s">
        <v>996</v>
      </c>
    </row>
    <row r="412" spans="2:2">
      <c r="B412" t="s">
        <v>943</v>
      </c>
    </row>
    <row r="413" spans="2:2">
      <c r="B413" t="s">
        <v>997</v>
      </c>
    </row>
    <row r="414" spans="2:2">
      <c r="B414" t="s">
        <v>823</v>
      </c>
    </row>
    <row r="415" spans="2:2">
      <c r="B415" t="s">
        <v>945</v>
      </c>
    </row>
    <row r="416" spans="2:2">
      <c r="B416" t="s">
        <v>998</v>
      </c>
    </row>
    <row r="417" spans="2:2">
      <c r="B417" t="s">
        <v>943</v>
      </c>
    </row>
    <row r="418" spans="2:2">
      <c r="B418" t="s">
        <v>999</v>
      </c>
    </row>
    <row r="419" spans="2:2">
      <c r="B419" t="s">
        <v>823</v>
      </c>
    </row>
    <row r="420" spans="2:2">
      <c r="B420" t="s">
        <v>945</v>
      </c>
    </row>
    <row r="421" spans="2:2">
      <c r="B421" t="s">
        <v>1000</v>
      </c>
    </row>
    <row r="422" spans="2:2">
      <c r="B422" t="s">
        <v>943</v>
      </c>
    </row>
    <row r="423" spans="2:2">
      <c r="B423" t="s">
        <v>1001</v>
      </c>
    </row>
    <row r="424" spans="2:2">
      <c r="B424" t="s">
        <v>823</v>
      </c>
    </row>
    <row r="425" spans="2:2">
      <c r="B425" t="s">
        <v>945</v>
      </c>
    </row>
    <row r="426" spans="2:2">
      <c r="B426" t="s">
        <v>1002</v>
      </c>
    </row>
    <row r="427" spans="2:2">
      <c r="B427" t="s">
        <v>943</v>
      </c>
    </row>
    <row r="428" spans="2:2">
      <c r="B428" t="s">
        <v>1003</v>
      </c>
    </row>
    <row r="429" spans="2:2">
      <c r="B429" t="s">
        <v>823</v>
      </c>
    </row>
    <row r="430" spans="2:2">
      <c r="B430" t="s">
        <v>945</v>
      </c>
    </row>
    <row r="431" spans="2:2">
      <c r="B431" t="s">
        <v>1004</v>
      </c>
    </row>
    <row r="432" spans="2:2">
      <c r="B432" t="s">
        <v>1475</v>
      </c>
    </row>
    <row r="433" spans="2:2">
      <c r="B433" t="s">
        <v>1476</v>
      </c>
    </row>
    <row r="434" spans="2:2">
      <c r="B434" t="s">
        <v>1477</v>
      </c>
    </row>
    <row r="435" spans="2:2">
      <c r="B435" t="s">
        <v>1478</v>
      </c>
    </row>
    <row r="436" spans="2:2">
      <c r="B436" t="s">
        <v>1479</v>
      </c>
    </row>
    <row r="437" spans="2:2">
      <c r="B437" t="s">
        <v>1480</v>
      </c>
    </row>
    <row r="438" spans="2:2">
      <c r="B438" t="s">
        <v>1481</v>
      </c>
    </row>
    <row r="439" spans="2:2">
      <c r="B439" t="s">
        <v>1482</v>
      </c>
    </row>
    <row r="440" spans="2:2">
      <c r="B440" t="s">
        <v>1483</v>
      </c>
    </row>
    <row r="441" spans="2:2">
      <c r="B441" t="s">
        <v>1484</v>
      </c>
    </row>
    <row r="442" spans="2:2">
      <c r="B442" t="s">
        <v>1485</v>
      </c>
    </row>
    <row r="443" spans="2:2">
      <c r="B443" t="s">
        <v>1486</v>
      </c>
    </row>
    <row r="444" spans="2:2">
      <c r="B444" t="s">
        <v>1487</v>
      </c>
    </row>
    <row r="445" spans="2:2">
      <c r="B445" t="s">
        <v>1488</v>
      </c>
    </row>
    <row r="446" spans="2:2">
      <c r="B446" t="s">
        <v>1489</v>
      </c>
    </row>
    <row r="447" spans="2:2">
      <c r="B447" t="s">
        <v>1490</v>
      </c>
    </row>
    <row r="448" spans="2:2">
      <c r="B448" t="s">
        <v>1491</v>
      </c>
    </row>
    <row r="449" spans="2:2">
      <c r="B449" t="s">
        <v>1492</v>
      </c>
    </row>
    <row r="450" spans="2:2">
      <c r="B450" t="s">
        <v>1493</v>
      </c>
    </row>
    <row r="451" spans="2:2">
      <c r="B451" t="s">
        <v>1494</v>
      </c>
    </row>
    <row r="452" spans="2:2">
      <c r="B452" t="s">
        <v>1495</v>
      </c>
    </row>
    <row r="453" spans="2:2">
      <c r="B453" t="s">
        <v>1496</v>
      </c>
    </row>
    <row r="454" spans="2:2">
      <c r="B454" t="s">
        <v>1497</v>
      </c>
    </row>
    <row r="455" spans="2:2">
      <c r="B455" t="s">
        <v>1498</v>
      </c>
    </row>
    <row r="456" spans="2:2">
      <c r="B456" t="s">
        <v>1499</v>
      </c>
    </row>
    <row r="457" spans="2:2">
      <c r="B457" t="s">
        <v>1500</v>
      </c>
    </row>
    <row r="458" spans="2:2">
      <c r="B458" t="s">
        <v>1501</v>
      </c>
    </row>
    <row r="459" spans="2:2">
      <c r="B459" t="s">
        <v>1502</v>
      </c>
    </row>
    <row r="460" spans="2:2">
      <c r="B460" t="s">
        <v>1503</v>
      </c>
    </row>
    <row r="461" spans="2:2">
      <c r="B461" t="s">
        <v>1504</v>
      </c>
    </row>
    <row r="462" spans="2:2">
      <c r="B462" t="s">
        <v>1505</v>
      </c>
    </row>
    <row r="463" spans="2:2">
      <c r="B463" t="s">
        <v>1506</v>
      </c>
    </row>
    <row r="464" spans="2:2">
      <c r="B464" t="s">
        <v>1037</v>
      </c>
    </row>
    <row r="465" spans="2:2">
      <c r="B465" t="s">
        <v>1507</v>
      </c>
    </row>
    <row r="466" spans="2:2">
      <c r="B466" t="s">
        <v>1508</v>
      </c>
    </row>
    <row r="467" spans="2:2">
      <c r="B467" t="s">
        <v>1509</v>
      </c>
    </row>
    <row r="468" spans="2:2">
      <c r="B468" t="s">
        <v>1510</v>
      </c>
    </row>
    <row r="469" spans="2:2">
      <c r="B469" t="s">
        <v>1511</v>
      </c>
    </row>
    <row r="470" spans="2:2">
      <c r="B470" t="s">
        <v>1512</v>
      </c>
    </row>
    <row r="471" spans="2:2">
      <c r="B471" t="s">
        <v>1513</v>
      </c>
    </row>
    <row r="472" spans="2:2">
      <c r="B472" t="s">
        <v>1514</v>
      </c>
    </row>
    <row r="473" spans="2:2">
      <c r="B473" t="s">
        <v>1515</v>
      </c>
    </row>
    <row r="474" spans="2:2">
      <c r="B474" t="s">
        <v>1516</v>
      </c>
    </row>
    <row r="475" spans="2:2">
      <c r="B475" t="s">
        <v>1517</v>
      </c>
    </row>
    <row r="476" spans="2:2">
      <c r="B476" t="s">
        <v>1518</v>
      </c>
    </row>
    <row r="477" spans="2:2">
      <c r="B477" t="s">
        <v>1519</v>
      </c>
    </row>
    <row r="478" spans="2:2">
      <c r="B478" t="s">
        <v>1520</v>
      </c>
    </row>
    <row r="479" spans="2:2">
      <c r="B479" t="s">
        <v>1521</v>
      </c>
    </row>
    <row r="480" spans="2:2">
      <c r="B480" t="s">
        <v>1522</v>
      </c>
    </row>
    <row r="481" spans="2:2">
      <c r="B481" t="s">
        <v>1523</v>
      </c>
    </row>
    <row r="482" spans="2:2">
      <c r="B482" t="s">
        <v>1524</v>
      </c>
    </row>
    <row r="483" spans="2:2">
      <c r="B483" t="s">
        <v>1525</v>
      </c>
    </row>
    <row r="484" spans="2:2">
      <c r="B484" t="s">
        <v>1526</v>
      </c>
    </row>
    <row r="485" spans="2:2">
      <c r="B485" t="s">
        <v>1527</v>
      </c>
    </row>
    <row r="486" spans="2:2">
      <c r="B486" t="s">
        <v>1528</v>
      </c>
    </row>
    <row r="487" spans="2:2">
      <c r="B487" t="s">
        <v>1529</v>
      </c>
    </row>
    <row r="488" spans="2:2">
      <c r="B488" t="s">
        <v>1530</v>
      </c>
    </row>
    <row r="489" spans="2:2">
      <c r="B489" t="s">
        <v>1531</v>
      </c>
    </row>
    <row r="490" spans="2:2">
      <c r="B490" t="s">
        <v>1532</v>
      </c>
    </row>
    <row r="491" spans="2:2">
      <c r="B491" t="s">
        <v>1533</v>
      </c>
    </row>
    <row r="492" spans="2:2">
      <c r="B492" t="s">
        <v>1534</v>
      </c>
    </row>
    <row r="493" spans="2:2">
      <c r="B493" t="s">
        <v>1535</v>
      </c>
    </row>
    <row r="494" spans="2:2">
      <c r="B494" t="s">
        <v>1536</v>
      </c>
    </row>
    <row r="495" spans="2:2">
      <c r="B495" t="s">
        <v>1537</v>
      </c>
    </row>
    <row r="496" spans="2:2">
      <c r="B496" t="s">
        <v>1037</v>
      </c>
    </row>
    <row r="497" spans="2:2">
      <c r="B497" t="s">
        <v>1538</v>
      </c>
    </row>
    <row r="498" spans="2:2">
      <c r="B498" t="s">
        <v>1539</v>
      </c>
    </row>
    <row r="499" spans="2:2">
      <c r="B499" t="s">
        <v>1540</v>
      </c>
    </row>
    <row r="500" spans="2:2">
      <c r="B500" t="s">
        <v>1541</v>
      </c>
    </row>
    <row r="501" spans="2:2">
      <c r="B501" t="s">
        <v>1542</v>
      </c>
    </row>
    <row r="502" spans="2:2">
      <c r="B502" t="s">
        <v>1543</v>
      </c>
    </row>
    <row r="503" spans="2:2">
      <c r="B503" t="s">
        <v>1544</v>
      </c>
    </row>
    <row r="504" spans="2:2">
      <c r="B504" t="s">
        <v>1545</v>
      </c>
    </row>
    <row r="505" spans="2:2">
      <c r="B505" t="s">
        <v>1546</v>
      </c>
    </row>
    <row r="506" spans="2:2">
      <c r="B506" t="s">
        <v>1547</v>
      </c>
    </row>
    <row r="507" spans="2:2">
      <c r="B507" t="s">
        <v>1548</v>
      </c>
    </row>
    <row r="508" spans="2:2">
      <c r="B508" t="s">
        <v>1549</v>
      </c>
    </row>
    <row r="509" spans="2:2">
      <c r="B509" t="s">
        <v>1550</v>
      </c>
    </row>
    <row r="510" spans="2:2">
      <c r="B510" t="s">
        <v>1551</v>
      </c>
    </row>
    <row r="511" spans="2:2">
      <c r="B511" t="s">
        <v>1552</v>
      </c>
    </row>
    <row r="512" spans="2:2">
      <c r="B512" t="s">
        <v>1553</v>
      </c>
    </row>
    <row r="513" spans="2:2">
      <c r="B513" t="s">
        <v>1554</v>
      </c>
    </row>
    <row r="514" spans="2:2">
      <c r="B514" t="s">
        <v>1555</v>
      </c>
    </row>
    <row r="515" spans="2:2">
      <c r="B515" t="s">
        <v>1556</v>
      </c>
    </row>
    <row r="516" spans="2:2">
      <c r="B516" t="s">
        <v>1557</v>
      </c>
    </row>
    <row r="517" spans="2:2">
      <c r="B517" t="s">
        <v>1558</v>
      </c>
    </row>
    <row r="518" spans="2:2">
      <c r="B518" t="s">
        <v>1559</v>
      </c>
    </row>
    <row r="519" spans="2:2">
      <c r="B519" t="s">
        <v>1560</v>
      </c>
    </row>
    <row r="520" spans="2:2">
      <c r="B520" t="s">
        <v>1561</v>
      </c>
    </row>
    <row r="521" spans="2:2">
      <c r="B521" t="s">
        <v>1562</v>
      </c>
    </row>
    <row r="522" spans="2:2">
      <c r="B522" t="s">
        <v>1563</v>
      </c>
    </row>
    <row r="523" spans="2:2">
      <c r="B523" t="s">
        <v>1564</v>
      </c>
    </row>
    <row r="524" spans="2:2">
      <c r="B524" t="s">
        <v>1565</v>
      </c>
    </row>
    <row r="525" spans="2:2">
      <c r="B525" t="s">
        <v>1566</v>
      </c>
    </row>
    <row r="526" spans="2:2">
      <c r="B526" t="s">
        <v>1567</v>
      </c>
    </row>
    <row r="527" spans="2:2">
      <c r="B527" t="s">
        <v>1568</v>
      </c>
    </row>
    <row r="528" spans="2:2">
      <c r="B528" t="s">
        <v>1037</v>
      </c>
    </row>
    <row r="529" spans="2:2">
      <c r="B529" t="s">
        <v>1569</v>
      </c>
    </row>
    <row r="530" spans="2:2">
      <c r="B530" t="s">
        <v>1570</v>
      </c>
    </row>
    <row r="531" spans="2:2">
      <c r="B531" t="s">
        <v>1571</v>
      </c>
    </row>
    <row r="532" spans="2:2">
      <c r="B532" t="s">
        <v>1572</v>
      </c>
    </row>
    <row r="533" spans="2:2">
      <c r="B533" t="s">
        <v>1573</v>
      </c>
    </row>
    <row r="534" spans="2:2">
      <c r="B534" t="s">
        <v>1574</v>
      </c>
    </row>
    <row r="535" spans="2:2">
      <c r="B535" t="s">
        <v>1575</v>
      </c>
    </row>
    <row r="536" spans="2:2">
      <c r="B536" t="s">
        <v>1576</v>
      </c>
    </row>
    <row r="537" spans="2:2">
      <c r="B537" t="s">
        <v>1577</v>
      </c>
    </row>
    <row r="538" spans="2:2">
      <c r="B538" t="s">
        <v>1578</v>
      </c>
    </row>
    <row r="539" spans="2:2">
      <c r="B539" t="s">
        <v>1579</v>
      </c>
    </row>
    <row r="540" spans="2:2">
      <c r="B540" t="s">
        <v>1580</v>
      </c>
    </row>
    <row r="541" spans="2:2">
      <c r="B541" t="s">
        <v>1581</v>
      </c>
    </row>
    <row r="542" spans="2:2">
      <c r="B542" t="s">
        <v>1582</v>
      </c>
    </row>
    <row r="543" spans="2:2">
      <c r="B543" t="s">
        <v>1583</v>
      </c>
    </row>
    <row r="544" spans="2:2">
      <c r="B544" t="s">
        <v>1584</v>
      </c>
    </row>
    <row r="545" spans="2:2">
      <c r="B545" t="s">
        <v>1585</v>
      </c>
    </row>
    <row r="546" spans="2:2">
      <c r="B546" t="s">
        <v>1586</v>
      </c>
    </row>
    <row r="547" spans="2:2">
      <c r="B547" t="s">
        <v>1587</v>
      </c>
    </row>
    <row r="548" spans="2:2">
      <c r="B548" t="s">
        <v>1588</v>
      </c>
    </row>
    <row r="549" spans="2:2">
      <c r="B549" t="s">
        <v>1589</v>
      </c>
    </row>
    <row r="550" spans="2:2">
      <c r="B550" t="s">
        <v>1590</v>
      </c>
    </row>
    <row r="551" spans="2:2">
      <c r="B551" t="s">
        <v>1591</v>
      </c>
    </row>
    <row r="552" spans="2:2">
      <c r="B552" t="s">
        <v>1592</v>
      </c>
    </row>
    <row r="553" spans="2:2">
      <c r="B553" t="s">
        <v>1593</v>
      </c>
    </row>
    <row r="554" spans="2:2">
      <c r="B554" t="s">
        <v>1594</v>
      </c>
    </row>
    <row r="555" spans="2:2">
      <c r="B555" t="s">
        <v>1595</v>
      </c>
    </row>
    <row r="556" spans="2:2">
      <c r="B556" t="s">
        <v>1596</v>
      </c>
    </row>
    <row r="557" spans="2:2">
      <c r="B557" t="s">
        <v>1597</v>
      </c>
    </row>
    <row r="558" spans="2:2">
      <c r="B558" t="s">
        <v>1598</v>
      </c>
    </row>
    <row r="559" spans="2:2">
      <c r="B559" t="s">
        <v>1599</v>
      </c>
    </row>
    <row r="560" spans="2:2">
      <c r="B560" t="s">
        <v>1037</v>
      </c>
    </row>
    <row r="561" spans="2:2">
      <c r="B561" t="s">
        <v>1600</v>
      </c>
    </row>
    <row r="562" spans="2:2">
      <c r="B562" t="s">
        <v>1601</v>
      </c>
    </row>
    <row r="563" spans="2:2">
      <c r="B563" t="s">
        <v>1602</v>
      </c>
    </row>
    <row r="564" spans="2:2">
      <c r="B564" t="s">
        <v>1603</v>
      </c>
    </row>
    <row r="565" spans="2:2">
      <c r="B565" t="s">
        <v>1604</v>
      </c>
    </row>
    <row r="566" spans="2:2">
      <c r="B566" t="s">
        <v>1605</v>
      </c>
    </row>
    <row r="567" spans="2:2">
      <c r="B567" t="s">
        <v>1606</v>
      </c>
    </row>
    <row r="568" spans="2:2">
      <c r="B568" t="s">
        <v>1607</v>
      </c>
    </row>
    <row r="569" spans="2:2">
      <c r="B569" t="s">
        <v>1608</v>
      </c>
    </row>
    <row r="570" spans="2:2">
      <c r="B570" t="s">
        <v>1609</v>
      </c>
    </row>
    <row r="571" spans="2:2">
      <c r="B571" t="s">
        <v>1610</v>
      </c>
    </row>
    <row r="572" spans="2:2">
      <c r="B572" t="s">
        <v>1611</v>
      </c>
    </row>
    <row r="573" spans="2:2">
      <c r="B573" t="s">
        <v>1612</v>
      </c>
    </row>
    <row r="574" spans="2:2">
      <c r="B574" t="s">
        <v>1613</v>
      </c>
    </row>
    <row r="575" spans="2:2">
      <c r="B575" t="s">
        <v>1614</v>
      </c>
    </row>
    <row r="576" spans="2:2">
      <c r="B576" t="s">
        <v>1615</v>
      </c>
    </row>
    <row r="577" spans="2:2">
      <c r="B577" t="s">
        <v>1616</v>
      </c>
    </row>
    <row r="578" spans="2:2">
      <c r="B578" t="s">
        <v>1617</v>
      </c>
    </row>
    <row r="579" spans="2:2">
      <c r="B579" t="s">
        <v>1618</v>
      </c>
    </row>
    <row r="580" spans="2:2">
      <c r="B580" t="s">
        <v>1619</v>
      </c>
    </row>
    <row r="581" spans="2:2">
      <c r="B581" t="s">
        <v>1620</v>
      </c>
    </row>
    <row r="582" spans="2:2">
      <c r="B582" t="s">
        <v>1621</v>
      </c>
    </row>
    <row r="583" spans="2:2">
      <c r="B583" t="s">
        <v>1622</v>
      </c>
    </row>
    <row r="584" spans="2:2">
      <c r="B584" t="s">
        <v>1623</v>
      </c>
    </row>
    <row r="585" spans="2:2">
      <c r="B585" t="s">
        <v>1624</v>
      </c>
    </row>
    <row r="586" spans="2:2">
      <c r="B586" t="s">
        <v>1625</v>
      </c>
    </row>
    <row r="587" spans="2:2">
      <c r="B587" t="s">
        <v>1626</v>
      </c>
    </row>
    <row r="588" spans="2:2">
      <c r="B588" t="s">
        <v>1627</v>
      </c>
    </row>
    <row r="589" spans="2:2">
      <c r="B589" t="s">
        <v>1628</v>
      </c>
    </row>
    <row r="590" spans="2:2">
      <c r="B590" t="s">
        <v>1629</v>
      </c>
    </row>
    <row r="591" spans="2:2">
      <c r="B591" t="s">
        <v>1630</v>
      </c>
    </row>
    <row r="592" spans="2:2">
      <c r="B592" t="s">
        <v>1037</v>
      </c>
    </row>
    <row r="593" spans="2:2">
      <c r="B593" t="s">
        <v>1631</v>
      </c>
    </row>
    <row r="594" spans="2:2">
      <c r="B594" t="s">
        <v>1632</v>
      </c>
    </row>
    <row r="595" spans="2:2">
      <c r="B595" t="s">
        <v>1633</v>
      </c>
    </row>
    <row r="596" spans="2:2">
      <c r="B596" t="s">
        <v>1634</v>
      </c>
    </row>
    <row r="597" spans="2:2">
      <c r="B597" t="s">
        <v>1635</v>
      </c>
    </row>
    <row r="598" spans="2:2">
      <c r="B598" t="s">
        <v>1636</v>
      </c>
    </row>
    <row r="599" spans="2:2">
      <c r="B599" t="s">
        <v>1637</v>
      </c>
    </row>
    <row r="600" spans="2:2">
      <c r="B600" t="s">
        <v>1638</v>
      </c>
    </row>
    <row r="601" spans="2:2">
      <c r="B601" t="s">
        <v>1639</v>
      </c>
    </row>
    <row r="602" spans="2:2">
      <c r="B602" t="s">
        <v>1640</v>
      </c>
    </row>
    <row r="603" spans="2:2">
      <c r="B603" t="s">
        <v>1641</v>
      </c>
    </row>
    <row r="604" spans="2:2">
      <c r="B604" t="s">
        <v>1642</v>
      </c>
    </row>
    <row r="605" spans="2:2">
      <c r="B605" t="s">
        <v>1643</v>
      </c>
    </row>
    <row r="606" spans="2:2">
      <c r="B606" t="s">
        <v>1644</v>
      </c>
    </row>
    <row r="607" spans="2:2">
      <c r="B607" t="s">
        <v>1645</v>
      </c>
    </row>
    <row r="608" spans="2:2">
      <c r="B608" t="s">
        <v>1646</v>
      </c>
    </row>
    <row r="609" spans="2:2">
      <c r="B609" t="s">
        <v>1647</v>
      </c>
    </row>
    <row r="610" spans="2:2">
      <c r="B610" t="s">
        <v>1648</v>
      </c>
    </row>
    <row r="611" spans="2:2">
      <c r="B611" t="s">
        <v>1649</v>
      </c>
    </row>
    <row r="612" spans="2:2">
      <c r="B612" t="s">
        <v>1650</v>
      </c>
    </row>
    <row r="613" spans="2:2">
      <c r="B613" t="s">
        <v>1651</v>
      </c>
    </row>
    <row r="614" spans="2:2">
      <c r="B614" t="s">
        <v>1652</v>
      </c>
    </row>
    <row r="615" spans="2:2">
      <c r="B615" t="s">
        <v>1653</v>
      </c>
    </row>
    <row r="616" spans="2:2">
      <c r="B616" t="s">
        <v>1654</v>
      </c>
    </row>
    <row r="617" spans="2:2">
      <c r="B617" t="s">
        <v>1655</v>
      </c>
    </row>
    <row r="618" spans="2:2">
      <c r="B618" t="s">
        <v>1656</v>
      </c>
    </row>
    <row r="619" spans="2:2">
      <c r="B619" t="s">
        <v>1657</v>
      </c>
    </row>
    <row r="620" spans="2:2">
      <c r="B620" t="s">
        <v>1658</v>
      </c>
    </row>
    <row r="621" spans="2:2">
      <c r="B621" t="s">
        <v>1659</v>
      </c>
    </row>
    <row r="622" spans="2:2">
      <c r="B622" t="s">
        <v>1660</v>
      </c>
    </row>
    <row r="623" spans="2:2">
      <c r="B623" t="s">
        <v>1661</v>
      </c>
    </row>
    <row r="624" spans="2:2">
      <c r="B624" t="s">
        <v>1037</v>
      </c>
    </row>
    <row r="625" spans="2:2">
      <c r="B625" t="s">
        <v>1662</v>
      </c>
    </row>
    <row r="626" spans="2:2">
      <c r="B626" t="s">
        <v>1663</v>
      </c>
    </row>
    <row r="627" spans="2:2">
      <c r="B627" t="s">
        <v>1664</v>
      </c>
    </row>
    <row r="628" spans="2:2">
      <c r="B628" t="s">
        <v>1665</v>
      </c>
    </row>
    <row r="629" spans="2:2">
      <c r="B629" t="s">
        <v>1666</v>
      </c>
    </row>
    <row r="630" spans="2:2">
      <c r="B630" t="s">
        <v>1667</v>
      </c>
    </row>
    <row r="631" spans="2:2">
      <c r="B631" t="s">
        <v>1668</v>
      </c>
    </row>
    <row r="632" spans="2:2">
      <c r="B632" t="s">
        <v>1669</v>
      </c>
    </row>
    <row r="633" spans="2:2">
      <c r="B633" t="s">
        <v>1670</v>
      </c>
    </row>
    <row r="634" spans="2:2">
      <c r="B634" t="s">
        <v>1671</v>
      </c>
    </row>
    <row r="635" spans="2:2">
      <c r="B635" t="s">
        <v>1672</v>
      </c>
    </row>
    <row r="636" spans="2:2">
      <c r="B636" t="s">
        <v>1673</v>
      </c>
    </row>
    <row r="637" spans="2:2">
      <c r="B637" t="s">
        <v>1674</v>
      </c>
    </row>
    <row r="638" spans="2:2">
      <c r="B638" t="s">
        <v>1675</v>
      </c>
    </row>
    <row r="639" spans="2:2">
      <c r="B639" t="s">
        <v>1676</v>
      </c>
    </row>
    <row r="640" spans="2:2">
      <c r="B640" t="s">
        <v>1677</v>
      </c>
    </row>
    <row r="641" spans="2:2">
      <c r="B641" t="s">
        <v>1678</v>
      </c>
    </row>
    <row r="642" spans="2:2">
      <c r="B642" t="s">
        <v>1679</v>
      </c>
    </row>
    <row r="643" spans="2:2">
      <c r="B643" t="s">
        <v>1680</v>
      </c>
    </row>
    <row r="644" spans="2:2">
      <c r="B644" t="s">
        <v>1681</v>
      </c>
    </row>
    <row r="645" spans="2:2">
      <c r="B645" t="s">
        <v>1682</v>
      </c>
    </row>
    <row r="646" spans="2:2">
      <c r="B646" t="s">
        <v>1683</v>
      </c>
    </row>
    <row r="647" spans="2:2">
      <c r="B647" t="s">
        <v>1684</v>
      </c>
    </row>
    <row r="648" spans="2:2">
      <c r="B648" t="s">
        <v>1685</v>
      </c>
    </row>
    <row r="649" spans="2:2">
      <c r="B649" t="s">
        <v>1686</v>
      </c>
    </row>
    <row r="650" spans="2:2">
      <c r="B650" t="s">
        <v>1687</v>
      </c>
    </row>
    <row r="651" spans="2:2">
      <c r="B651" t="s">
        <v>1688</v>
      </c>
    </row>
    <row r="652" spans="2:2">
      <c r="B652" t="s">
        <v>1689</v>
      </c>
    </row>
    <row r="653" spans="2:2">
      <c r="B653" t="s">
        <v>1690</v>
      </c>
    </row>
    <row r="654" spans="2:2">
      <c r="B654" t="s">
        <v>1691</v>
      </c>
    </row>
    <row r="655" spans="2:2">
      <c r="B655" t="s">
        <v>1692</v>
      </c>
    </row>
    <row r="656" spans="2:2">
      <c r="B656" t="s">
        <v>1037</v>
      </c>
    </row>
    <row r="657" spans="2:2">
      <c r="B657" t="s">
        <v>1693</v>
      </c>
    </row>
    <row r="658" spans="2:2">
      <c r="B658" t="s">
        <v>1694</v>
      </c>
    </row>
    <row r="659" spans="2:2">
      <c r="B659" t="s">
        <v>1695</v>
      </c>
    </row>
    <row r="660" spans="2:2">
      <c r="B660" t="s">
        <v>1696</v>
      </c>
    </row>
    <row r="661" spans="2:2">
      <c r="B661" t="s">
        <v>1697</v>
      </c>
    </row>
    <row r="662" spans="2:2">
      <c r="B662" t="s">
        <v>1698</v>
      </c>
    </row>
    <row r="663" spans="2:2">
      <c r="B663" t="s">
        <v>1699</v>
      </c>
    </row>
    <row r="664" spans="2:2">
      <c r="B664" t="s">
        <v>1700</v>
      </c>
    </row>
    <row r="665" spans="2:2">
      <c r="B665" t="s">
        <v>1701</v>
      </c>
    </row>
    <row r="666" spans="2:2">
      <c r="B666" t="s">
        <v>1702</v>
      </c>
    </row>
    <row r="667" spans="2:2">
      <c r="B667" t="s">
        <v>1703</v>
      </c>
    </row>
    <row r="668" spans="2:2">
      <c r="B668" t="s">
        <v>1704</v>
      </c>
    </row>
    <row r="669" spans="2:2">
      <c r="B669" t="s">
        <v>1705</v>
      </c>
    </row>
    <row r="670" spans="2:2">
      <c r="B670" t="s">
        <v>1706</v>
      </c>
    </row>
    <row r="671" spans="2:2">
      <c r="B671" t="s">
        <v>1707</v>
      </c>
    </row>
    <row r="672" spans="2:2">
      <c r="B672" t="s">
        <v>1708</v>
      </c>
    </row>
    <row r="673" spans="2:2">
      <c r="B673" t="s">
        <v>1709</v>
      </c>
    </row>
    <row r="674" spans="2:2">
      <c r="B674" t="s">
        <v>1710</v>
      </c>
    </row>
    <row r="675" spans="2:2">
      <c r="B675" t="s">
        <v>1711</v>
      </c>
    </row>
    <row r="676" spans="2:2">
      <c r="B676" t="s">
        <v>1712</v>
      </c>
    </row>
    <row r="677" spans="2:2">
      <c r="B677" t="s">
        <v>1713</v>
      </c>
    </row>
    <row r="678" spans="2:2">
      <c r="B678" t="s">
        <v>1714</v>
      </c>
    </row>
    <row r="679" spans="2:2">
      <c r="B679" t="s">
        <v>1715</v>
      </c>
    </row>
    <row r="680" spans="2:2">
      <c r="B680" t="s">
        <v>1716</v>
      </c>
    </row>
    <row r="681" spans="2:2">
      <c r="B681" t="s">
        <v>1717</v>
      </c>
    </row>
    <row r="682" spans="2:2">
      <c r="B682" t="s">
        <v>1718</v>
      </c>
    </row>
    <row r="683" spans="2:2">
      <c r="B683" t="s">
        <v>1719</v>
      </c>
    </row>
    <row r="684" spans="2:2">
      <c r="B684" t="s">
        <v>1720</v>
      </c>
    </row>
    <row r="685" spans="2:2">
      <c r="B685" t="s">
        <v>1721</v>
      </c>
    </row>
    <row r="686" spans="2:2">
      <c r="B686" t="s">
        <v>1722</v>
      </c>
    </row>
    <row r="687" spans="2:2">
      <c r="B687" t="s">
        <v>1723</v>
      </c>
    </row>
    <row r="688" spans="2:2">
      <c r="B688" t="s">
        <v>1037</v>
      </c>
    </row>
    <row r="689" spans="2:2">
      <c r="B689" t="s">
        <v>1724</v>
      </c>
    </row>
    <row r="690" spans="2:2">
      <c r="B690" t="s">
        <v>1725</v>
      </c>
    </row>
    <row r="691" spans="2:2">
      <c r="B691" t="s">
        <v>1726</v>
      </c>
    </row>
    <row r="692" spans="2:2">
      <c r="B692" t="s">
        <v>1727</v>
      </c>
    </row>
    <row r="693" spans="2:2">
      <c r="B693" t="s">
        <v>1728</v>
      </c>
    </row>
    <row r="694" spans="2:2">
      <c r="B694" t="s">
        <v>1729</v>
      </c>
    </row>
    <row r="695" spans="2:2">
      <c r="B695" t="s">
        <v>1730</v>
      </c>
    </row>
    <row r="696" spans="2:2">
      <c r="B696" t="s">
        <v>1731</v>
      </c>
    </row>
    <row r="697" spans="2:2">
      <c r="B697" t="s">
        <v>1732</v>
      </c>
    </row>
    <row r="698" spans="2:2">
      <c r="B698" t="s">
        <v>1733</v>
      </c>
    </row>
    <row r="699" spans="2:2">
      <c r="B699" t="s">
        <v>1734</v>
      </c>
    </row>
    <row r="700" spans="2:2">
      <c r="B700" t="s">
        <v>1735</v>
      </c>
    </row>
    <row r="701" spans="2:2">
      <c r="B701" t="s">
        <v>1736</v>
      </c>
    </row>
    <row r="702" spans="2:2">
      <c r="B702" t="s">
        <v>1737</v>
      </c>
    </row>
    <row r="703" spans="2:2">
      <c r="B703" t="s">
        <v>1738</v>
      </c>
    </row>
    <row r="704" spans="2:2">
      <c r="B704" t="s">
        <v>1739</v>
      </c>
    </row>
    <row r="705" spans="2:2">
      <c r="B705" t="s">
        <v>1740</v>
      </c>
    </row>
    <row r="706" spans="2:2">
      <c r="B706" t="s">
        <v>1741</v>
      </c>
    </row>
    <row r="707" spans="2:2">
      <c r="B707" t="s">
        <v>1742</v>
      </c>
    </row>
    <row r="708" spans="2:2">
      <c r="B708" t="s">
        <v>1743</v>
      </c>
    </row>
    <row r="709" spans="2:2">
      <c r="B709" t="s">
        <v>1744</v>
      </c>
    </row>
    <row r="710" spans="2:2">
      <c r="B710" t="s">
        <v>1745</v>
      </c>
    </row>
    <row r="711" spans="2:2">
      <c r="B711" t="s">
        <v>1746</v>
      </c>
    </row>
    <row r="712" spans="2:2">
      <c r="B712" t="s">
        <v>1747</v>
      </c>
    </row>
    <row r="713" spans="2:2">
      <c r="B713" t="s">
        <v>1748</v>
      </c>
    </row>
    <row r="714" spans="2:2">
      <c r="B714" t="s">
        <v>1749</v>
      </c>
    </row>
    <row r="715" spans="2:2">
      <c r="B715" t="s">
        <v>1750</v>
      </c>
    </row>
    <row r="716" spans="2:2">
      <c r="B716" t="s">
        <v>1751</v>
      </c>
    </row>
    <row r="717" spans="2:2">
      <c r="B717" t="s">
        <v>1752</v>
      </c>
    </row>
    <row r="718" spans="2:2">
      <c r="B718" t="s">
        <v>1753</v>
      </c>
    </row>
    <row r="719" spans="2:2">
      <c r="B719" t="s">
        <v>1754</v>
      </c>
    </row>
    <row r="720" spans="2:2">
      <c r="B720" t="s">
        <v>1037</v>
      </c>
    </row>
    <row r="721" spans="2:2">
      <c r="B721" t="s">
        <v>1755</v>
      </c>
    </row>
    <row r="722" spans="2:2">
      <c r="B722" t="s">
        <v>1756</v>
      </c>
    </row>
    <row r="723" spans="2:2">
      <c r="B723" t="s">
        <v>1757</v>
      </c>
    </row>
    <row r="724" spans="2:2">
      <c r="B724" t="s">
        <v>1758</v>
      </c>
    </row>
    <row r="725" spans="2:2">
      <c r="B725" t="s">
        <v>1759</v>
      </c>
    </row>
    <row r="726" spans="2:2">
      <c r="B726" t="s">
        <v>1760</v>
      </c>
    </row>
    <row r="727" spans="2:2">
      <c r="B727" t="s">
        <v>1761</v>
      </c>
    </row>
    <row r="728" spans="2:2">
      <c r="B728" t="s">
        <v>1762</v>
      </c>
    </row>
    <row r="729" spans="2:2">
      <c r="B729" t="s">
        <v>1763</v>
      </c>
    </row>
    <row r="730" spans="2:2">
      <c r="B730" t="s">
        <v>1764</v>
      </c>
    </row>
    <row r="731" spans="2:2">
      <c r="B731" t="s">
        <v>1765</v>
      </c>
    </row>
    <row r="732" spans="2:2">
      <c r="B732" t="s">
        <v>1766</v>
      </c>
    </row>
    <row r="733" spans="2:2">
      <c r="B733" t="s">
        <v>1767</v>
      </c>
    </row>
    <row r="734" spans="2:2">
      <c r="B734" t="s">
        <v>1768</v>
      </c>
    </row>
    <row r="735" spans="2:2">
      <c r="B735" t="s">
        <v>1769</v>
      </c>
    </row>
    <row r="736" spans="2:2">
      <c r="B736" t="s">
        <v>1770</v>
      </c>
    </row>
    <row r="737" spans="2:2">
      <c r="B737" t="s">
        <v>1771</v>
      </c>
    </row>
    <row r="738" spans="2:2">
      <c r="B738" t="s">
        <v>1772</v>
      </c>
    </row>
    <row r="739" spans="2:2">
      <c r="B739" t="s">
        <v>1773</v>
      </c>
    </row>
    <row r="740" spans="2:2">
      <c r="B740" t="s">
        <v>1774</v>
      </c>
    </row>
    <row r="741" spans="2:2">
      <c r="B741" t="s">
        <v>1775</v>
      </c>
    </row>
    <row r="742" spans="2:2">
      <c r="B742" t="s">
        <v>1776</v>
      </c>
    </row>
    <row r="743" spans="2:2">
      <c r="B743" t="s">
        <v>1777</v>
      </c>
    </row>
    <row r="744" spans="2:2">
      <c r="B744" t="s">
        <v>1778</v>
      </c>
    </row>
    <row r="745" spans="2:2">
      <c r="B745" t="s">
        <v>1779</v>
      </c>
    </row>
    <row r="746" spans="2:2">
      <c r="B746" t="s">
        <v>1780</v>
      </c>
    </row>
    <row r="747" spans="2:2">
      <c r="B747" t="s">
        <v>1781</v>
      </c>
    </row>
    <row r="748" spans="2:2">
      <c r="B748" t="s">
        <v>1782</v>
      </c>
    </row>
    <row r="749" spans="2:2">
      <c r="B749" t="s">
        <v>1783</v>
      </c>
    </row>
    <row r="750" spans="2:2">
      <c r="B750" t="s">
        <v>1784</v>
      </c>
    </row>
    <row r="751" spans="2:2">
      <c r="B751" t="s">
        <v>1785</v>
      </c>
    </row>
    <row r="752" spans="2:2">
      <c r="B752" t="s">
        <v>1037</v>
      </c>
    </row>
    <row r="753" spans="2:2">
      <c r="B753" t="s">
        <v>1786</v>
      </c>
    </row>
    <row r="754" spans="2:2">
      <c r="B754" t="s">
        <v>1787</v>
      </c>
    </row>
    <row r="755" spans="2:2">
      <c r="B755" t="s">
        <v>1788</v>
      </c>
    </row>
    <row r="756" spans="2:2">
      <c r="B756" t="s">
        <v>1789</v>
      </c>
    </row>
    <row r="757" spans="2:2">
      <c r="B757" t="s">
        <v>1790</v>
      </c>
    </row>
    <row r="758" spans="2:2">
      <c r="B758" t="s">
        <v>1791</v>
      </c>
    </row>
    <row r="759" spans="2:2">
      <c r="B759" t="s">
        <v>1792</v>
      </c>
    </row>
    <row r="760" spans="2:2">
      <c r="B760" t="s">
        <v>1793</v>
      </c>
    </row>
    <row r="761" spans="2:2">
      <c r="B761" t="s">
        <v>1794</v>
      </c>
    </row>
    <row r="762" spans="2:2">
      <c r="B762" t="s">
        <v>1795</v>
      </c>
    </row>
    <row r="763" spans="2:2">
      <c r="B763" t="s">
        <v>1796</v>
      </c>
    </row>
    <row r="764" spans="2:2">
      <c r="B764" t="s">
        <v>1797</v>
      </c>
    </row>
    <row r="765" spans="2:2">
      <c r="B765" t="s">
        <v>1798</v>
      </c>
    </row>
    <row r="766" spans="2:2">
      <c r="B766" t="s">
        <v>1799</v>
      </c>
    </row>
    <row r="767" spans="2:2">
      <c r="B767" t="s">
        <v>1800</v>
      </c>
    </row>
    <row r="768" spans="2:2">
      <c r="B768" t="s">
        <v>1801</v>
      </c>
    </row>
    <row r="769" spans="2:2">
      <c r="B769" t="s">
        <v>1802</v>
      </c>
    </row>
    <row r="770" spans="2:2">
      <c r="B770" t="s">
        <v>1803</v>
      </c>
    </row>
    <row r="771" spans="2:2">
      <c r="B771" t="s">
        <v>1804</v>
      </c>
    </row>
    <row r="772" spans="2:2">
      <c r="B772" t="s">
        <v>1805</v>
      </c>
    </row>
    <row r="773" spans="2:2">
      <c r="B773" t="s">
        <v>1806</v>
      </c>
    </row>
    <row r="774" spans="2:2">
      <c r="B774" t="s">
        <v>1807</v>
      </c>
    </row>
    <row r="775" spans="2:2">
      <c r="B775" t="s">
        <v>1808</v>
      </c>
    </row>
    <row r="776" spans="2:2">
      <c r="B776" t="s">
        <v>1809</v>
      </c>
    </row>
    <row r="777" spans="2:2">
      <c r="B777" t="s">
        <v>1810</v>
      </c>
    </row>
    <row r="778" spans="2:2">
      <c r="B778" t="s">
        <v>1811</v>
      </c>
    </row>
    <row r="779" spans="2:2">
      <c r="B779" t="s">
        <v>1812</v>
      </c>
    </row>
    <row r="780" spans="2:2">
      <c r="B780" t="s">
        <v>1813</v>
      </c>
    </row>
    <row r="781" spans="2:2">
      <c r="B781" t="s">
        <v>1814</v>
      </c>
    </row>
    <row r="782" spans="2:2">
      <c r="B782" t="s">
        <v>1815</v>
      </c>
    </row>
    <row r="783" spans="2:2">
      <c r="B783" t="s">
        <v>1816</v>
      </c>
    </row>
    <row r="784" spans="2:2">
      <c r="B784" t="s">
        <v>1037</v>
      </c>
    </row>
    <row r="785" spans="2:2">
      <c r="B785" t="s">
        <v>1817</v>
      </c>
    </row>
    <row r="786" spans="2:2">
      <c r="B786" t="s">
        <v>1818</v>
      </c>
    </row>
    <row r="787" spans="2:2">
      <c r="B787" t="s">
        <v>1819</v>
      </c>
    </row>
    <row r="788" spans="2:2">
      <c r="B788" t="s">
        <v>1820</v>
      </c>
    </row>
    <row r="789" spans="2:2">
      <c r="B789" t="s">
        <v>1821</v>
      </c>
    </row>
    <row r="790" spans="2:2">
      <c r="B790" t="s">
        <v>1822</v>
      </c>
    </row>
    <row r="791" spans="2:2">
      <c r="B791" t="s">
        <v>1823</v>
      </c>
    </row>
    <row r="792" spans="2:2">
      <c r="B792" t="s">
        <v>1824</v>
      </c>
    </row>
    <row r="793" spans="2:2">
      <c r="B793" t="s">
        <v>1825</v>
      </c>
    </row>
    <row r="794" spans="2:2">
      <c r="B794" t="s">
        <v>1826</v>
      </c>
    </row>
    <row r="795" spans="2:2">
      <c r="B795" t="s">
        <v>1827</v>
      </c>
    </row>
    <row r="796" spans="2:2">
      <c r="B796" t="s">
        <v>1828</v>
      </c>
    </row>
    <row r="797" spans="2:2">
      <c r="B797" t="s">
        <v>1829</v>
      </c>
    </row>
    <row r="798" spans="2:2">
      <c r="B798" t="s">
        <v>1830</v>
      </c>
    </row>
    <row r="799" spans="2:2">
      <c r="B799" t="s">
        <v>1831</v>
      </c>
    </row>
    <row r="800" spans="2:2">
      <c r="B800" t="s">
        <v>1832</v>
      </c>
    </row>
    <row r="801" spans="2:2">
      <c r="B801" t="s">
        <v>1833</v>
      </c>
    </row>
    <row r="802" spans="2:2">
      <c r="B802" t="s">
        <v>1834</v>
      </c>
    </row>
    <row r="803" spans="2:2">
      <c r="B803" t="s">
        <v>1835</v>
      </c>
    </row>
    <row r="804" spans="2:2">
      <c r="B804" t="s">
        <v>1836</v>
      </c>
    </row>
    <row r="805" spans="2:2">
      <c r="B805" t="s">
        <v>1837</v>
      </c>
    </row>
    <row r="806" spans="2:2">
      <c r="B806" t="s">
        <v>1838</v>
      </c>
    </row>
    <row r="807" spans="2:2">
      <c r="B807" t="s">
        <v>1839</v>
      </c>
    </row>
    <row r="808" spans="2:2">
      <c r="B808" t="s">
        <v>1840</v>
      </c>
    </row>
    <row r="809" spans="2:2">
      <c r="B809" t="s">
        <v>1841</v>
      </c>
    </row>
    <row r="810" spans="2:2">
      <c r="B810" t="s">
        <v>1842</v>
      </c>
    </row>
    <row r="811" spans="2:2">
      <c r="B811" t="s">
        <v>1843</v>
      </c>
    </row>
    <row r="812" spans="2:2">
      <c r="B812" t="s">
        <v>1844</v>
      </c>
    </row>
    <row r="813" spans="2:2">
      <c r="B813" t="s">
        <v>1845</v>
      </c>
    </row>
    <row r="814" spans="2:2">
      <c r="B814" t="s">
        <v>1846</v>
      </c>
    </row>
    <row r="815" spans="2:2">
      <c r="B815" t="s">
        <v>1847</v>
      </c>
    </row>
    <row r="816" spans="2:2">
      <c r="B816" t="s">
        <v>1037</v>
      </c>
    </row>
    <row r="817" spans="2:2">
      <c r="B817" t="s">
        <v>1848</v>
      </c>
    </row>
    <row r="818" spans="2:2">
      <c r="B818" t="s">
        <v>1849</v>
      </c>
    </row>
    <row r="819" spans="2:2">
      <c r="B819" t="s">
        <v>1850</v>
      </c>
    </row>
    <row r="820" spans="2:2">
      <c r="B820" t="s">
        <v>1851</v>
      </c>
    </row>
    <row r="821" spans="2:2">
      <c r="B821" t="s">
        <v>1852</v>
      </c>
    </row>
    <row r="822" spans="2:2">
      <c r="B822" t="s">
        <v>1853</v>
      </c>
    </row>
    <row r="823" spans="2:2">
      <c r="B823" t="s">
        <v>1854</v>
      </c>
    </row>
    <row r="824" spans="2:2">
      <c r="B824" t="s">
        <v>1855</v>
      </c>
    </row>
    <row r="825" spans="2:2">
      <c r="B825" t="s">
        <v>1856</v>
      </c>
    </row>
    <row r="826" spans="2:2">
      <c r="B826" t="s">
        <v>1857</v>
      </c>
    </row>
    <row r="827" spans="2:2">
      <c r="B827" t="s">
        <v>1858</v>
      </c>
    </row>
    <row r="828" spans="2:2">
      <c r="B828" t="s">
        <v>1859</v>
      </c>
    </row>
    <row r="829" spans="2:2">
      <c r="B829" t="s">
        <v>1860</v>
      </c>
    </row>
    <row r="830" spans="2:2">
      <c r="B830" t="s">
        <v>1861</v>
      </c>
    </row>
    <row r="831" spans="2:2">
      <c r="B831" t="s">
        <v>1862</v>
      </c>
    </row>
    <row r="832" spans="2:2">
      <c r="B832" t="s">
        <v>1863</v>
      </c>
    </row>
    <row r="833" spans="2:2">
      <c r="B833" t="s">
        <v>1864</v>
      </c>
    </row>
    <row r="834" spans="2:2">
      <c r="B834" t="s">
        <v>1865</v>
      </c>
    </row>
    <row r="835" spans="2:2">
      <c r="B835" t="s">
        <v>1866</v>
      </c>
    </row>
    <row r="836" spans="2:2">
      <c r="B836" t="s">
        <v>1867</v>
      </c>
    </row>
    <row r="837" spans="2:2">
      <c r="B837" t="s">
        <v>1868</v>
      </c>
    </row>
    <row r="838" spans="2:2">
      <c r="B838" t="s">
        <v>1869</v>
      </c>
    </row>
    <row r="839" spans="2:2">
      <c r="B839" t="s">
        <v>1870</v>
      </c>
    </row>
    <row r="840" spans="2:2">
      <c r="B840" t="s">
        <v>1871</v>
      </c>
    </row>
    <row r="841" spans="2:2">
      <c r="B841" t="s">
        <v>1872</v>
      </c>
    </row>
    <row r="842" spans="2:2">
      <c r="B842" t="s">
        <v>1873</v>
      </c>
    </row>
    <row r="843" spans="2:2">
      <c r="B843" t="s">
        <v>1874</v>
      </c>
    </row>
    <row r="844" spans="2:2">
      <c r="B844" t="s">
        <v>1875</v>
      </c>
    </row>
    <row r="845" spans="2:2">
      <c r="B845" t="s">
        <v>1876</v>
      </c>
    </row>
    <row r="846" spans="2:2">
      <c r="B846" t="s">
        <v>1877</v>
      </c>
    </row>
    <row r="847" spans="2:2">
      <c r="B847" t="s">
        <v>1878</v>
      </c>
    </row>
    <row r="848" spans="2:2">
      <c r="B848" t="s">
        <v>1037</v>
      </c>
    </row>
    <row r="849" spans="2:2">
      <c r="B849" t="s">
        <v>1879</v>
      </c>
    </row>
    <row r="850" spans="2:2">
      <c r="B850" t="s">
        <v>1880</v>
      </c>
    </row>
    <row r="851" spans="2:2">
      <c r="B851" t="s">
        <v>1881</v>
      </c>
    </row>
    <row r="852" spans="2:2">
      <c r="B852" t="s">
        <v>1882</v>
      </c>
    </row>
    <row r="853" spans="2:2">
      <c r="B853" t="s">
        <v>1883</v>
      </c>
    </row>
    <row r="854" spans="2:2">
      <c r="B854" t="s">
        <v>1884</v>
      </c>
    </row>
    <row r="855" spans="2:2">
      <c r="B855" t="s">
        <v>1885</v>
      </c>
    </row>
    <row r="856" spans="2:2">
      <c r="B856" t="s">
        <v>1886</v>
      </c>
    </row>
    <row r="857" spans="2:2">
      <c r="B857" t="s">
        <v>1887</v>
      </c>
    </row>
    <row r="858" spans="2:2">
      <c r="B858" t="s">
        <v>1888</v>
      </c>
    </row>
    <row r="859" spans="2:2">
      <c r="B859" t="s">
        <v>1889</v>
      </c>
    </row>
    <row r="860" spans="2:2">
      <c r="B860" t="s">
        <v>1890</v>
      </c>
    </row>
    <row r="861" spans="2:2">
      <c r="B861" t="s">
        <v>1891</v>
      </c>
    </row>
    <row r="862" spans="2:2">
      <c r="B862" t="s">
        <v>1892</v>
      </c>
    </row>
    <row r="863" spans="2:2">
      <c r="B863" t="s">
        <v>1893</v>
      </c>
    </row>
    <row r="864" spans="2:2">
      <c r="B864" t="s">
        <v>1894</v>
      </c>
    </row>
    <row r="865" spans="2:2">
      <c r="B865" t="s">
        <v>1895</v>
      </c>
    </row>
    <row r="866" spans="2:2">
      <c r="B866" t="s">
        <v>1896</v>
      </c>
    </row>
    <row r="867" spans="2:2">
      <c r="B867" t="s">
        <v>1897</v>
      </c>
    </row>
    <row r="868" spans="2:2">
      <c r="B868" t="s">
        <v>1898</v>
      </c>
    </row>
    <row r="869" spans="2:2">
      <c r="B869" t="s">
        <v>1899</v>
      </c>
    </row>
    <row r="870" spans="2:2">
      <c r="B870" t="s">
        <v>1900</v>
      </c>
    </row>
    <row r="871" spans="2:2">
      <c r="B871" t="s">
        <v>1901</v>
      </c>
    </row>
    <row r="872" spans="2:2">
      <c r="B872" t="s">
        <v>1902</v>
      </c>
    </row>
    <row r="873" spans="2:2">
      <c r="B873" t="s">
        <v>1903</v>
      </c>
    </row>
    <row r="874" spans="2:2">
      <c r="B874" t="s">
        <v>1904</v>
      </c>
    </row>
    <row r="875" spans="2:2">
      <c r="B875" t="s">
        <v>1905</v>
      </c>
    </row>
    <row r="876" spans="2:2">
      <c r="B876" t="s">
        <v>1906</v>
      </c>
    </row>
    <row r="877" spans="2:2">
      <c r="B877" t="s">
        <v>1907</v>
      </c>
    </row>
    <row r="878" spans="2:2">
      <c r="B878" t="s">
        <v>1908</v>
      </c>
    </row>
    <row r="879" spans="2:2">
      <c r="B879" t="s">
        <v>1909</v>
      </c>
    </row>
    <row r="880" spans="2:2">
      <c r="B880" t="s">
        <v>1037</v>
      </c>
    </row>
    <row r="881" spans="2:2">
      <c r="B881" t="s">
        <v>1910</v>
      </c>
    </row>
    <row r="882" spans="2:2">
      <c r="B882" t="s">
        <v>1911</v>
      </c>
    </row>
    <row r="883" spans="2:2">
      <c r="B883" t="s">
        <v>1912</v>
      </c>
    </row>
    <row r="884" spans="2:2">
      <c r="B884" t="s">
        <v>1913</v>
      </c>
    </row>
    <row r="885" spans="2:2">
      <c r="B885" t="s">
        <v>1914</v>
      </c>
    </row>
    <row r="886" spans="2:2">
      <c r="B886" t="s">
        <v>1915</v>
      </c>
    </row>
    <row r="887" spans="2:2">
      <c r="B887" t="s">
        <v>1916</v>
      </c>
    </row>
    <row r="888" spans="2:2">
      <c r="B888" t="s">
        <v>1917</v>
      </c>
    </row>
    <row r="889" spans="2:2">
      <c r="B889" t="s">
        <v>1918</v>
      </c>
    </row>
    <row r="890" spans="2:2">
      <c r="B890" t="s">
        <v>1919</v>
      </c>
    </row>
    <row r="891" spans="2:2">
      <c r="B891" t="s">
        <v>1920</v>
      </c>
    </row>
    <row r="892" spans="2:2">
      <c r="B892" t="s">
        <v>1921</v>
      </c>
    </row>
    <row r="893" spans="2:2">
      <c r="B893" t="s">
        <v>1922</v>
      </c>
    </row>
    <row r="894" spans="2:2">
      <c r="B894" t="s">
        <v>1923</v>
      </c>
    </row>
    <row r="895" spans="2:2">
      <c r="B895" t="s">
        <v>1924</v>
      </c>
    </row>
    <row r="896" spans="2:2">
      <c r="B896" t="s">
        <v>1925</v>
      </c>
    </row>
    <row r="897" spans="2:2">
      <c r="B897" t="s">
        <v>1926</v>
      </c>
    </row>
    <row r="898" spans="2:2">
      <c r="B898" t="s">
        <v>1927</v>
      </c>
    </row>
    <row r="899" spans="2:2">
      <c r="B899" t="s">
        <v>1928</v>
      </c>
    </row>
    <row r="900" spans="2:2">
      <c r="B900" t="s">
        <v>1929</v>
      </c>
    </row>
    <row r="901" spans="2:2">
      <c r="B901" t="s">
        <v>1930</v>
      </c>
    </row>
    <row r="902" spans="2:2">
      <c r="B902" t="s">
        <v>1931</v>
      </c>
    </row>
    <row r="903" spans="2:2">
      <c r="B903" t="s">
        <v>1932</v>
      </c>
    </row>
    <row r="904" spans="2:2">
      <c r="B904" t="s">
        <v>1933</v>
      </c>
    </row>
    <row r="905" spans="2:2">
      <c r="B905" t="s">
        <v>1934</v>
      </c>
    </row>
    <row r="906" spans="2:2">
      <c r="B906" t="s">
        <v>1935</v>
      </c>
    </row>
    <row r="907" spans="2:2">
      <c r="B907" t="s">
        <v>1936</v>
      </c>
    </row>
    <row r="908" spans="2:2">
      <c r="B908" t="s">
        <v>1937</v>
      </c>
    </row>
    <row r="909" spans="2:2">
      <c r="B909" t="s">
        <v>1938</v>
      </c>
    </row>
    <row r="910" spans="2:2">
      <c r="B910" t="s">
        <v>1939</v>
      </c>
    </row>
    <row r="911" spans="2:2">
      <c r="B911" t="s">
        <v>1940</v>
      </c>
    </row>
    <row r="912" spans="2:2">
      <c r="B912" t="s">
        <v>1037</v>
      </c>
    </row>
    <row r="913" spans="2:2">
      <c r="B913" t="s">
        <v>1100</v>
      </c>
    </row>
    <row r="914" spans="2:2">
      <c r="B914" t="s">
        <v>1101</v>
      </c>
    </row>
    <row r="915" spans="2:2">
      <c r="B915" t="s">
        <v>1941</v>
      </c>
    </row>
    <row r="916" spans="2:2">
      <c r="B916" t="s">
        <v>1942</v>
      </c>
    </row>
    <row r="917" spans="2:2">
      <c r="B917" t="s">
        <v>1943</v>
      </c>
    </row>
    <row r="918" spans="2:2">
      <c r="B918" t="s">
        <v>1944</v>
      </c>
    </row>
    <row r="919" spans="2:2">
      <c r="B919" t="s">
        <v>1945</v>
      </c>
    </row>
    <row r="920" spans="2:2">
      <c r="B920" t="s">
        <v>1946</v>
      </c>
    </row>
    <row r="921" spans="2:2">
      <c r="B921" t="s">
        <v>1947</v>
      </c>
    </row>
    <row r="922" spans="2:2">
      <c r="B922" t="s">
        <v>1948</v>
      </c>
    </row>
    <row r="923" spans="2:2">
      <c r="B923" t="s">
        <v>1949</v>
      </c>
    </row>
    <row r="924" spans="2:2">
      <c r="B924" t="s">
        <v>1950</v>
      </c>
    </row>
    <row r="925" spans="2:2">
      <c r="B925" t="s">
        <v>1951</v>
      </c>
    </row>
    <row r="926" spans="2:2">
      <c r="B926" t="s">
        <v>1952</v>
      </c>
    </row>
    <row r="927" spans="2:2">
      <c r="B927" t="s">
        <v>1953</v>
      </c>
    </row>
    <row r="928" spans="2:2">
      <c r="B928" t="s">
        <v>1954</v>
      </c>
    </row>
    <row r="929" spans="2:2">
      <c r="B929" t="s">
        <v>1955</v>
      </c>
    </row>
    <row r="930" spans="2:2">
      <c r="B930" t="s">
        <v>1956</v>
      </c>
    </row>
    <row r="931" spans="2:2">
      <c r="B931" t="s">
        <v>1037</v>
      </c>
    </row>
    <row r="932" spans="2:2">
      <c r="B932" t="s">
        <v>1957</v>
      </c>
    </row>
    <row r="933" spans="2:2">
      <c r="B933" t="s">
        <v>1958</v>
      </c>
    </row>
    <row r="934" spans="2:2">
      <c r="B934" t="s">
        <v>1959</v>
      </c>
    </row>
    <row r="935" spans="2:2">
      <c r="B935" t="s">
        <v>1960</v>
      </c>
    </row>
    <row r="936" spans="2:2">
      <c r="B936" t="s">
        <v>1961</v>
      </c>
    </row>
    <row r="937" spans="2:2">
      <c r="B937" t="s">
        <v>1962</v>
      </c>
    </row>
    <row r="938" spans="2:2">
      <c r="B938" t="s">
        <v>1963</v>
      </c>
    </row>
    <row r="939" spans="2:2">
      <c r="B939" t="s">
        <v>1964</v>
      </c>
    </row>
    <row r="940" spans="2:2">
      <c r="B940" t="s">
        <v>1965</v>
      </c>
    </row>
    <row r="941" spans="2:2">
      <c r="B941" t="s">
        <v>1966</v>
      </c>
    </row>
    <row r="942" spans="2:2">
      <c r="B942" t="s">
        <v>1967</v>
      </c>
    </row>
    <row r="943" spans="2:2">
      <c r="B943" t="s">
        <v>1968</v>
      </c>
    </row>
    <row r="944" spans="2:2">
      <c r="B944" t="s">
        <v>1969</v>
      </c>
    </row>
    <row r="945" spans="2:2">
      <c r="B945" t="s">
        <v>1970</v>
      </c>
    </row>
    <row r="946" spans="2:2">
      <c r="B946" t="s">
        <v>1971</v>
      </c>
    </row>
    <row r="947" spans="2:2">
      <c r="B947" t="s">
        <v>1972</v>
      </c>
    </row>
    <row r="948" spans="2:2">
      <c r="B948" t="s">
        <v>1037</v>
      </c>
    </row>
    <row r="949" spans="2:2">
      <c r="B949" t="s">
        <v>1100</v>
      </c>
    </row>
    <row r="950" spans="2:2">
      <c r="B950" t="s">
        <v>1110</v>
      </c>
    </row>
    <row r="951" spans="2:2">
      <c r="B951" t="s">
        <v>1973</v>
      </c>
    </row>
    <row r="952" spans="2:2">
      <c r="B952" t="s">
        <v>1112</v>
      </c>
    </row>
    <row r="953" spans="2:2">
      <c r="B953" t="s">
        <v>1113</v>
      </c>
    </row>
    <row r="954" spans="2:2">
      <c r="B954" t="s">
        <v>823</v>
      </c>
    </row>
    <row r="955" spans="2:2">
      <c r="B955" t="s">
        <v>1114</v>
      </c>
    </row>
    <row r="956" spans="2:2">
      <c r="B956" t="s">
        <v>1974</v>
      </c>
    </row>
    <row r="957" spans="2:2">
      <c r="B957" t="s">
        <v>1112</v>
      </c>
    </row>
    <row r="958" spans="2:2">
      <c r="B958" t="s">
        <v>1116</v>
      </c>
    </row>
    <row r="959" spans="2:2">
      <c r="B959" t="s">
        <v>823</v>
      </c>
    </row>
    <row r="960" spans="2:2">
      <c r="B960" t="s">
        <v>1114</v>
      </c>
    </row>
    <row r="961" spans="2:2">
      <c r="B961" t="s">
        <v>1117</v>
      </c>
    </row>
    <row r="962" spans="2:2">
      <c r="B962" t="s">
        <v>1118</v>
      </c>
    </row>
    <row r="963" spans="2:2">
      <c r="B963" t="s">
        <v>1119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2'!$B$10:$B$10" display="Inputs" xr:uid="{B91D15C2-C4EE-43A3-8EB8-E370C416B2B6}"/>
    <hyperlink ref="D4" location="'NNC_Stored2'!$B$10:$B$10" display="PMML Model" xr:uid="{306DABB9-E276-4FD6-99EC-41CAEE74CCDF}"/>
    <hyperlink ref="F4" location="'NNC_TrainLog2'!$B$10:$B$10" display="Training Log" xr:uid="{B75013D7-4E6E-4D64-B1A0-6F6949515156}"/>
    <hyperlink ref="H4" location="'NNC_TrainingScore2'!$B$10:$B$10" display="Training: Classification Summary" xr:uid="{8B59804D-10AD-438A-8C29-626E3E37C552}"/>
    <hyperlink ref="J4" location="'NNC_ValidationScore2'!$B$10:$B$10" display="Validation: Classification Summary" xr:uid="{136F69FA-6DB9-4C65-B0A0-43389A3585EE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9934-8C68-4A36-B350-CD932A817A58}">
  <dimension ref="B1:CV64"/>
  <sheetViews>
    <sheetView showGridLines="0" topLeftCell="A27" workbookViewId="0"/>
  </sheetViews>
  <sheetFormatPr defaultRowHeight="14.4"/>
  <cols>
    <col min="14" max="14" width="29.109375" bestFit="1" customWidth="1"/>
  </cols>
  <sheetData>
    <row r="1" spans="2:100" ht="18">
      <c r="B1" s="8" t="s">
        <v>1178</v>
      </c>
      <c r="N1" t="s">
        <v>1235</v>
      </c>
      <c r="CV1" s="15" t="s">
        <v>1472</v>
      </c>
    </row>
    <row r="3" spans="2:100" ht="15.6">
      <c r="B3" s="17" t="s">
        <v>80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103</v>
      </c>
      <c r="O3" s="18"/>
      <c r="P3" s="18"/>
      <c r="Q3" s="19"/>
    </row>
    <row r="4" spans="2:100">
      <c r="B4" s="25" t="s">
        <v>81</v>
      </c>
      <c r="C4" s="26"/>
      <c r="D4" s="25" t="s">
        <v>729</v>
      </c>
      <c r="E4" s="26"/>
      <c r="F4" s="25" t="s">
        <v>1120</v>
      </c>
      <c r="G4" s="26"/>
      <c r="H4" s="25" t="s">
        <v>1121</v>
      </c>
      <c r="I4" s="26"/>
      <c r="J4" s="25" t="s">
        <v>1122</v>
      </c>
      <c r="K4" s="2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00">
      <c r="N5" s="12">
        <v>639</v>
      </c>
      <c r="O5" s="12">
        <v>112</v>
      </c>
      <c r="P5" s="12">
        <v>17</v>
      </c>
      <c r="Q5" s="12">
        <v>768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  <c r="J12" s="22"/>
      <c r="K12" s="22"/>
    </row>
    <row r="13" spans="2:100">
      <c r="C13" s="20" t="s">
        <v>84</v>
      </c>
      <c r="D13" s="20"/>
      <c r="E13" s="20"/>
      <c r="F13" s="21"/>
      <c r="G13" s="23" t="s">
        <v>98</v>
      </c>
      <c r="H13" s="23"/>
      <c r="I13" s="23"/>
      <c r="J13" s="23"/>
      <c r="K13" s="23"/>
    </row>
    <row r="14" spans="2:100">
      <c r="C14" s="20" t="s">
        <v>85</v>
      </c>
      <c r="D14" s="20"/>
      <c r="E14" s="20"/>
      <c r="F14" s="21"/>
      <c r="G14" s="23" t="s">
        <v>1194</v>
      </c>
      <c r="H14" s="23"/>
      <c r="I14" s="23"/>
      <c r="J14" s="23"/>
      <c r="K14" s="23"/>
    </row>
    <row r="15" spans="2:100">
      <c r="C15" s="20" t="s">
        <v>1179</v>
      </c>
      <c r="D15" s="20"/>
      <c r="E15" s="20"/>
      <c r="F15" s="21"/>
      <c r="G15" s="23" t="s">
        <v>1195</v>
      </c>
      <c r="H15" s="23"/>
      <c r="I15" s="23"/>
      <c r="J15" s="23"/>
      <c r="K15" s="23"/>
    </row>
    <row r="16" spans="2:100">
      <c r="C16" s="20" t="s">
        <v>1180</v>
      </c>
      <c r="D16" s="20"/>
      <c r="E16" s="20"/>
      <c r="F16" s="21"/>
      <c r="G16" s="23">
        <v>341</v>
      </c>
      <c r="H16" s="23"/>
      <c r="I16" s="23"/>
      <c r="J16" s="23"/>
      <c r="K16" s="23"/>
    </row>
    <row r="17" spans="3:34">
      <c r="C17" s="20" t="s">
        <v>1181</v>
      </c>
      <c r="D17" s="20"/>
      <c r="E17" s="20"/>
      <c r="F17" s="21"/>
      <c r="G17" s="23" t="s">
        <v>1196</v>
      </c>
      <c r="H17" s="23"/>
      <c r="I17" s="23"/>
      <c r="J17" s="23"/>
      <c r="K17" s="23"/>
    </row>
    <row r="18" spans="3:34">
      <c r="C18" s="20" t="s">
        <v>1182</v>
      </c>
      <c r="D18" s="20"/>
      <c r="E18" s="20"/>
      <c r="F18" s="21"/>
      <c r="G18" s="23">
        <v>228</v>
      </c>
      <c r="H18" s="23"/>
      <c r="I18" s="23"/>
      <c r="J18" s="23"/>
      <c r="K18" s="23"/>
    </row>
    <row r="20" spans="3:34" ht="15.6">
      <c r="C20" s="22" t="s">
        <v>88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3:34">
      <c r="C21" s="20" t="s">
        <v>1183</v>
      </c>
      <c r="D21" s="21"/>
      <c r="E21" s="23">
        <v>30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3:34">
      <c r="C22" s="20" t="s">
        <v>1184</v>
      </c>
      <c r="D22" s="21"/>
      <c r="E22" s="12" t="s">
        <v>110</v>
      </c>
      <c r="F22" s="12" t="s">
        <v>111</v>
      </c>
      <c r="G22" s="12" t="s">
        <v>112</v>
      </c>
      <c r="H22" s="12" t="s">
        <v>113</v>
      </c>
      <c r="I22" s="12" t="s">
        <v>114</v>
      </c>
      <c r="J22" s="12" t="s">
        <v>115</v>
      </c>
      <c r="K22" s="12" t="s">
        <v>116</v>
      </c>
      <c r="L22" s="12" t="s">
        <v>117</v>
      </c>
      <c r="M22" s="12" t="s">
        <v>118</v>
      </c>
      <c r="N22" s="12" t="s">
        <v>119</v>
      </c>
      <c r="O22" s="12" t="s">
        <v>120</v>
      </c>
      <c r="P22" s="12" t="s">
        <v>121</v>
      </c>
      <c r="Q22" s="12" t="s">
        <v>122</v>
      </c>
      <c r="R22" s="12" t="s">
        <v>123</v>
      </c>
      <c r="S22" s="12" t="s">
        <v>124</v>
      </c>
      <c r="T22" s="12" t="s">
        <v>125</v>
      </c>
      <c r="U22" s="12" t="s">
        <v>126</v>
      </c>
      <c r="V22" s="12" t="s">
        <v>127</v>
      </c>
      <c r="W22" s="12" t="s">
        <v>128</v>
      </c>
      <c r="X22" s="12" t="s">
        <v>129</v>
      </c>
      <c r="Y22" s="12" t="s">
        <v>130</v>
      </c>
      <c r="Z22" s="12" t="s">
        <v>131</v>
      </c>
      <c r="AA22" s="12" t="s">
        <v>132</v>
      </c>
      <c r="AB22" s="12" t="s">
        <v>133</v>
      </c>
      <c r="AC22" s="12" t="s">
        <v>134</v>
      </c>
      <c r="AD22" s="12" t="s">
        <v>135</v>
      </c>
      <c r="AE22" s="12" t="s">
        <v>136</v>
      </c>
      <c r="AF22" s="12" t="s">
        <v>137</v>
      </c>
      <c r="AG22" s="12" t="s">
        <v>138</v>
      </c>
      <c r="AH22" s="12" t="s">
        <v>139</v>
      </c>
    </row>
    <row r="23" spans="3:34">
      <c r="C23" s="20" t="s">
        <v>1185</v>
      </c>
      <c r="D23" s="2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3:34">
      <c r="C24" s="20" t="s">
        <v>1186</v>
      </c>
      <c r="D24" s="21"/>
      <c r="E24" s="24" t="s">
        <v>718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6" spans="3:34" ht="15.6">
      <c r="C26" s="22" t="s">
        <v>1187</v>
      </c>
      <c r="D26" s="22"/>
      <c r="E26" s="22"/>
      <c r="F26" s="22"/>
      <c r="G26" s="22"/>
      <c r="H26" s="22"/>
      <c r="I26" s="22"/>
    </row>
    <row r="27" spans="3:34">
      <c r="C27" s="20" t="s">
        <v>1188</v>
      </c>
      <c r="D27" s="20"/>
      <c r="E27" s="21"/>
      <c r="F27" s="23" t="b">
        <v>1</v>
      </c>
      <c r="G27" s="23"/>
      <c r="H27" s="23"/>
      <c r="I27" s="23"/>
    </row>
    <row r="28" spans="3:34">
      <c r="C28" s="20" t="s">
        <v>1189</v>
      </c>
      <c r="D28" s="20"/>
      <c r="E28" s="21"/>
      <c r="F28" s="23" t="s">
        <v>1193</v>
      </c>
      <c r="G28" s="23"/>
      <c r="H28" s="23"/>
      <c r="I28" s="23"/>
    </row>
    <row r="30" spans="3:34" ht="15.6">
      <c r="C30" s="17" t="s">
        <v>1190</v>
      </c>
      <c r="D30" s="18"/>
      <c r="E30" s="18"/>
      <c r="F30" s="18"/>
      <c r="G30" s="18"/>
      <c r="H30" s="18"/>
      <c r="I30" s="19"/>
    </row>
    <row r="31" spans="3:34">
      <c r="C31" s="21" t="s">
        <v>1191</v>
      </c>
      <c r="D31" s="30"/>
      <c r="E31" s="31"/>
      <c r="F31" s="32">
        <v>12345</v>
      </c>
      <c r="G31" s="33"/>
      <c r="H31" s="33"/>
      <c r="I31" s="34"/>
    </row>
    <row r="32" spans="3:34">
      <c r="C32" s="21" t="s">
        <v>1192</v>
      </c>
      <c r="D32" s="30"/>
      <c r="E32" s="31"/>
      <c r="F32" s="32">
        <v>1</v>
      </c>
      <c r="G32" s="33"/>
      <c r="H32" s="33"/>
      <c r="I32" s="34"/>
    </row>
    <row r="33" spans="3:9">
      <c r="C33" s="21" t="s">
        <v>1198</v>
      </c>
      <c r="D33" s="30"/>
      <c r="E33" s="31"/>
      <c r="F33" s="32">
        <v>7</v>
      </c>
      <c r="G33" s="33"/>
      <c r="H33" s="33"/>
      <c r="I33" s="34"/>
    </row>
    <row r="34" spans="3:9">
      <c r="C34" s="21" t="s">
        <v>1199</v>
      </c>
      <c r="D34" s="30"/>
      <c r="E34" s="31"/>
      <c r="F34" s="32">
        <v>0.1</v>
      </c>
      <c r="G34" s="33"/>
      <c r="H34" s="33"/>
      <c r="I34" s="34"/>
    </row>
    <row r="35" spans="3:9">
      <c r="C35" s="21" t="s">
        <v>1200</v>
      </c>
      <c r="D35" s="30"/>
      <c r="E35" s="31"/>
      <c r="F35" s="32">
        <v>0.6</v>
      </c>
      <c r="G35" s="33"/>
      <c r="H35" s="33"/>
      <c r="I35" s="34"/>
    </row>
    <row r="36" spans="3:9">
      <c r="C36" s="21" t="s">
        <v>1201</v>
      </c>
      <c r="D36" s="30"/>
      <c r="E36" s="31"/>
      <c r="F36" s="32">
        <v>0.01</v>
      </c>
      <c r="G36" s="33"/>
      <c r="H36" s="33"/>
      <c r="I36" s="34"/>
    </row>
    <row r="37" spans="3:9">
      <c r="C37" s="21" t="s">
        <v>1202</v>
      </c>
      <c r="D37" s="30"/>
      <c r="E37" s="31"/>
      <c r="F37" s="32">
        <v>0</v>
      </c>
      <c r="G37" s="33"/>
      <c r="H37" s="33"/>
      <c r="I37" s="34"/>
    </row>
    <row r="38" spans="3:9">
      <c r="C38" s="21" t="s">
        <v>1203</v>
      </c>
      <c r="D38" s="30"/>
      <c r="E38" s="31"/>
      <c r="F38" s="32" t="s">
        <v>1224</v>
      </c>
      <c r="G38" s="33"/>
      <c r="H38" s="33"/>
      <c r="I38" s="34"/>
    </row>
    <row r="39" spans="3:9">
      <c r="C39" s="21" t="s">
        <v>1204</v>
      </c>
      <c r="D39" s="30"/>
      <c r="E39" s="31"/>
      <c r="F39" s="32" t="s">
        <v>1225</v>
      </c>
      <c r="G39" s="33"/>
      <c r="H39" s="33"/>
      <c r="I39" s="34"/>
    </row>
    <row r="40" spans="3:9">
      <c r="C40" s="21" t="s">
        <v>1205</v>
      </c>
      <c r="D40" s="30"/>
      <c r="E40" s="31"/>
      <c r="F40" s="32" t="s">
        <v>1225</v>
      </c>
      <c r="G40" s="33"/>
      <c r="H40" s="33"/>
      <c r="I40" s="34"/>
    </row>
    <row r="41" spans="3:9">
      <c r="C41" s="21" t="s">
        <v>1206</v>
      </c>
      <c r="D41" s="30"/>
      <c r="E41" s="31"/>
      <c r="F41" s="32" t="s">
        <v>1226</v>
      </c>
      <c r="G41" s="33"/>
      <c r="H41" s="33"/>
      <c r="I41" s="34"/>
    </row>
    <row r="42" spans="3:9">
      <c r="C42" s="21" t="s">
        <v>1207</v>
      </c>
      <c r="D42" s="30"/>
      <c r="E42" s="31"/>
      <c r="F42" s="32">
        <v>0.01</v>
      </c>
      <c r="G42" s="33"/>
      <c r="H42" s="33"/>
      <c r="I42" s="34"/>
    </row>
    <row r="43" spans="3:9">
      <c r="C43" s="21" t="s">
        <v>1208</v>
      </c>
      <c r="D43" s="30"/>
      <c r="E43" s="31"/>
      <c r="F43" s="32" t="s">
        <v>1227</v>
      </c>
      <c r="G43" s="33"/>
      <c r="H43" s="33"/>
      <c r="I43" s="34"/>
    </row>
    <row r="44" spans="3:9">
      <c r="C44" s="21" t="s">
        <v>1209</v>
      </c>
      <c r="D44" s="30"/>
      <c r="E44" s="31"/>
      <c r="F44" s="32">
        <v>30</v>
      </c>
      <c r="G44" s="33"/>
      <c r="H44" s="33"/>
      <c r="I44" s="34"/>
    </row>
    <row r="45" spans="3:9">
      <c r="C45" s="21" t="s">
        <v>1210</v>
      </c>
      <c r="D45" s="30"/>
      <c r="E45" s="31"/>
      <c r="F45" s="32">
        <v>5</v>
      </c>
      <c r="G45" s="33"/>
      <c r="H45" s="33"/>
      <c r="I45" s="34"/>
    </row>
    <row r="46" spans="3:9">
      <c r="C46" s="21" t="s">
        <v>1211</v>
      </c>
      <c r="D46" s="30"/>
      <c r="E46" s="31"/>
      <c r="F46" s="32">
        <v>3600</v>
      </c>
      <c r="G46" s="33"/>
      <c r="H46" s="33"/>
      <c r="I46" s="34"/>
    </row>
    <row r="47" spans="3:9">
      <c r="C47" s="21" t="s">
        <v>1212</v>
      </c>
      <c r="D47" s="30"/>
      <c r="E47" s="31"/>
      <c r="F47" s="32">
        <v>1E-4</v>
      </c>
      <c r="G47" s="33"/>
      <c r="H47" s="33"/>
      <c r="I47" s="34"/>
    </row>
    <row r="48" spans="3:9">
      <c r="C48" s="21" t="s">
        <v>1213</v>
      </c>
      <c r="D48" s="30"/>
      <c r="E48" s="31"/>
      <c r="F48" s="32">
        <v>1E-3</v>
      </c>
      <c r="G48" s="33"/>
      <c r="H48" s="33"/>
      <c r="I48" s="34"/>
    </row>
    <row r="50" spans="3:9" ht="15.6">
      <c r="C50" s="17" t="s">
        <v>1214</v>
      </c>
      <c r="D50" s="18"/>
      <c r="E50" s="18"/>
      <c r="F50" s="18"/>
      <c r="G50" s="18"/>
      <c r="H50" s="18"/>
      <c r="I50" s="19"/>
    </row>
    <row r="51" spans="3:9">
      <c r="C51" s="21" t="s">
        <v>1215</v>
      </c>
      <c r="D51" s="30"/>
      <c r="E51" s="31"/>
      <c r="F51" s="32" t="s">
        <v>1228</v>
      </c>
      <c r="G51" s="33"/>
      <c r="H51" s="33"/>
      <c r="I51" s="34"/>
    </row>
    <row r="53" spans="3:9" ht="15.6">
      <c r="C53" s="17" t="s">
        <v>1216</v>
      </c>
      <c r="D53" s="18"/>
      <c r="E53" s="18"/>
      <c r="F53" s="18"/>
      <c r="G53" s="18"/>
      <c r="H53" s="18"/>
      <c r="I53" s="19"/>
    </row>
    <row r="54" spans="3:9">
      <c r="C54" s="21" t="s">
        <v>1217</v>
      </c>
      <c r="D54" s="30"/>
      <c r="E54" s="31"/>
      <c r="F54" s="32">
        <v>2</v>
      </c>
      <c r="G54" s="33"/>
      <c r="H54" s="33"/>
      <c r="I54" s="34"/>
    </row>
    <row r="55" spans="3:9">
      <c r="C55" s="21" t="s">
        <v>1136</v>
      </c>
      <c r="D55" s="30"/>
      <c r="E55" s="31"/>
      <c r="F55" s="32" t="s">
        <v>0</v>
      </c>
      <c r="G55" s="33"/>
      <c r="H55" s="33"/>
      <c r="I55" s="34"/>
    </row>
    <row r="56" spans="3:9">
      <c r="C56" s="21" t="s">
        <v>1137</v>
      </c>
      <c r="D56" s="30"/>
      <c r="E56" s="31"/>
      <c r="F56" s="32">
        <v>0.5</v>
      </c>
      <c r="G56" s="33"/>
      <c r="H56" s="33"/>
      <c r="I56" s="34"/>
    </row>
    <row r="58" spans="3:9" ht="15.6">
      <c r="C58" s="17" t="s">
        <v>1218</v>
      </c>
      <c r="D58" s="18"/>
      <c r="E58" s="18"/>
      <c r="F58" s="18"/>
      <c r="G58" s="18"/>
      <c r="H58" s="18"/>
      <c r="I58" s="19"/>
    </row>
    <row r="59" spans="3:9">
      <c r="C59" s="21" t="s">
        <v>1219</v>
      </c>
      <c r="D59" s="30"/>
      <c r="E59" s="31"/>
      <c r="F59" s="32" t="b">
        <v>0</v>
      </c>
      <c r="G59" s="33"/>
      <c r="H59" s="33"/>
      <c r="I59" s="34"/>
    </row>
    <row r="60" spans="3:9">
      <c r="C60" s="21" t="s">
        <v>1220</v>
      </c>
      <c r="D60" s="30"/>
      <c r="E60" s="31"/>
      <c r="F60" s="32" t="b">
        <v>0</v>
      </c>
      <c r="G60" s="33"/>
      <c r="H60" s="33"/>
      <c r="I60" s="34"/>
    </row>
    <row r="62" spans="3:9" ht="15.6">
      <c r="C62" s="17" t="s">
        <v>1221</v>
      </c>
      <c r="D62" s="18"/>
      <c r="E62" s="18"/>
      <c r="F62" s="18"/>
      <c r="G62" s="19"/>
    </row>
    <row r="63" spans="3:9">
      <c r="C63" s="27" t="s">
        <v>1222</v>
      </c>
      <c r="D63" s="28"/>
      <c r="E63" s="28"/>
      <c r="F63" s="28"/>
      <c r="G63" s="29"/>
    </row>
    <row r="64" spans="3:9">
      <c r="C64" s="27" t="s">
        <v>1223</v>
      </c>
      <c r="D64" s="28"/>
      <c r="E64" s="28"/>
      <c r="F64" s="28"/>
      <c r="G64" s="29"/>
    </row>
  </sheetData>
  <mergeCells count="87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30:I30"/>
    <mergeCell ref="C20:AH20"/>
    <mergeCell ref="C21:D21"/>
    <mergeCell ref="C22:D22"/>
    <mergeCell ref="C23:D23"/>
    <mergeCell ref="C24:D24"/>
    <mergeCell ref="E21:AH21"/>
    <mergeCell ref="E24:AH24"/>
    <mergeCell ref="C26:I26"/>
    <mergeCell ref="C27:E27"/>
    <mergeCell ref="C28:E28"/>
    <mergeCell ref="F27:I27"/>
    <mergeCell ref="F28:I28"/>
    <mergeCell ref="C31:E31"/>
    <mergeCell ref="C32:E32"/>
    <mergeCell ref="C33:E33"/>
    <mergeCell ref="C34:E34"/>
    <mergeCell ref="C35:E35"/>
    <mergeCell ref="C47:E47"/>
    <mergeCell ref="C48:E48"/>
    <mergeCell ref="C37:E37"/>
    <mergeCell ref="C38:E38"/>
    <mergeCell ref="C39:E39"/>
    <mergeCell ref="C40:E40"/>
    <mergeCell ref="C41:E41"/>
    <mergeCell ref="C42:E42"/>
    <mergeCell ref="F36:I36"/>
    <mergeCell ref="C43:E43"/>
    <mergeCell ref="C44:E44"/>
    <mergeCell ref="C45:E45"/>
    <mergeCell ref="C46:E46"/>
    <mergeCell ref="C36:E36"/>
    <mergeCell ref="F31:I31"/>
    <mergeCell ref="F32:I32"/>
    <mergeCell ref="F33:I33"/>
    <mergeCell ref="F34:I34"/>
    <mergeCell ref="F35:I35"/>
    <mergeCell ref="F48:I48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C50:I50"/>
    <mergeCell ref="C51:E51"/>
    <mergeCell ref="F51:I51"/>
    <mergeCell ref="C53:I53"/>
    <mergeCell ref="C54:E54"/>
    <mergeCell ref="C64:G64"/>
    <mergeCell ref="C56:E56"/>
    <mergeCell ref="F54:I54"/>
    <mergeCell ref="F55:I55"/>
    <mergeCell ref="F56:I56"/>
    <mergeCell ref="C58:I58"/>
    <mergeCell ref="C59:E59"/>
    <mergeCell ref="C55:E55"/>
    <mergeCell ref="C60:E60"/>
    <mergeCell ref="F59:I59"/>
    <mergeCell ref="F60:I60"/>
    <mergeCell ref="C62:G62"/>
    <mergeCell ref="C63:G63"/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1'!$B$10:$B$10" display="Inputs" xr:uid="{7B29506E-4E19-4CA3-B5FF-968449AA91CD}"/>
    <hyperlink ref="D4" location="'NNC_Stored1'!$B$10:$B$10" display="PMML Model" xr:uid="{52DD1887-8349-4C36-ACCA-EB9BE78BED6C}"/>
    <hyperlink ref="F4" location="'NNC_TrainLog1'!$B$10:$B$10" display="Training Log" xr:uid="{7B1F5DC3-B829-4383-9F39-3FC9ED92C640}"/>
    <hyperlink ref="H4" location="'NNC_TrainingScore1'!$B$10:$B$10" display="Training: Classification Summary" xr:uid="{5D544EE6-2805-4688-93B3-89BE26E4476A}"/>
    <hyperlink ref="J4" location="'NNC_ValidationScore1'!$B$10:$B$10" display="Validation: Classification Summary" xr:uid="{A1394A2A-29FD-463E-AFF9-0E5586A5C73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BB8F9-3AAC-4C08-AF4D-CE5DEBA45746}">
  <dimension ref="B1:Q42"/>
  <sheetViews>
    <sheetView showGridLines="0" workbookViewId="0"/>
  </sheetViews>
  <sheetFormatPr defaultRowHeight="14.4"/>
  <cols>
    <col min="4" max="4" width="37.33203125" customWidth="1"/>
    <col min="5" max="5" width="34.5546875" customWidth="1"/>
    <col min="14" max="14" width="24.44140625" bestFit="1" customWidth="1"/>
  </cols>
  <sheetData>
    <row r="1" spans="2:17" ht="18">
      <c r="B1" s="8" t="s">
        <v>1144</v>
      </c>
      <c r="N1" t="s">
        <v>1235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639</v>
      </c>
      <c r="O5" s="12">
        <v>112</v>
      </c>
      <c r="P5" s="12">
        <v>17</v>
      </c>
      <c r="Q5" s="12">
        <v>768</v>
      </c>
    </row>
    <row r="10" spans="2:17" ht="18">
      <c r="B10" s="9" t="s">
        <v>1120</v>
      </c>
    </row>
    <row r="12" spans="2:17">
      <c r="C12" s="11" t="s">
        <v>1145</v>
      </c>
      <c r="D12" t="s">
        <v>1146</v>
      </c>
      <c r="E12" t="s">
        <v>1147</v>
      </c>
    </row>
    <row r="13" spans="2:17">
      <c r="C13" s="11" t="s">
        <v>1148</v>
      </c>
      <c r="D13" s="10">
        <v>0.41355292003126132</v>
      </c>
      <c r="E13">
        <v>0.2316715542521994</v>
      </c>
    </row>
    <row r="14" spans="2:17">
      <c r="C14" s="11" t="s">
        <v>1149</v>
      </c>
      <c r="D14" s="10">
        <v>0.33356302221208001</v>
      </c>
      <c r="E14">
        <v>0.14369501466275661</v>
      </c>
    </row>
    <row r="15" spans="2:17">
      <c r="C15" s="11" t="s">
        <v>1150</v>
      </c>
      <c r="D15" s="10">
        <v>0.28420827996415676</v>
      </c>
      <c r="E15">
        <v>0.11436950146627566</v>
      </c>
    </row>
    <row r="16" spans="2:17">
      <c r="C16" s="11" t="s">
        <v>1151</v>
      </c>
      <c r="D16" s="10">
        <v>0.25371722886248371</v>
      </c>
      <c r="E16">
        <v>9.0909090909090925E-2</v>
      </c>
    </row>
    <row r="17" spans="3:5">
      <c r="C17" s="11" t="s">
        <v>1152</v>
      </c>
      <c r="D17" s="10">
        <v>0.2310443963605695</v>
      </c>
      <c r="E17">
        <v>7.9178885630498533E-2</v>
      </c>
    </row>
    <row r="18" spans="3:5">
      <c r="C18" s="11" t="s">
        <v>1153</v>
      </c>
      <c r="D18" s="10">
        <v>0.21171567805248645</v>
      </c>
      <c r="E18">
        <v>5.865102639296188E-2</v>
      </c>
    </row>
    <row r="19" spans="3:5">
      <c r="C19" s="11" t="s">
        <v>1154</v>
      </c>
      <c r="D19" s="10">
        <v>0.19422589247503771</v>
      </c>
      <c r="E19">
        <v>4.6920821114369501E-2</v>
      </c>
    </row>
    <row r="20" spans="3:5">
      <c r="C20" s="11" t="s">
        <v>1155</v>
      </c>
      <c r="D20" s="10">
        <v>0.17824731534674773</v>
      </c>
      <c r="E20">
        <v>4.1055718475073312E-2</v>
      </c>
    </row>
    <row r="21" spans="3:5">
      <c r="C21" s="11" t="s">
        <v>1156</v>
      </c>
      <c r="D21" s="10">
        <v>0.16385699340240503</v>
      </c>
      <c r="E21">
        <v>3.8123167155425221E-2</v>
      </c>
    </row>
    <row r="22" spans="3:5">
      <c r="C22" s="11" t="s">
        <v>1157</v>
      </c>
      <c r="D22" s="10">
        <v>0.15119473941583103</v>
      </c>
      <c r="E22">
        <v>4.398826979472141E-2</v>
      </c>
    </row>
    <row r="23" spans="3:5">
      <c r="C23" s="11" t="s">
        <v>1158</v>
      </c>
      <c r="D23" s="10">
        <v>0.14031073184035159</v>
      </c>
      <c r="E23">
        <v>4.1055718475073312E-2</v>
      </c>
    </row>
    <row r="24" spans="3:5">
      <c r="C24" s="11" t="s">
        <v>1159</v>
      </c>
      <c r="D24" s="10">
        <v>0.13111496826789595</v>
      </c>
      <c r="E24">
        <v>4.398826979472141E-2</v>
      </c>
    </row>
    <row r="25" spans="3:5">
      <c r="C25" s="11" t="s">
        <v>1160</v>
      </c>
      <c r="D25" s="10">
        <v>0.1233982511565712</v>
      </c>
      <c r="E25">
        <v>4.1055718475073312E-2</v>
      </c>
    </row>
    <row r="26" spans="3:5">
      <c r="C26" s="11" t="s">
        <v>1161</v>
      </c>
      <c r="D26" s="10">
        <v>0.11689524804284748</v>
      </c>
      <c r="E26">
        <v>4.1055718475073312E-2</v>
      </c>
    </row>
    <row r="27" spans="3:5">
      <c r="C27" s="11" t="s">
        <v>1162</v>
      </c>
      <c r="D27" s="10">
        <v>0.11134962281393286</v>
      </c>
      <c r="E27">
        <v>4.1055718475073312E-2</v>
      </c>
    </row>
    <row r="28" spans="3:5">
      <c r="C28" s="11" t="s">
        <v>1163</v>
      </c>
      <c r="D28" s="10">
        <v>0.10655281354837629</v>
      </c>
      <c r="E28">
        <v>4.1055718475073312E-2</v>
      </c>
    </row>
    <row r="29" spans="3:5">
      <c r="C29" s="11" t="s">
        <v>1164</v>
      </c>
      <c r="D29" s="10">
        <v>0.10235247994364308</v>
      </c>
      <c r="E29">
        <v>3.8123167155425221E-2</v>
      </c>
    </row>
    <row r="30" spans="3:5">
      <c r="C30" s="11" t="s">
        <v>1165</v>
      </c>
      <c r="D30" s="10">
        <v>9.8642276276213206E-2</v>
      </c>
      <c r="E30">
        <v>3.519061583577713E-2</v>
      </c>
    </row>
    <row r="31" spans="3:5">
      <c r="C31" s="11" t="s">
        <v>1166</v>
      </c>
      <c r="D31" s="10">
        <v>9.5346390189840285E-2</v>
      </c>
      <c r="E31">
        <v>3.519061583577713E-2</v>
      </c>
    </row>
    <row r="32" spans="3:5">
      <c r="C32" s="11" t="s">
        <v>1167</v>
      </c>
      <c r="D32" s="10">
        <v>9.240687437315008E-2</v>
      </c>
      <c r="E32">
        <v>2.932551319648094E-2</v>
      </c>
    </row>
    <row r="33" spans="3:5">
      <c r="C33" s="11" t="s">
        <v>1168</v>
      </c>
      <c r="D33" s="10">
        <v>8.9776015926120764E-2</v>
      </c>
      <c r="E33">
        <v>2.932551319648094E-2</v>
      </c>
    </row>
    <row r="34" spans="3:5">
      <c r="C34" s="11" t="s">
        <v>1169</v>
      </c>
      <c r="D34" s="10">
        <v>8.7412753424089343E-2</v>
      </c>
      <c r="E34">
        <v>2.3460410557184751E-2</v>
      </c>
    </row>
    <row r="35" spans="3:5">
      <c r="C35" s="11" t="s">
        <v>1170</v>
      </c>
      <c r="D35" s="10">
        <v>8.5281333325213537E-2</v>
      </c>
      <c r="E35">
        <v>2.3460410557184751E-2</v>
      </c>
    </row>
    <row r="36" spans="3:5">
      <c r="C36" s="11" t="s">
        <v>1171</v>
      </c>
      <c r="D36" s="10">
        <v>8.3350812346921349E-2</v>
      </c>
      <c r="E36">
        <v>2.3460410557184751E-2</v>
      </c>
    </row>
    <row r="37" spans="3:5">
      <c r="C37" s="11" t="s">
        <v>1172</v>
      </c>
      <c r="D37" s="10">
        <v>8.1594688873103033E-2</v>
      </c>
      <c r="E37">
        <v>2.3460410557184751E-2</v>
      </c>
    </row>
    <row r="38" spans="3:5">
      <c r="C38" s="11" t="s">
        <v>1173</v>
      </c>
      <c r="D38" s="10">
        <v>7.9990439801855787E-2</v>
      </c>
      <c r="E38">
        <v>2.6392961876832845E-2</v>
      </c>
    </row>
    <row r="39" spans="3:5">
      <c r="C39" s="11" t="s">
        <v>1174</v>
      </c>
      <c r="D39" s="10">
        <v>7.8518977332063117E-2</v>
      </c>
      <c r="E39">
        <v>2.6392961876832845E-2</v>
      </c>
    </row>
    <row r="40" spans="3:5">
      <c r="C40" s="11" t="s">
        <v>1175</v>
      </c>
      <c r="D40" s="10">
        <v>7.7164102581693247E-2</v>
      </c>
      <c r="E40">
        <v>2.6392961876832845E-2</v>
      </c>
    </row>
    <row r="41" spans="3:5">
      <c r="C41" s="11" t="s">
        <v>1176</v>
      </c>
      <c r="D41" s="10">
        <v>7.5912015334029401E-2</v>
      </c>
      <c r="E41">
        <v>2.6392961876832845E-2</v>
      </c>
    </row>
    <row r="42" spans="3:5">
      <c r="C42" s="11" t="s">
        <v>1177</v>
      </c>
      <c r="D42" s="10">
        <v>7.4750904018718964E-2</v>
      </c>
      <c r="E42">
        <v>2.6392961876832845E-2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1'!$B$10:$B$10" display="Inputs" xr:uid="{AD01991F-753F-4D9F-8D3F-5E1384AA49C3}"/>
    <hyperlink ref="D4" location="'NNC_Stored1'!$B$10:$B$10" display="PMML Model" xr:uid="{CA07C0CE-EA27-44E4-892B-283E1DE4715F}"/>
    <hyperlink ref="F4" location="'NNC_TrainLog1'!$B$10:$B$10" display="Training Log" xr:uid="{8D91B08D-795F-4BE0-B2F1-19024740B87B}"/>
    <hyperlink ref="H4" location="'NNC_TrainingScore1'!$B$10:$B$10" display="Training: Classification Summary" xr:uid="{7865DD29-169D-4E11-8133-CFB8771F047E}"/>
    <hyperlink ref="J4" location="'NNC_ValidationScore1'!$B$10:$B$10" display="Validation: Classification Summary" xr:uid="{B7780F64-692B-47C5-BC51-68BC79945C1F}"/>
  </hyperlinks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D542-8D12-4BA8-92BD-A45E3D807288}">
  <dimension ref="B1:Q32"/>
  <sheetViews>
    <sheetView showGridLines="0" topLeftCell="A9" workbookViewId="0">
      <selection activeCell="D26" sqref="D26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1143</v>
      </c>
      <c r="N1" t="s">
        <v>1235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639</v>
      </c>
      <c r="O5" s="12">
        <v>112</v>
      </c>
      <c r="P5" s="12">
        <v>17</v>
      </c>
      <c r="Q5" s="12">
        <v>768</v>
      </c>
    </row>
    <row r="10" spans="2:17" ht="18">
      <c r="B10" s="9" t="s">
        <v>1121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214</v>
      </c>
      <c r="E14">
        <v>0</v>
      </c>
    </row>
    <row r="15" spans="2:17">
      <c r="C15" s="11" t="s">
        <v>0</v>
      </c>
      <c r="D15" s="10">
        <v>9</v>
      </c>
      <c r="E15">
        <v>118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214</v>
      </c>
      <c r="E19">
        <f>SUM($D$14:$E$14) - $D$14</f>
        <v>0</v>
      </c>
      <c r="F19">
        <f>IF($D$19=0,"Undefined",$E$19*100 / $D$19)</f>
        <v>0</v>
      </c>
    </row>
    <row r="20" spans="3:6">
      <c r="C20" s="11" t="s">
        <v>0</v>
      </c>
      <c r="D20">
        <f>SUM($D$15:$E$15)</f>
        <v>127</v>
      </c>
      <c r="E20">
        <f>SUM($D$15:$E$15) - $E$15</f>
        <v>9</v>
      </c>
      <c r="F20">
        <f>IF($D$20=0,"Undefined",$E$20*100 / $D$20)</f>
        <v>7.0866141732283463</v>
      </c>
    </row>
    <row r="21" spans="3:6">
      <c r="C21" s="11" t="s">
        <v>1127</v>
      </c>
      <c r="D21">
        <f>SUM($D$19:$D$20)</f>
        <v>341</v>
      </c>
      <c r="E21">
        <f>SUM($E$19:$E$20)</f>
        <v>9</v>
      </c>
      <c r="F21">
        <f>IF($D$21=0,"Undefined",$E$21*100 / $D$21)</f>
        <v>2.6392961876832843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332</v>
      </c>
    </row>
    <row r="26" spans="3:6">
      <c r="C26" t="s">
        <v>1131</v>
      </c>
      <c r="D26">
        <v>97.360703812316714</v>
      </c>
    </row>
    <row r="27" spans="3:6">
      <c r="C27" t="s">
        <v>1132</v>
      </c>
      <c r="D27">
        <v>1</v>
      </c>
    </row>
    <row r="28" spans="3:6">
      <c r="C28" t="s">
        <v>1133</v>
      </c>
      <c r="D28">
        <v>0.92913385826771655</v>
      </c>
    </row>
    <row r="29" spans="3:6">
      <c r="C29" t="s">
        <v>1134</v>
      </c>
      <c r="D29">
        <v>1</v>
      </c>
    </row>
    <row r="30" spans="3:6">
      <c r="C30" t="s">
        <v>1135</v>
      </c>
      <c r="D30">
        <v>0.96326530612244898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1'!$B$10:$B$10" display="Inputs" xr:uid="{373CB14A-3A67-4498-87FD-7C880A334D09}"/>
    <hyperlink ref="D4" location="'NNC_Stored1'!$B$10:$B$10" display="PMML Model" xr:uid="{2EBA5411-39DB-4676-A90A-BEF499337663}"/>
    <hyperlink ref="F4" location="'NNC_TrainLog1'!$B$10:$B$10" display="Training Log" xr:uid="{E14C1B2E-F619-4556-864E-A8ABA4044E47}"/>
    <hyperlink ref="H4" location="'NNC_TrainingScore1'!$B$10:$B$10" display="Training: Classification Summary" xr:uid="{412A9018-6328-46A1-8B2F-FF9BA3630BAC}"/>
    <hyperlink ref="J4" location="'NNC_ValidationScore1'!$B$10:$B$10" display="Validation: Classification Summary" xr:uid="{D1A31FEC-98D9-47E5-92AB-9687DDA6CBB8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33EE-CA64-4F9A-BA04-C33CC4FAF0AB}">
  <dimension ref="B1:Q32"/>
  <sheetViews>
    <sheetView showGridLines="0" topLeftCell="A9" workbookViewId="0">
      <selection activeCell="F21" sqref="F21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1123</v>
      </c>
      <c r="N1" t="s">
        <v>1235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639</v>
      </c>
      <c r="O5" s="12">
        <v>112</v>
      </c>
      <c r="P5" s="12">
        <v>17</v>
      </c>
      <c r="Q5" s="12">
        <v>768</v>
      </c>
    </row>
    <row r="10" spans="2:17" ht="18">
      <c r="B10" s="9" t="s">
        <v>1122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141</v>
      </c>
      <c r="E14">
        <v>2</v>
      </c>
    </row>
    <row r="15" spans="2:17">
      <c r="C15" s="11" t="s">
        <v>0</v>
      </c>
      <c r="D15" s="10">
        <v>6</v>
      </c>
      <c r="E15">
        <v>79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143</v>
      </c>
      <c r="E19">
        <f>SUM($D$14:$E$14) - $D$14</f>
        <v>2</v>
      </c>
      <c r="F19">
        <f>IF($D$19=0,"Undefined",$E$19*100 / $D$19)</f>
        <v>1.3986013986013985</v>
      </c>
    </row>
    <row r="20" spans="3:6">
      <c r="C20" s="11" t="s">
        <v>0</v>
      </c>
      <c r="D20">
        <f>SUM($D$15:$E$15)</f>
        <v>85</v>
      </c>
      <c r="E20">
        <f>SUM($D$15:$E$15) - $E$15</f>
        <v>6</v>
      </c>
      <c r="F20">
        <f>IF($D$20=0,"Undefined",$E$20*100 / $D$20)</f>
        <v>7.0588235294117645</v>
      </c>
    </row>
    <row r="21" spans="3:6">
      <c r="C21" s="11" t="s">
        <v>1127</v>
      </c>
      <c r="D21">
        <f>SUM($D$19:$D$20)</f>
        <v>228</v>
      </c>
      <c r="E21">
        <f>SUM($E$19:$E$20)</f>
        <v>8</v>
      </c>
      <c r="F21">
        <f>IF($D$21=0,"Undefined",$E$21*100 / $D$21)</f>
        <v>3.5087719298245612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220</v>
      </c>
    </row>
    <row r="26" spans="3:6">
      <c r="C26" t="s">
        <v>1131</v>
      </c>
      <c r="D26">
        <v>96.491228070175438</v>
      </c>
    </row>
    <row r="27" spans="3:6">
      <c r="C27" t="s">
        <v>1132</v>
      </c>
      <c r="D27">
        <v>0.98601398601398604</v>
      </c>
    </row>
    <row r="28" spans="3:6">
      <c r="C28" t="s">
        <v>1133</v>
      </c>
      <c r="D28">
        <v>0.92941176470588238</v>
      </c>
    </row>
    <row r="29" spans="3:6">
      <c r="C29" t="s">
        <v>1134</v>
      </c>
      <c r="D29">
        <v>0.97530864197530864</v>
      </c>
    </row>
    <row r="30" spans="3:6">
      <c r="C30" t="s">
        <v>1135</v>
      </c>
      <c r="D30">
        <v>0.95180722891566261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1'!$B$10:$B$10" display="Inputs" xr:uid="{1C300AA7-6397-4AC2-A276-2BDD36E1D77D}"/>
    <hyperlink ref="D4" location="'NNC_Stored1'!$B$10:$B$10" display="PMML Model" xr:uid="{EB909B89-BE63-47F4-B7B9-351394C8E5AC}"/>
    <hyperlink ref="F4" location="'NNC_TrainLog1'!$B$10:$B$10" display="Training Log" xr:uid="{279600EF-3A90-4FBB-9900-77F397543979}"/>
    <hyperlink ref="H4" location="'NNC_TrainingScore1'!$B$10:$B$10" display="Training: Classification Summary" xr:uid="{CA8E2950-9E4D-453A-BBE3-1355C409ABE1}"/>
    <hyperlink ref="J4" location="'NNC_ValidationScore1'!$B$10:$B$10" display="Validation: Classification Summary" xr:uid="{9B0C6A5C-5011-4EA7-8514-BE89A5CAB6DB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8CF1-824C-44C3-B812-E7B1697C54A0}">
  <dimension ref="B1:Q691"/>
  <sheetViews>
    <sheetView showGridLines="0" workbookViewId="0"/>
  </sheetViews>
  <sheetFormatPr defaultRowHeight="14.4"/>
  <cols>
    <col min="14" max="14" width="24.44140625" bestFit="1" customWidth="1"/>
  </cols>
  <sheetData>
    <row r="1" spans="2:17" ht="18">
      <c r="B1" s="8" t="s">
        <v>728</v>
      </c>
      <c r="N1" t="s">
        <v>1235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639</v>
      </c>
      <c r="O5" s="12">
        <v>112</v>
      </c>
      <c r="P5" s="12">
        <v>17</v>
      </c>
      <c r="Q5" s="12">
        <v>768</v>
      </c>
    </row>
    <row r="10" spans="2:17" ht="18">
      <c r="B10" s="9" t="s">
        <v>729</v>
      </c>
    </row>
    <row r="12" spans="2:17">
      <c r="B12" t="s">
        <v>730</v>
      </c>
    </row>
    <row r="13" spans="2:17">
      <c r="B13" t="s">
        <v>731</v>
      </c>
    </row>
    <row r="14" spans="2:17">
      <c r="B14" t="s">
        <v>732</v>
      </c>
    </row>
    <row r="15" spans="2:17">
      <c r="B15" t="s">
        <v>733</v>
      </c>
    </row>
    <row r="16" spans="2:17">
      <c r="B16" t="s">
        <v>1234</v>
      </c>
    </row>
    <row r="17" spans="2:2">
      <c r="B17" t="s">
        <v>735</v>
      </c>
    </row>
    <row r="18" spans="2:2">
      <c r="B18" t="s">
        <v>736</v>
      </c>
    </row>
    <row r="19" spans="2:2">
      <c r="B19" t="s">
        <v>737</v>
      </c>
    </row>
    <row r="20" spans="2:2">
      <c r="B20" t="s">
        <v>738</v>
      </c>
    </row>
    <row r="21" spans="2:2">
      <c r="B21" t="s">
        <v>739</v>
      </c>
    </row>
    <row r="22" spans="2:2">
      <c r="B22" t="s">
        <v>740</v>
      </c>
    </row>
    <row r="23" spans="2:2">
      <c r="B23" t="s">
        <v>741</v>
      </c>
    </row>
    <row r="24" spans="2:2">
      <c r="B24" t="s">
        <v>742</v>
      </c>
    </row>
    <row r="25" spans="2:2">
      <c r="B25" t="s">
        <v>743</v>
      </c>
    </row>
    <row r="26" spans="2:2">
      <c r="B26" t="s">
        <v>744</v>
      </c>
    </row>
    <row r="27" spans="2:2">
      <c r="B27" t="s">
        <v>745</v>
      </c>
    </row>
    <row r="28" spans="2:2">
      <c r="B28" t="s">
        <v>746</v>
      </c>
    </row>
    <row r="29" spans="2:2">
      <c r="B29" t="s">
        <v>747</v>
      </c>
    </row>
    <row r="30" spans="2:2">
      <c r="B30" t="s">
        <v>748</v>
      </c>
    </row>
    <row r="31" spans="2:2">
      <c r="B31" t="s">
        <v>749</v>
      </c>
    </row>
    <row r="32" spans="2:2">
      <c r="B32" t="s">
        <v>750</v>
      </c>
    </row>
    <row r="33" spans="2:2">
      <c r="B33" t="s">
        <v>752</v>
      </c>
    </row>
    <row r="34" spans="2:2">
      <c r="B34" t="s">
        <v>753</v>
      </c>
    </row>
    <row r="35" spans="2:2">
      <c r="B35" t="s">
        <v>754</v>
      </c>
    </row>
    <row r="36" spans="2:2">
      <c r="B36" t="s">
        <v>755</v>
      </c>
    </row>
    <row r="37" spans="2:2">
      <c r="B37" t="s">
        <v>756</v>
      </c>
    </row>
    <row r="38" spans="2:2">
      <c r="B38" t="s">
        <v>757</v>
      </c>
    </row>
    <row r="39" spans="2:2">
      <c r="B39" t="s">
        <v>758</v>
      </c>
    </row>
    <row r="40" spans="2:2">
      <c r="B40" t="s">
        <v>759</v>
      </c>
    </row>
    <row r="41" spans="2:2">
      <c r="B41" t="s">
        <v>760</v>
      </c>
    </row>
    <row r="42" spans="2:2">
      <c r="B42" t="s">
        <v>761</v>
      </c>
    </row>
    <row r="43" spans="2:2">
      <c r="B43" t="s">
        <v>762</v>
      </c>
    </row>
    <row r="44" spans="2:2">
      <c r="B44" t="s">
        <v>763</v>
      </c>
    </row>
    <row r="45" spans="2:2">
      <c r="B45" t="s">
        <v>764</v>
      </c>
    </row>
    <row r="46" spans="2:2">
      <c r="B46" t="s">
        <v>765</v>
      </c>
    </row>
    <row r="47" spans="2:2">
      <c r="B47" t="s">
        <v>766</v>
      </c>
    </row>
    <row r="48" spans="2:2">
      <c r="B48" t="s">
        <v>767</v>
      </c>
    </row>
    <row r="49" spans="2:2">
      <c r="B49" t="s">
        <v>768</v>
      </c>
    </row>
    <row r="50" spans="2:2">
      <c r="B50" t="s">
        <v>769</v>
      </c>
    </row>
    <row r="51" spans="2:2">
      <c r="B51" t="s">
        <v>770</v>
      </c>
    </row>
    <row r="52" spans="2:2">
      <c r="B52" t="s">
        <v>771</v>
      </c>
    </row>
    <row r="53" spans="2:2">
      <c r="B53" t="s">
        <v>772</v>
      </c>
    </row>
    <row r="54" spans="2:2">
      <c r="B54" t="s">
        <v>773</v>
      </c>
    </row>
    <row r="55" spans="2:2">
      <c r="B55" t="s">
        <v>774</v>
      </c>
    </row>
    <row r="56" spans="2:2">
      <c r="B56" t="s">
        <v>775</v>
      </c>
    </row>
    <row r="57" spans="2:2">
      <c r="B57" t="s">
        <v>776</v>
      </c>
    </row>
    <row r="58" spans="2:2">
      <c r="B58" t="s">
        <v>777</v>
      </c>
    </row>
    <row r="59" spans="2:2">
      <c r="B59" t="s">
        <v>778</v>
      </c>
    </row>
    <row r="60" spans="2:2">
      <c r="B60" t="s">
        <v>779</v>
      </c>
    </row>
    <row r="61" spans="2:2">
      <c r="B61" t="s">
        <v>780</v>
      </c>
    </row>
    <row r="62" spans="2:2">
      <c r="B62" t="s">
        <v>781</v>
      </c>
    </row>
    <row r="63" spans="2:2">
      <c r="B63" t="s">
        <v>782</v>
      </c>
    </row>
    <row r="64" spans="2:2">
      <c r="B64" t="s">
        <v>783</v>
      </c>
    </row>
    <row r="65" spans="2:2">
      <c r="B65" t="s">
        <v>784</v>
      </c>
    </row>
    <row r="66" spans="2:2">
      <c r="B66" t="s">
        <v>785</v>
      </c>
    </row>
    <row r="67" spans="2:2">
      <c r="B67" t="s">
        <v>786</v>
      </c>
    </row>
    <row r="68" spans="2:2">
      <c r="B68" t="s">
        <v>787</v>
      </c>
    </row>
    <row r="69" spans="2:2">
      <c r="B69" t="s">
        <v>788</v>
      </c>
    </row>
    <row r="70" spans="2:2">
      <c r="B70" t="s">
        <v>789</v>
      </c>
    </row>
    <row r="71" spans="2:2">
      <c r="B71" t="s">
        <v>790</v>
      </c>
    </row>
    <row r="72" spans="2:2">
      <c r="B72" t="s">
        <v>791</v>
      </c>
    </row>
    <row r="73" spans="2:2">
      <c r="B73" t="s">
        <v>792</v>
      </c>
    </row>
    <row r="74" spans="2:2">
      <c r="B74" t="s">
        <v>793</v>
      </c>
    </row>
    <row r="75" spans="2:2">
      <c r="B75" t="s">
        <v>794</v>
      </c>
    </row>
    <row r="76" spans="2:2">
      <c r="B76" t="s">
        <v>795</v>
      </c>
    </row>
    <row r="77" spans="2:2">
      <c r="B77" t="s">
        <v>796</v>
      </c>
    </row>
    <row r="78" spans="2:2">
      <c r="B78" t="s">
        <v>797</v>
      </c>
    </row>
    <row r="79" spans="2:2">
      <c r="B79" t="s">
        <v>798</v>
      </c>
    </row>
    <row r="80" spans="2:2">
      <c r="B80" t="s">
        <v>799</v>
      </c>
    </row>
    <row r="81" spans="2:2">
      <c r="B81" t="s">
        <v>800</v>
      </c>
    </row>
    <row r="82" spans="2:2">
      <c r="B82" t="s">
        <v>801</v>
      </c>
    </row>
    <row r="83" spans="2:2">
      <c r="B83" t="s">
        <v>802</v>
      </c>
    </row>
    <row r="84" spans="2:2">
      <c r="B84" t="s">
        <v>803</v>
      </c>
    </row>
    <row r="85" spans="2:2">
      <c r="B85" t="s">
        <v>804</v>
      </c>
    </row>
    <row r="86" spans="2:2">
      <c r="B86" t="s">
        <v>805</v>
      </c>
    </row>
    <row r="87" spans="2:2">
      <c r="B87" t="s">
        <v>806</v>
      </c>
    </row>
    <row r="88" spans="2:2">
      <c r="B88" t="s">
        <v>807</v>
      </c>
    </row>
    <row r="89" spans="2:2">
      <c r="B89" t="s">
        <v>808</v>
      </c>
    </row>
    <row r="90" spans="2:2">
      <c r="B90" t="s">
        <v>809</v>
      </c>
    </row>
    <row r="91" spans="2:2">
      <c r="B91" t="s">
        <v>810</v>
      </c>
    </row>
    <row r="92" spans="2:2">
      <c r="B92" t="s">
        <v>811</v>
      </c>
    </row>
    <row r="93" spans="2:2">
      <c r="B93" t="s">
        <v>812</v>
      </c>
    </row>
    <row r="94" spans="2:2">
      <c r="B94" t="s">
        <v>813</v>
      </c>
    </row>
    <row r="95" spans="2:2">
      <c r="B95" t="s">
        <v>814</v>
      </c>
    </row>
    <row r="96" spans="2:2">
      <c r="B96" t="s">
        <v>815</v>
      </c>
    </row>
    <row r="97" spans="2:2">
      <c r="B97" t="s">
        <v>816</v>
      </c>
    </row>
    <row r="98" spans="2:2">
      <c r="B98" t="s">
        <v>817</v>
      </c>
    </row>
    <row r="99" spans="2:2">
      <c r="B99" t="s">
        <v>818</v>
      </c>
    </row>
    <row r="100" spans="2:2">
      <c r="B100" t="s">
        <v>819</v>
      </c>
    </row>
    <row r="101" spans="2:2">
      <c r="B101" t="s">
        <v>820</v>
      </c>
    </row>
    <row r="102" spans="2:2">
      <c r="B102" t="s">
        <v>821</v>
      </c>
    </row>
    <row r="103" spans="2:2">
      <c r="B103" t="s">
        <v>822</v>
      </c>
    </row>
    <row r="104" spans="2:2">
      <c r="B104" t="s">
        <v>823</v>
      </c>
    </row>
    <row r="105" spans="2:2">
      <c r="B105" t="s">
        <v>824</v>
      </c>
    </row>
    <row r="106" spans="2:2">
      <c r="B106" t="s">
        <v>825</v>
      </c>
    </row>
    <row r="107" spans="2:2">
      <c r="B107" t="s">
        <v>826</v>
      </c>
    </row>
    <row r="108" spans="2:2">
      <c r="B108" t="s">
        <v>827</v>
      </c>
    </row>
    <row r="109" spans="2:2">
      <c r="B109" t="s">
        <v>822</v>
      </c>
    </row>
    <row r="110" spans="2:2">
      <c r="B110" t="s">
        <v>823</v>
      </c>
    </row>
    <row r="111" spans="2:2">
      <c r="B111" t="s">
        <v>828</v>
      </c>
    </row>
    <row r="112" spans="2:2">
      <c r="B112" t="s">
        <v>829</v>
      </c>
    </row>
    <row r="113" spans="2:2">
      <c r="B113" t="s">
        <v>830</v>
      </c>
    </row>
    <row r="114" spans="2:2">
      <c r="B114" t="s">
        <v>831</v>
      </c>
    </row>
    <row r="115" spans="2:2">
      <c r="B115" t="s">
        <v>822</v>
      </c>
    </row>
    <row r="116" spans="2:2">
      <c r="B116" t="s">
        <v>823</v>
      </c>
    </row>
    <row r="117" spans="2:2">
      <c r="B117" t="s">
        <v>832</v>
      </c>
    </row>
    <row r="118" spans="2:2">
      <c r="B118" t="s">
        <v>833</v>
      </c>
    </row>
    <row r="119" spans="2:2">
      <c r="B119" t="s">
        <v>834</v>
      </c>
    </row>
    <row r="120" spans="2:2">
      <c r="B120" t="s">
        <v>835</v>
      </c>
    </row>
    <row r="121" spans="2:2">
      <c r="B121" t="s">
        <v>822</v>
      </c>
    </row>
    <row r="122" spans="2:2">
      <c r="B122" t="s">
        <v>823</v>
      </c>
    </row>
    <row r="123" spans="2:2">
      <c r="B123" t="s">
        <v>836</v>
      </c>
    </row>
    <row r="124" spans="2:2">
      <c r="B124" t="s">
        <v>837</v>
      </c>
    </row>
    <row r="125" spans="2:2">
      <c r="B125" t="s">
        <v>838</v>
      </c>
    </row>
    <row r="126" spans="2:2">
      <c r="B126" t="s">
        <v>839</v>
      </c>
    </row>
    <row r="127" spans="2:2">
      <c r="B127" t="s">
        <v>822</v>
      </c>
    </row>
    <row r="128" spans="2:2">
      <c r="B128" t="s">
        <v>823</v>
      </c>
    </row>
    <row r="129" spans="2:2">
      <c r="B129" t="s">
        <v>840</v>
      </c>
    </row>
    <row r="130" spans="2:2">
      <c r="B130" t="s">
        <v>841</v>
      </c>
    </row>
    <row r="131" spans="2:2">
      <c r="B131" t="s">
        <v>842</v>
      </c>
    </row>
    <row r="132" spans="2:2">
      <c r="B132" t="s">
        <v>843</v>
      </c>
    </row>
    <row r="133" spans="2:2">
      <c r="B133" t="s">
        <v>822</v>
      </c>
    </row>
    <row r="134" spans="2:2">
      <c r="B134" t="s">
        <v>823</v>
      </c>
    </row>
    <row r="135" spans="2:2">
      <c r="B135" t="s">
        <v>844</v>
      </c>
    </row>
    <row r="136" spans="2:2">
      <c r="B136" t="s">
        <v>845</v>
      </c>
    </row>
    <row r="137" spans="2:2">
      <c r="B137" t="s">
        <v>846</v>
      </c>
    </row>
    <row r="138" spans="2:2">
      <c r="B138" t="s">
        <v>847</v>
      </c>
    </row>
    <row r="139" spans="2:2">
      <c r="B139" t="s">
        <v>822</v>
      </c>
    </row>
    <row r="140" spans="2:2">
      <c r="B140" t="s">
        <v>823</v>
      </c>
    </row>
    <row r="141" spans="2:2">
      <c r="B141" t="s">
        <v>848</v>
      </c>
    </row>
    <row r="142" spans="2:2">
      <c r="B142" t="s">
        <v>849</v>
      </c>
    </row>
    <row r="143" spans="2:2">
      <c r="B143" t="s">
        <v>850</v>
      </c>
    </row>
    <row r="144" spans="2:2">
      <c r="B144" t="s">
        <v>851</v>
      </c>
    </row>
    <row r="145" spans="2:2">
      <c r="B145" t="s">
        <v>822</v>
      </c>
    </row>
    <row r="146" spans="2:2">
      <c r="B146" t="s">
        <v>823</v>
      </c>
    </row>
    <row r="147" spans="2:2">
      <c r="B147" t="s">
        <v>852</v>
      </c>
    </row>
    <row r="148" spans="2:2">
      <c r="B148" t="s">
        <v>853</v>
      </c>
    </row>
    <row r="149" spans="2:2">
      <c r="B149" t="s">
        <v>854</v>
      </c>
    </row>
    <row r="150" spans="2:2">
      <c r="B150" t="s">
        <v>855</v>
      </c>
    </row>
    <row r="151" spans="2:2">
      <c r="B151" t="s">
        <v>822</v>
      </c>
    </row>
    <row r="152" spans="2:2">
      <c r="B152" t="s">
        <v>823</v>
      </c>
    </row>
    <row r="153" spans="2:2">
      <c r="B153" t="s">
        <v>856</v>
      </c>
    </row>
    <row r="154" spans="2:2">
      <c r="B154" t="s">
        <v>857</v>
      </c>
    </row>
    <row r="155" spans="2:2">
      <c r="B155" t="s">
        <v>858</v>
      </c>
    </row>
    <row r="156" spans="2:2">
      <c r="B156" t="s">
        <v>859</v>
      </c>
    </row>
    <row r="157" spans="2:2">
      <c r="B157" t="s">
        <v>822</v>
      </c>
    </row>
    <row r="158" spans="2:2">
      <c r="B158" t="s">
        <v>823</v>
      </c>
    </row>
    <row r="159" spans="2:2">
      <c r="B159" t="s">
        <v>860</v>
      </c>
    </row>
    <row r="160" spans="2:2">
      <c r="B160" t="s">
        <v>861</v>
      </c>
    </row>
    <row r="161" spans="2:2">
      <c r="B161" t="s">
        <v>862</v>
      </c>
    </row>
    <row r="162" spans="2:2">
      <c r="B162" t="s">
        <v>863</v>
      </c>
    </row>
    <row r="163" spans="2:2">
      <c r="B163" t="s">
        <v>822</v>
      </c>
    </row>
    <row r="164" spans="2:2">
      <c r="B164" t="s">
        <v>823</v>
      </c>
    </row>
    <row r="165" spans="2:2">
      <c r="B165" t="s">
        <v>864</v>
      </c>
    </row>
    <row r="166" spans="2:2">
      <c r="B166" t="s">
        <v>865</v>
      </c>
    </row>
    <row r="167" spans="2:2">
      <c r="B167" t="s">
        <v>866</v>
      </c>
    </row>
    <row r="168" spans="2:2">
      <c r="B168" t="s">
        <v>867</v>
      </c>
    </row>
    <row r="169" spans="2:2">
      <c r="B169" t="s">
        <v>822</v>
      </c>
    </row>
    <row r="170" spans="2:2">
      <c r="B170" t="s">
        <v>823</v>
      </c>
    </row>
    <row r="171" spans="2:2">
      <c r="B171" t="s">
        <v>868</v>
      </c>
    </row>
    <row r="172" spans="2:2">
      <c r="B172" t="s">
        <v>869</v>
      </c>
    </row>
    <row r="173" spans="2:2">
      <c r="B173" t="s">
        <v>870</v>
      </c>
    </row>
    <row r="174" spans="2:2">
      <c r="B174" t="s">
        <v>871</v>
      </c>
    </row>
    <row r="175" spans="2:2">
      <c r="B175" t="s">
        <v>822</v>
      </c>
    </row>
    <row r="176" spans="2:2">
      <c r="B176" t="s">
        <v>823</v>
      </c>
    </row>
    <row r="177" spans="2:2">
      <c r="B177" t="s">
        <v>872</v>
      </c>
    </row>
    <row r="178" spans="2:2">
      <c r="B178" t="s">
        <v>873</v>
      </c>
    </row>
    <row r="179" spans="2:2">
      <c r="B179" t="s">
        <v>874</v>
      </c>
    </row>
    <row r="180" spans="2:2">
      <c r="B180" t="s">
        <v>875</v>
      </c>
    </row>
    <row r="181" spans="2:2">
      <c r="B181" t="s">
        <v>822</v>
      </c>
    </row>
    <row r="182" spans="2:2">
      <c r="B182" t="s">
        <v>823</v>
      </c>
    </row>
    <row r="183" spans="2:2">
      <c r="B183" t="s">
        <v>876</v>
      </c>
    </row>
    <row r="184" spans="2:2">
      <c r="B184" t="s">
        <v>877</v>
      </c>
    </row>
    <row r="185" spans="2:2">
      <c r="B185" t="s">
        <v>878</v>
      </c>
    </row>
    <row r="186" spans="2:2">
      <c r="B186" t="s">
        <v>879</v>
      </c>
    </row>
    <row r="187" spans="2:2">
      <c r="B187" t="s">
        <v>822</v>
      </c>
    </row>
    <row r="188" spans="2:2">
      <c r="B188" t="s">
        <v>823</v>
      </c>
    </row>
    <row r="189" spans="2:2">
      <c r="B189" t="s">
        <v>880</v>
      </c>
    </row>
    <row r="190" spans="2:2">
      <c r="B190" t="s">
        <v>881</v>
      </c>
    </row>
    <row r="191" spans="2:2">
      <c r="B191" t="s">
        <v>882</v>
      </c>
    </row>
    <row r="192" spans="2:2">
      <c r="B192" t="s">
        <v>883</v>
      </c>
    </row>
    <row r="193" spans="2:2">
      <c r="B193" t="s">
        <v>822</v>
      </c>
    </row>
    <row r="194" spans="2:2">
      <c r="B194" t="s">
        <v>823</v>
      </c>
    </row>
    <row r="195" spans="2:2">
      <c r="B195" t="s">
        <v>884</v>
      </c>
    </row>
    <row r="196" spans="2:2">
      <c r="B196" t="s">
        <v>885</v>
      </c>
    </row>
    <row r="197" spans="2:2">
      <c r="B197" t="s">
        <v>886</v>
      </c>
    </row>
    <row r="198" spans="2:2">
      <c r="B198" t="s">
        <v>887</v>
      </c>
    </row>
    <row r="199" spans="2:2">
      <c r="B199" t="s">
        <v>822</v>
      </c>
    </row>
    <row r="200" spans="2:2">
      <c r="B200" t="s">
        <v>823</v>
      </c>
    </row>
    <row r="201" spans="2:2">
      <c r="B201" t="s">
        <v>888</v>
      </c>
    </row>
    <row r="202" spans="2:2">
      <c r="B202" t="s">
        <v>889</v>
      </c>
    </row>
    <row r="203" spans="2:2">
      <c r="B203" t="s">
        <v>890</v>
      </c>
    </row>
    <row r="204" spans="2:2">
      <c r="B204" t="s">
        <v>891</v>
      </c>
    </row>
    <row r="205" spans="2:2">
      <c r="B205" t="s">
        <v>822</v>
      </c>
    </row>
    <row r="206" spans="2:2">
      <c r="B206" t="s">
        <v>823</v>
      </c>
    </row>
    <row r="207" spans="2:2">
      <c r="B207" t="s">
        <v>892</v>
      </c>
    </row>
    <row r="208" spans="2:2">
      <c r="B208" t="s">
        <v>893</v>
      </c>
    </row>
    <row r="209" spans="2:2">
      <c r="B209" t="s">
        <v>894</v>
      </c>
    </row>
    <row r="210" spans="2:2">
      <c r="B210" t="s">
        <v>895</v>
      </c>
    </row>
    <row r="211" spans="2:2">
      <c r="B211" t="s">
        <v>822</v>
      </c>
    </row>
    <row r="212" spans="2:2">
      <c r="B212" t="s">
        <v>823</v>
      </c>
    </row>
    <row r="213" spans="2:2">
      <c r="B213" t="s">
        <v>896</v>
      </c>
    </row>
    <row r="214" spans="2:2">
      <c r="B214" t="s">
        <v>897</v>
      </c>
    </row>
    <row r="215" spans="2:2">
      <c r="B215" t="s">
        <v>898</v>
      </c>
    </row>
    <row r="216" spans="2:2">
      <c r="B216" t="s">
        <v>899</v>
      </c>
    </row>
    <row r="217" spans="2:2">
      <c r="B217" t="s">
        <v>822</v>
      </c>
    </row>
    <row r="218" spans="2:2">
      <c r="B218" t="s">
        <v>823</v>
      </c>
    </row>
    <row r="219" spans="2:2">
      <c r="B219" t="s">
        <v>900</v>
      </c>
    </row>
    <row r="220" spans="2:2">
      <c r="B220" t="s">
        <v>901</v>
      </c>
    </row>
    <row r="221" spans="2:2">
      <c r="B221" t="s">
        <v>902</v>
      </c>
    </row>
    <row r="222" spans="2:2">
      <c r="B222" t="s">
        <v>903</v>
      </c>
    </row>
    <row r="223" spans="2:2">
      <c r="B223" t="s">
        <v>822</v>
      </c>
    </row>
    <row r="224" spans="2:2">
      <c r="B224" t="s">
        <v>823</v>
      </c>
    </row>
    <row r="225" spans="2:2">
      <c r="B225" t="s">
        <v>904</v>
      </c>
    </row>
    <row r="226" spans="2:2">
      <c r="B226" t="s">
        <v>905</v>
      </c>
    </row>
    <row r="227" spans="2:2">
      <c r="B227" t="s">
        <v>906</v>
      </c>
    </row>
    <row r="228" spans="2:2">
      <c r="B228" t="s">
        <v>907</v>
      </c>
    </row>
    <row r="229" spans="2:2">
      <c r="B229" t="s">
        <v>822</v>
      </c>
    </row>
    <row r="230" spans="2:2">
      <c r="B230" t="s">
        <v>823</v>
      </c>
    </row>
    <row r="231" spans="2:2">
      <c r="B231" t="s">
        <v>908</v>
      </c>
    </row>
    <row r="232" spans="2:2">
      <c r="B232" t="s">
        <v>909</v>
      </c>
    </row>
    <row r="233" spans="2:2">
      <c r="B233" t="s">
        <v>910</v>
      </c>
    </row>
    <row r="234" spans="2:2">
      <c r="B234" t="s">
        <v>911</v>
      </c>
    </row>
    <row r="235" spans="2:2">
      <c r="B235" t="s">
        <v>822</v>
      </c>
    </row>
    <row r="236" spans="2:2">
      <c r="B236" t="s">
        <v>823</v>
      </c>
    </row>
    <row r="237" spans="2:2">
      <c r="B237" t="s">
        <v>912</v>
      </c>
    </row>
    <row r="238" spans="2:2">
      <c r="B238" t="s">
        <v>913</v>
      </c>
    </row>
    <row r="239" spans="2:2">
      <c r="B239" t="s">
        <v>914</v>
      </c>
    </row>
    <row r="240" spans="2:2">
      <c r="B240" t="s">
        <v>915</v>
      </c>
    </row>
    <row r="241" spans="2:2">
      <c r="B241" t="s">
        <v>822</v>
      </c>
    </row>
    <row r="242" spans="2:2">
      <c r="B242" t="s">
        <v>823</v>
      </c>
    </row>
    <row r="243" spans="2:2">
      <c r="B243" t="s">
        <v>916</v>
      </c>
    </row>
    <row r="244" spans="2:2">
      <c r="B244" t="s">
        <v>917</v>
      </c>
    </row>
    <row r="245" spans="2:2">
      <c r="B245" t="s">
        <v>918</v>
      </c>
    </row>
    <row r="246" spans="2:2">
      <c r="B246" t="s">
        <v>919</v>
      </c>
    </row>
    <row r="247" spans="2:2">
      <c r="B247" t="s">
        <v>822</v>
      </c>
    </row>
    <row r="248" spans="2:2">
      <c r="B248" t="s">
        <v>823</v>
      </c>
    </row>
    <row r="249" spans="2:2">
      <c r="B249" t="s">
        <v>920</v>
      </c>
    </row>
    <row r="250" spans="2:2">
      <c r="B250" t="s">
        <v>921</v>
      </c>
    </row>
    <row r="251" spans="2:2">
      <c r="B251" t="s">
        <v>922</v>
      </c>
    </row>
    <row r="252" spans="2:2">
      <c r="B252" t="s">
        <v>923</v>
      </c>
    </row>
    <row r="253" spans="2:2">
      <c r="B253" t="s">
        <v>822</v>
      </c>
    </row>
    <row r="254" spans="2:2">
      <c r="B254" t="s">
        <v>823</v>
      </c>
    </row>
    <row r="255" spans="2:2">
      <c r="B255" t="s">
        <v>924</v>
      </c>
    </row>
    <row r="256" spans="2:2">
      <c r="B256" t="s">
        <v>925</v>
      </c>
    </row>
    <row r="257" spans="2:2">
      <c r="B257" t="s">
        <v>926</v>
      </c>
    </row>
    <row r="258" spans="2:2">
      <c r="B258" t="s">
        <v>927</v>
      </c>
    </row>
    <row r="259" spans="2:2">
      <c r="B259" t="s">
        <v>822</v>
      </c>
    </row>
    <row r="260" spans="2:2">
      <c r="B260" t="s">
        <v>823</v>
      </c>
    </row>
    <row r="261" spans="2:2">
      <c r="B261" t="s">
        <v>928</v>
      </c>
    </row>
    <row r="262" spans="2:2">
      <c r="B262" t="s">
        <v>929</v>
      </c>
    </row>
    <row r="263" spans="2:2">
      <c r="B263" t="s">
        <v>930</v>
      </c>
    </row>
    <row r="264" spans="2:2">
      <c r="B264" t="s">
        <v>931</v>
      </c>
    </row>
    <row r="265" spans="2:2">
      <c r="B265" t="s">
        <v>822</v>
      </c>
    </row>
    <row r="266" spans="2:2">
      <c r="B266" t="s">
        <v>823</v>
      </c>
    </row>
    <row r="267" spans="2:2">
      <c r="B267" t="s">
        <v>932</v>
      </c>
    </row>
    <row r="268" spans="2:2">
      <c r="B268" t="s">
        <v>933</v>
      </c>
    </row>
    <row r="269" spans="2:2">
      <c r="B269" t="s">
        <v>934</v>
      </c>
    </row>
    <row r="270" spans="2:2">
      <c r="B270" t="s">
        <v>935</v>
      </c>
    </row>
    <row r="271" spans="2:2">
      <c r="B271" t="s">
        <v>822</v>
      </c>
    </row>
    <row r="272" spans="2:2">
      <c r="B272" t="s">
        <v>823</v>
      </c>
    </row>
    <row r="273" spans="2:2">
      <c r="B273" t="s">
        <v>936</v>
      </c>
    </row>
    <row r="274" spans="2:2">
      <c r="B274" t="s">
        <v>937</v>
      </c>
    </row>
    <row r="275" spans="2:2">
      <c r="B275" t="s">
        <v>938</v>
      </c>
    </row>
    <row r="276" spans="2:2">
      <c r="B276" t="s">
        <v>939</v>
      </c>
    </row>
    <row r="277" spans="2:2">
      <c r="B277" t="s">
        <v>822</v>
      </c>
    </row>
    <row r="278" spans="2:2">
      <c r="B278" t="s">
        <v>823</v>
      </c>
    </row>
    <row r="279" spans="2:2">
      <c r="B279" t="s">
        <v>940</v>
      </c>
    </row>
    <row r="280" spans="2:2">
      <c r="B280" t="s">
        <v>941</v>
      </c>
    </row>
    <row r="281" spans="2:2">
      <c r="B281" t="s">
        <v>942</v>
      </c>
    </row>
    <row r="282" spans="2:2">
      <c r="B282" t="s">
        <v>943</v>
      </c>
    </row>
    <row r="283" spans="2:2">
      <c r="B283" t="s">
        <v>944</v>
      </c>
    </row>
    <row r="284" spans="2:2">
      <c r="B284" t="s">
        <v>823</v>
      </c>
    </row>
    <row r="285" spans="2:2">
      <c r="B285" t="s">
        <v>945</v>
      </c>
    </row>
    <row r="286" spans="2:2">
      <c r="B286" t="s">
        <v>946</v>
      </c>
    </row>
    <row r="287" spans="2:2">
      <c r="B287" t="s">
        <v>943</v>
      </c>
    </row>
    <row r="288" spans="2:2">
      <c r="B288" t="s">
        <v>947</v>
      </c>
    </row>
    <row r="289" spans="2:2">
      <c r="B289" t="s">
        <v>823</v>
      </c>
    </row>
    <row r="290" spans="2:2">
      <c r="B290" t="s">
        <v>945</v>
      </c>
    </row>
    <row r="291" spans="2:2">
      <c r="B291" t="s">
        <v>948</v>
      </c>
    </row>
    <row r="292" spans="2:2">
      <c r="B292" t="s">
        <v>943</v>
      </c>
    </row>
    <row r="293" spans="2:2">
      <c r="B293" t="s">
        <v>949</v>
      </c>
    </row>
    <row r="294" spans="2:2">
      <c r="B294" t="s">
        <v>823</v>
      </c>
    </row>
    <row r="295" spans="2:2">
      <c r="B295" t="s">
        <v>945</v>
      </c>
    </row>
    <row r="296" spans="2:2">
      <c r="B296" t="s">
        <v>950</v>
      </c>
    </row>
    <row r="297" spans="2:2">
      <c r="B297" t="s">
        <v>943</v>
      </c>
    </row>
    <row r="298" spans="2:2">
      <c r="B298" t="s">
        <v>951</v>
      </c>
    </row>
    <row r="299" spans="2:2">
      <c r="B299" t="s">
        <v>823</v>
      </c>
    </row>
    <row r="300" spans="2:2">
      <c r="B300" t="s">
        <v>945</v>
      </c>
    </row>
    <row r="301" spans="2:2">
      <c r="B301" t="s">
        <v>952</v>
      </c>
    </row>
    <row r="302" spans="2:2">
      <c r="B302" t="s">
        <v>943</v>
      </c>
    </row>
    <row r="303" spans="2:2">
      <c r="B303" t="s">
        <v>953</v>
      </c>
    </row>
    <row r="304" spans="2:2">
      <c r="B304" t="s">
        <v>823</v>
      </c>
    </row>
    <row r="305" spans="2:2">
      <c r="B305" t="s">
        <v>945</v>
      </c>
    </row>
    <row r="306" spans="2:2">
      <c r="B306" t="s">
        <v>954</v>
      </c>
    </row>
    <row r="307" spans="2:2">
      <c r="B307" t="s">
        <v>943</v>
      </c>
    </row>
    <row r="308" spans="2:2">
      <c r="B308" t="s">
        <v>955</v>
      </c>
    </row>
    <row r="309" spans="2:2">
      <c r="B309" t="s">
        <v>823</v>
      </c>
    </row>
    <row r="310" spans="2:2">
      <c r="B310" t="s">
        <v>945</v>
      </c>
    </row>
    <row r="311" spans="2:2">
      <c r="B311" t="s">
        <v>956</v>
      </c>
    </row>
    <row r="312" spans="2:2">
      <c r="B312" t="s">
        <v>943</v>
      </c>
    </row>
    <row r="313" spans="2:2">
      <c r="B313" t="s">
        <v>957</v>
      </c>
    </row>
    <row r="314" spans="2:2">
      <c r="B314" t="s">
        <v>823</v>
      </c>
    </row>
    <row r="315" spans="2:2">
      <c r="B315" t="s">
        <v>945</v>
      </c>
    </row>
    <row r="316" spans="2:2">
      <c r="B316" t="s">
        <v>958</v>
      </c>
    </row>
    <row r="317" spans="2:2">
      <c r="B317" t="s">
        <v>943</v>
      </c>
    </row>
    <row r="318" spans="2:2">
      <c r="B318" t="s">
        <v>959</v>
      </c>
    </row>
    <row r="319" spans="2:2">
      <c r="B319" t="s">
        <v>823</v>
      </c>
    </row>
    <row r="320" spans="2:2">
      <c r="B320" t="s">
        <v>945</v>
      </c>
    </row>
    <row r="321" spans="2:2">
      <c r="B321" t="s">
        <v>960</v>
      </c>
    </row>
    <row r="322" spans="2:2">
      <c r="B322" t="s">
        <v>943</v>
      </c>
    </row>
    <row r="323" spans="2:2">
      <c r="B323" t="s">
        <v>961</v>
      </c>
    </row>
    <row r="324" spans="2:2">
      <c r="B324" t="s">
        <v>823</v>
      </c>
    </row>
    <row r="325" spans="2:2">
      <c r="B325" t="s">
        <v>945</v>
      </c>
    </row>
    <row r="326" spans="2:2">
      <c r="B326" t="s">
        <v>962</v>
      </c>
    </row>
    <row r="327" spans="2:2">
      <c r="B327" t="s">
        <v>943</v>
      </c>
    </row>
    <row r="328" spans="2:2">
      <c r="B328" t="s">
        <v>963</v>
      </c>
    </row>
    <row r="329" spans="2:2">
      <c r="B329" t="s">
        <v>823</v>
      </c>
    </row>
    <row r="330" spans="2:2">
      <c r="B330" t="s">
        <v>945</v>
      </c>
    </row>
    <row r="331" spans="2:2">
      <c r="B331" t="s">
        <v>964</v>
      </c>
    </row>
    <row r="332" spans="2:2">
      <c r="B332" t="s">
        <v>943</v>
      </c>
    </row>
    <row r="333" spans="2:2">
      <c r="B333" t="s">
        <v>965</v>
      </c>
    </row>
    <row r="334" spans="2:2">
      <c r="B334" t="s">
        <v>823</v>
      </c>
    </row>
    <row r="335" spans="2:2">
      <c r="B335" t="s">
        <v>945</v>
      </c>
    </row>
    <row r="336" spans="2:2">
      <c r="B336" t="s">
        <v>966</v>
      </c>
    </row>
    <row r="337" spans="2:2">
      <c r="B337" t="s">
        <v>943</v>
      </c>
    </row>
    <row r="338" spans="2:2">
      <c r="B338" t="s">
        <v>967</v>
      </c>
    </row>
    <row r="339" spans="2:2">
      <c r="B339" t="s">
        <v>823</v>
      </c>
    </row>
    <row r="340" spans="2:2">
      <c r="B340" t="s">
        <v>945</v>
      </c>
    </row>
    <row r="341" spans="2:2">
      <c r="B341" t="s">
        <v>968</v>
      </c>
    </row>
    <row r="342" spans="2:2">
      <c r="B342" t="s">
        <v>943</v>
      </c>
    </row>
    <row r="343" spans="2:2">
      <c r="B343" t="s">
        <v>969</v>
      </c>
    </row>
    <row r="344" spans="2:2">
      <c r="B344" t="s">
        <v>823</v>
      </c>
    </row>
    <row r="345" spans="2:2">
      <c r="B345" t="s">
        <v>945</v>
      </c>
    </row>
    <row r="346" spans="2:2">
      <c r="B346" t="s">
        <v>970</v>
      </c>
    </row>
    <row r="347" spans="2:2">
      <c r="B347" t="s">
        <v>943</v>
      </c>
    </row>
    <row r="348" spans="2:2">
      <c r="B348" t="s">
        <v>971</v>
      </c>
    </row>
    <row r="349" spans="2:2">
      <c r="B349" t="s">
        <v>823</v>
      </c>
    </row>
    <row r="350" spans="2:2">
      <c r="B350" t="s">
        <v>945</v>
      </c>
    </row>
    <row r="351" spans="2:2">
      <c r="B351" t="s">
        <v>972</v>
      </c>
    </row>
    <row r="352" spans="2:2">
      <c r="B352" t="s">
        <v>943</v>
      </c>
    </row>
    <row r="353" spans="2:2">
      <c r="B353" t="s">
        <v>973</v>
      </c>
    </row>
    <row r="354" spans="2:2">
      <c r="B354" t="s">
        <v>823</v>
      </c>
    </row>
    <row r="355" spans="2:2">
      <c r="B355" t="s">
        <v>945</v>
      </c>
    </row>
    <row r="356" spans="2:2">
      <c r="B356" t="s">
        <v>974</v>
      </c>
    </row>
    <row r="357" spans="2:2">
      <c r="B357" t="s">
        <v>943</v>
      </c>
    </row>
    <row r="358" spans="2:2">
      <c r="B358" t="s">
        <v>975</v>
      </c>
    </row>
    <row r="359" spans="2:2">
      <c r="B359" t="s">
        <v>823</v>
      </c>
    </row>
    <row r="360" spans="2:2">
      <c r="B360" t="s">
        <v>945</v>
      </c>
    </row>
    <row r="361" spans="2:2">
      <c r="B361" t="s">
        <v>976</v>
      </c>
    </row>
    <row r="362" spans="2:2">
      <c r="B362" t="s">
        <v>943</v>
      </c>
    </row>
    <row r="363" spans="2:2">
      <c r="B363" t="s">
        <v>977</v>
      </c>
    </row>
    <row r="364" spans="2:2">
      <c r="B364" t="s">
        <v>823</v>
      </c>
    </row>
    <row r="365" spans="2:2">
      <c r="B365" t="s">
        <v>945</v>
      </c>
    </row>
    <row r="366" spans="2:2">
      <c r="B366" t="s">
        <v>978</v>
      </c>
    </row>
    <row r="367" spans="2:2">
      <c r="B367" t="s">
        <v>943</v>
      </c>
    </row>
    <row r="368" spans="2:2">
      <c r="B368" t="s">
        <v>979</v>
      </c>
    </row>
    <row r="369" spans="2:2">
      <c r="B369" t="s">
        <v>823</v>
      </c>
    </row>
    <row r="370" spans="2:2">
      <c r="B370" t="s">
        <v>945</v>
      </c>
    </row>
    <row r="371" spans="2:2">
      <c r="B371" t="s">
        <v>980</v>
      </c>
    </row>
    <row r="372" spans="2:2">
      <c r="B372" t="s">
        <v>943</v>
      </c>
    </row>
    <row r="373" spans="2:2">
      <c r="B373" t="s">
        <v>981</v>
      </c>
    </row>
    <row r="374" spans="2:2">
      <c r="B374" t="s">
        <v>823</v>
      </c>
    </row>
    <row r="375" spans="2:2">
      <c r="B375" t="s">
        <v>945</v>
      </c>
    </row>
    <row r="376" spans="2:2">
      <c r="B376" t="s">
        <v>982</v>
      </c>
    </row>
    <row r="377" spans="2:2">
      <c r="B377" t="s">
        <v>943</v>
      </c>
    </row>
    <row r="378" spans="2:2">
      <c r="B378" t="s">
        <v>983</v>
      </c>
    </row>
    <row r="379" spans="2:2">
      <c r="B379" t="s">
        <v>823</v>
      </c>
    </row>
    <row r="380" spans="2:2">
      <c r="B380" t="s">
        <v>945</v>
      </c>
    </row>
    <row r="381" spans="2:2">
      <c r="B381" t="s">
        <v>984</v>
      </c>
    </row>
    <row r="382" spans="2:2">
      <c r="B382" t="s">
        <v>943</v>
      </c>
    </row>
    <row r="383" spans="2:2">
      <c r="B383" t="s">
        <v>985</v>
      </c>
    </row>
    <row r="384" spans="2:2">
      <c r="B384" t="s">
        <v>823</v>
      </c>
    </row>
    <row r="385" spans="2:2">
      <c r="B385" t="s">
        <v>945</v>
      </c>
    </row>
    <row r="386" spans="2:2">
      <c r="B386" t="s">
        <v>986</v>
      </c>
    </row>
    <row r="387" spans="2:2">
      <c r="B387" t="s">
        <v>943</v>
      </c>
    </row>
    <row r="388" spans="2:2">
      <c r="B388" t="s">
        <v>987</v>
      </c>
    </row>
    <row r="389" spans="2:2">
      <c r="B389" t="s">
        <v>823</v>
      </c>
    </row>
    <row r="390" spans="2:2">
      <c r="B390" t="s">
        <v>945</v>
      </c>
    </row>
    <row r="391" spans="2:2">
      <c r="B391" t="s">
        <v>988</v>
      </c>
    </row>
    <row r="392" spans="2:2">
      <c r="B392" t="s">
        <v>943</v>
      </c>
    </row>
    <row r="393" spans="2:2">
      <c r="B393" t="s">
        <v>989</v>
      </c>
    </row>
    <row r="394" spans="2:2">
      <c r="B394" t="s">
        <v>823</v>
      </c>
    </row>
    <row r="395" spans="2:2">
      <c r="B395" t="s">
        <v>945</v>
      </c>
    </row>
    <row r="396" spans="2:2">
      <c r="B396" t="s">
        <v>990</v>
      </c>
    </row>
    <row r="397" spans="2:2">
      <c r="B397" t="s">
        <v>943</v>
      </c>
    </row>
    <row r="398" spans="2:2">
      <c r="B398" t="s">
        <v>991</v>
      </c>
    </row>
    <row r="399" spans="2:2">
      <c r="B399" t="s">
        <v>823</v>
      </c>
    </row>
    <row r="400" spans="2:2">
      <c r="B400" t="s">
        <v>945</v>
      </c>
    </row>
    <row r="401" spans="2:2">
      <c r="B401" t="s">
        <v>992</v>
      </c>
    </row>
    <row r="402" spans="2:2">
      <c r="B402" t="s">
        <v>943</v>
      </c>
    </row>
    <row r="403" spans="2:2">
      <c r="B403" t="s">
        <v>993</v>
      </c>
    </row>
    <row r="404" spans="2:2">
      <c r="B404" t="s">
        <v>823</v>
      </c>
    </row>
    <row r="405" spans="2:2">
      <c r="B405" t="s">
        <v>945</v>
      </c>
    </row>
    <row r="406" spans="2:2">
      <c r="B406" t="s">
        <v>994</v>
      </c>
    </row>
    <row r="407" spans="2:2">
      <c r="B407" t="s">
        <v>943</v>
      </c>
    </row>
    <row r="408" spans="2:2">
      <c r="B408" t="s">
        <v>995</v>
      </c>
    </row>
    <row r="409" spans="2:2">
      <c r="B409" t="s">
        <v>823</v>
      </c>
    </row>
    <row r="410" spans="2:2">
      <c r="B410" t="s">
        <v>945</v>
      </c>
    </row>
    <row r="411" spans="2:2">
      <c r="B411" t="s">
        <v>996</v>
      </c>
    </row>
    <row r="412" spans="2:2">
      <c r="B412" t="s">
        <v>943</v>
      </c>
    </row>
    <row r="413" spans="2:2">
      <c r="B413" t="s">
        <v>997</v>
      </c>
    </row>
    <row r="414" spans="2:2">
      <c r="B414" t="s">
        <v>823</v>
      </c>
    </row>
    <row r="415" spans="2:2">
      <c r="B415" t="s">
        <v>945</v>
      </c>
    </row>
    <row r="416" spans="2:2">
      <c r="B416" t="s">
        <v>998</v>
      </c>
    </row>
    <row r="417" spans="2:2">
      <c r="B417" t="s">
        <v>943</v>
      </c>
    </row>
    <row r="418" spans="2:2">
      <c r="B418" t="s">
        <v>999</v>
      </c>
    </row>
    <row r="419" spans="2:2">
      <c r="B419" t="s">
        <v>823</v>
      </c>
    </row>
    <row r="420" spans="2:2">
      <c r="B420" t="s">
        <v>945</v>
      </c>
    </row>
    <row r="421" spans="2:2">
      <c r="B421" t="s">
        <v>1000</v>
      </c>
    </row>
    <row r="422" spans="2:2">
      <c r="B422" t="s">
        <v>943</v>
      </c>
    </row>
    <row r="423" spans="2:2">
      <c r="B423" t="s">
        <v>1001</v>
      </c>
    </row>
    <row r="424" spans="2:2">
      <c r="B424" t="s">
        <v>823</v>
      </c>
    </row>
    <row r="425" spans="2:2">
      <c r="B425" t="s">
        <v>945</v>
      </c>
    </row>
    <row r="426" spans="2:2">
      <c r="B426" t="s">
        <v>1002</v>
      </c>
    </row>
    <row r="427" spans="2:2">
      <c r="B427" t="s">
        <v>943</v>
      </c>
    </row>
    <row r="428" spans="2:2">
      <c r="B428" t="s">
        <v>1003</v>
      </c>
    </row>
    <row r="429" spans="2:2">
      <c r="B429" t="s">
        <v>823</v>
      </c>
    </row>
    <row r="430" spans="2:2">
      <c r="B430" t="s">
        <v>945</v>
      </c>
    </row>
    <row r="431" spans="2:2">
      <c r="B431" t="s">
        <v>1004</v>
      </c>
    </row>
    <row r="432" spans="2:2">
      <c r="B432" t="s">
        <v>1236</v>
      </c>
    </row>
    <row r="433" spans="2:2">
      <c r="B433" t="s">
        <v>1237</v>
      </c>
    </row>
    <row r="434" spans="2:2">
      <c r="B434" t="s">
        <v>1238</v>
      </c>
    </row>
    <row r="435" spans="2:2">
      <c r="B435" t="s">
        <v>1239</v>
      </c>
    </row>
    <row r="436" spans="2:2">
      <c r="B436" t="s">
        <v>1240</v>
      </c>
    </row>
    <row r="437" spans="2:2">
      <c r="B437" t="s">
        <v>1241</v>
      </c>
    </row>
    <row r="438" spans="2:2">
      <c r="B438" t="s">
        <v>1242</v>
      </c>
    </row>
    <row r="439" spans="2:2">
      <c r="B439" t="s">
        <v>1243</v>
      </c>
    </row>
    <row r="440" spans="2:2">
      <c r="B440" t="s">
        <v>1244</v>
      </c>
    </row>
    <row r="441" spans="2:2">
      <c r="B441" t="s">
        <v>1245</v>
      </c>
    </row>
    <row r="442" spans="2:2">
      <c r="B442" t="s">
        <v>1246</v>
      </c>
    </row>
    <row r="443" spans="2:2">
      <c r="B443" t="s">
        <v>1247</v>
      </c>
    </row>
    <row r="444" spans="2:2">
      <c r="B444" t="s">
        <v>1248</v>
      </c>
    </row>
    <row r="445" spans="2:2">
      <c r="B445" t="s">
        <v>1249</v>
      </c>
    </row>
    <row r="446" spans="2:2">
      <c r="B446" t="s">
        <v>1250</v>
      </c>
    </row>
    <row r="447" spans="2:2">
      <c r="B447" t="s">
        <v>1251</v>
      </c>
    </row>
    <row r="448" spans="2:2">
      <c r="B448" t="s">
        <v>1252</v>
      </c>
    </row>
    <row r="449" spans="2:2">
      <c r="B449" t="s">
        <v>1253</v>
      </c>
    </row>
    <row r="450" spans="2:2">
      <c r="B450" t="s">
        <v>1254</v>
      </c>
    </row>
    <row r="451" spans="2:2">
      <c r="B451" t="s">
        <v>1255</v>
      </c>
    </row>
    <row r="452" spans="2:2">
      <c r="B452" t="s">
        <v>1256</v>
      </c>
    </row>
    <row r="453" spans="2:2">
      <c r="B453" t="s">
        <v>1257</v>
      </c>
    </row>
    <row r="454" spans="2:2">
      <c r="B454" t="s">
        <v>1258</v>
      </c>
    </row>
    <row r="455" spans="2:2">
      <c r="B455" t="s">
        <v>1259</v>
      </c>
    </row>
    <row r="456" spans="2:2">
      <c r="B456" t="s">
        <v>1260</v>
      </c>
    </row>
    <row r="457" spans="2:2">
      <c r="B457" t="s">
        <v>1261</v>
      </c>
    </row>
    <row r="458" spans="2:2">
      <c r="B458" t="s">
        <v>1262</v>
      </c>
    </row>
    <row r="459" spans="2:2">
      <c r="B459" t="s">
        <v>1263</v>
      </c>
    </row>
    <row r="460" spans="2:2">
      <c r="B460" t="s">
        <v>1264</v>
      </c>
    </row>
    <row r="461" spans="2:2">
      <c r="B461" t="s">
        <v>1265</v>
      </c>
    </row>
    <row r="462" spans="2:2">
      <c r="B462" t="s">
        <v>1266</v>
      </c>
    </row>
    <row r="463" spans="2:2">
      <c r="B463" t="s">
        <v>1267</v>
      </c>
    </row>
    <row r="464" spans="2:2">
      <c r="B464" t="s">
        <v>1037</v>
      </c>
    </row>
    <row r="465" spans="2:2">
      <c r="B465" t="s">
        <v>1268</v>
      </c>
    </row>
    <row r="466" spans="2:2">
      <c r="B466" t="s">
        <v>1269</v>
      </c>
    </row>
    <row r="467" spans="2:2">
      <c r="B467" t="s">
        <v>1270</v>
      </c>
    </row>
    <row r="468" spans="2:2">
      <c r="B468" t="s">
        <v>1271</v>
      </c>
    </row>
    <row r="469" spans="2:2">
      <c r="B469" t="s">
        <v>1272</v>
      </c>
    </row>
    <row r="470" spans="2:2">
      <c r="B470" t="s">
        <v>1273</v>
      </c>
    </row>
    <row r="471" spans="2:2">
      <c r="B471" t="s">
        <v>1274</v>
      </c>
    </row>
    <row r="472" spans="2:2">
      <c r="B472" t="s">
        <v>1275</v>
      </c>
    </row>
    <row r="473" spans="2:2">
      <c r="B473" t="s">
        <v>1276</v>
      </c>
    </row>
    <row r="474" spans="2:2">
      <c r="B474" t="s">
        <v>1277</v>
      </c>
    </row>
    <row r="475" spans="2:2">
      <c r="B475" t="s">
        <v>1278</v>
      </c>
    </row>
    <row r="476" spans="2:2">
      <c r="B476" t="s">
        <v>1279</v>
      </c>
    </row>
    <row r="477" spans="2:2">
      <c r="B477" t="s">
        <v>1280</v>
      </c>
    </row>
    <row r="478" spans="2:2">
      <c r="B478" t="s">
        <v>1281</v>
      </c>
    </row>
    <row r="479" spans="2:2">
      <c r="B479" t="s">
        <v>1282</v>
      </c>
    </row>
    <row r="480" spans="2:2">
      <c r="B480" t="s">
        <v>1283</v>
      </c>
    </row>
    <row r="481" spans="2:2">
      <c r="B481" t="s">
        <v>1284</v>
      </c>
    </row>
    <row r="482" spans="2:2">
      <c r="B482" t="s">
        <v>1285</v>
      </c>
    </row>
    <row r="483" spans="2:2">
      <c r="B483" t="s">
        <v>1286</v>
      </c>
    </row>
    <row r="484" spans="2:2">
      <c r="B484" t="s">
        <v>1287</v>
      </c>
    </row>
    <row r="485" spans="2:2">
      <c r="B485" t="s">
        <v>1288</v>
      </c>
    </row>
    <row r="486" spans="2:2">
      <c r="B486" t="s">
        <v>1289</v>
      </c>
    </row>
    <row r="487" spans="2:2">
      <c r="B487" t="s">
        <v>1290</v>
      </c>
    </row>
    <row r="488" spans="2:2">
      <c r="B488" t="s">
        <v>1291</v>
      </c>
    </row>
    <row r="489" spans="2:2">
      <c r="B489" t="s">
        <v>1292</v>
      </c>
    </row>
    <row r="490" spans="2:2">
      <c r="B490" t="s">
        <v>1293</v>
      </c>
    </row>
    <row r="491" spans="2:2">
      <c r="B491" t="s">
        <v>1294</v>
      </c>
    </row>
    <row r="492" spans="2:2">
      <c r="B492" t="s">
        <v>1295</v>
      </c>
    </row>
    <row r="493" spans="2:2">
      <c r="B493" t="s">
        <v>1296</v>
      </c>
    </row>
    <row r="494" spans="2:2">
      <c r="B494" t="s">
        <v>1297</v>
      </c>
    </row>
    <row r="495" spans="2:2">
      <c r="B495" t="s">
        <v>1298</v>
      </c>
    </row>
    <row r="496" spans="2:2">
      <c r="B496" t="s">
        <v>1037</v>
      </c>
    </row>
    <row r="497" spans="2:2">
      <c r="B497" t="s">
        <v>1299</v>
      </c>
    </row>
    <row r="498" spans="2:2">
      <c r="B498" t="s">
        <v>1300</v>
      </c>
    </row>
    <row r="499" spans="2:2">
      <c r="B499" t="s">
        <v>1301</v>
      </c>
    </row>
    <row r="500" spans="2:2">
      <c r="B500" t="s">
        <v>1302</v>
      </c>
    </row>
    <row r="501" spans="2:2">
      <c r="B501" t="s">
        <v>1303</v>
      </c>
    </row>
    <row r="502" spans="2:2">
      <c r="B502" t="s">
        <v>1304</v>
      </c>
    </row>
    <row r="503" spans="2:2">
      <c r="B503" t="s">
        <v>1305</v>
      </c>
    </row>
    <row r="504" spans="2:2">
      <c r="B504" t="s">
        <v>1306</v>
      </c>
    </row>
    <row r="505" spans="2:2">
      <c r="B505" t="s">
        <v>1307</v>
      </c>
    </row>
    <row r="506" spans="2:2">
      <c r="B506" t="s">
        <v>1308</v>
      </c>
    </row>
    <row r="507" spans="2:2">
      <c r="B507" t="s">
        <v>1309</v>
      </c>
    </row>
    <row r="508" spans="2:2">
      <c r="B508" t="s">
        <v>1310</v>
      </c>
    </row>
    <row r="509" spans="2:2">
      <c r="B509" t="s">
        <v>1311</v>
      </c>
    </row>
    <row r="510" spans="2:2">
      <c r="B510" t="s">
        <v>1312</v>
      </c>
    </row>
    <row r="511" spans="2:2">
      <c r="B511" t="s">
        <v>1313</v>
      </c>
    </row>
    <row r="512" spans="2:2">
      <c r="B512" t="s">
        <v>1314</v>
      </c>
    </row>
    <row r="513" spans="2:2">
      <c r="B513" t="s">
        <v>1315</v>
      </c>
    </row>
    <row r="514" spans="2:2">
      <c r="B514" t="s">
        <v>1316</v>
      </c>
    </row>
    <row r="515" spans="2:2">
      <c r="B515" t="s">
        <v>1317</v>
      </c>
    </row>
    <row r="516" spans="2:2">
      <c r="B516" t="s">
        <v>1318</v>
      </c>
    </row>
    <row r="517" spans="2:2">
      <c r="B517" t="s">
        <v>1319</v>
      </c>
    </row>
    <row r="518" spans="2:2">
      <c r="B518" t="s">
        <v>1320</v>
      </c>
    </row>
    <row r="519" spans="2:2">
      <c r="B519" t="s">
        <v>1321</v>
      </c>
    </row>
    <row r="520" spans="2:2">
      <c r="B520" t="s">
        <v>1322</v>
      </c>
    </row>
    <row r="521" spans="2:2">
      <c r="B521" t="s">
        <v>1323</v>
      </c>
    </row>
    <row r="522" spans="2:2">
      <c r="B522" t="s">
        <v>1324</v>
      </c>
    </row>
    <row r="523" spans="2:2">
      <c r="B523" t="s">
        <v>1325</v>
      </c>
    </row>
    <row r="524" spans="2:2">
      <c r="B524" t="s">
        <v>1326</v>
      </c>
    </row>
    <row r="525" spans="2:2">
      <c r="B525" t="s">
        <v>1327</v>
      </c>
    </row>
    <row r="526" spans="2:2">
      <c r="B526" t="s">
        <v>1328</v>
      </c>
    </row>
    <row r="527" spans="2:2">
      <c r="B527" t="s">
        <v>1329</v>
      </c>
    </row>
    <row r="528" spans="2:2">
      <c r="B528" t="s">
        <v>1037</v>
      </c>
    </row>
    <row r="529" spans="2:2">
      <c r="B529" t="s">
        <v>1330</v>
      </c>
    </row>
    <row r="530" spans="2:2">
      <c r="B530" t="s">
        <v>1331</v>
      </c>
    </row>
    <row r="531" spans="2:2">
      <c r="B531" t="s">
        <v>1332</v>
      </c>
    </row>
    <row r="532" spans="2:2">
      <c r="B532" t="s">
        <v>1333</v>
      </c>
    </row>
    <row r="533" spans="2:2">
      <c r="B533" t="s">
        <v>1334</v>
      </c>
    </row>
    <row r="534" spans="2:2">
      <c r="B534" t="s">
        <v>1335</v>
      </c>
    </row>
    <row r="535" spans="2:2">
      <c r="B535" t="s">
        <v>1336</v>
      </c>
    </row>
    <row r="536" spans="2:2">
      <c r="B536" t="s">
        <v>1337</v>
      </c>
    </row>
    <row r="537" spans="2:2">
      <c r="B537" t="s">
        <v>1338</v>
      </c>
    </row>
    <row r="538" spans="2:2">
      <c r="B538" t="s">
        <v>1339</v>
      </c>
    </row>
    <row r="539" spans="2:2">
      <c r="B539" t="s">
        <v>1340</v>
      </c>
    </row>
    <row r="540" spans="2:2">
      <c r="B540" t="s">
        <v>1341</v>
      </c>
    </row>
    <row r="541" spans="2:2">
      <c r="B541" t="s">
        <v>1342</v>
      </c>
    </row>
    <row r="542" spans="2:2">
      <c r="B542" t="s">
        <v>1343</v>
      </c>
    </row>
    <row r="543" spans="2:2">
      <c r="B543" t="s">
        <v>1344</v>
      </c>
    </row>
    <row r="544" spans="2:2">
      <c r="B544" t="s">
        <v>1345</v>
      </c>
    </row>
    <row r="545" spans="2:2">
      <c r="B545" t="s">
        <v>1346</v>
      </c>
    </row>
    <row r="546" spans="2:2">
      <c r="B546" t="s">
        <v>1347</v>
      </c>
    </row>
    <row r="547" spans="2:2">
      <c r="B547" t="s">
        <v>1348</v>
      </c>
    </row>
    <row r="548" spans="2:2">
      <c r="B548" t="s">
        <v>1349</v>
      </c>
    </row>
    <row r="549" spans="2:2">
      <c r="B549" t="s">
        <v>1350</v>
      </c>
    </row>
    <row r="550" spans="2:2">
      <c r="B550" t="s">
        <v>1351</v>
      </c>
    </row>
    <row r="551" spans="2:2">
      <c r="B551" t="s">
        <v>1352</v>
      </c>
    </row>
    <row r="552" spans="2:2">
      <c r="B552" t="s">
        <v>1353</v>
      </c>
    </row>
    <row r="553" spans="2:2">
      <c r="B553" t="s">
        <v>1354</v>
      </c>
    </row>
    <row r="554" spans="2:2">
      <c r="B554" t="s">
        <v>1355</v>
      </c>
    </row>
    <row r="555" spans="2:2">
      <c r="B555" t="s">
        <v>1356</v>
      </c>
    </row>
    <row r="556" spans="2:2">
      <c r="B556" t="s">
        <v>1357</v>
      </c>
    </row>
    <row r="557" spans="2:2">
      <c r="B557" t="s">
        <v>1358</v>
      </c>
    </row>
    <row r="558" spans="2:2">
      <c r="B558" t="s">
        <v>1359</v>
      </c>
    </row>
    <row r="559" spans="2:2">
      <c r="B559" t="s">
        <v>1360</v>
      </c>
    </row>
    <row r="560" spans="2:2">
      <c r="B560" t="s">
        <v>1037</v>
      </c>
    </row>
    <row r="561" spans="2:2">
      <c r="B561" t="s">
        <v>1361</v>
      </c>
    </row>
    <row r="562" spans="2:2">
      <c r="B562" t="s">
        <v>1362</v>
      </c>
    </row>
    <row r="563" spans="2:2">
      <c r="B563" t="s">
        <v>1363</v>
      </c>
    </row>
    <row r="564" spans="2:2">
      <c r="B564" t="s">
        <v>1364</v>
      </c>
    </row>
    <row r="565" spans="2:2">
      <c r="B565" t="s">
        <v>1365</v>
      </c>
    </row>
    <row r="566" spans="2:2">
      <c r="B566" t="s">
        <v>1366</v>
      </c>
    </row>
    <row r="567" spans="2:2">
      <c r="B567" t="s">
        <v>1367</v>
      </c>
    </row>
    <row r="568" spans="2:2">
      <c r="B568" t="s">
        <v>1368</v>
      </c>
    </row>
    <row r="569" spans="2:2">
      <c r="B569" t="s">
        <v>1369</v>
      </c>
    </row>
    <row r="570" spans="2:2">
      <c r="B570" t="s">
        <v>1370</v>
      </c>
    </row>
    <row r="571" spans="2:2">
      <c r="B571" t="s">
        <v>1371</v>
      </c>
    </row>
    <row r="572" spans="2:2">
      <c r="B572" t="s">
        <v>1372</v>
      </c>
    </row>
    <row r="573" spans="2:2">
      <c r="B573" t="s">
        <v>1373</v>
      </c>
    </row>
    <row r="574" spans="2:2">
      <c r="B574" t="s">
        <v>1374</v>
      </c>
    </row>
    <row r="575" spans="2:2">
      <c r="B575" t="s">
        <v>1375</v>
      </c>
    </row>
    <row r="576" spans="2:2">
      <c r="B576" t="s">
        <v>1376</v>
      </c>
    </row>
    <row r="577" spans="2:2">
      <c r="B577" t="s">
        <v>1377</v>
      </c>
    </row>
    <row r="578" spans="2:2">
      <c r="B578" t="s">
        <v>1378</v>
      </c>
    </row>
    <row r="579" spans="2:2">
      <c r="B579" t="s">
        <v>1379</v>
      </c>
    </row>
    <row r="580" spans="2:2">
      <c r="B580" t="s">
        <v>1380</v>
      </c>
    </row>
    <row r="581" spans="2:2">
      <c r="B581" t="s">
        <v>1381</v>
      </c>
    </row>
    <row r="582" spans="2:2">
      <c r="B582" t="s">
        <v>1382</v>
      </c>
    </row>
    <row r="583" spans="2:2">
      <c r="B583" t="s">
        <v>1383</v>
      </c>
    </row>
    <row r="584" spans="2:2">
      <c r="B584" t="s">
        <v>1384</v>
      </c>
    </row>
    <row r="585" spans="2:2">
      <c r="B585" t="s">
        <v>1385</v>
      </c>
    </row>
    <row r="586" spans="2:2">
      <c r="B586" t="s">
        <v>1386</v>
      </c>
    </row>
    <row r="587" spans="2:2">
      <c r="B587" t="s">
        <v>1387</v>
      </c>
    </row>
    <row r="588" spans="2:2">
      <c r="B588" t="s">
        <v>1388</v>
      </c>
    </row>
    <row r="589" spans="2:2">
      <c r="B589" t="s">
        <v>1389</v>
      </c>
    </row>
    <row r="590" spans="2:2">
      <c r="B590" t="s">
        <v>1390</v>
      </c>
    </row>
    <row r="591" spans="2:2">
      <c r="B591" t="s">
        <v>1391</v>
      </c>
    </row>
    <row r="592" spans="2:2">
      <c r="B592" t="s">
        <v>1037</v>
      </c>
    </row>
    <row r="593" spans="2:2">
      <c r="B593" t="s">
        <v>1392</v>
      </c>
    </row>
    <row r="594" spans="2:2">
      <c r="B594" t="s">
        <v>1393</v>
      </c>
    </row>
    <row r="595" spans="2:2">
      <c r="B595" t="s">
        <v>1394</v>
      </c>
    </row>
    <row r="596" spans="2:2">
      <c r="B596" t="s">
        <v>1395</v>
      </c>
    </row>
    <row r="597" spans="2:2">
      <c r="B597" t="s">
        <v>1396</v>
      </c>
    </row>
    <row r="598" spans="2:2">
      <c r="B598" t="s">
        <v>1397</v>
      </c>
    </row>
    <row r="599" spans="2:2">
      <c r="B599" t="s">
        <v>1398</v>
      </c>
    </row>
    <row r="600" spans="2:2">
      <c r="B600" t="s">
        <v>1399</v>
      </c>
    </row>
    <row r="601" spans="2:2">
      <c r="B601" t="s">
        <v>1400</v>
      </c>
    </row>
    <row r="602" spans="2:2">
      <c r="B602" t="s">
        <v>1401</v>
      </c>
    </row>
    <row r="603" spans="2:2">
      <c r="B603" t="s">
        <v>1402</v>
      </c>
    </row>
    <row r="604" spans="2:2">
      <c r="B604" t="s">
        <v>1403</v>
      </c>
    </row>
    <row r="605" spans="2:2">
      <c r="B605" t="s">
        <v>1404</v>
      </c>
    </row>
    <row r="606" spans="2:2">
      <c r="B606" t="s">
        <v>1405</v>
      </c>
    </row>
    <row r="607" spans="2:2">
      <c r="B607" t="s">
        <v>1406</v>
      </c>
    </row>
    <row r="608" spans="2:2">
      <c r="B608" t="s">
        <v>1407</v>
      </c>
    </row>
    <row r="609" spans="2:2">
      <c r="B609" t="s">
        <v>1408</v>
      </c>
    </row>
    <row r="610" spans="2:2">
      <c r="B610" t="s">
        <v>1409</v>
      </c>
    </row>
    <row r="611" spans="2:2">
      <c r="B611" t="s">
        <v>1410</v>
      </c>
    </row>
    <row r="612" spans="2:2">
      <c r="B612" t="s">
        <v>1411</v>
      </c>
    </row>
    <row r="613" spans="2:2">
      <c r="B613" t="s">
        <v>1412</v>
      </c>
    </row>
    <row r="614" spans="2:2">
      <c r="B614" t="s">
        <v>1413</v>
      </c>
    </row>
    <row r="615" spans="2:2">
      <c r="B615" t="s">
        <v>1414</v>
      </c>
    </row>
    <row r="616" spans="2:2">
      <c r="B616" t="s">
        <v>1415</v>
      </c>
    </row>
    <row r="617" spans="2:2">
      <c r="B617" t="s">
        <v>1416</v>
      </c>
    </row>
    <row r="618" spans="2:2">
      <c r="B618" t="s">
        <v>1417</v>
      </c>
    </row>
    <row r="619" spans="2:2">
      <c r="B619" t="s">
        <v>1418</v>
      </c>
    </row>
    <row r="620" spans="2:2">
      <c r="B620" t="s">
        <v>1419</v>
      </c>
    </row>
    <row r="621" spans="2:2">
      <c r="B621" t="s">
        <v>1420</v>
      </c>
    </row>
    <row r="622" spans="2:2">
      <c r="B622" t="s">
        <v>1421</v>
      </c>
    </row>
    <row r="623" spans="2:2">
      <c r="B623" t="s">
        <v>1422</v>
      </c>
    </row>
    <row r="624" spans="2:2">
      <c r="B624" t="s">
        <v>1037</v>
      </c>
    </row>
    <row r="625" spans="2:2">
      <c r="B625" t="s">
        <v>1423</v>
      </c>
    </row>
    <row r="626" spans="2:2">
      <c r="B626" t="s">
        <v>1424</v>
      </c>
    </row>
    <row r="627" spans="2:2">
      <c r="B627" t="s">
        <v>1425</v>
      </c>
    </row>
    <row r="628" spans="2:2">
      <c r="B628" t="s">
        <v>1426</v>
      </c>
    </row>
    <row r="629" spans="2:2">
      <c r="B629" t="s">
        <v>1427</v>
      </c>
    </row>
    <row r="630" spans="2:2">
      <c r="B630" t="s">
        <v>1428</v>
      </c>
    </row>
    <row r="631" spans="2:2">
      <c r="B631" t="s">
        <v>1429</v>
      </c>
    </row>
    <row r="632" spans="2:2">
      <c r="B632" t="s">
        <v>1430</v>
      </c>
    </row>
    <row r="633" spans="2:2">
      <c r="B633" t="s">
        <v>1431</v>
      </c>
    </row>
    <row r="634" spans="2:2">
      <c r="B634" t="s">
        <v>1432</v>
      </c>
    </row>
    <row r="635" spans="2:2">
      <c r="B635" t="s">
        <v>1433</v>
      </c>
    </row>
    <row r="636" spans="2:2">
      <c r="B636" t="s">
        <v>1434</v>
      </c>
    </row>
    <row r="637" spans="2:2">
      <c r="B637" t="s">
        <v>1435</v>
      </c>
    </row>
    <row r="638" spans="2:2">
      <c r="B638" t="s">
        <v>1436</v>
      </c>
    </row>
    <row r="639" spans="2:2">
      <c r="B639" t="s">
        <v>1437</v>
      </c>
    </row>
    <row r="640" spans="2:2">
      <c r="B640" t="s">
        <v>1438</v>
      </c>
    </row>
    <row r="641" spans="2:2">
      <c r="B641" t="s">
        <v>1439</v>
      </c>
    </row>
    <row r="642" spans="2:2">
      <c r="B642" t="s">
        <v>1440</v>
      </c>
    </row>
    <row r="643" spans="2:2">
      <c r="B643" t="s">
        <v>1441</v>
      </c>
    </row>
    <row r="644" spans="2:2">
      <c r="B644" t="s">
        <v>1442</v>
      </c>
    </row>
    <row r="645" spans="2:2">
      <c r="B645" t="s">
        <v>1443</v>
      </c>
    </row>
    <row r="646" spans="2:2">
      <c r="B646" t="s">
        <v>1444</v>
      </c>
    </row>
    <row r="647" spans="2:2">
      <c r="B647" t="s">
        <v>1445</v>
      </c>
    </row>
    <row r="648" spans="2:2">
      <c r="B648" t="s">
        <v>1446</v>
      </c>
    </row>
    <row r="649" spans="2:2">
      <c r="B649" t="s">
        <v>1447</v>
      </c>
    </row>
    <row r="650" spans="2:2">
      <c r="B650" t="s">
        <v>1448</v>
      </c>
    </row>
    <row r="651" spans="2:2">
      <c r="B651" t="s">
        <v>1449</v>
      </c>
    </row>
    <row r="652" spans="2:2">
      <c r="B652" t="s">
        <v>1450</v>
      </c>
    </row>
    <row r="653" spans="2:2">
      <c r="B653" t="s">
        <v>1451</v>
      </c>
    </row>
    <row r="654" spans="2:2">
      <c r="B654" t="s">
        <v>1452</v>
      </c>
    </row>
    <row r="655" spans="2:2">
      <c r="B655" t="s">
        <v>1453</v>
      </c>
    </row>
    <row r="656" spans="2:2">
      <c r="B656" t="s">
        <v>1037</v>
      </c>
    </row>
    <row r="657" spans="2:2">
      <c r="B657" t="s">
        <v>1100</v>
      </c>
    </row>
    <row r="658" spans="2:2">
      <c r="B658" t="s">
        <v>1101</v>
      </c>
    </row>
    <row r="659" spans="2:2">
      <c r="B659" t="s">
        <v>1454</v>
      </c>
    </row>
    <row r="660" spans="2:2">
      <c r="B660" t="s">
        <v>1455</v>
      </c>
    </row>
    <row r="661" spans="2:2">
      <c r="B661" t="s">
        <v>1456</v>
      </c>
    </row>
    <row r="662" spans="2:2">
      <c r="B662" t="s">
        <v>1457</v>
      </c>
    </row>
    <row r="663" spans="2:2">
      <c r="B663" t="s">
        <v>1458</v>
      </c>
    </row>
    <row r="664" spans="2:2">
      <c r="B664" t="s">
        <v>1459</v>
      </c>
    </row>
    <row r="665" spans="2:2">
      <c r="B665" t="s">
        <v>1460</v>
      </c>
    </row>
    <row r="666" spans="2:2">
      <c r="B666" t="s">
        <v>1461</v>
      </c>
    </row>
    <row r="667" spans="2:2">
      <c r="B667" t="s">
        <v>1037</v>
      </c>
    </row>
    <row r="668" spans="2:2">
      <c r="B668" t="s">
        <v>1462</v>
      </c>
    </row>
    <row r="669" spans="2:2">
      <c r="B669" t="s">
        <v>1463</v>
      </c>
    </row>
    <row r="670" spans="2:2">
      <c r="B670" t="s">
        <v>1464</v>
      </c>
    </row>
    <row r="671" spans="2:2">
      <c r="B671" t="s">
        <v>1465</v>
      </c>
    </row>
    <row r="672" spans="2:2">
      <c r="B672" t="s">
        <v>1466</v>
      </c>
    </row>
    <row r="673" spans="2:2">
      <c r="B673" t="s">
        <v>1467</v>
      </c>
    </row>
    <row r="674" spans="2:2">
      <c r="B674" t="s">
        <v>1468</v>
      </c>
    </row>
    <row r="675" spans="2:2">
      <c r="B675" t="s">
        <v>1469</v>
      </c>
    </row>
    <row r="676" spans="2:2">
      <c r="B676" t="s">
        <v>1037</v>
      </c>
    </row>
    <row r="677" spans="2:2">
      <c r="B677" t="s">
        <v>1100</v>
      </c>
    </row>
    <row r="678" spans="2:2">
      <c r="B678" t="s">
        <v>1110</v>
      </c>
    </row>
    <row r="679" spans="2:2">
      <c r="B679" t="s">
        <v>1470</v>
      </c>
    </row>
    <row r="680" spans="2:2">
      <c r="B680" t="s">
        <v>1112</v>
      </c>
    </row>
    <row r="681" spans="2:2">
      <c r="B681" t="s">
        <v>1113</v>
      </c>
    </row>
    <row r="682" spans="2:2">
      <c r="B682" t="s">
        <v>823</v>
      </c>
    </row>
    <row r="683" spans="2:2">
      <c r="B683" t="s">
        <v>1114</v>
      </c>
    </row>
    <row r="684" spans="2:2">
      <c r="B684" t="s">
        <v>1471</v>
      </c>
    </row>
    <row r="685" spans="2:2">
      <c r="B685" t="s">
        <v>1112</v>
      </c>
    </row>
    <row r="686" spans="2:2">
      <c r="B686" t="s">
        <v>1116</v>
      </c>
    </row>
    <row r="687" spans="2:2">
      <c r="B687" t="s">
        <v>823</v>
      </c>
    </row>
    <row r="688" spans="2:2">
      <c r="B688" t="s">
        <v>1114</v>
      </c>
    </row>
    <row r="689" spans="2:2">
      <c r="B689" t="s">
        <v>1117</v>
      </c>
    </row>
    <row r="690" spans="2:2">
      <c r="B690" t="s">
        <v>1118</v>
      </c>
    </row>
    <row r="691" spans="2:2">
      <c r="B691" t="s">
        <v>1119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1'!$B$10:$B$10" display="Inputs" xr:uid="{F1974E73-25FA-485F-B9F8-BD05A3003C68}"/>
    <hyperlink ref="D4" location="'NNC_Stored1'!$B$10:$B$10" display="PMML Model" xr:uid="{A0065E94-D157-42ED-8EB5-1D665AC8B10F}"/>
    <hyperlink ref="F4" location="'NNC_TrainLog1'!$B$10:$B$10" display="Training Log" xr:uid="{357640B2-111B-43F0-AAE8-6B6B19CC6666}"/>
    <hyperlink ref="H4" location="'NNC_TrainingScore1'!$B$10:$B$10" display="Training: Classification Summary" xr:uid="{AF063A15-41AD-415C-87C6-EB5A3D3999D7}"/>
    <hyperlink ref="J4" location="'NNC_ValidationScore1'!$B$10:$B$10" display="Validation: Classification Summary" xr:uid="{77F6C513-3A73-47CE-BD42-4D0A8709A74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B058F-D351-40AC-A321-AA09BED06D2F}">
  <dimension ref="B1:CV64"/>
  <sheetViews>
    <sheetView showGridLines="0" workbookViewId="0"/>
  </sheetViews>
  <sheetFormatPr defaultRowHeight="14.4"/>
  <cols>
    <col min="14" max="14" width="29.109375" bestFit="1" customWidth="1"/>
  </cols>
  <sheetData>
    <row r="1" spans="2:100" ht="18">
      <c r="B1" s="8" t="s">
        <v>1178</v>
      </c>
      <c r="N1" t="s">
        <v>751</v>
      </c>
      <c r="CV1" s="15" t="s">
        <v>1197</v>
      </c>
    </row>
    <row r="3" spans="2:100" ht="15.6">
      <c r="B3" s="17" t="s">
        <v>80</v>
      </c>
      <c r="C3" s="18"/>
      <c r="D3" s="18"/>
      <c r="E3" s="18"/>
      <c r="F3" s="18"/>
      <c r="G3" s="18"/>
      <c r="H3" s="18"/>
      <c r="I3" s="18"/>
      <c r="J3" s="18"/>
      <c r="K3" s="19"/>
      <c r="N3" s="17" t="s">
        <v>103</v>
      </c>
      <c r="O3" s="18"/>
      <c r="P3" s="18"/>
      <c r="Q3" s="19"/>
    </row>
    <row r="4" spans="2:100">
      <c r="B4" s="25" t="s">
        <v>81</v>
      </c>
      <c r="C4" s="26"/>
      <c r="D4" s="25" t="s">
        <v>729</v>
      </c>
      <c r="E4" s="26"/>
      <c r="F4" s="25" t="s">
        <v>1120</v>
      </c>
      <c r="G4" s="26"/>
      <c r="H4" s="25" t="s">
        <v>1121</v>
      </c>
      <c r="I4" s="26"/>
      <c r="J4" s="25" t="s">
        <v>1122</v>
      </c>
      <c r="K4" s="2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00">
      <c r="N5" s="12">
        <v>392</v>
      </c>
      <c r="O5" s="12">
        <v>38</v>
      </c>
      <c r="P5" s="12">
        <v>49</v>
      </c>
      <c r="Q5" s="12">
        <v>479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  <c r="J12" s="22"/>
      <c r="K12" s="22"/>
    </row>
    <row r="13" spans="2:100">
      <c r="C13" s="20" t="s">
        <v>84</v>
      </c>
      <c r="D13" s="20"/>
      <c r="E13" s="20"/>
      <c r="F13" s="21"/>
      <c r="G13" s="23" t="s">
        <v>98</v>
      </c>
      <c r="H13" s="23"/>
      <c r="I13" s="23"/>
      <c r="J13" s="23"/>
      <c r="K13" s="23"/>
    </row>
    <row r="14" spans="2:100">
      <c r="C14" s="20" t="s">
        <v>85</v>
      </c>
      <c r="D14" s="20"/>
      <c r="E14" s="20"/>
      <c r="F14" s="21"/>
      <c r="G14" s="23" t="s">
        <v>1194</v>
      </c>
      <c r="H14" s="23"/>
      <c r="I14" s="23"/>
      <c r="J14" s="23"/>
      <c r="K14" s="23"/>
    </row>
    <row r="15" spans="2:100">
      <c r="C15" s="20" t="s">
        <v>1179</v>
      </c>
      <c r="D15" s="20"/>
      <c r="E15" s="20"/>
      <c r="F15" s="21"/>
      <c r="G15" s="23" t="s">
        <v>1195</v>
      </c>
      <c r="H15" s="23"/>
      <c r="I15" s="23"/>
      <c r="J15" s="23"/>
      <c r="K15" s="23"/>
    </row>
    <row r="16" spans="2:100">
      <c r="C16" s="20" t="s">
        <v>1180</v>
      </c>
      <c r="D16" s="20"/>
      <c r="E16" s="20"/>
      <c r="F16" s="21"/>
      <c r="G16" s="23">
        <v>341</v>
      </c>
      <c r="H16" s="23"/>
      <c r="I16" s="23"/>
      <c r="J16" s="23"/>
      <c r="K16" s="23"/>
    </row>
    <row r="17" spans="3:34">
      <c r="C17" s="20" t="s">
        <v>1181</v>
      </c>
      <c r="D17" s="20"/>
      <c r="E17" s="20"/>
      <c r="F17" s="21"/>
      <c r="G17" s="23" t="s">
        <v>1196</v>
      </c>
      <c r="H17" s="23"/>
      <c r="I17" s="23"/>
      <c r="J17" s="23"/>
      <c r="K17" s="23"/>
    </row>
    <row r="18" spans="3:34">
      <c r="C18" s="20" t="s">
        <v>1182</v>
      </c>
      <c r="D18" s="20"/>
      <c r="E18" s="20"/>
      <c r="F18" s="21"/>
      <c r="G18" s="23">
        <v>228</v>
      </c>
      <c r="H18" s="23"/>
      <c r="I18" s="23"/>
      <c r="J18" s="23"/>
      <c r="K18" s="23"/>
    </row>
    <row r="20" spans="3:34" ht="15.6">
      <c r="C20" s="22" t="s">
        <v>88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</row>
    <row r="21" spans="3:34">
      <c r="C21" s="20" t="s">
        <v>1183</v>
      </c>
      <c r="D21" s="21"/>
      <c r="E21" s="23">
        <v>30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 spans="3:34">
      <c r="C22" s="20" t="s">
        <v>1184</v>
      </c>
      <c r="D22" s="21"/>
      <c r="E22" s="12" t="s">
        <v>110</v>
      </c>
      <c r="F22" s="12" t="s">
        <v>111</v>
      </c>
      <c r="G22" s="12" t="s">
        <v>112</v>
      </c>
      <c r="H22" s="12" t="s">
        <v>113</v>
      </c>
      <c r="I22" s="12" t="s">
        <v>114</v>
      </c>
      <c r="J22" s="12" t="s">
        <v>115</v>
      </c>
      <c r="K22" s="12" t="s">
        <v>116</v>
      </c>
      <c r="L22" s="12" t="s">
        <v>117</v>
      </c>
      <c r="M22" s="12" t="s">
        <v>118</v>
      </c>
      <c r="N22" s="12" t="s">
        <v>119</v>
      </c>
      <c r="O22" s="12" t="s">
        <v>120</v>
      </c>
      <c r="P22" s="12" t="s">
        <v>121</v>
      </c>
      <c r="Q22" s="12" t="s">
        <v>122</v>
      </c>
      <c r="R22" s="12" t="s">
        <v>123</v>
      </c>
      <c r="S22" s="12" t="s">
        <v>124</v>
      </c>
      <c r="T22" s="12" t="s">
        <v>125</v>
      </c>
      <c r="U22" s="12" t="s">
        <v>126</v>
      </c>
      <c r="V22" s="12" t="s">
        <v>127</v>
      </c>
      <c r="W22" s="12" t="s">
        <v>128</v>
      </c>
      <c r="X22" s="12" t="s">
        <v>129</v>
      </c>
      <c r="Y22" s="12" t="s">
        <v>130</v>
      </c>
      <c r="Z22" s="12" t="s">
        <v>131</v>
      </c>
      <c r="AA22" s="12" t="s">
        <v>132</v>
      </c>
      <c r="AB22" s="12" t="s">
        <v>133</v>
      </c>
      <c r="AC22" s="12" t="s">
        <v>134</v>
      </c>
      <c r="AD22" s="12" t="s">
        <v>135</v>
      </c>
      <c r="AE22" s="12" t="s">
        <v>136</v>
      </c>
      <c r="AF22" s="12" t="s">
        <v>137</v>
      </c>
      <c r="AG22" s="12" t="s">
        <v>138</v>
      </c>
      <c r="AH22" s="12" t="s">
        <v>139</v>
      </c>
    </row>
    <row r="23" spans="3:34">
      <c r="C23" s="20" t="s">
        <v>1185</v>
      </c>
      <c r="D23" s="2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</row>
    <row r="24" spans="3:34">
      <c r="C24" s="20" t="s">
        <v>1186</v>
      </c>
      <c r="D24" s="21"/>
      <c r="E24" s="24" t="s">
        <v>718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6" spans="3:34" ht="15.6">
      <c r="C26" s="22" t="s">
        <v>1187</v>
      </c>
      <c r="D26" s="22"/>
      <c r="E26" s="22"/>
      <c r="F26" s="22"/>
      <c r="G26" s="22"/>
      <c r="H26" s="22"/>
      <c r="I26" s="22"/>
    </row>
    <row r="27" spans="3:34">
      <c r="C27" s="20" t="s">
        <v>1188</v>
      </c>
      <c r="D27" s="20"/>
      <c r="E27" s="21"/>
      <c r="F27" s="23" t="b">
        <v>1</v>
      </c>
      <c r="G27" s="23"/>
      <c r="H27" s="23"/>
      <c r="I27" s="23"/>
    </row>
    <row r="28" spans="3:34">
      <c r="C28" s="20" t="s">
        <v>1189</v>
      </c>
      <c r="D28" s="20"/>
      <c r="E28" s="21"/>
      <c r="F28" s="23" t="s">
        <v>1193</v>
      </c>
      <c r="G28" s="23"/>
      <c r="H28" s="23"/>
      <c r="I28" s="23"/>
    </row>
    <row r="30" spans="3:34" ht="15.6">
      <c r="C30" s="17" t="s">
        <v>1190</v>
      </c>
      <c r="D30" s="18"/>
      <c r="E30" s="18"/>
      <c r="F30" s="18"/>
      <c r="G30" s="18"/>
      <c r="H30" s="18"/>
      <c r="I30" s="19"/>
    </row>
    <row r="31" spans="3:34">
      <c r="C31" s="21" t="s">
        <v>1191</v>
      </c>
      <c r="D31" s="30"/>
      <c r="E31" s="31"/>
      <c r="F31" s="32">
        <v>12345</v>
      </c>
      <c r="G31" s="33"/>
      <c r="H31" s="33"/>
      <c r="I31" s="34"/>
    </row>
    <row r="32" spans="3:34">
      <c r="C32" s="21" t="s">
        <v>1192</v>
      </c>
      <c r="D32" s="30"/>
      <c r="E32" s="31"/>
      <c r="F32" s="32">
        <v>1</v>
      </c>
      <c r="G32" s="33"/>
      <c r="H32" s="33"/>
      <c r="I32" s="34"/>
    </row>
    <row r="33" spans="3:9">
      <c r="C33" s="21" t="s">
        <v>1198</v>
      </c>
      <c r="D33" s="30"/>
      <c r="E33" s="31"/>
      <c r="F33" s="32">
        <v>3</v>
      </c>
      <c r="G33" s="33"/>
      <c r="H33" s="33"/>
      <c r="I33" s="34"/>
    </row>
    <row r="34" spans="3:9">
      <c r="C34" s="21" t="s">
        <v>1199</v>
      </c>
      <c r="D34" s="30"/>
      <c r="E34" s="31"/>
      <c r="F34" s="32">
        <v>0.1</v>
      </c>
      <c r="G34" s="33"/>
      <c r="H34" s="33"/>
      <c r="I34" s="34"/>
    </row>
    <row r="35" spans="3:9">
      <c r="C35" s="21" t="s">
        <v>1200</v>
      </c>
      <c r="D35" s="30"/>
      <c r="E35" s="31"/>
      <c r="F35" s="32">
        <v>0.6</v>
      </c>
      <c r="G35" s="33"/>
      <c r="H35" s="33"/>
      <c r="I35" s="34"/>
    </row>
    <row r="36" spans="3:9">
      <c r="C36" s="21" t="s">
        <v>1201</v>
      </c>
      <c r="D36" s="30"/>
      <c r="E36" s="31"/>
      <c r="F36" s="32">
        <v>0.01</v>
      </c>
      <c r="G36" s="33"/>
      <c r="H36" s="33"/>
      <c r="I36" s="34"/>
    </row>
    <row r="37" spans="3:9">
      <c r="C37" s="21" t="s">
        <v>1202</v>
      </c>
      <c r="D37" s="30"/>
      <c r="E37" s="31"/>
      <c r="F37" s="32">
        <v>0</v>
      </c>
      <c r="G37" s="33"/>
      <c r="H37" s="33"/>
      <c r="I37" s="34"/>
    </row>
    <row r="38" spans="3:9">
      <c r="C38" s="21" t="s">
        <v>1203</v>
      </c>
      <c r="D38" s="30"/>
      <c r="E38" s="31"/>
      <c r="F38" s="32" t="s">
        <v>1224</v>
      </c>
      <c r="G38" s="33"/>
      <c r="H38" s="33"/>
      <c r="I38" s="34"/>
    </row>
    <row r="39" spans="3:9">
      <c r="C39" s="21" t="s">
        <v>1204</v>
      </c>
      <c r="D39" s="30"/>
      <c r="E39" s="31"/>
      <c r="F39" s="32" t="s">
        <v>1225</v>
      </c>
      <c r="G39" s="33"/>
      <c r="H39" s="33"/>
      <c r="I39" s="34"/>
    </row>
    <row r="40" spans="3:9">
      <c r="C40" s="21" t="s">
        <v>1205</v>
      </c>
      <c r="D40" s="30"/>
      <c r="E40" s="31"/>
      <c r="F40" s="32" t="s">
        <v>1225</v>
      </c>
      <c r="G40" s="33"/>
      <c r="H40" s="33"/>
      <c r="I40" s="34"/>
    </row>
    <row r="41" spans="3:9">
      <c r="C41" s="21" t="s">
        <v>1206</v>
      </c>
      <c r="D41" s="30"/>
      <c r="E41" s="31"/>
      <c r="F41" s="32" t="s">
        <v>1226</v>
      </c>
      <c r="G41" s="33"/>
      <c r="H41" s="33"/>
      <c r="I41" s="34"/>
    </row>
    <row r="42" spans="3:9">
      <c r="C42" s="21" t="s">
        <v>1207</v>
      </c>
      <c r="D42" s="30"/>
      <c r="E42" s="31"/>
      <c r="F42" s="32">
        <v>0.01</v>
      </c>
      <c r="G42" s="33"/>
      <c r="H42" s="33"/>
      <c r="I42" s="34"/>
    </row>
    <row r="43" spans="3:9">
      <c r="C43" s="21" t="s">
        <v>1208</v>
      </c>
      <c r="D43" s="30"/>
      <c r="E43" s="31"/>
      <c r="F43" s="32" t="s">
        <v>1227</v>
      </c>
      <c r="G43" s="33"/>
      <c r="H43" s="33"/>
      <c r="I43" s="34"/>
    </row>
    <row r="44" spans="3:9">
      <c r="C44" s="21" t="s">
        <v>1209</v>
      </c>
      <c r="D44" s="30"/>
      <c r="E44" s="31"/>
      <c r="F44" s="32">
        <v>30</v>
      </c>
      <c r="G44" s="33"/>
      <c r="H44" s="33"/>
      <c r="I44" s="34"/>
    </row>
    <row r="45" spans="3:9">
      <c r="C45" s="21" t="s">
        <v>1210</v>
      </c>
      <c r="D45" s="30"/>
      <c r="E45" s="31"/>
      <c r="F45" s="32">
        <v>5</v>
      </c>
      <c r="G45" s="33"/>
      <c r="H45" s="33"/>
      <c r="I45" s="34"/>
    </row>
    <row r="46" spans="3:9">
      <c r="C46" s="21" t="s">
        <v>1211</v>
      </c>
      <c r="D46" s="30"/>
      <c r="E46" s="31"/>
      <c r="F46" s="32">
        <v>3600</v>
      </c>
      <c r="G46" s="33"/>
      <c r="H46" s="33"/>
      <c r="I46" s="34"/>
    </row>
    <row r="47" spans="3:9">
      <c r="C47" s="21" t="s">
        <v>1212</v>
      </c>
      <c r="D47" s="30"/>
      <c r="E47" s="31"/>
      <c r="F47" s="32">
        <v>1E-4</v>
      </c>
      <c r="G47" s="33"/>
      <c r="H47" s="33"/>
      <c r="I47" s="34"/>
    </row>
    <row r="48" spans="3:9">
      <c r="C48" s="21" t="s">
        <v>1213</v>
      </c>
      <c r="D48" s="30"/>
      <c r="E48" s="31"/>
      <c r="F48" s="32">
        <v>1E-3</v>
      </c>
      <c r="G48" s="33"/>
      <c r="H48" s="33"/>
      <c r="I48" s="34"/>
    </row>
    <row r="50" spans="3:9" ht="15.6">
      <c r="C50" s="17" t="s">
        <v>1214</v>
      </c>
      <c r="D50" s="18"/>
      <c r="E50" s="18"/>
      <c r="F50" s="18"/>
      <c r="G50" s="18"/>
      <c r="H50" s="18"/>
      <c r="I50" s="19"/>
    </row>
    <row r="51" spans="3:9">
      <c r="C51" s="21" t="s">
        <v>1215</v>
      </c>
      <c r="D51" s="30"/>
      <c r="E51" s="31"/>
      <c r="F51" s="32" t="s">
        <v>1228</v>
      </c>
      <c r="G51" s="33"/>
      <c r="H51" s="33"/>
      <c r="I51" s="34"/>
    </row>
    <row r="53" spans="3:9" ht="15.6">
      <c r="C53" s="17" t="s">
        <v>1216</v>
      </c>
      <c r="D53" s="18"/>
      <c r="E53" s="18"/>
      <c r="F53" s="18"/>
      <c r="G53" s="18"/>
      <c r="H53" s="18"/>
      <c r="I53" s="19"/>
    </row>
    <row r="54" spans="3:9">
      <c r="C54" s="21" t="s">
        <v>1217</v>
      </c>
      <c r="D54" s="30"/>
      <c r="E54" s="31"/>
      <c r="F54" s="32">
        <v>2</v>
      </c>
      <c r="G54" s="33"/>
      <c r="H54" s="33"/>
      <c r="I54" s="34"/>
    </row>
    <row r="55" spans="3:9">
      <c r="C55" s="21" t="s">
        <v>1136</v>
      </c>
      <c r="D55" s="30"/>
      <c r="E55" s="31"/>
      <c r="F55" s="32" t="s">
        <v>0</v>
      </c>
      <c r="G55" s="33"/>
      <c r="H55" s="33"/>
      <c r="I55" s="34"/>
    </row>
    <row r="56" spans="3:9">
      <c r="C56" s="21" t="s">
        <v>1137</v>
      </c>
      <c r="D56" s="30"/>
      <c r="E56" s="31"/>
      <c r="F56" s="32">
        <v>0.5</v>
      </c>
      <c r="G56" s="33"/>
      <c r="H56" s="33"/>
      <c r="I56" s="34"/>
    </row>
    <row r="58" spans="3:9" ht="15.6">
      <c r="C58" s="17" t="s">
        <v>1218</v>
      </c>
      <c r="D58" s="18"/>
      <c r="E58" s="18"/>
      <c r="F58" s="18"/>
      <c r="G58" s="18"/>
      <c r="H58" s="18"/>
      <c r="I58" s="19"/>
    </row>
    <row r="59" spans="3:9">
      <c r="C59" s="21" t="s">
        <v>1219</v>
      </c>
      <c r="D59" s="30"/>
      <c r="E59" s="31"/>
      <c r="F59" s="32" t="b">
        <v>0</v>
      </c>
      <c r="G59" s="33"/>
      <c r="H59" s="33"/>
      <c r="I59" s="34"/>
    </row>
    <row r="60" spans="3:9">
      <c r="C60" s="21" t="s">
        <v>1220</v>
      </c>
      <c r="D60" s="30"/>
      <c r="E60" s="31"/>
      <c r="F60" s="32" t="b">
        <v>0</v>
      </c>
      <c r="G60" s="33"/>
      <c r="H60" s="33"/>
      <c r="I60" s="34"/>
    </row>
    <row r="62" spans="3:9" ht="15.6">
      <c r="C62" s="17" t="s">
        <v>1221</v>
      </c>
      <c r="D62" s="18"/>
      <c r="E62" s="18"/>
      <c r="F62" s="18"/>
      <c r="G62" s="19"/>
    </row>
    <row r="63" spans="3:9">
      <c r="C63" s="27" t="s">
        <v>1222</v>
      </c>
      <c r="D63" s="28"/>
      <c r="E63" s="28"/>
      <c r="F63" s="28"/>
      <c r="G63" s="29"/>
    </row>
    <row r="64" spans="3:9">
      <c r="C64" s="27" t="s">
        <v>1223</v>
      </c>
      <c r="D64" s="28"/>
      <c r="E64" s="28"/>
      <c r="F64" s="28"/>
      <c r="G64" s="29"/>
    </row>
  </sheetData>
  <mergeCells count="87">
    <mergeCell ref="C12:K12"/>
    <mergeCell ref="C13:F13"/>
    <mergeCell ref="C14:F14"/>
    <mergeCell ref="C15:F15"/>
    <mergeCell ref="C16:F16"/>
    <mergeCell ref="C18:F18"/>
    <mergeCell ref="G13:K13"/>
    <mergeCell ref="G14:K14"/>
    <mergeCell ref="G15:K15"/>
    <mergeCell ref="G16:K16"/>
    <mergeCell ref="G17:K17"/>
    <mergeCell ref="G18:K18"/>
    <mergeCell ref="C17:F17"/>
    <mergeCell ref="C30:I30"/>
    <mergeCell ref="C20:AH20"/>
    <mergeCell ref="C21:D21"/>
    <mergeCell ref="C22:D22"/>
    <mergeCell ref="C23:D23"/>
    <mergeCell ref="C24:D24"/>
    <mergeCell ref="E21:AH21"/>
    <mergeCell ref="E24:AH24"/>
    <mergeCell ref="C26:I26"/>
    <mergeCell ref="C27:E27"/>
    <mergeCell ref="C28:E28"/>
    <mergeCell ref="F27:I27"/>
    <mergeCell ref="F28:I28"/>
    <mergeCell ref="C31:E31"/>
    <mergeCell ref="C32:E32"/>
    <mergeCell ref="C33:E33"/>
    <mergeCell ref="C34:E34"/>
    <mergeCell ref="C35:E35"/>
    <mergeCell ref="C47:E47"/>
    <mergeCell ref="C48:E48"/>
    <mergeCell ref="C37:E37"/>
    <mergeCell ref="C38:E38"/>
    <mergeCell ref="C39:E39"/>
    <mergeCell ref="C40:E40"/>
    <mergeCell ref="C41:E41"/>
    <mergeCell ref="C42:E42"/>
    <mergeCell ref="F36:I36"/>
    <mergeCell ref="C43:E43"/>
    <mergeCell ref="C44:E44"/>
    <mergeCell ref="C45:E45"/>
    <mergeCell ref="C46:E46"/>
    <mergeCell ref="C36:E36"/>
    <mergeCell ref="F31:I31"/>
    <mergeCell ref="F32:I32"/>
    <mergeCell ref="F33:I33"/>
    <mergeCell ref="F34:I34"/>
    <mergeCell ref="F35:I35"/>
    <mergeCell ref="F48:I48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C50:I50"/>
    <mergeCell ref="C51:E51"/>
    <mergeCell ref="F51:I51"/>
    <mergeCell ref="C53:I53"/>
    <mergeCell ref="C54:E54"/>
    <mergeCell ref="C64:G64"/>
    <mergeCell ref="C56:E56"/>
    <mergeCell ref="F54:I54"/>
    <mergeCell ref="F55:I55"/>
    <mergeCell ref="F56:I56"/>
    <mergeCell ref="C58:I58"/>
    <mergeCell ref="C59:E59"/>
    <mergeCell ref="C55:E55"/>
    <mergeCell ref="C60:E60"/>
    <mergeCell ref="F59:I59"/>
    <mergeCell ref="F60:I60"/>
    <mergeCell ref="C62:G62"/>
    <mergeCell ref="C63:G63"/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'!$B$10:$B$10" display="Inputs" xr:uid="{58B1A8F3-FDFA-41EE-BA1E-D191D48768AA}"/>
    <hyperlink ref="D4" location="'NNC_Stored'!$B$10:$B$10" display="PMML Model" xr:uid="{3BD156B8-E6C3-4227-88F3-5D3AD98F95D7}"/>
    <hyperlink ref="F4" location="'NNC_TrainLog'!$B$10:$B$10" display="Training Log" xr:uid="{18431E5F-D4D7-42FF-A2F8-68D93A83E4CC}"/>
    <hyperlink ref="H4" location="'NNC_TrainingScore'!$B$10:$B$10" display="Training: Classification Summary" xr:uid="{9B40E95C-40E0-47A9-91F1-A18C28952C08}"/>
    <hyperlink ref="J4" location="'NNC_ValidationScore'!$B$10:$B$10" display="Validation: Classification Summary" xr:uid="{CD7114BE-2EBA-4EEC-95A6-FEAA64F06514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4B49-23A4-4DF8-8720-7FD4AB0F177B}">
  <dimension ref="B1:Q42"/>
  <sheetViews>
    <sheetView showGridLines="0" workbookViewId="0"/>
  </sheetViews>
  <sheetFormatPr defaultRowHeight="14.4"/>
  <cols>
    <col min="4" max="4" width="37.33203125" customWidth="1"/>
    <col min="5" max="5" width="34.5546875" customWidth="1"/>
    <col min="14" max="14" width="24.44140625" bestFit="1" customWidth="1"/>
  </cols>
  <sheetData>
    <row r="1" spans="2:17" ht="18">
      <c r="B1" s="8" t="s">
        <v>1144</v>
      </c>
      <c r="N1" t="s">
        <v>751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392</v>
      </c>
      <c r="O5" s="12">
        <v>38</v>
      </c>
      <c r="P5" s="12">
        <v>49</v>
      </c>
      <c r="Q5" s="12">
        <v>479</v>
      </c>
    </row>
    <row r="10" spans="2:17" ht="18">
      <c r="B10" s="9" t="s">
        <v>1120</v>
      </c>
    </row>
    <row r="12" spans="2:17">
      <c r="C12" s="11" t="s">
        <v>1145</v>
      </c>
      <c r="D12" t="s">
        <v>1146</v>
      </c>
      <c r="E12" t="s">
        <v>1147</v>
      </c>
    </row>
    <row r="13" spans="2:17">
      <c r="C13" s="11" t="s">
        <v>1148</v>
      </c>
      <c r="D13" s="10">
        <v>0.51379766704873309</v>
      </c>
      <c r="E13">
        <v>0.37243401759530792</v>
      </c>
    </row>
    <row r="14" spans="2:17">
      <c r="C14" s="11" t="s">
        <v>1149</v>
      </c>
      <c r="D14" s="10">
        <v>0.35887963380615845</v>
      </c>
      <c r="E14">
        <v>0.17888563049853373</v>
      </c>
    </row>
    <row r="15" spans="2:17">
      <c r="C15" s="11" t="s">
        <v>1150</v>
      </c>
      <c r="D15" s="10">
        <v>0.29256032107515262</v>
      </c>
      <c r="E15">
        <v>9.6774193548387094E-2</v>
      </c>
    </row>
    <row r="16" spans="2:17">
      <c r="C16" s="11" t="s">
        <v>1151</v>
      </c>
      <c r="D16" s="10">
        <v>0.26323078671849981</v>
      </c>
      <c r="E16">
        <v>7.331378299120235E-2</v>
      </c>
    </row>
    <row r="17" spans="3:5">
      <c r="C17" s="11" t="s">
        <v>1152</v>
      </c>
      <c r="D17" s="10">
        <v>0.24336226298866329</v>
      </c>
      <c r="E17">
        <v>6.7448680351906154E-2</v>
      </c>
    </row>
    <row r="18" spans="3:5">
      <c r="C18" s="11" t="s">
        <v>1153</v>
      </c>
      <c r="D18" s="10">
        <v>0.22670046091803123</v>
      </c>
      <c r="E18">
        <v>6.1583577712609971E-2</v>
      </c>
    </row>
    <row r="19" spans="3:5">
      <c r="C19" s="11" t="s">
        <v>1154</v>
      </c>
      <c r="D19" s="10">
        <v>0.21158792450236252</v>
      </c>
      <c r="E19">
        <v>6.1583577712609971E-2</v>
      </c>
    </row>
    <row r="20" spans="3:5">
      <c r="C20" s="11" t="s">
        <v>1155</v>
      </c>
      <c r="D20" s="10">
        <v>0.19782297063424709</v>
      </c>
      <c r="E20">
        <v>5.865102639296188E-2</v>
      </c>
    </row>
    <row r="21" spans="3:5">
      <c r="C21" s="11" t="s">
        <v>1156</v>
      </c>
      <c r="D21" s="10">
        <v>0.18556652592719791</v>
      </c>
      <c r="E21">
        <v>5.2785923753665691E-2</v>
      </c>
    </row>
    <row r="22" spans="3:5">
      <c r="C22" s="11" t="s">
        <v>1157</v>
      </c>
      <c r="D22" s="10">
        <v>0.17468214690246672</v>
      </c>
      <c r="E22">
        <v>5.2785923753665691E-2</v>
      </c>
    </row>
    <row r="23" spans="3:5">
      <c r="C23" s="11" t="s">
        <v>1158</v>
      </c>
      <c r="D23" s="10">
        <v>0.16492673975627556</v>
      </c>
      <c r="E23">
        <v>5.5718475073313782E-2</v>
      </c>
    </row>
    <row r="24" spans="3:5">
      <c r="C24" s="11" t="s">
        <v>1159</v>
      </c>
      <c r="D24" s="10">
        <v>0.15612084304067217</v>
      </c>
      <c r="E24">
        <v>5.5718475073313782E-2</v>
      </c>
    </row>
    <row r="25" spans="3:5">
      <c r="C25" s="11" t="s">
        <v>1160</v>
      </c>
      <c r="D25" s="10">
        <v>0.14813868012382367</v>
      </c>
      <c r="E25">
        <v>5.5718475073313782E-2</v>
      </c>
    </row>
    <row r="26" spans="3:5">
      <c r="C26" s="11" t="s">
        <v>1161</v>
      </c>
      <c r="D26" s="10">
        <v>0.14088573289063017</v>
      </c>
      <c r="E26">
        <v>5.5718475073313782E-2</v>
      </c>
    </row>
    <row r="27" spans="3:5">
      <c r="C27" s="11" t="s">
        <v>1162</v>
      </c>
      <c r="D27" s="10">
        <v>0.13428671357962305</v>
      </c>
      <c r="E27">
        <v>5.2785923753665691E-2</v>
      </c>
    </row>
    <row r="28" spans="3:5">
      <c r="C28" s="11" t="s">
        <v>1163</v>
      </c>
      <c r="D28" s="10">
        <v>0.12827837141407047</v>
      </c>
      <c r="E28">
        <v>5.2785923753665691E-2</v>
      </c>
    </row>
    <row r="29" spans="3:5">
      <c r="C29" s="11" t="s">
        <v>1164</v>
      </c>
      <c r="D29" s="10">
        <v>0.1228049491334946</v>
      </c>
      <c r="E29">
        <v>5.2785923753665691E-2</v>
      </c>
    </row>
    <row r="30" spans="3:5">
      <c r="C30" s="11" t="s">
        <v>1165</v>
      </c>
      <c r="D30" s="10">
        <v>0.11781574490372664</v>
      </c>
      <c r="E30">
        <v>5.2785923753665691E-2</v>
      </c>
    </row>
    <row r="31" spans="3:5">
      <c r="C31" s="11" t="s">
        <v>1166</v>
      </c>
      <c r="D31" s="10">
        <v>0.11326411770110746</v>
      </c>
      <c r="E31">
        <v>5.2785923753665691E-2</v>
      </c>
    </row>
    <row r="32" spans="3:5">
      <c r="C32" s="11" t="s">
        <v>1167</v>
      </c>
      <c r="D32" s="10">
        <v>0.10910716796150915</v>
      </c>
      <c r="E32">
        <v>4.9853372434017593E-2</v>
      </c>
    </row>
    <row r="33" spans="3:5">
      <c r="C33" s="11" t="s">
        <v>1168</v>
      </c>
      <c r="D33" s="10">
        <v>0.10530558750888634</v>
      </c>
      <c r="E33">
        <v>4.9853372434017593E-2</v>
      </c>
    </row>
    <row r="34" spans="3:5">
      <c r="C34" s="11" t="s">
        <v>1169</v>
      </c>
      <c r="D34" s="10">
        <v>0.10182349224793748</v>
      </c>
      <c r="E34">
        <v>4.9853372434017593E-2</v>
      </c>
    </row>
    <row r="35" spans="3:5">
      <c r="C35" s="11" t="s">
        <v>1170</v>
      </c>
      <c r="D35" s="10">
        <v>9.8628224497034761E-2</v>
      </c>
      <c r="E35">
        <v>4.9853372434017593E-2</v>
      </c>
    </row>
    <row r="36" spans="3:5">
      <c r="C36" s="11" t="s">
        <v>1171</v>
      </c>
      <c r="D36" s="10">
        <v>9.5690154887034043E-2</v>
      </c>
      <c r="E36">
        <v>4.6920821114369501E-2</v>
      </c>
    </row>
    <row r="37" spans="3:5">
      <c r="C37" s="11" t="s">
        <v>1172</v>
      </c>
      <c r="D37" s="10">
        <v>9.298250211508996E-2</v>
      </c>
      <c r="E37">
        <v>4.6920821114369501E-2</v>
      </c>
    </row>
    <row r="38" spans="3:5">
      <c r="C38" s="11" t="s">
        <v>1173</v>
      </c>
      <c r="D38" s="10">
        <v>9.0481169970464306E-2</v>
      </c>
      <c r="E38">
        <v>4.398826979472141E-2</v>
      </c>
    </row>
    <row r="39" spans="3:5">
      <c r="C39" s="11" t="s">
        <v>1174</v>
      </c>
      <c r="D39" s="10">
        <v>8.8164590493289313E-2</v>
      </c>
      <c r="E39">
        <v>4.398826979472141E-2</v>
      </c>
    </row>
    <row r="40" spans="3:5">
      <c r="C40" s="11" t="s">
        <v>1175</v>
      </c>
      <c r="D40" s="10">
        <v>8.6013560498304803E-2</v>
      </c>
      <c r="E40">
        <v>4.398826979472141E-2</v>
      </c>
    </row>
    <row r="41" spans="3:5">
      <c r="C41" s="11" t="s">
        <v>1176</v>
      </c>
      <c r="D41" s="10">
        <v>8.4011062741602457E-2</v>
      </c>
      <c r="E41">
        <v>4.1055718475073312E-2</v>
      </c>
    </row>
    <row r="42" spans="3:5">
      <c r="C42" s="11" t="s">
        <v>1177</v>
      </c>
      <c r="D42" s="10">
        <v>8.2142069602570755E-2</v>
      </c>
      <c r="E42">
        <v>4.1055718475073312E-2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'!$B$10:$B$10" display="Inputs" xr:uid="{481E6A56-9F96-454F-887A-2E1C916CC2AB}"/>
    <hyperlink ref="D4" location="'NNC_Stored'!$B$10:$B$10" display="PMML Model" xr:uid="{44DB2681-917A-45CF-920B-450B51F86D2C}"/>
    <hyperlink ref="F4" location="'NNC_TrainLog'!$B$10:$B$10" display="Training Log" xr:uid="{7BC13362-9748-466B-BB56-BAAE1D7C577D}"/>
    <hyperlink ref="H4" location="'NNC_TrainingScore'!$B$10:$B$10" display="Training: Classification Summary" xr:uid="{E4FBD80E-55FA-4B3F-B311-80BD19147CA4}"/>
    <hyperlink ref="J4" location="'NNC_ValidationScore'!$B$10:$B$10" display="Validation: Classification Summary" xr:uid="{E26D8537-5870-44C0-BCEF-D8B3F2AA73D9}"/>
  </hyperlink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40214-CB45-45DB-B5F0-AB2330517BA0}">
  <dimension ref="B1:Q32"/>
  <sheetViews>
    <sheetView showGridLines="0" topLeftCell="A6" workbookViewId="0">
      <selection activeCell="D26" sqref="D26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1143</v>
      </c>
      <c r="N1" t="s">
        <v>751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392</v>
      </c>
      <c r="O5" s="12">
        <v>38</v>
      </c>
      <c r="P5" s="12">
        <v>49</v>
      </c>
      <c r="Q5" s="12">
        <v>479</v>
      </c>
    </row>
    <row r="10" spans="2:17" ht="18">
      <c r="B10" s="9" t="s">
        <v>1121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214</v>
      </c>
      <c r="E14">
        <v>0</v>
      </c>
    </row>
    <row r="15" spans="2:17">
      <c r="C15" s="11" t="s">
        <v>0</v>
      </c>
      <c r="D15" s="10">
        <v>14</v>
      </c>
      <c r="E15">
        <v>113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214</v>
      </c>
      <c r="E19">
        <f>SUM($D$14:$E$14) - $D$14</f>
        <v>0</v>
      </c>
      <c r="F19">
        <f>IF($D$19=0,"Undefined",$E$19*100 / $D$19)</f>
        <v>0</v>
      </c>
    </row>
    <row r="20" spans="3:6">
      <c r="C20" s="11" t="s">
        <v>0</v>
      </c>
      <c r="D20">
        <f>SUM($D$15:$E$15)</f>
        <v>127</v>
      </c>
      <c r="E20">
        <f>SUM($D$15:$E$15) - $E$15</f>
        <v>14</v>
      </c>
      <c r="F20">
        <f>IF($D$20=0,"Undefined",$E$20*100 / $D$20)</f>
        <v>11.023622047244094</v>
      </c>
    </row>
    <row r="21" spans="3:6">
      <c r="C21" s="11" t="s">
        <v>1127</v>
      </c>
      <c r="D21">
        <f>SUM($D$19:$D$20)</f>
        <v>341</v>
      </c>
      <c r="E21">
        <f>SUM($E$19:$E$20)</f>
        <v>14</v>
      </c>
      <c r="F21">
        <f>IF($D$21=0,"Undefined",$E$21*100 / $D$21)</f>
        <v>4.1055718475073313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327</v>
      </c>
    </row>
    <row r="26" spans="3:6">
      <c r="C26" t="s">
        <v>1131</v>
      </c>
      <c r="D26">
        <v>95.894428152492679</v>
      </c>
    </row>
    <row r="27" spans="3:6">
      <c r="C27" t="s">
        <v>1132</v>
      </c>
      <c r="D27">
        <v>1</v>
      </c>
    </row>
    <row r="28" spans="3:6">
      <c r="C28" t="s">
        <v>1133</v>
      </c>
      <c r="D28">
        <v>0.88976377952755903</v>
      </c>
    </row>
    <row r="29" spans="3:6">
      <c r="C29" t="s">
        <v>1134</v>
      </c>
      <c r="D29">
        <v>1</v>
      </c>
    </row>
    <row r="30" spans="3:6">
      <c r="C30" t="s">
        <v>1135</v>
      </c>
      <c r="D30">
        <v>0.94166666666666676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'!$B$10:$B$10" display="Inputs" xr:uid="{0A068989-8E23-420B-98EA-0F34700A984E}"/>
    <hyperlink ref="D4" location="'NNC_Stored'!$B$10:$B$10" display="PMML Model" xr:uid="{FE4A7876-878E-4097-B81A-E323C769F970}"/>
    <hyperlink ref="F4" location="'NNC_TrainLog'!$B$10:$B$10" display="Training Log" xr:uid="{113EBA75-4040-4BB2-9EFE-DA9BAF6E85E8}"/>
    <hyperlink ref="H4" location="'NNC_TrainingScore'!$B$10:$B$10" display="Training: Classification Summary" xr:uid="{BEF1DB9D-B2DA-4895-98B8-0971D12DEA4F}"/>
    <hyperlink ref="J4" location="'NNC_ValidationScore'!$B$10:$B$10" display="Validation: Classification Summary" xr:uid="{D585E5E2-EB59-4201-8FE6-5622E9F31A5B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94BAF-07D0-471E-9232-48DBD2E602C6}">
  <dimension ref="B1:Q32"/>
  <sheetViews>
    <sheetView showGridLines="0" topLeftCell="A9" workbookViewId="0">
      <selection activeCell="F21" sqref="F21"/>
    </sheetView>
  </sheetViews>
  <sheetFormatPr defaultRowHeight="14.4"/>
  <cols>
    <col min="3" max="3" width="17.44140625" bestFit="1" customWidth="1"/>
    <col min="4" max="4" width="9" customWidth="1"/>
    <col min="5" max="5" width="9.21875" customWidth="1"/>
    <col min="14" max="14" width="24.44140625" bestFit="1" customWidth="1"/>
  </cols>
  <sheetData>
    <row r="1" spans="2:17" ht="18">
      <c r="B1" s="8" t="s">
        <v>1123</v>
      </c>
      <c r="N1" t="s">
        <v>751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392</v>
      </c>
      <c r="O5" s="12">
        <v>38</v>
      </c>
      <c r="P5" s="12">
        <v>49</v>
      </c>
      <c r="Q5" s="12">
        <v>479</v>
      </c>
    </row>
    <row r="10" spans="2:17" ht="18">
      <c r="B10" s="9" t="s">
        <v>1122</v>
      </c>
    </row>
    <row r="12" spans="2:17" ht="15.6">
      <c r="C12" s="22" t="s">
        <v>1124</v>
      </c>
      <c r="D12" s="22"/>
      <c r="E12" s="22"/>
    </row>
    <row r="13" spans="2:17">
      <c r="C13" s="11" t="s">
        <v>1142</v>
      </c>
      <c r="D13" t="s">
        <v>1</v>
      </c>
      <c r="E13" t="s">
        <v>0</v>
      </c>
    </row>
    <row r="14" spans="2:17">
      <c r="C14" s="11" t="s">
        <v>1</v>
      </c>
      <c r="D14" s="10">
        <v>143</v>
      </c>
      <c r="E14">
        <v>0</v>
      </c>
    </row>
    <row r="15" spans="2:17">
      <c r="C15" s="11" t="s">
        <v>0</v>
      </c>
      <c r="D15" s="10">
        <v>9</v>
      </c>
      <c r="E15">
        <v>76</v>
      </c>
    </row>
    <row r="17" spans="3:6" ht="15.6">
      <c r="C17" s="22" t="s">
        <v>1125</v>
      </c>
      <c r="D17" s="22"/>
      <c r="E17" s="22"/>
      <c r="F17" s="22"/>
    </row>
    <row r="18" spans="3:6">
      <c r="C18" t="s">
        <v>1126</v>
      </c>
      <c r="D18" t="s">
        <v>1138</v>
      </c>
      <c r="E18" t="s">
        <v>1140</v>
      </c>
      <c r="F18" t="s">
        <v>1141</v>
      </c>
    </row>
    <row r="19" spans="3:6">
      <c r="C19" s="11" t="s">
        <v>1</v>
      </c>
      <c r="D19">
        <f>SUM($D$14:$E$14)</f>
        <v>143</v>
      </c>
      <c r="E19">
        <f>SUM($D$14:$E$14) - $D$14</f>
        <v>0</v>
      </c>
      <c r="F19">
        <f>IF($D$19=0,"Undefined",$E$19*100 / $D$19)</f>
        <v>0</v>
      </c>
    </row>
    <row r="20" spans="3:6">
      <c r="C20" s="11" t="s">
        <v>0</v>
      </c>
      <c r="D20">
        <f>SUM($D$15:$E$15)</f>
        <v>85</v>
      </c>
      <c r="E20">
        <f>SUM($D$15:$E$15) - $E$15</f>
        <v>9</v>
      </c>
      <c r="F20">
        <f>IF($D$20=0,"Undefined",$E$20*100 / $D$20)</f>
        <v>10.588235294117647</v>
      </c>
    </row>
    <row r="21" spans="3:6">
      <c r="C21" s="11" t="s">
        <v>1127</v>
      </c>
      <c r="D21">
        <f>SUM($D$19:$D$20)</f>
        <v>228</v>
      </c>
      <c r="E21">
        <f>SUM($E$19:$E$20)</f>
        <v>9</v>
      </c>
      <c r="F21">
        <f>IF($D$21=0,"Undefined",$E$21*100 / $D$21)</f>
        <v>3.9473684210526314</v>
      </c>
    </row>
    <row r="23" spans="3:6" ht="15.6">
      <c r="C23" s="22" t="s">
        <v>1128</v>
      </c>
      <c r="D23" s="22"/>
    </row>
    <row r="24" spans="3:6">
      <c r="C24" t="s">
        <v>1129</v>
      </c>
      <c r="D24" t="s">
        <v>1139</v>
      </c>
    </row>
    <row r="25" spans="3:6">
      <c r="C25" t="s">
        <v>1130</v>
      </c>
      <c r="D25">
        <v>219</v>
      </c>
    </row>
    <row r="26" spans="3:6">
      <c r="C26" t="s">
        <v>1131</v>
      </c>
      <c r="D26">
        <v>96.052631578947356</v>
      </c>
    </row>
    <row r="27" spans="3:6">
      <c r="C27" t="s">
        <v>1132</v>
      </c>
      <c r="D27">
        <v>1</v>
      </c>
    </row>
    <row r="28" spans="3:6">
      <c r="C28" t="s">
        <v>1133</v>
      </c>
      <c r="D28">
        <v>0.89411764705882357</v>
      </c>
    </row>
    <row r="29" spans="3:6">
      <c r="C29" t="s">
        <v>1134</v>
      </c>
      <c r="D29">
        <v>1</v>
      </c>
    </row>
    <row r="30" spans="3:6">
      <c r="C30" t="s">
        <v>1135</v>
      </c>
      <c r="D30">
        <v>0.94409937888198758</v>
      </c>
    </row>
    <row r="31" spans="3:6">
      <c r="C31" t="s">
        <v>1136</v>
      </c>
      <c r="D31" t="s">
        <v>0</v>
      </c>
    </row>
    <row r="32" spans="3:6">
      <c r="C32" t="s">
        <v>1137</v>
      </c>
      <c r="D32">
        <v>0.5</v>
      </c>
    </row>
  </sheetData>
  <mergeCells count="10">
    <mergeCell ref="C17:F17"/>
    <mergeCell ref="C23:D23"/>
    <mergeCell ref="B4:C4"/>
    <mergeCell ref="D4:E4"/>
    <mergeCell ref="F4:G4"/>
    <mergeCell ref="H4:I4"/>
    <mergeCell ref="J4:K4"/>
    <mergeCell ref="B3:K3"/>
    <mergeCell ref="N3:Q3"/>
    <mergeCell ref="C12:E12"/>
  </mergeCells>
  <hyperlinks>
    <hyperlink ref="B4" location="'NNC_Output'!$B$10:$B$10" display="Inputs" xr:uid="{AFF7552C-12E4-453C-94C8-4DFAEE741790}"/>
    <hyperlink ref="D4" location="'NNC_Stored'!$B$10:$B$10" display="PMML Model" xr:uid="{D9B0342D-9D0A-4864-96D5-7149E199628B}"/>
    <hyperlink ref="F4" location="'NNC_TrainLog'!$B$10:$B$10" display="Training Log" xr:uid="{75510DAF-1FE8-4CCB-81AA-300498EED1AF}"/>
    <hyperlink ref="H4" location="'NNC_TrainingScore'!$B$10:$B$10" display="Training: Classification Summary" xr:uid="{15D21892-220F-4F9D-99CC-4131B3952212}"/>
    <hyperlink ref="J4" location="'NNC_ValidationScore'!$B$10:$B$10" display="Validation: Classification Summary" xr:uid="{8E4722C8-02D2-4198-9C8C-E0A6CFF927FC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6C1C-3369-4755-8B0E-0D858F4481FF}">
  <dimension ref="B1:Q555"/>
  <sheetViews>
    <sheetView showGridLines="0" workbookViewId="0"/>
  </sheetViews>
  <sheetFormatPr defaultRowHeight="14.4"/>
  <cols>
    <col min="14" max="14" width="24.44140625" bestFit="1" customWidth="1"/>
  </cols>
  <sheetData>
    <row r="1" spans="2:17" ht="18">
      <c r="B1" s="8" t="s">
        <v>728</v>
      </c>
      <c r="N1" t="s">
        <v>751</v>
      </c>
    </row>
    <row r="3" spans="2:17" ht="15.6">
      <c r="B3" s="22" t="s">
        <v>80</v>
      </c>
      <c r="C3" s="22"/>
      <c r="D3" s="22"/>
      <c r="E3" s="22"/>
      <c r="F3" s="22"/>
      <c r="G3" s="22"/>
      <c r="H3" s="22"/>
      <c r="I3" s="22"/>
      <c r="J3" s="22"/>
      <c r="K3" s="22"/>
      <c r="N3" s="35" t="s">
        <v>103</v>
      </c>
      <c r="O3" s="35"/>
      <c r="P3" s="35"/>
      <c r="Q3" s="35"/>
    </row>
    <row r="4" spans="2:17">
      <c r="B4" s="16" t="s">
        <v>81</v>
      </c>
      <c r="C4" s="16"/>
      <c r="D4" s="16" t="s">
        <v>729</v>
      </c>
      <c r="E4" s="16"/>
      <c r="F4" s="16" t="s">
        <v>1120</v>
      </c>
      <c r="G4" s="16"/>
      <c r="H4" s="16" t="s">
        <v>1121</v>
      </c>
      <c r="I4" s="16"/>
      <c r="J4" s="16" t="s">
        <v>1122</v>
      </c>
      <c r="K4" s="16"/>
      <c r="N4" s="14" t="s">
        <v>104</v>
      </c>
      <c r="O4" s="14" t="s">
        <v>105</v>
      </c>
      <c r="P4" s="14" t="s">
        <v>106</v>
      </c>
      <c r="Q4" s="14" t="s">
        <v>107</v>
      </c>
    </row>
    <row r="5" spans="2:17">
      <c r="N5" s="12">
        <v>392</v>
      </c>
      <c r="O5" s="12">
        <v>38</v>
      </c>
      <c r="P5" s="12">
        <v>49</v>
      </c>
      <c r="Q5" s="12">
        <v>479</v>
      </c>
    </row>
    <row r="10" spans="2:17" ht="18">
      <c r="B10" s="9" t="s">
        <v>729</v>
      </c>
    </row>
    <row r="12" spans="2:17">
      <c r="B12" t="s">
        <v>730</v>
      </c>
    </row>
    <row r="13" spans="2:17">
      <c r="B13" t="s">
        <v>731</v>
      </c>
    </row>
    <row r="14" spans="2:17">
      <c r="B14" t="s">
        <v>732</v>
      </c>
    </row>
    <row r="15" spans="2:17">
      <c r="B15" t="s">
        <v>733</v>
      </c>
    </row>
    <row r="16" spans="2:17">
      <c r="B16" t="s">
        <v>734</v>
      </c>
    </row>
    <row r="17" spans="2:2">
      <c r="B17" t="s">
        <v>735</v>
      </c>
    </row>
    <row r="18" spans="2:2">
      <c r="B18" t="s">
        <v>736</v>
      </c>
    </row>
    <row r="19" spans="2:2">
      <c r="B19" t="s">
        <v>737</v>
      </c>
    </row>
    <row r="20" spans="2:2">
      <c r="B20" t="s">
        <v>738</v>
      </c>
    </row>
    <row r="21" spans="2:2">
      <c r="B21" t="s">
        <v>739</v>
      </c>
    </row>
    <row r="22" spans="2:2">
      <c r="B22" t="s">
        <v>740</v>
      </c>
    </row>
    <row r="23" spans="2:2">
      <c r="B23" t="s">
        <v>741</v>
      </c>
    </row>
    <row r="24" spans="2:2">
      <c r="B24" t="s">
        <v>742</v>
      </c>
    </row>
    <row r="25" spans="2:2">
      <c r="B25" t="s">
        <v>743</v>
      </c>
    </row>
    <row r="26" spans="2:2">
      <c r="B26" t="s">
        <v>744</v>
      </c>
    </row>
    <row r="27" spans="2:2">
      <c r="B27" t="s">
        <v>745</v>
      </c>
    </row>
    <row r="28" spans="2:2">
      <c r="B28" t="s">
        <v>746</v>
      </c>
    </row>
    <row r="29" spans="2:2">
      <c r="B29" t="s">
        <v>747</v>
      </c>
    </row>
    <row r="30" spans="2:2">
      <c r="B30" t="s">
        <v>748</v>
      </c>
    </row>
    <row r="31" spans="2:2">
      <c r="B31" t="s">
        <v>749</v>
      </c>
    </row>
    <row r="32" spans="2:2">
      <c r="B32" t="s">
        <v>750</v>
      </c>
    </row>
    <row r="33" spans="2:2">
      <c r="B33" t="s">
        <v>752</v>
      </c>
    </row>
    <row r="34" spans="2:2">
      <c r="B34" t="s">
        <v>753</v>
      </c>
    </row>
    <row r="35" spans="2:2">
      <c r="B35" t="s">
        <v>754</v>
      </c>
    </row>
    <row r="36" spans="2:2">
      <c r="B36" t="s">
        <v>755</v>
      </c>
    </row>
    <row r="37" spans="2:2">
      <c r="B37" t="s">
        <v>756</v>
      </c>
    </row>
    <row r="38" spans="2:2">
      <c r="B38" t="s">
        <v>757</v>
      </c>
    </row>
    <row r="39" spans="2:2">
      <c r="B39" t="s">
        <v>758</v>
      </c>
    </row>
    <row r="40" spans="2:2">
      <c r="B40" t="s">
        <v>759</v>
      </c>
    </row>
    <row r="41" spans="2:2">
      <c r="B41" t="s">
        <v>760</v>
      </c>
    </row>
    <row r="42" spans="2:2">
      <c r="B42" t="s">
        <v>761</v>
      </c>
    </row>
    <row r="43" spans="2:2">
      <c r="B43" t="s">
        <v>762</v>
      </c>
    </row>
    <row r="44" spans="2:2">
      <c r="B44" t="s">
        <v>763</v>
      </c>
    </row>
    <row r="45" spans="2:2">
      <c r="B45" t="s">
        <v>764</v>
      </c>
    </row>
    <row r="46" spans="2:2">
      <c r="B46" t="s">
        <v>765</v>
      </c>
    </row>
    <row r="47" spans="2:2">
      <c r="B47" t="s">
        <v>766</v>
      </c>
    </row>
    <row r="48" spans="2:2">
      <c r="B48" t="s">
        <v>767</v>
      </c>
    </row>
    <row r="49" spans="2:2">
      <c r="B49" t="s">
        <v>768</v>
      </c>
    </row>
    <row r="50" spans="2:2">
      <c r="B50" t="s">
        <v>769</v>
      </c>
    </row>
    <row r="51" spans="2:2">
      <c r="B51" t="s">
        <v>770</v>
      </c>
    </row>
    <row r="52" spans="2:2">
      <c r="B52" t="s">
        <v>771</v>
      </c>
    </row>
    <row r="53" spans="2:2">
      <c r="B53" t="s">
        <v>772</v>
      </c>
    </row>
    <row r="54" spans="2:2">
      <c r="B54" t="s">
        <v>773</v>
      </c>
    </row>
    <row r="55" spans="2:2">
      <c r="B55" t="s">
        <v>774</v>
      </c>
    </row>
    <row r="56" spans="2:2">
      <c r="B56" t="s">
        <v>775</v>
      </c>
    </row>
    <row r="57" spans="2:2">
      <c r="B57" t="s">
        <v>776</v>
      </c>
    </row>
    <row r="58" spans="2:2">
      <c r="B58" t="s">
        <v>777</v>
      </c>
    </row>
    <row r="59" spans="2:2">
      <c r="B59" t="s">
        <v>778</v>
      </c>
    </row>
    <row r="60" spans="2:2">
      <c r="B60" t="s">
        <v>779</v>
      </c>
    </row>
    <row r="61" spans="2:2">
      <c r="B61" t="s">
        <v>780</v>
      </c>
    </row>
    <row r="62" spans="2:2">
      <c r="B62" t="s">
        <v>781</v>
      </c>
    </row>
    <row r="63" spans="2:2">
      <c r="B63" t="s">
        <v>782</v>
      </c>
    </row>
    <row r="64" spans="2:2">
      <c r="B64" t="s">
        <v>783</v>
      </c>
    </row>
    <row r="65" spans="2:2">
      <c r="B65" t="s">
        <v>784</v>
      </c>
    </row>
    <row r="66" spans="2:2">
      <c r="B66" t="s">
        <v>785</v>
      </c>
    </row>
    <row r="67" spans="2:2">
      <c r="B67" t="s">
        <v>786</v>
      </c>
    </row>
    <row r="68" spans="2:2">
      <c r="B68" t="s">
        <v>787</v>
      </c>
    </row>
    <row r="69" spans="2:2">
      <c r="B69" t="s">
        <v>788</v>
      </c>
    </row>
    <row r="70" spans="2:2">
      <c r="B70" t="s">
        <v>789</v>
      </c>
    </row>
    <row r="71" spans="2:2">
      <c r="B71" t="s">
        <v>790</v>
      </c>
    </row>
    <row r="72" spans="2:2">
      <c r="B72" t="s">
        <v>791</v>
      </c>
    </row>
    <row r="73" spans="2:2">
      <c r="B73" t="s">
        <v>792</v>
      </c>
    </row>
    <row r="74" spans="2:2">
      <c r="B74" t="s">
        <v>793</v>
      </c>
    </row>
    <row r="75" spans="2:2">
      <c r="B75" t="s">
        <v>794</v>
      </c>
    </row>
    <row r="76" spans="2:2">
      <c r="B76" t="s">
        <v>795</v>
      </c>
    </row>
    <row r="77" spans="2:2">
      <c r="B77" t="s">
        <v>796</v>
      </c>
    </row>
    <row r="78" spans="2:2">
      <c r="B78" t="s">
        <v>797</v>
      </c>
    </row>
    <row r="79" spans="2:2">
      <c r="B79" t="s">
        <v>798</v>
      </c>
    </row>
    <row r="80" spans="2:2">
      <c r="B80" t="s">
        <v>799</v>
      </c>
    </row>
    <row r="81" spans="2:2">
      <c r="B81" t="s">
        <v>800</v>
      </c>
    </row>
    <row r="82" spans="2:2">
      <c r="B82" t="s">
        <v>801</v>
      </c>
    </row>
    <row r="83" spans="2:2">
      <c r="B83" t="s">
        <v>802</v>
      </c>
    </row>
    <row r="84" spans="2:2">
      <c r="B84" t="s">
        <v>803</v>
      </c>
    </row>
    <row r="85" spans="2:2">
      <c r="B85" t="s">
        <v>804</v>
      </c>
    </row>
    <row r="86" spans="2:2">
      <c r="B86" t="s">
        <v>805</v>
      </c>
    </row>
    <row r="87" spans="2:2">
      <c r="B87" t="s">
        <v>806</v>
      </c>
    </row>
    <row r="88" spans="2:2">
      <c r="B88" t="s">
        <v>807</v>
      </c>
    </row>
    <row r="89" spans="2:2">
      <c r="B89" t="s">
        <v>808</v>
      </c>
    </row>
    <row r="90" spans="2:2">
      <c r="B90" t="s">
        <v>809</v>
      </c>
    </row>
    <row r="91" spans="2:2">
      <c r="B91" t="s">
        <v>810</v>
      </c>
    </row>
    <row r="92" spans="2:2">
      <c r="B92" t="s">
        <v>811</v>
      </c>
    </row>
    <row r="93" spans="2:2">
      <c r="B93" t="s">
        <v>812</v>
      </c>
    </row>
    <row r="94" spans="2:2">
      <c r="B94" t="s">
        <v>813</v>
      </c>
    </row>
    <row r="95" spans="2:2">
      <c r="B95" t="s">
        <v>814</v>
      </c>
    </row>
    <row r="96" spans="2:2">
      <c r="B96" t="s">
        <v>815</v>
      </c>
    </row>
    <row r="97" spans="2:2">
      <c r="B97" t="s">
        <v>816</v>
      </c>
    </row>
    <row r="98" spans="2:2">
      <c r="B98" t="s">
        <v>817</v>
      </c>
    </row>
    <row r="99" spans="2:2">
      <c r="B99" t="s">
        <v>818</v>
      </c>
    </row>
    <row r="100" spans="2:2">
      <c r="B100" t="s">
        <v>819</v>
      </c>
    </row>
    <row r="101" spans="2:2">
      <c r="B101" t="s">
        <v>820</v>
      </c>
    </row>
    <row r="102" spans="2:2">
      <c r="B102" t="s">
        <v>821</v>
      </c>
    </row>
    <row r="103" spans="2:2">
      <c r="B103" t="s">
        <v>822</v>
      </c>
    </row>
    <row r="104" spans="2:2">
      <c r="B104" t="s">
        <v>823</v>
      </c>
    </row>
    <row r="105" spans="2:2">
      <c r="B105" t="s">
        <v>824</v>
      </c>
    </row>
    <row r="106" spans="2:2">
      <c r="B106" t="s">
        <v>825</v>
      </c>
    </row>
    <row r="107" spans="2:2">
      <c r="B107" t="s">
        <v>826</v>
      </c>
    </row>
    <row r="108" spans="2:2">
      <c r="B108" t="s">
        <v>827</v>
      </c>
    </row>
    <row r="109" spans="2:2">
      <c r="B109" t="s">
        <v>822</v>
      </c>
    </row>
    <row r="110" spans="2:2">
      <c r="B110" t="s">
        <v>823</v>
      </c>
    </row>
    <row r="111" spans="2:2">
      <c r="B111" t="s">
        <v>828</v>
      </c>
    </row>
    <row r="112" spans="2:2">
      <c r="B112" t="s">
        <v>829</v>
      </c>
    </row>
    <row r="113" spans="2:2">
      <c r="B113" t="s">
        <v>830</v>
      </c>
    </row>
    <row r="114" spans="2:2">
      <c r="B114" t="s">
        <v>831</v>
      </c>
    </row>
    <row r="115" spans="2:2">
      <c r="B115" t="s">
        <v>822</v>
      </c>
    </row>
    <row r="116" spans="2:2">
      <c r="B116" t="s">
        <v>823</v>
      </c>
    </row>
    <row r="117" spans="2:2">
      <c r="B117" t="s">
        <v>832</v>
      </c>
    </row>
    <row r="118" spans="2:2">
      <c r="B118" t="s">
        <v>833</v>
      </c>
    </row>
    <row r="119" spans="2:2">
      <c r="B119" t="s">
        <v>834</v>
      </c>
    </row>
    <row r="120" spans="2:2">
      <c r="B120" t="s">
        <v>835</v>
      </c>
    </row>
    <row r="121" spans="2:2">
      <c r="B121" t="s">
        <v>822</v>
      </c>
    </row>
    <row r="122" spans="2:2">
      <c r="B122" t="s">
        <v>823</v>
      </c>
    </row>
    <row r="123" spans="2:2">
      <c r="B123" t="s">
        <v>836</v>
      </c>
    </row>
    <row r="124" spans="2:2">
      <c r="B124" t="s">
        <v>837</v>
      </c>
    </row>
    <row r="125" spans="2:2">
      <c r="B125" t="s">
        <v>838</v>
      </c>
    </row>
    <row r="126" spans="2:2">
      <c r="B126" t="s">
        <v>839</v>
      </c>
    </row>
    <row r="127" spans="2:2">
      <c r="B127" t="s">
        <v>822</v>
      </c>
    </row>
    <row r="128" spans="2:2">
      <c r="B128" t="s">
        <v>823</v>
      </c>
    </row>
    <row r="129" spans="2:2">
      <c r="B129" t="s">
        <v>840</v>
      </c>
    </row>
    <row r="130" spans="2:2">
      <c r="B130" t="s">
        <v>841</v>
      </c>
    </row>
    <row r="131" spans="2:2">
      <c r="B131" t="s">
        <v>842</v>
      </c>
    </row>
    <row r="132" spans="2:2">
      <c r="B132" t="s">
        <v>843</v>
      </c>
    </row>
    <row r="133" spans="2:2">
      <c r="B133" t="s">
        <v>822</v>
      </c>
    </row>
    <row r="134" spans="2:2">
      <c r="B134" t="s">
        <v>823</v>
      </c>
    </row>
    <row r="135" spans="2:2">
      <c r="B135" t="s">
        <v>844</v>
      </c>
    </row>
    <row r="136" spans="2:2">
      <c r="B136" t="s">
        <v>845</v>
      </c>
    </row>
    <row r="137" spans="2:2">
      <c r="B137" t="s">
        <v>846</v>
      </c>
    </row>
    <row r="138" spans="2:2">
      <c r="B138" t="s">
        <v>847</v>
      </c>
    </row>
    <row r="139" spans="2:2">
      <c r="B139" t="s">
        <v>822</v>
      </c>
    </row>
    <row r="140" spans="2:2">
      <c r="B140" t="s">
        <v>823</v>
      </c>
    </row>
    <row r="141" spans="2:2">
      <c r="B141" t="s">
        <v>848</v>
      </c>
    </row>
    <row r="142" spans="2:2">
      <c r="B142" t="s">
        <v>849</v>
      </c>
    </row>
    <row r="143" spans="2:2">
      <c r="B143" t="s">
        <v>850</v>
      </c>
    </row>
    <row r="144" spans="2:2">
      <c r="B144" t="s">
        <v>851</v>
      </c>
    </row>
    <row r="145" spans="2:2">
      <c r="B145" t="s">
        <v>822</v>
      </c>
    </row>
    <row r="146" spans="2:2">
      <c r="B146" t="s">
        <v>823</v>
      </c>
    </row>
    <row r="147" spans="2:2">
      <c r="B147" t="s">
        <v>852</v>
      </c>
    </row>
    <row r="148" spans="2:2">
      <c r="B148" t="s">
        <v>853</v>
      </c>
    </row>
    <row r="149" spans="2:2">
      <c r="B149" t="s">
        <v>854</v>
      </c>
    </row>
    <row r="150" spans="2:2">
      <c r="B150" t="s">
        <v>855</v>
      </c>
    </row>
    <row r="151" spans="2:2">
      <c r="B151" t="s">
        <v>822</v>
      </c>
    </row>
    <row r="152" spans="2:2">
      <c r="B152" t="s">
        <v>823</v>
      </c>
    </row>
    <row r="153" spans="2:2">
      <c r="B153" t="s">
        <v>856</v>
      </c>
    </row>
    <row r="154" spans="2:2">
      <c r="B154" t="s">
        <v>857</v>
      </c>
    </row>
    <row r="155" spans="2:2">
      <c r="B155" t="s">
        <v>858</v>
      </c>
    </row>
    <row r="156" spans="2:2">
      <c r="B156" t="s">
        <v>859</v>
      </c>
    </row>
    <row r="157" spans="2:2">
      <c r="B157" t="s">
        <v>822</v>
      </c>
    </row>
    <row r="158" spans="2:2">
      <c r="B158" t="s">
        <v>823</v>
      </c>
    </row>
    <row r="159" spans="2:2">
      <c r="B159" t="s">
        <v>860</v>
      </c>
    </row>
    <row r="160" spans="2:2">
      <c r="B160" t="s">
        <v>861</v>
      </c>
    </row>
    <row r="161" spans="2:2">
      <c r="B161" t="s">
        <v>862</v>
      </c>
    </row>
    <row r="162" spans="2:2">
      <c r="B162" t="s">
        <v>863</v>
      </c>
    </row>
    <row r="163" spans="2:2">
      <c r="B163" t="s">
        <v>822</v>
      </c>
    </row>
    <row r="164" spans="2:2">
      <c r="B164" t="s">
        <v>823</v>
      </c>
    </row>
    <row r="165" spans="2:2">
      <c r="B165" t="s">
        <v>864</v>
      </c>
    </row>
    <row r="166" spans="2:2">
      <c r="B166" t="s">
        <v>865</v>
      </c>
    </row>
    <row r="167" spans="2:2">
      <c r="B167" t="s">
        <v>866</v>
      </c>
    </row>
    <row r="168" spans="2:2">
      <c r="B168" t="s">
        <v>867</v>
      </c>
    </row>
    <row r="169" spans="2:2">
      <c r="B169" t="s">
        <v>822</v>
      </c>
    </row>
    <row r="170" spans="2:2">
      <c r="B170" t="s">
        <v>823</v>
      </c>
    </row>
    <row r="171" spans="2:2">
      <c r="B171" t="s">
        <v>868</v>
      </c>
    </row>
    <row r="172" spans="2:2">
      <c r="B172" t="s">
        <v>869</v>
      </c>
    </row>
    <row r="173" spans="2:2">
      <c r="B173" t="s">
        <v>870</v>
      </c>
    </row>
    <row r="174" spans="2:2">
      <c r="B174" t="s">
        <v>871</v>
      </c>
    </row>
    <row r="175" spans="2:2">
      <c r="B175" t="s">
        <v>822</v>
      </c>
    </row>
    <row r="176" spans="2:2">
      <c r="B176" t="s">
        <v>823</v>
      </c>
    </row>
    <row r="177" spans="2:2">
      <c r="B177" t="s">
        <v>872</v>
      </c>
    </row>
    <row r="178" spans="2:2">
      <c r="B178" t="s">
        <v>873</v>
      </c>
    </row>
    <row r="179" spans="2:2">
      <c r="B179" t="s">
        <v>874</v>
      </c>
    </row>
    <row r="180" spans="2:2">
      <c r="B180" t="s">
        <v>875</v>
      </c>
    </row>
    <row r="181" spans="2:2">
      <c r="B181" t="s">
        <v>822</v>
      </c>
    </row>
    <row r="182" spans="2:2">
      <c r="B182" t="s">
        <v>823</v>
      </c>
    </row>
    <row r="183" spans="2:2">
      <c r="B183" t="s">
        <v>876</v>
      </c>
    </row>
    <row r="184" spans="2:2">
      <c r="B184" t="s">
        <v>877</v>
      </c>
    </row>
    <row r="185" spans="2:2">
      <c r="B185" t="s">
        <v>878</v>
      </c>
    </row>
    <row r="186" spans="2:2">
      <c r="B186" t="s">
        <v>879</v>
      </c>
    </row>
    <row r="187" spans="2:2">
      <c r="B187" t="s">
        <v>822</v>
      </c>
    </row>
    <row r="188" spans="2:2">
      <c r="B188" t="s">
        <v>823</v>
      </c>
    </row>
    <row r="189" spans="2:2">
      <c r="B189" t="s">
        <v>880</v>
      </c>
    </row>
    <row r="190" spans="2:2">
      <c r="B190" t="s">
        <v>881</v>
      </c>
    </row>
    <row r="191" spans="2:2">
      <c r="B191" t="s">
        <v>882</v>
      </c>
    </row>
    <row r="192" spans="2:2">
      <c r="B192" t="s">
        <v>883</v>
      </c>
    </row>
    <row r="193" spans="2:2">
      <c r="B193" t="s">
        <v>822</v>
      </c>
    </row>
    <row r="194" spans="2:2">
      <c r="B194" t="s">
        <v>823</v>
      </c>
    </row>
    <row r="195" spans="2:2">
      <c r="B195" t="s">
        <v>884</v>
      </c>
    </row>
    <row r="196" spans="2:2">
      <c r="B196" t="s">
        <v>885</v>
      </c>
    </row>
    <row r="197" spans="2:2">
      <c r="B197" t="s">
        <v>886</v>
      </c>
    </row>
    <row r="198" spans="2:2">
      <c r="B198" t="s">
        <v>887</v>
      </c>
    </row>
    <row r="199" spans="2:2">
      <c r="B199" t="s">
        <v>822</v>
      </c>
    </row>
    <row r="200" spans="2:2">
      <c r="B200" t="s">
        <v>823</v>
      </c>
    </row>
    <row r="201" spans="2:2">
      <c r="B201" t="s">
        <v>888</v>
      </c>
    </row>
    <row r="202" spans="2:2">
      <c r="B202" t="s">
        <v>889</v>
      </c>
    </row>
    <row r="203" spans="2:2">
      <c r="B203" t="s">
        <v>890</v>
      </c>
    </row>
    <row r="204" spans="2:2">
      <c r="B204" t="s">
        <v>891</v>
      </c>
    </row>
    <row r="205" spans="2:2">
      <c r="B205" t="s">
        <v>822</v>
      </c>
    </row>
    <row r="206" spans="2:2">
      <c r="B206" t="s">
        <v>823</v>
      </c>
    </row>
    <row r="207" spans="2:2">
      <c r="B207" t="s">
        <v>892</v>
      </c>
    </row>
    <row r="208" spans="2:2">
      <c r="B208" t="s">
        <v>893</v>
      </c>
    </row>
    <row r="209" spans="2:2">
      <c r="B209" t="s">
        <v>894</v>
      </c>
    </row>
    <row r="210" spans="2:2">
      <c r="B210" t="s">
        <v>895</v>
      </c>
    </row>
    <row r="211" spans="2:2">
      <c r="B211" t="s">
        <v>822</v>
      </c>
    </row>
    <row r="212" spans="2:2">
      <c r="B212" t="s">
        <v>823</v>
      </c>
    </row>
    <row r="213" spans="2:2">
      <c r="B213" t="s">
        <v>896</v>
      </c>
    </row>
    <row r="214" spans="2:2">
      <c r="B214" t="s">
        <v>897</v>
      </c>
    </row>
    <row r="215" spans="2:2">
      <c r="B215" t="s">
        <v>898</v>
      </c>
    </row>
    <row r="216" spans="2:2">
      <c r="B216" t="s">
        <v>899</v>
      </c>
    </row>
    <row r="217" spans="2:2">
      <c r="B217" t="s">
        <v>822</v>
      </c>
    </row>
    <row r="218" spans="2:2">
      <c r="B218" t="s">
        <v>823</v>
      </c>
    </row>
    <row r="219" spans="2:2">
      <c r="B219" t="s">
        <v>900</v>
      </c>
    </row>
    <row r="220" spans="2:2">
      <c r="B220" t="s">
        <v>901</v>
      </c>
    </row>
    <row r="221" spans="2:2">
      <c r="B221" t="s">
        <v>902</v>
      </c>
    </row>
    <row r="222" spans="2:2">
      <c r="B222" t="s">
        <v>903</v>
      </c>
    </row>
    <row r="223" spans="2:2">
      <c r="B223" t="s">
        <v>822</v>
      </c>
    </row>
    <row r="224" spans="2:2">
      <c r="B224" t="s">
        <v>823</v>
      </c>
    </row>
    <row r="225" spans="2:2">
      <c r="B225" t="s">
        <v>904</v>
      </c>
    </row>
    <row r="226" spans="2:2">
      <c r="B226" t="s">
        <v>905</v>
      </c>
    </row>
    <row r="227" spans="2:2">
      <c r="B227" t="s">
        <v>906</v>
      </c>
    </row>
    <row r="228" spans="2:2">
      <c r="B228" t="s">
        <v>907</v>
      </c>
    </row>
    <row r="229" spans="2:2">
      <c r="B229" t="s">
        <v>822</v>
      </c>
    </row>
    <row r="230" spans="2:2">
      <c r="B230" t="s">
        <v>823</v>
      </c>
    </row>
    <row r="231" spans="2:2">
      <c r="B231" t="s">
        <v>908</v>
      </c>
    </row>
    <row r="232" spans="2:2">
      <c r="B232" t="s">
        <v>909</v>
      </c>
    </row>
    <row r="233" spans="2:2">
      <c r="B233" t="s">
        <v>910</v>
      </c>
    </row>
    <row r="234" spans="2:2">
      <c r="B234" t="s">
        <v>911</v>
      </c>
    </row>
    <row r="235" spans="2:2">
      <c r="B235" t="s">
        <v>822</v>
      </c>
    </row>
    <row r="236" spans="2:2">
      <c r="B236" t="s">
        <v>823</v>
      </c>
    </row>
    <row r="237" spans="2:2">
      <c r="B237" t="s">
        <v>912</v>
      </c>
    </row>
    <row r="238" spans="2:2">
      <c r="B238" t="s">
        <v>913</v>
      </c>
    </row>
    <row r="239" spans="2:2">
      <c r="B239" t="s">
        <v>914</v>
      </c>
    </row>
    <row r="240" spans="2:2">
      <c r="B240" t="s">
        <v>915</v>
      </c>
    </row>
    <row r="241" spans="2:2">
      <c r="B241" t="s">
        <v>822</v>
      </c>
    </row>
    <row r="242" spans="2:2">
      <c r="B242" t="s">
        <v>823</v>
      </c>
    </row>
    <row r="243" spans="2:2">
      <c r="B243" t="s">
        <v>916</v>
      </c>
    </row>
    <row r="244" spans="2:2">
      <c r="B244" t="s">
        <v>917</v>
      </c>
    </row>
    <row r="245" spans="2:2">
      <c r="B245" t="s">
        <v>918</v>
      </c>
    </row>
    <row r="246" spans="2:2">
      <c r="B246" t="s">
        <v>919</v>
      </c>
    </row>
    <row r="247" spans="2:2">
      <c r="B247" t="s">
        <v>822</v>
      </c>
    </row>
    <row r="248" spans="2:2">
      <c r="B248" t="s">
        <v>823</v>
      </c>
    </row>
    <row r="249" spans="2:2">
      <c r="B249" t="s">
        <v>920</v>
      </c>
    </row>
    <row r="250" spans="2:2">
      <c r="B250" t="s">
        <v>921</v>
      </c>
    </row>
    <row r="251" spans="2:2">
      <c r="B251" t="s">
        <v>922</v>
      </c>
    </row>
    <row r="252" spans="2:2">
      <c r="B252" t="s">
        <v>923</v>
      </c>
    </row>
    <row r="253" spans="2:2">
      <c r="B253" t="s">
        <v>822</v>
      </c>
    </row>
    <row r="254" spans="2:2">
      <c r="B254" t="s">
        <v>823</v>
      </c>
    </row>
    <row r="255" spans="2:2">
      <c r="B255" t="s">
        <v>924</v>
      </c>
    </row>
    <row r="256" spans="2:2">
      <c r="B256" t="s">
        <v>925</v>
      </c>
    </row>
    <row r="257" spans="2:2">
      <c r="B257" t="s">
        <v>926</v>
      </c>
    </row>
    <row r="258" spans="2:2">
      <c r="B258" t="s">
        <v>927</v>
      </c>
    </row>
    <row r="259" spans="2:2">
      <c r="B259" t="s">
        <v>822</v>
      </c>
    </row>
    <row r="260" spans="2:2">
      <c r="B260" t="s">
        <v>823</v>
      </c>
    </row>
    <row r="261" spans="2:2">
      <c r="B261" t="s">
        <v>928</v>
      </c>
    </row>
    <row r="262" spans="2:2">
      <c r="B262" t="s">
        <v>929</v>
      </c>
    </row>
    <row r="263" spans="2:2">
      <c r="B263" t="s">
        <v>930</v>
      </c>
    </row>
    <row r="264" spans="2:2">
      <c r="B264" t="s">
        <v>931</v>
      </c>
    </row>
    <row r="265" spans="2:2">
      <c r="B265" t="s">
        <v>822</v>
      </c>
    </row>
    <row r="266" spans="2:2">
      <c r="B266" t="s">
        <v>823</v>
      </c>
    </row>
    <row r="267" spans="2:2">
      <c r="B267" t="s">
        <v>932</v>
      </c>
    </row>
    <row r="268" spans="2:2">
      <c r="B268" t="s">
        <v>933</v>
      </c>
    </row>
    <row r="269" spans="2:2">
      <c r="B269" t="s">
        <v>934</v>
      </c>
    </row>
    <row r="270" spans="2:2">
      <c r="B270" t="s">
        <v>935</v>
      </c>
    </row>
    <row r="271" spans="2:2">
      <c r="B271" t="s">
        <v>822</v>
      </c>
    </row>
    <row r="272" spans="2:2">
      <c r="B272" t="s">
        <v>823</v>
      </c>
    </row>
    <row r="273" spans="2:2">
      <c r="B273" t="s">
        <v>936</v>
      </c>
    </row>
    <row r="274" spans="2:2">
      <c r="B274" t="s">
        <v>937</v>
      </c>
    </row>
    <row r="275" spans="2:2">
      <c r="B275" t="s">
        <v>938</v>
      </c>
    </row>
    <row r="276" spans="2:2">
      <c r="B276" t="s">
        <v>939</v>
      </c>
    </row>
    <row r="277" spans="2:2">
      <c r="B277" t="s">
        <v>822</v>
      </c>
    </row>
    <row r="278" spans="2:2">
      <c r="B278" t="s">
        <v>823</v>
      </c>
    </row>
    <row r="279" spans="2:2">
      <c r="B279" t="s">
        <v>940</v>
      </c>
    </row>
    <row r="280" spans="2:2">
      <c r="B280" t="s">
        <v>941</v>
      </c>
    </row>
    <row r="281" spans="2:2">
      <c r="B281" t="s">
        <v>942</v>
      </c>
    </row>
    <row r="282" spans="2:2">
      <c r="B282" t="s">
        <v>943</v>
      </c>
    </row>
    <row r="283" spans="2:2">
      <c r="B283" t="s">
        <v>944</v>
      </c>
    </row>
    <row r="284" spans="2:2">
      <c r="B284" t="s">
        <v>823</v>
      </c>
    </row>
    <row r="285" spans="2:2">
      <c r="B285" t="s">
        <v>945</v>
      </c>
    </row>
    <row r="286" spans="2:2">
      <c r="B286" t="s">
        <v>946</v>
      </c>
    </row>
    <row r="287" spans="2:2">
      <c r="B287" t="s">
        <v>943</v>
      </c>
    </row>
    <row r="288" spans="2:2">
      <c r="B288" t="s">
        <v>947</v>
      </c>
    </row>
    <row r="289" spans="2:2">
      <c r="B289" t="s">
        <v>823</v>
      </c>
    </row>
    <row r="290" spans="2:2">
      <c r="B290" t="s">
        <v>945</v>
      </c>
    </row>
    <row r="291" spans="2:2">
      <c r="B291" t="s">
        <v>948</v>
      </c>
    </row>
    <row r="292" spans="2:2">
      <c r="B292" t="s">
        <v>943</v>
      </c>
    </row>
    <row r="293" spans="2:2">
      <c r="B293" t="s">
        <v>949</v>
      </c>
    </row>
    <row r="294" spans="2:2">
      <c r="B294" t="s">
        <v>823</v>
      </c>
    </row>
    <row r="295" spans="2:2">
      <c r="B295" t="s">
        <v>945</v>
      </c>
    </row>
    <row r="296" spans="2:2">
      <c r="B296" t="s">
        <v>950</v>
      </c>
    </row>
    <row r="297" spans="2:2">
      <c r="B297" t="s">
        <v>943</v>
      </c>
    </row>
    <row r="298" spans="2:2">
      <c r="B298" t="s">
        <v>951</v>
      </c>
    </row>
    <row r="299" spans="2:2">
      <c r="B299" t="s">
        <v>823</v>
      </c>
    </row>
    <row r="300" spans="2:2">
      <c r="B300" t="s">
        <v>945</v>
      </c>
    </row>
    <row r="301" spans="2:2">
      <c r="B301" t="s">
        <v>952</v>
      </c>
    </row>
    <row r="302" spans="2:2">
      <c r="B302" t="s">
        <v>943</v>
      </c>
    </row>
    <row r="303" spans="2:2">
      <c r="B303" t="s">
        <v>953</v>
      </c>
    </row>
    <row r="304" spans="2:2">
      <c r="B304" t="s">
        <v>823</v>
      </c>
    </row>
    <row r="305" spans="2:2">
      <c r="B305" t="s">
        <v>945</v>
      </c>
    </row>
    <row r="306" spans="2:2">
      <c r="B306" t="s">
        <v>954</v>
      </c>
    </row>
    <row r="307" spans="2:2">
      <c r="B307" t="s">
        <v>943</v>
      </c>
    </row>
    <row r="308" spans="2:2">
      <c r="B308" t="s">
        <v>955</v>
      </c>
    </row>
    <row r="309" spans="2:2">
      <c r="B309" t="s">
        <v>823</v>
      </c>
    </row>
    <row r="310" spans="2:2">
      <c r="B310" t="s">
        <v>945</v>
      </c>
    </row>
    <row r="311" spans="2:2">
      <c r="B311" t="s">
        <v>956</v>
      </c>
    </row>
    <row r="312" spans="2:2">
      <c r="B312" t="s">
        <v>943</v>
      </c>
    </row>
    <row r="313" spans="2:2">
      <c r="B313" t="s">
        <v>957</v>
      </c>
    </row>
    <row r="314" spans="2:2">
      <c r="B314" t="s">
        <v>823</v>
      </c>
    </row>
    <row r="315" spans="2:2">
      <c r="B315" t="s">
        <v>945</v>
      </c>
    </row>
    <row r="316" spans="2:2">
      <c r="B316" t="s">
        <v>958</v>
      </c>
    </row>
    <row r="317" spans="2:2">
      <c r="B317" t="s">
        <v>943</v>
      </c>
    </row>
    <row r="318" spans="2:2">
      <c r="B318" t="s">
        <v>959</v>
      </c>
    </row>
    <row r="319" spans="2:2">
      <c r="B319" t="s">
        <v>823</v>
      </c>
    </row>
    <row r="320" spans="2:2">
      <c r="B320" t="s">
        <v>945</v>
      </c>
    </row>
    <row r="321" spans="2:2">
      <c r="B321" t="s">
        <v>960</v>
      </c>
    </row>
    <row r="322" spans="2:2">
      <c r="B322" t="s">
        <v>943</v>
      </c>
    </row>
    <row r="323" spans="2:2">
      <c r="B323" t="s">
        <v>961</v>
      </c>
    </row>
    <row r="324" spans="2:2">
      <c r="B324" t="s">
        <v>823</v>
      </c>
    </row>
    <row r="325" spans="2:2">
      <c r="B325" t="s">
        <v>945</v>
      </c>
    </row>
    <row r="326" spans="2:2">
      <c r="B326" t="s">
        <v>962</v>
      </c>
    </row>
    <row r="327" spans="2:2">
      <c r="B327" t="s">
        <v>943</v>
      </c>
    </row>
    <row r="328" spans="2:2">
      <c r="B328" t="s">
        <v>963</v>
      </c>
    </row>
    <row r="329" spans="2:2">
      <c r="B329" t="s">
        <v>823</v>
      </c>
    </row>
    <row r="330" spans="2:2">
      <c r="B330" t="s">
        <v>945</v>
      </c>
    </row>
    <row r="331" spans="2:2">
      <c r="B331" t="s">
        <v>964</v>
      </c>
    </row>
    <row r="332" spans="2:2">
      <c r="B332" t="s">
        <v>943</v>
      </c>
    </row>
    <row r="333" spans="2:2">
      <c r="B333" t="s">
        <v>965</v>
      </c>
    </row>
    <row r="334" spans="2:2">
      <c r="B334" t="s">
        <v>823</v>
      </c>
    </row>
    <row r="335" spans="2:2">
      <c r="B335" t="s">
        <v>945</v>
      </c>
    </row>
    <row r="336" spans="2:2">
      <c r="B336" t="s">
        <v>966</v>
      </c>
    </row>
    <row r="337" spans="2:2">
      <c r="B337" t="s">
        <v>943</v>
      </c>
    </row>
    <row r="338" spans="2:2">
      <c r="B338" t="s">
        <v>967</v>
      </c>
    </row>
    <row r="339" spans="2:2">
      <c r="B339" t="s">
        <v>823</v>
      </c>
    </row>
    <row r="340" spans="2:2">
      <c r="B340" t="s">
        <v>945</v>
      </c>
    </row>
    <row r="341" spans="2:2">
      <c r="B341" t="s">
        <v>968</v>
      </c>
    </row>
    <row r="342" spans="2:2">
      <c r="B342" t="s">
        <v>943</v>
      </c>
    </row>
    <row r="343" spans="2:2">
      <c r="B343" t="s">
        <v>969</v>
      </c>
    </row>
    <row r="344" spans="2:2">
      <c r="B344" t="s">
        <v>823</v>
      </c>
    </row>
    <row r="345" spans="2:2">
      <c r="B345" t="s">
        <v>945</v>
      </c>
    </row>
    <row r="346" spans="2:2">
      <c r="B346" t="s">
        <v>970</v>
      </c>
    </row>
    <row r="347" spans="2:2">
      <c r="B347" t="s">
        <v>943</v>
      </c>
    </row>
    <row r="348" spans="2:2">
      <c r="B348" t="s">
        <v>971</v>
      </c>
    </row>
    <row r="349" spans="2:2">
      <c r="B349" t="s">
        <v>823</v>
      </c>
    </row>
    <row r="350" spans="2:2">
      <c r="B350" t="s">
        <v>945</v>
      </c>
    </row>
    <row r="351" spans="2:2">
      <c r="B351" t="s">
        <v>972</v>
      </c>
    </row>
    <row r="352" spans="2:2">
      <c r="B352" t="s">
        <v>943</v>
      </c>
    </row>
    <row r="353" spans="2:2">
      <c r="B353" t="s">
        <v>973</v>
      </c>
    </row>
    <row r="354" spans="2:2">
      <c r="B354" t="s">
        <v>823</v>
      </c>
    </row>
    <row r="355" spans="2:2">
      <c r="B355" t="s">
        <v>945</v>
      </c>
    </row>
    <row r="356" spans="2:2">
      <c r="B356" t="s">
        <v>974</v>
      </c>
    </row>
    <row r="357" spans="2:2">
      <c r="B357" t="s">
        <v>943</v>
      </c>
    </row>
    <row r="358" spans="2:2">
      <c r="B358" t="s">
        <v>975</v>
      </c>
    </row>
    <row r="359" spans="2:2">
      <c r="B359" t="s">
        <v>823</v>
      </c>
    </row>
    <row r="360" spans="2:2">
      <c r="B360" t="s">
        <v>945</v>
      </c>
    </row>
    <row r="361" spans="2:2">
      <c r="B361" t="s">
        <v>976</v>
      </c>
    </row>
    <row r="362" spans="2:2">
      <c r="B362" t="s">
        <v>943</v>
      </c>
    </row>
    <row r="363" spans="2:2">
      <c r="B363" t="s">
        <v>977</v>
      </c>
    </row>
    <row r="364" spans="2:2">
      <c r="B364" t="s">
        <v>823</v>
      </c>
    </row>
    <row r="365" spans="2:2">
      <c r="B365" t="s">
        <v>945</v>
      </c>
    </row>
    <row r="366" spans="2:2">
      <c r="B366" t="s">
        <v>978</v>
      </c>
    </row>
    <row r="367" spans="2:2">
      <c r="B367" t="s">
        <v>943</v>
      </c>
    </row>
    <row r="368" spans="2:2">
      <c r="B368" t="s">
        <v>979</v>
      </c>
    </row>
    <row r="369" spans="2:2">
      <c r="B369" t="s">
        <v>823</v>
      </c>
    </row>
    <row r="370" spans="2:2">
      <c r="B370" t="s">
        <v>945</v>
      </c>
    </row>
    <row r="371" spans="2:2">
      <c r="B371" t="s">
        <v>980</v>
      </c>
    </row>
    <row r="372" spans="2:2">
      <c r="B372" t="s">
        <v>943</v>
      </c>
    </row>
    <row r="373" spans="2:2">
      <c r="B373" t="s">
        <v>981</v>
      </c>
    </row>
    <row r="374" spans="2:2">
      <c r="B374" t="s">
        <v>823</v>
      </c>
    </row>
    <row r="375" spans="2:2">
      <c r="B375" t="s">
        <v>945</v>
      </c>
    </row>
    <row r="376" spans="2:2">
      <c r="B376" t="s">
        <v>982</v>
      </c>
    </row>
    <row r="377" spans="2:2">
      <c r="B377" t="s">
        <v>943</v>
      </c>
    </row>
    <row r="378" spans="2:2">
      <c r="B378" t="s">
        <v>983</v>
      </c>
    </row>
    <row r="379" spans="2:2">
      <c r="B379" t="s">
        <v>823</v>
      </c>
    </row>
    <row r="380" spans="2:2">
      <c r="B380" t="s">
        <v>945</v>
      </c>
    </row>
    <row r="381" spans="2:2">
      <c r="B381" t="s">
        <v>984</v>
      </c>
    </row>
    <row r="382" spans="2:2">
      <c r="B382" t="s">
        <v>943</v>
      </c>
    </row>
    <row r="383" spans="2:2">
      <c r="B383" t="s">
        <v>985</v>
      </c>
    </row>
    <row r="384" spans="2:2">
      <c r="B384" t="s">
        <v>823</v>
      </c>
    </row>
    <row r="385" spans="2:2">
      <c r="B385" t="s">
        <v>945</v>
      </c>
    </row>
    <row r="386" spans="2:2">
      <c r="B386" t="s">
        <v>986</v>
      </c>
    </row>
    <row r="387" spans="2:2">
      <c r="B387" t="s">
        <v>943</v>
      </c>
    </row>
    <row r="388" spans="2:2">
      <c r="B388" t="s">
        <v>987</v>
      </c>
    </row>
    <row r="389" spans="2:2">
      <c r="B389" t="s">
        <v>823</v>
      </c>
    </row>
    <row r="390" spans="2:2">
      <c r="B390" t="s">
        <v>945</v>
      </c>
    </row>
    <row r="391" spans="2:2">
      <c r="B391" t="s">
        <v>988</v>
      </c>
    </row>
    <row r="392" spans="2:2">
      <c r="B392" t="s">
        <v>943</v>
      </c>
    </row>
    <row r="393" spans="2:2">
      <c r="B393" t="s">
        <v>989</v>
      </c>
    </row>
    <row r="394" spans="2:2">
      <c r="B394" t="s">
        <v>823</v>
      </c>
    </row>
    <row r="395" spans="2:2">
      <c r="B395" t="s">
        <v>945</v>
      </c>
    </row>
    <row r="396" spans="2:2">
      <c r="B396" t="s">
        <v>990</v>
      </c>
    </row>
    <row r="397" spans="2:2">
      <c r="B397" t="s">
        <v>943</v>
      </c>
    </row>
    <row r="398" spans="2:2">
      <c r="B398" t="s">
        <v>991</v>
      </c>
    </row>
    <row r="399" spans="2:2">
      <c r="B399" t="s">
        <v>823</v>
      </c>
    </row>
    <row r="400" spans="2:2">
      <c r="B400" t="s">
        <v>945</v>
      </c>
    </row>
    <row r="401" spans="2:2">
      <c r="B401" t="s">
        <v>992</v>
      </c>
    </row>
    <row r="402" spans="2:2">
      <c r="B402" t="s">
        <v>943</v>
      </c>
    </row>
    <row r="403" spans="2:2">
      <c r="B403" t="s">
        <v>993</v>
      </c>
    </row>
    <row r="404" spans="2:2">
      <c r="B404" t="s">
        <v>823</v>
      </c>
    </row>
    <row r="405" spans="2:2">
      <c r="B405" t="s">
        <v>945</v>
      </c>
    </row>
    <row r="406" spans="2:2">
      <c r="B406" t="s">
        <v>994</v>
      </c>
    </row>
    <row r="407" spans="2:2">
      <c r="B407" t="s">
        <v>943</v>
      </c>
    </row>
    <row r="408" spans="2:2">
      <c r="B408" t="s">
        <v>995</v>
      </c>
    </row>
    <row r="409" spans="2:2">
      <c r="B409" t="s">
        <v>823</v>
      </c>
    </row>
    <row r="410" spans="2:2">
      <c r="B410" t="s">
        <v>945</v>
      </c>
    </row>
    <row r="411" spans="2:2">
      <c r="B411" t="s">
        <v>996</v>
      </c>
    </row>
    <row r="412" spans="2:2">
      <c r="B412" t="s">
        <v>943</v>
      </c>
    </row>
    <row r="413" spans="2:2">
      <c r="B413" t="s">
        <v>997</v>
      </c>
    </row>
    <row r="414" spans="2:2">
      <c r="B414" t="s">
        <v>823</v>
      </c>
    </row>
    <row r="415" spans="2:2">
      <c r="B415" t="s">
        <v>945</v>
      </c>
    </row>
    <row r="416" spans="2:2">
      <c r="B416" t="s">
        <v>998</v>
      </c>
    </row>
    <row r="417" spans="2:2">
      <c r="B417" t="s">
        <v>943</v>
      </c>
    </row>
    <row r="418" spans="2:2">
      <c r="B418" t="s">
        <v>999</v>
      </c>
    </row>
    <row r="419" spans="2:2">
      <c r="B419" t="s">
        <v>823</v>
      </c>
    </row>
    <row r="420" spans="2:2">
      <c r="B420" t="s">
        <v>945</v>
      </c>
    </row>
    <row r="421" spans="2:2">
      <c r="B421" t="s">
        <v>1000</v>
      </c>
    </row>
    <row r="422" spans="2:2">
      <c r="B422" t="s">
        <v>943</v>
      </c>
    </row>
    <row r="423" spans="2:2">
      <c r="B423" t="s">
        <v>1001</v>
      </c>
    </row>
    <row r="424" spans="2:2">
      <c r="B424" t="s">
        <v>823</v>
      </c>
    </row>
    <row r="425" spans="2:2">
      <c r="B425" t="s">
        <v>945</v>
      </c>
    </row>
    <row r="426" spans="2:2">
      <c r="B426" t="s">
        <v>1002</v>
      </c>
    </row>
    <row r="427" spans="2:2">
      <c r="B427" t="s">
        <v>943</v>
      </c>
    </row>
    <row r="428" spans="2:2">
      <c r="B428" t="s">
        <v>1003</v>
      </c>
    </row>
    <row r="429" spans="2:2">
      <c r="B429" t="s">
        <v>823</v>
      </c>
    </row>
    <row r="430" spans="2:2">
      <c r="B430" t="s">
        <v>945</v>
      </c>
    </row>
    <row r="431" spans="2:2">
      <c r="B431" t="s">
        <v>1004</v>
      </c>
    </row>
    <row r="432" spans="2:2">
      <c r="B432" t="s">
        <v>1005</v>
      </c>
    </row>
    <row r="433" spans="2:2">
      <c r="B433" t="s">
        <v>1006</v>
      </c>
    </row>
    <row r="434" spans="2:2">
      <c r="B434" t="s">
        <v>1007</v>
      </c>
    </row>
    <row r="435" spans="2:2">
      <c r="B435" t="s">
        <v>1008</v>
      </c>
    </row>
    <row r="436" spans="2:2">
      <c r="B436" t="s">
        <v>1009</v>
      </c>
    </row>
    <row r="437" spans="2:2">
      <c r="B437" t="s">
        <v>1010</v>
      </c>
    </row>
    <row r="438" spans="2:2">
      <c r="B438" t="s">
        <v>1011</v>
      </c>
    </row>
    <row r="439" spans="2:2">
      <c r="B439" t="s">
        <v>1012</v>
      </c>
    </row>
    <row r="440" spans="2:2">
      <c r="B440" t="s">
        <v>1013</v>
      </c>
    </row>
    <row r="441" spans="2:2">
      <c r="B441" t="s">
        <v>1014</v>
      </c>
    </row>
    <row r="442" spans="2:2">
      <c r="B442" t="s">
        <v>1015</v>
      </c>
    </row>
    <row r="443" spans="2:2">
      <c r="B443" t="s">
        <v>1016</v>
      </c>
    </row>
    <row r="444" spans="2:2">
      <c r="B444" t="s">
        <v>1017</v>
      </c>
    </row>
    <row r="445" spans="2:2">
      <c r="B445" t="s">
        <v>1018</v>
      </c>
    </row>
    <row r="446" spans="2:2">
      <c r="B446" t="s">
        <v>1019</v>
      </c>
    </row>
    <row r="447" spans="2:2">
      <c r="B447" t="s">
        <v>1020</v>
      </c>
    </row>
    <row r="448" spans="2:2">
      <c r="B448" t="s">
        <v>1021</v>
      </c>
    </row>
    <row r="449" spans="2:2">
      <c r="B449" t="s">
        <v>1022</v>
      </c>
    </row>
    <row r="450" spans="2:2">
      <c r="B450" t="s">
        <v>1023</v>
      </c>
    </row>
    <row r="451" spans="2:2">
      <c r="B451" t="s">
        <v>1024</v>
      </c>
    </row>
    <row r="452" spans="2:2">
      <c r="B452" t="s">
        <v>1025</v>
      </c>
    </row>
    <row r="453" spans="2:2">
      <c r="B453" t="s">
        <v>1026</v>
      </c>
    </row>
    <row r="454" spans="2:2">
      <c r="B454" t="s">
        <v>1027</v>
      </c>
    </row>
    <row r="455" spans="2:2">
      <c r="B455" t="s">
        <v>1028</v>
      </c>
    </row>
    <row r="456" spans="2:2">
      <c r="B456" t="s">
        <v>1029</v>
      </c>
    </row>
    <row r="457" spans="2:2">
      <c r="B457" t="s">
        <v>1030</v>
      </c>
    </row>
    <row r="458" spans="2:2">
      <c r="B458" t="s">
        <v>1031</v>
      </c>
    </row>
    <row r="459" spans="2:2">
      <c r="B459" t="s">
        <v>1032</v>
      </c>
    </row>
    <row r="460" spans="2:2">
      <c r="B460" t="s">
        <v>1033</v>
      </c>
    </row>
    <row r="461" spans="2:2">
      <c r="B461" t="s">
        <v>1034</v>
      </c>
    </row>
    <row r="462" spans="2:2">
      <c r="B462" t="s">
        <v>1035</v>
      </c>
    </row>
    <row r="463" spans="2:2">
      <c r="B463" t="s">
        <v>1036</v>
      </c>
    </row>
    <row r="464" spans="2:2">
      <c r="B464" t="s">
        <v>1037</v>
      </c>
    </row>
    <row r="465" spans="2:2">
      <c r="B465" t="s">
        <v>1038</v>
      </c>
    </row>
    <row r="466" spans="2:2">
      <c r="B466" t="s">
        <v>1039</v>
      </c>
    </row>
    <row r="467" spans="2:2">
      <c r="B467" t="s">
        <v>1040</v>
      </c>
    </row>
    <row r="468" spans="2:2">
      <c r="B468" t="s">
        <v>1041</v>
      </c>
    </row>
    <row r="469" spans="2:2">
      <c r="B469" t="s">
        <v>1042</v>
      </c>
    </row>
    <row r="470" spans="2:2">
      <c r="B470" t="s">
        <v>1043</v>
      </c>
    </row>
    <row r="471" spans="2:2">
      <c r="B471" t="s">
        <v>1044</v>
      </c>
    </row>
    <row r="472" spans="2:2">
      <c r="B472" t="s">
        <v>1045</v>
      </c>
    </row>
    <row r="473" spans="2:2">
      <c r="B473" t="s">
        <v>1046</v>
      </c>
    </row>
    <row r="474" spans="2:2">
      <c r="B474" t="s">
        <v>1047</v>
      </c>
    </row>
    <row r="475" spans="2:2">
      <c r="B475" t="s">
        <v>1048</v>
      </c>
    </row>
    <row r="476" spans="2:2">
      <c r="B476" t="s">
        <v>1049</v>
      </c>
    </row>
    <row r="477" spans="2:2">
      <c r="B477" t="s">
        <v>1050</v>
      </c>
    </row>
    <row r="478" spans="2:2">
      <c r="B478" t="s">
        <v>1051</v>
      </c>
    </row>
    <row r="479" spans="2:2">
      <c r="B479" t="s">
        <v>1052</v>
      </c>
    </row>
    <row r="480" spans="2:2">
      <c r="B480" t="s">
        <v>1053</v>
      </c>
    </row>
    <row r="481" spans="2:2">
      <c r="B481" t="s">
        <v>1054</v>
      </c>
    </row>
    <row r="482" spans="2:2">
      <c r="B482" t="s">
        <v>1055</v>
      </c>
    </row>
    <row r="483" spans="2:2">
      <c r="B483" t="s">
        <v>1056</v>
      </c>
    </row>
    <row r="484" spans="2:2">
      <c r="B484" t="s">
        <v>1057</v>
      </c>
    </row>
    <row r="485" spans="2:2">
      <c r="B485" t="s">
        <v>1058</v>
      </c>
    </row>
    <row r="486" spans="2:2">
      <c r="B486" t="s">
        <v>1059</v>
      </c>
    </row>
    <row r="487" spans="2:2">
      <c r="B487" t="s">
        <v>1060</v>
      </c>
    </row>
    <row r="488" spans="2:2">
      <c r="B488" t="s">
        <v>1061</v>
      </c>
    </row>
    <row r="489" spans="2:2">
      <c r="B489" t="s">
        <v>1062</v>
      </c>
    </row>
    <row r="490" spans="2:2">
      <c r="B490" t="s">
        <v>1063</v>
      </c>
    </row>
    <row r="491" spans="2:2">
      <c r="B491" t="s">
        <v>1064</v>
      </c>
    </row>
    <row r="492" spans="2:2">
      <c r="B492" t="s">
        <v>1065</v>
      </c>
    </row>
    <row r="493" spans="2:2">
      <c r="B493" t="s">
        <v>1066</v>
      </c>
    </row>
    <row r="494" spans="2:2">
      <c r="B494" t="s">
        <v>1067</v>
      </c>
    </row>
    <row r="495" spans="2:2">
      <c r="B495" t="s">
        <v>1068</v>
      </c>
    </row>
    <row r="496" spans="2:2">
      <c r="B496" t="s">
        <v>1037</v>
      </c>
    </row>
    <row r="497" spans="2:2">
      <c r="B497" t="s">
        <v>1069</v>
      </c>
    </row>
    <row r="498" spans="2:2">
      <c r="B498" t="s">
        <v>1070</v>
      </c>
    </row>
    <row r="499" spans="2:2">
      <c r="B499" t="s">
        <v>1071</v>
      </c>
    </row>
    <row r="500" spans="2:2">
      <c r="B500" t="s">
        <v>1072</v>
      </c>
    </row>
    <row r="501" spans="2:2">
      <c r="B501" t="s">
        <v>1073</v>
      </c>
    </row>
    <row r="502" spans="2:2">
      <c r="B502" t="s">
        <v>1074</v>
      </c>
    </row>
    <row r="503" spans="2:2">
      <c r="B503" t="s">
        <v>1075</v>
      </c>
    </row>
    <row r="504" spans="2:2">
      <c r="B504" t="s">
        <v>1076</v>
      </c>
    </row>
    <row r="505" spans="2:2">
      <c r="B505" t="s">
        <v>1077</v>
      </c>
    </row>
    <row r="506" spans="2:2">
      <c r="B506" t="s">
        <v>1078</v>
      </c>
    </row>
    <row r="507" spans="2:2">
      <c r="B507" t="s">
        <v>1079</v>
      </c>
    </row>
    <row r="508" spans="2:2">
      <c r="B508" t="s">
        <v>1080</v>
      </c>
    </row>
    <row r="509" spans="2:2">
      <c r="B509" t="s">
        <v>1081</v>
      </c>
    </row>
    <row r="510" spans="2:2">
      <c r="B510" t="s">
        <v>1082</v>
      </c>
    </row>
    <row r="511" spans="2:2">
      <c r="B511" t="s">
        <v>1083</v>
      </c>
    </row>
    <row r="512" spans="2:2">
      <c r="B512" t="s">
        <v>1084</v>
      </c>
    </row>
    <row r="513" spans="2:2">
      <c r="B513" t="s">
        <v>1085</v>
      </c>
    </row>
    <row r="514" spans="2:2">
      <c r="B514" t="s">
        <v>1086</v>
      </c>
    </row>
    <row r="515" spans="2:2">
      <c r="B515" t="s">
        <v>1087</v>
      </c>
    </row>
    <row r="516" spans="2:2">
      <c r="B516" t="s">
        <v>1088</v>
      </c>
    </row>
    <row r="517" spans="2:2">
      <c r="B517" t="s">
        <v>1089</v>
      </c>
    </row>
    <row r="518" spans="2:2">
      <c r="B518" t="s">
        <v>1090</v>
      </c>
    </row>
    <row r="519" spans="2:2">
      <c r="B519" t="s">
        <v>1091</v>
      </c>
    </row>
    <row r="520" spans="2:2">
      <c r="B520" t="s">
        <v>1092</v>
      </c>
    </row>
    <row r="521" spans="2:2">
      <c r="B521" t="s">
        <v>1093</v>
      </c>
    </row>
    <row r="522" spans="2:2">
      <c r="B522" t="s">
        <v>1094</v>
      </c>
    </row>
    <row r="523" spans="2:2">
      <c r="B523" t="s">
        <v>1095</v>
      </c>
    </row>
    <row r="524" spans="2:2">
      <c r="B524" t="s">
        <v>1096</v>
      </c>
    </row>
    <row r="525" spans="2:2">
      <c r="B525" t="s">
        <v>1097</v>
      </c>
    </row>
    <row r="526" spans="2:2">
      <c r="B526" t="s">
        <v>1098</v>
      </c>
    </row>
    <row r="527" spans="2:2">
      <c r="B527" t="s">
        <v>1099</v>
      </c>
    </row>
    <row r="528" spans="2:2">
      <c r="B528" t="s">
        <v>1037</v>
      </c>
    </row>
    <row r="529" spans="2:2">
      <c r="B529" t="s">
        <v>1100</v>
      </c>
    </row>
    <row r="530" spans="2:2">
      <c r="B530" t="s">
        <v>1101</v>
      </c>
    </row>
    <row r="531" spans="2:2">
      <c r="B531" t="s">
        <v>1102</v>
      </c>
    </row>
    <row r="532" spans="2:2">
      <c r="B532" t="s">
        <v>1103</v>
      </c>
    </row>
    <row r="533" spans="2:2">
      <c r="B533" t="s">
        <v>1104</v>
      </c>
    </row>
    <row r="534" spans="2:2">
      <c r="B534" t="s">
        <v>1105</v>
      </c>
    </row>
    <row r="535" spans="2:2">
      <c r="B535" t="s">
        <v>1037</v>
      </c>
    </row>
    <row r="536" spans="2:2">
      <c r="B536" t="s">
        <v>1106</v>
      </c>
    </row>
    <row r="537" spans="2:2">
      <c r="B537" t="s">
        <v>1107</v>
      </c>
    </row>
    <row r="538" spans="2:2">
      <c r="B538" t="s">
        <v>1108</v>
      </c>
    </row>
    <row r="539" spans="2:2">
      <c r="B539" t="s">
        <v>1109</v>
      </c>
    </row>
    <row r="540" spans="2:2">
      <c r="B540" t="s">
        <v>1037</v>
      </c>
    </row>
    <row r="541" spans="2:2">
      <c r="B541" t="s">
        <v>1100</v>
      </c>
    </row>
    <row r="542" spans="2:2">
      <c r="B542" t="s">
        <v>1110</v>
      </c>
    </row>
    <row r="543" spans="2:2">
      <c r="B543" t="s">
        <v>1111</v>
      </c>
    </row>
    <row r="544" spans="2:2">
      <c r="B544" t="s">
        <v>1112</v>
      </c>
    </row>
    <row r="545" spans="2:2">
      <c r="B545" t="s">
        <v>1113</v>
      </c>
    </row>
    <row r="546" spans="2:2">
      <c r="B546" t="s">
        <v>823</v>
      </c>
    </row>
    <row r="547" spans="2:2">
      <c r="B547" t="s">
        <v>1114</v>
      </c>
    </row>
    <row r="548" spans="2:2">
      <c r="B548" t="s">
        <v>1115</v>
      </c>
    </row>
    <row r="549" spans="2:2">
      <c r="B549" t="s">
        <v>1112</v>
      </c>
    </row>
    <row r="550" spans="2:2">
      <c r="B550" t="s">
        <v>1116</v>
      </c>
    </row>
    <row r="551" spans="2:2">
      <c r="B551" t="s">
        <v>823</v>
      </c>
    </row>
    <row r="552" spans="2:2">
      <c r="B552" t="s">
        <v>1114</v>
      </c>
    </row>
    <row r="553" spans="2:2">
      <c r="B553" t="s">
        <v>1117</v>
      </c>
    </row>
    <row r="554" spans="2:2">
      <c r="B554" t="s">
        <v>1118</v>
      </c>
    </row>
    <row r="555" spans="2:2">
      <c r="B555" t="s">
        <v>1119</v>
      </c>
    </row>
  </sheetData>
  <mergeCells count="7">
    <mergeCell ref="N3:Q3"/>
    <mergeCell ref="B4:C4"/>
    <mergeCell ref="D4:E4"/>
    <mergeCell ref="F4:G4"/>
    <mergeCell ref="H4:I4"/>
    <mergeCell ref="J4:K4"/>
    <mergeCell ref="B3:K3"/>
  </mergeCells>
  <hyperlinks>
    <hyperlink ref="B4" location="'NNC_Output'!$B$10:$B$10" display="Inputs" xr:uid="{2F6F9BDE-2356-4EE8-B963-409565392858}"/>
    <hyperlink ref="D4" location="'NNC_Stored'!$B$10:$B$10" display="PMML Model" xr:uid="{01CA4A63-C2D7-400D-BAA5-6A089CDF17EC}"/>
    <hyperlink ref="F4" location="'NNC_TrainLog'!$B$10:$B$10" display="Training Log" xr:uid="{65C009D2-78E0-4FA5-8AC9-2C500C86F41C}"/>
    <hyperlink ref="H4" location="'NNC_TrainingScore'!$B$10:$B$10" display="Training: Classification Summary" xr:uid="{8C14F023-1D7F-41EC-B3A8-8977858092C5}"/>
    <hyperlink ref="J4" location="'NNC_ValidationScore'!$B$10:$B$10" display="Validation: Classification Summary" xr:uid="{6B4C8C59-DF83-48B7-AF70-9CE4F753869E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1DC09-744F-4F91-B3E6-545E1CFB11DA}">
  <dimension ref="A1:AG19"/>
  <sheetViews>
    <sheetView workbookViewId="0">
      <selection activeCell="F5" sqref="F5"/>
    </sheetView>
  </sheetViews>
  <sheetFormatPr defaultRowHeight="14.4"/>
  <cols>
    <col min="1" max="1" width="14.77734375" customWidth="1"/>
    <col min="3" max="3" width="8.88671875" style="5"/>
  </cols>
  <sheetData>
    <row r="1" spans="1:33">
      <c r="A1" t="s">
        <v>77</v>
      </c>
      <c r="B1" s="5" t="s">
        <v>76</v>
      </c>
      <c r="C1" s="7" t="s">
        <v>2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58</v>
      </c>
      <c r="Q1" t="s">
        <v>59</v>
      </c>
      <c r="R1" t="s">
        <v>60</v>
      </c>
      <c r="S1" t="s">
        <v>61</v>
      </c>
      <c r="T1" t="s">
        <v>62</v>
      </c>
      <c r="U1" t="s">
        <v>63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t="s">
        <v>73</v>
      </c>
      <c r="AF1" t="s">
        <v>74</v>
      </c>
      <c r="AG1" t="s">
        <v>75</v>
      </c>
    </row>
    <row r="2" spans="1:33">
      <c r="A2">
        <v>1</v>
      </c>
      <c r="B2">
        <v>91762702</v>
      </c>
      <c r="C2" s="5" t="s">
        <v>45</v>
      </c>
      <c r="D2">
        <v>24.63</v>
      </c>
      <c r="E2">
        <v>21.6</v>
      </c>
      <c r="F2">
        <v>165.5</v>
      </c>
      <c r="G2">
        <v>1841</v>
      </c>
      <c r="H2">
        <v>0.10299999999999999</v>
      </c>
      <c r="I2">
        <v>0.21060000000000001</v>
      </c>
      <c r="J2">
        <v>0.23100000000000001</v>
      </c>
      <c r="K2">
        <v>0.14710000000000001</v>
      </c>
      <c r="L2">
        <v>0.1991</v>
      </c>
      <c r="M2">
        <v>6.7390000000000005E-2</v>
      </c>
      <c r="N2">
        <v>0.99150000000000005</v>
      </c>
      <c r="O2">
        <v>0.90039999999999998</v>
      </c>
      <c r="P2">
        <v>7.05</v>
      </c>
      <c r="Q2">
        <v>139.9</v>
      </c>
      <c r="R2">
        <v>4.9890000000000004E-3</v>
      </c>
      <c r="S2">
        <v>3.2120000000000003E-2</v>
      </c>
      <c r="T2">
        <v>3.5709999999999999E-2</v>
      </c>
      <c r="U2">
        <v>1.5970000000000002E-2</v>
      </c>
      <c r="V2">
        <v>1.8790000000000001E-2</v>
      </c>
      <c r="W2">
        <v>4.7600000000000003E-3</v>
      </c>
      <c r="X2">
        <v>29.92</v>
      </c>
      <c r="Y2">
        <v>26.93</v>
      </c>
      <c r="Z2">
        <v>205.7</v>
      </c>
      <c r="AA2">
        <v>2642</v>
      </c>
      <c r="AB2">
        <v>0.13420000000000001</v>
      </c>
      <c r="AC2">
        <v>0.41880000000000001</v>
      </c>
      <c r="AD2">
        <v>0.46579999999999999</v>
      </c>
      <c r="AE2">
        <v>0.2475</v>
      </c>
      <c r="AF2">
        <v>0.31569999999999998</v>
      </c>
      <c r="AG2">
        <v>9.6710000000000004E-2</v>
      </c>
    </row>
    <row r="3" spans="1:33">
      <c r="A3">
        <v>2</v>
      </c>
      <c r="B3">
        <v>91789</v>
      </c>
      <c r="C3" s="5" t="s">
        <v>45</v>
      </c>
      <c r="D3">
        <v>11.26</v>
      </c>
      <c r="E3">
        <v>19.829999999999998</v>
      </c>
      <c r="F3">
        <v>71.3</v>
      </c>
      <c r="G3">
        <v>388.1</v>
      </c>
      <c r="H3">
        <v>8.5110000000000005E-2</v>
      </c>
      <c r="I3">
        <v>4.4130000000000003E-2</v>
      </c>
      <c r="J3">
        <v>5.0670000000000003E-3</v>
      </c>
      <c r="K3">
        <v>5.6639999999999998E-3</v>
      </c>
      <c r="L3">
        <v>0.16370000000000001</v>
      </c>
      <c r="M3">
        <v>6.343E-2</v>
      </c>
      <c r="N3">
        <v>0.13439999999999999</v>
      </c>
      <c r="O3">
        <v>1.083</v>
      </c>
      <c r="P3">
        <v>0.98119999999999996</v>
      </c>
      <c r="Q3">
        <v>9.3320000000000007</v>
      </c>
      <c r="R3">
        <v>4.1999999999999997E-3</v>
      </c>
      <c r="S3">
        <v>5.8999999999999999E-3</v>
      </c>
      <c r="T3">
        <v>3.846E-3</v>
      </c>
      <c r="U3">
        <v>4.065E-3</v>
      </c>
      <c r="V3">
        <v>1.487E-2</v>
      </c>
      <c r="W3">
        <v>2.2950000000000002E-3</v>
      </c>
      <c r="X3">
        <v>11.93</v>
      </c>
      <c r="Y3">
        <v>26.43</v>
      </c>
      <c r="Z3">
        <v>76.38</v>
      </c>
      <c r="AA3">
        <v>435.9</v>
      </c>
      <c r="AB3">
        <v>0.1108</v>
      </c>
      <c r="AC3">
        <v>7.7229999999999993E-2</v>
      </c>
      <c r="AD3">
        <v>2.5329999999999998E-2</v>
      </c>
      <c r="AE3">
        <v>2.8320000000000001E-2</v>
      </c>
      <c r="AF3">
        <v>0.25569999999999998</v>
      </c>
      <c r="AG3">
        <v>7.6130000000000003E-2</v>
      </c>
    </row>
    <row r="4" spans="1:33">
      <c r="A4">
        <v>3</v>
      </c>
      <c r="B4">
        <v>917896</v>
      </c>
      <c r="C4" s="5" t="s">
        <v>45</v>
      </c>
      <c r="D4">
        <v>13.71</v>
      </c>
      <c r="E4">
        <v>18.68</v>
      </c>
      <c r="F4">
        <v>88.73</v>
      </c>
      <c r="G4">
        <v>571</v>
      </c>
      <c r="H4">
        <v>9.9159999999999998E-2</v>
      </c>
      <c r="I4">
        <v>0.107</v>
      </c>
      <c r="J4">
        <v>5.3850000000000002E-2</v>
      </c>
      <c r="K4">
        <v>3.7830000000000003E-2</v>
      </c>
      <c r="L4">
        <v>0.1714</v>
      </c>
      <c r="M4">
        <v>6.8430000000000005E-2</v>
      </c>
      <c r="N4">
        <v>0.31909999999999999</v>
      </c>
      <c r="O4">
        <v>1.2490000000000001</v>
      </c>
      <c r="P4">
        <v>2.2839999999999998</v>
      </c>
      <c r="Q4">
        <v>26.45</v>
      </c>
      <c r="R4">
        <v>6.7390000000000002E-3</v>
      </c>
      <c r="S4">
        <v>2.2509999999999999E-2</v>
      </c>
      <c r="T4">
        <v>2.086E-2</v>
      </c>
      <c r="U4">
        <v>1.3520000000000001E-2</v>
      </c>
      <c r="V4">
        <v>1.8700000000000001E-2</v>
      </c>
      <c r="W4">
        <v>3.7469999999999999E-3</v>
      </c>
      <c r="X4">
        <v>15.11</v>
      </c>
      <c r="Y4">
        <v>25.63</v>
      </c>
      <c r="Z4">
        <v>99.43</v>
      </c>
      <c r="AA4">
        <v>701.9</v>
      </c>
      <c r="AB4">
        <v>0.14249999999999999</v>
      </c>
      <c r="AC4">
        <v>0.25659999999999999</v>
      </c>
      <c r="AD4">
        <v>0.19350000000000001</v>
      </c>
      <c r="AE4">
        <v>0.12839999999999999</v>
      </c>
      <c r="AF4">
        <v>0.28489999999999999</v>
      </c>
      <c r="AG4">
        <v>9.0310000000000001E-2</v>
      </c>
    </row>
    <row r="5" spans="1:33">
      <c r="A5">
        <v>4</v>
      </c>
      <c r="B5">
        <v>917897</v>
      </c>
      <c r="C5" s="5" t="s">
        <v>45</v>
      </c>
      <c r="D5">
        <v>9.8469999999999995</v>
      </c>
      <c r="E5">
        <v>15.68</v>
      </c>
      <c r="F5">
        <v>63</v>
      </c>
      <c r="G5">
        <v>293.2</v>
      </c>
      <c r="H5">
        <v>9.4920000000000004E-2</v>
      </c>
      <c r="I5">
        <v>8.4190000000000001E-2</v>
      </c>
      <c r="J5">
        <v>2.3300000000000001E-2</v>
      </c>
      <c r="K5">
        <v>2.4160000000000001E-2</v>
      </c>
      <c r="L5">
        <v>0.13869999999999999</v>
      </c>
      <c r="M5">
        <v>6.8909999999999999E-2</v>
      </c>
      <c r="N5">
        <v>0.24979999999999999</v>
      </c>
      <c r="O5">
        <v>1.216</v>
      </c>
      <c r="P5">
        <v>1.976</v>
      </c>
      <c r="Q5">
        <v>15.24</v>
      </c>
      <c r="R5">
        <v>8.7320000000000002E-3</v>
      </c>
      <c r="S5">
        <v>2.0420000000000001E-2</v>
      </c>
      <c r="T5">
        <v>1.0619999999999999E-2</v>
      </c>
      <c r="U5">
        <v>6.8009999999999998E-3</v>
      </c>
      <c r="V5">
        <v>1.8239999999999999E-2</v>
      </c>
      <c r="W5">
        <v>3.4940000000000001E-3</v>
      </c>
      <c r="X5">
        <v>11.24</v>
      </c>
      <c r="Y5">
        <v>22.99</v>
      </c>
      <c r="Z5">
        <v>74.319999999999993</v>
      </c>
      <c r="AA5">
        <v>376.5</v>
      </c>
      <c r="AB5">
        <v>0.1419</v>
      </c>
      <c r="AC5">
        <v>0.2243</v>
      </c>
      <c r="AD5">
        <v>8.4339999999999998E-2</v>
      </c>
      <c r="AE5">
        <v>6.5280000000000005E-2</v>
      </c>
      <c r="AF5">
        <v>0.25019999999999998</v>
      </c>
      <c r="AG5">
        <v>9.2090000000000005E-2</v>
      </c>
    </row>
    <row r="6" spans="1:33">
      <c r="A6">
        <v>5</v>
      </c>
      <c r="B6">
        <v>91805</v>
      </c>
      <c r="C6" s="5" t="s">
        <v>45</v>
      </c>
      <c r="D6">
        <v>8.5709999999999997</v>
      </c>
      <c r="E6">
        <v>13.1</v>
      </c>
      <c r="F6">
        <v>54.53</v>
      </c>
      <c r="G6">
        <v>221.3</v>
      </c>
      <c r="H6">
        <v>0.1036</v>
      </c>
      <c r="I6">
        <v>7.6319999999999999E-2</v>
      </c>
      <c r="J6">
        <v>2.5649999999999999E-2</v>
      </c>
      <c r="K6">
        <v>1.5100000000000001E-2</v>
      </c>
      <c r="L6">
        <v>0.1678</v>
      </c>
      <c r="M6">
        <v>7.1260000000000004E-2</v>
      </c>
      <c r="N6">
        <v>0.12670000000000001</v>
      </c>
      <c r="O6">
        <v>0.67930000000000001</v>
      </c>
      <c r="P6">
        <v>1.069</v>
      </c>
      <c r="Q6">
        <v>7.2539999999999996</v>
      </c>
      <c r="R6">
        <v>7.8969999999999995E-3</v>
      </c>
      <c r="S6">
        <v>1.762E-2</v>
      </c>
      <c r="T6">
        <v>1.8010000000000002E-2</v>
      </c>
      <c r="U6">
        <v>7.3200000000000001E-3</v>
      </c>
      <c r="V6">
        <v>1.592E-2</v>
      </c>
      <c r="W6">
        <v>3.9249999999999997E-3</v>
      </c>
      <c r="X6">
        <v>9.4730000000000008</v>
      </c>
      <c r="Y6">
        <v>18.45</v>
      </c>
      <c r="Z6">
        <v>63.3</v>
      </c>
      <c r="AA6">
        <v>275.60000000000002</v>
      </c>
      <c r="AB6">
        <v>0.1641</v>
      </c>
      <c r="AC6">
        <v>0.2235</v>
      </c>
      <c r="AD6">
        <v>0.1754</v>
      </c>
      <c r="AE6">
        <v>8.5120000000000001E-2</v>
      </c>
      <c r="AF6">
        <v>0.29830000000000001</v>
      </c>
      <c r="AG6">
        <v>0.10489999999999999</v>
      </c>
    </row>
    <row r="7" spans="1:33">
      <c r="A7">
        <v>6</v>
      </c>
      <c r="B7">
        <v>91813701</v>
      </c>
      <c r="C7" s="5" t="s">
        <v>45</v>
      </c>
      <c r="D7">
        <v>13.46</v>
      </c>
      <c r="E7">
        <v>18.75</v>
      </c>
      <c r="F7">
        <v>87.44</v>
      </c>
      <c r="G7">
        <v>551.1</v>
      </c>
      <c r="H7">
        <v>0.1075</v>
      </c>
      <c r="I7">
        <v>0.1138</v>
      </c>
      <c r="J7">
        <v>4.2009999999999999E-2</v>
      </c>
      <c r="K7">
        <v>3.1519999999999999E-2</v>
      </c>
      <c r="L7">
        <v>0.17230000000000001</v>
      </c>
      <c r="M7">
        <v>6.3170000000000004E-2</v>
      </c>
      <c r="N7">
        <v>0.19980000000000001</v>
      </c>
      <c r="O7">
        <v>0.60680000000000001</v>
      </c>
      <c r="P7">
        <v>1.4430000000000001</v>
      </c>
      <c r="Q7">
        <v>16.07</v>
      </c>
      <c r="R7">
        <v>4.4130000000000003E-3</v>
      </c>
      <c r="S7">
        <v>1.443E-2</v>
      </c>
      <c r="T7">
        <v>1.5089999999999999E-2</v>
      </c>
      <c r="U7">
        <v>7.3689999999999997E-3</v>
      </c>
      <c r="V7">
        <v>1.354E-2</v>
      </c>
      <c r="W7">
        <v>1.787E-3</v>
      </c>
      <c r="X7">
        <v>15.35</v>
      </c>
      <c r="Y7">
        <v>25.16</v>
      </c>
      <c r="Z7">
        <v>101.9</v>
      </c>
      <c r="AA7">
        <v>719.8</v>
      </c>
      <c r="AB7">
        <v>0.16239999999999999</v>
      </c>
      <c r="AC7">
        <v>0.31240000000000001</v>
      </c>
      <c r="AD7">
        <v>0.26540000000000002</v>
      </c>
      <c r="AE7">
        <v>0.14269999999999999</v>
      </c>
      <c r="AF7">
        <v>0.3518</v>
      </c>
      <c r="AG7">
        <v>8.6650000000000005E-2</v>
      </c>
    </row>
    <row r="8" spans="1:33">
      <c r="A8">
        <v>7</v>
      </c>
      <c r="B8">
        <v>91813702</v>
      </c>
      <c r="C8" s="5" t="s">
        <v>45</v>
      </c>
      <c r="D8">
        <v>12.34</v>
      </c>
      <c r="E8">
        <v>12.27</v>
      </c>
      <c r="F8">
        <v>78.94</v>
      </c>
      <c r="G8">
        <v>468.5</v>
      </c>
      <c r="H8">
        <v>9.0029999999999999E-2</v>
      </c>
      <c r="I8">
        <v>6.3070000000000001E-2</v>
      </c>
      <c r="J8">
        <v>2.9579999999999999E-2</v>
      </c>
      <c r="K8">
        <v>2.647E-2</v>
      </c>
      <c r="L8">
        <v>0.16889999999999999</v>
      </c>
      <c r="M8">
        <v>5.808E-2</v>
      </c>
      <c r="N8">
        <v>0.1166</v>
      </c>
      <c r="O8">
        <v>0.49569999999999997</v>
      </c>
      <c r="P8">
        <v>0.77139999999999997</v>
      </c>
      <c r="Q8">
        <v>8.9550000000000001</v>
      </c>
      <c r="R8">
        <v>3.6809999999999998E-3</v>
      </c>
      <c r="S8">
        <v>9.1690000000000001E-3</v>
      </c>
      <c r="T8">
        <v>8.7320000000000002E-3</v>
      </c>
      <c r="U8">
        <v>5.7400000000000003E-3</v>
      </c>
      <c r="V8">
        <v>1.129E-2</v>
      </c>
      <c r="W8">
        <v>1.366E-3</v>
      </c>
      <c r="X8">
        <v>13.61</v>
      </c>
      <c r="Y8">
        <v>19.27</v>
      </c>
      <c r="Z8">
        <v>87.22</v>
      </c>
      <c r="AA8">
        <v>564.9</v>
      </c>
      <c r="AB8">
        <v>0.12920000000000001</v>
      </c>
      <c r="AC8">
        <v>0.2074</v>
      </c>
      <c r="AD8">
        <v>0.17910000000000001</v>
      </c>
      <c r="AE8">
        <v>0.107</v>
      </c>
      <c r="AF8">
        <v>0.311</v>
      </c>
      <c r="AG8">
        <v>7.5920000000000001E-2</v>
      </c>
    </row>
    <row r="9" spans="1:33">
      <c r="A9">
        <v>8</v>
      </c>
      <c r="B9">
        <v>918192</v>
      </c>
      <c r="C9" s="5" t="s">
        <v>45</v>
      </c>
      <c r="D9">
        <v>13.94</v>
      </c>
      <c r="E9">
        <v>13.17</v>
      </c>
      <c r="F9">
        <v>90.31</v>
      </c>
      <c r="G9">
        <v>594.20000000000005</v>
      </c>
      <c r="H9">
        <v>0.12479999999999999</v>
      </c>
      <c r="I9">
        <v>9.7549999999999998E-2</v>
      </c>
      <c r="J9">
        <v>0.10100000000000001</v>
      </c>
      <c r="K9">
        <v>6.615E-2</v>
      </c>
      <c r="L9">
        <v>0.1976</v>
      </c>
      <c r="M9">
        <v>6.4570000000000002E-2</v>
      </c>
      <c r="N9">
        <v>0.54610000000000003</v>
      </c>
      <c r="O9">
        <v>2.6349999999999998</v>
      </c>
      <c r="P9">
        <v>4.0910000000000002</v>
      </c>
      <c r="Q9">
        <v>44.74</v>
      </c>
      <c r="R9">
        <v>1.004E-2</v>
      </c>
      <c r="S9">
        <v>3.2469999999999999E-2</v>
      </c>
      <c r="T9">
        <v>4.7629999999999999E-2</v>
      </c>
      <c r="U9">
        <v>2.853E-2</v>
      </c>
      <c r="V9">
        <v>1.7149999999999999E-2</v>
      </c>
      <c r="W9">
        <v>5.5279999999999999E-3</v>
      </c>
      <c r="X9">
        <v>14.62</v>
      </c>
      <c r="Y9">
        <v>15.38</v>
      </c>
      <c r="Z9">
        <v>94.52</v>
      </c>
      <c r="AA9">
        <v>653.29999999999995</v>
      </c>
      <c r="AB9">
        <v>0.1394</v>
      </c>
      <c r="AC9">
        <v>0.13639999999999999</v>
      </c>
      <c r="AD9">
        <v>0.15590000000000001</v>
      </c>
      <c r="AE9">
        <v>0.10150000000000001</v>
      </c>
      <c r="AF9">
        <v>0.216</v>
      </c>
      <c r="AG9">
        <v>7.2529999999999997E-2</v>
      </c>
    </row>
    <row r="10" spans="1:33">
      <c r="A10">
        <v>9</v>
      </c>
      <c r="B10">
        <v>918465</v>
      </c>
      <c r="C10" s="5" t="s">
        <v>45</v>
      </c>
      <c r="D10">
        <v>12.07</v>
      </c>
      <c r="E10">
        <v>13.44</v>
      </c>
      <c r="F10">
        <v>77.83</v>
      </c>
      <c r="G10">
        <v>445.2</v>
      </c>
      <c r="H10">
        <v>0.11</v>
      </c>
      <c r="I10">
        <v>9.0090000000000003E-2</v>
      </c>
      <c r="J10">
        <v>3.7810000000000003E-2</v>
      </c>
      <c r="K10">
        <v>2.7980000000000001E-2</v>
      </c>
      <c r="L10">
        <v>0.16569999999999999</v>
      </c>
      <c r="M10">
        <v>6.608E-2</v>
      </c>
      <c r="N10">
        <v>0.25130000000000002</v>
      </c>
      <c r="O10">
        <v>0.504</v>
      </c>
      <c r="P10">
        <v>1.714</v>
      </c>
      <c r="Q10">
        <v>18.54</v>
      </c>
      <c r="R10">
        <v>7.3270000000000002E-3</v>
      </c>
      <c r="S10">
        <v>1.153E-2</v>
      </c>
      <c r="T10">
        <v>1.7979999999999999E-2</v>
      </c>
      <c r="U10">
        <v>7.986E-3</v>
      </c>
      <c r="V10">
        <v>1.9619999999999999E-2</v>
      </c>
      <c r="W10">
        <v>2.2339999999999999E-3</v>
      </c>
      <c r="X10">
        <v>13.45</v>
      </c>
      <c r="Y10">
        <v>15.77</v>
      </c>
      <c r="Z10">
        <v>86.92</v>
      </c>
      <c r="AA10">
        <v>549.9</v>
      </c>
      <c r="AB10">
        <v>0.15210000000000001</v>
      </c>
      <c r="AC10">
        <v>0.16320000000000001</v>
      </c>
      <c r="AD10">
        <v>0.16220000000000001</v>
      </c>
      <c r="AE10">
        <v>7.3929999999999996E-2</v>
      </c>
      <c r="AF10">
        <v>0.27810000000000001</v>
      </c>
      <c r="AG10">
        <v>8.0519999999999994E-2</v>
      </c>
    </row>
    <row r="11" spans="1:33">
      <c r="A11">
        <v>10</v>
      </c>
      <c r="B11">
        <v>91858</v>
      </c>
      <c r="C11" s="5" t="s">
        <v>45</v>
      </c>
      <c r="D11">
        <v>11.75</v>
      </c>
      <c r="E11">
        <v>17.559999999999999</v>
      </c>
      <c r="F11">
        <v>75.89</v>
      </c>
      <c r="G11">
        <v>422.9</v>
      </c>
      <c r="H11">
        <v>0.10730000000000001</v>
      </c>
      <c r="I11">
        <v>9.7129999999999994E-2</v>
      </c>
      <c r="J11">
        <v>5.2819999999999999E-2</v>
      </c>
      <c r="K11">
        <v>4.4400000000000002E-2</v>
      </c>
      <c r="L11">
        <v>0.1598</v>
      </c>
      <c r="M11">
        <v>6.6769999999999996E-2</v>
      </c>
      <c r="N11">
        <v>0.43840000000000001</v>
      </c>
      <c r="O11">
        <v>1.907</v>
      </c>
      <c r="P11">
        <v>3.149</v>
      </c>
      <c r="Q11">
        <v>30.66</v>
      </c>
      <c r="R11">
        <v>6.587E-3</v>
      </c>
      <c r="S11">
        <v>1.8149999999999999E-2</v>
      </c>
      <c r="T11">
        <v>1.737E-2</v>
      </c>
      <c r="U11">
        <v>1.316E-2</v>
      </c>
      <c r="V11">
        <v>1.8350000000000002E-2</v>
      </c>
      <c r="W11">
        <v>2.3180000000000002E-3</v>
      </c>
      <c r="X11">
        <v>13.5</v>
      </c>
      <c r="Y11">
        <v>27.98</v>
      </c>
      <c r="Z11">
        <v>88.52</v>
      </c>
      <c r="AA11">
        <v>552.29999999999995</v>
      </c>
      <c r="AB11">
        <v>0.13489999999999999</v>
      </c>
      <c r="AC11">
        <v>0.18540000000000001</v>
      </c>
      <c r="AD11">
        <v>0.1366</v>
      </c>
      <c r="AE11">
        <v>0.10100000000000001</v>
      </c>
      <c r="AF11">
        <v>0.24779999999999999</v>
      </c>
      <c r="AG11">
        <v>7.757E-2</v>
      </c>
    </row>
    <row r="12" spans="1:33">
      <c r="A12">
        <v>11</v>
      </c>
      <c r="B12">
        <v>91903901</v>
      </c>
      <c r="C12" s="5" t="s">
        <v>45</v>
      </c>
      <c r="D12">
        <v>11.67</v>
      </c>
      <c r="E12">
        <v>20.02</v>
      </c>
      <c r="F12">
        <v>75.209999999999994</v>
      </c>
      <c r="G12">
        <v>416.2</v>
      </c>
      <c r="H12">
        <v>0.1016</v>
      </c>
      <c r="I12">
        <v>9.4530000000000003E-2</v>
      </c>
      <c r="J12">
        <v>4.2000000000000003E-2</v>
      </c>
      <c r="K12">
        <v>2.1569999999999999E-2</v>
      </c>
      <c r="L12">
        <v>0.18590000000000001</v>
      </c>
      <c r="M12">
        <v>6.4610000000000001E-2</v>
      </c>
      <c r="N12">
        <v>0.20669999999999999</v>
      </c>
      <c r="O12">
        <v>0.87450000000000006</v>
      </c>
      <c r="P12">
        <v>1.393</v>
      </c>
      <c r="Q12">
        <v>15.34</v>
      </c>
      <c r="R12">
        <v>5.2509999999999996E-3</v>
      </c>
      <c r="S12">
        <v>1.7270000000000001E-2</v>
      </c>
      <c r="T12">
        <v>1.84E-2</v>
      </c>
      <c r="U12">
        <v>5.2979999999999998E-3</v>
      </c>
      <c r="V12">
        <v>1.4489999999999999E-2</v>
      </c>
      <c r="W12">
        <v>2.6710000000000002E-3</v>
      </c>
      <c r="X12">
        <v>13.35</v>
      </c>
      <c r="Y12">
        <v>28.81</v>
      </c>
      <c r="Z12">
        <v>87</v>
      </c>
      <c r="AA12">
        <v>550.6</v>
      </c>
      <c r="AB12">
        <v>0.155</v>
      </c>
      <c r="AC12">
        <v>0.2964</v>
      </c>
      <c r="AD12">
        <v>0.27579999999999999</v>
      </c>
      <c r="AE12">
        <v>8.1199999999999994E-2</v>
      </c>
      <c r="AF12">
        <v>0.3206</v>
      </c>
      <c r="AG12">
        <v>8.9499999999999996E-2</v>
      </c>
    </row>
    <row r="13" spans="1:33">
      <c r="A13">
        <v>12</v>
      </c>
      <c r="B13">
        <v>91903902</v>
      </c>
      <c r="C13" s="5" t="s">
        <v>45</v>
      </c>
      <c r="D13">
        <v>13.68</v>
      </c>
      <c r="E13">
        <v>16.329999999999998</v>
      </c>
      <c r="F13">
        <v>87.76</v>
      </c>
      <c r="G13">
        <v>575.5</v>
      </c>
      <c r="H13">
        <v>9.2770000000000005E-2</v>
      </c>
      <c r="I13">
        <v>7.2550000000000003E-2</v>
      </c>
      <c r="J13">
        <v>1.7520000000000001E-2</v>
      </c>
      <c r="K13">
        <v>1.8800000000000001E-2</v>
      </c>
      <c r="L13">
        <v>0.16309999999999999</v>
      </c>
      <c r="M13">
        <v>6.1550000000000001E-2</v>
      </c>
      <c r="N13">
        <v>0.20469999999999999</v>
      </c>
      <c r="O13">
        <v>0.48010000000000003</v>
      </c>
      <c r="P13">
        <v>1.373</v>
      </c>
      <c r="Q13">
        <v>17.25</v>
      </c>
      <c r="R13">
        <v>3.8279999999999998E-3</v>
      </c>
      <c r="S13">
        <v>7.228E-3</v>
      </c>
      <c r="T13">
        <v>7.0780000000000001E-3</v>
      </c>
      <c r="U13">
        <v>5.0769999999999999E-3</v>
      </c>
      <c r="V13">
        <v>1.0540000000000001E-2</v>
      </c>
      <c r="W13">
        <v>1.6969999999999999E-3</v>
      </c>
      <c r="X13">
        <v>15.85</v>
      </c>
      <c r="Y13">
        <v>20.2</v>
      </c>
      <c r="Z13">
        <v>101.6</v>
      </c>
      <c r="AA13">
        <v>773.4</v>
      </c>
      <c r="AB13">
        <v>0.12640000000000001</v>
      </c>
      <c r="AC13">
        <v>0.15640000000000001</v>
      </c>
      <c r="AD13">
        <v>0.1206</v>
      </c>
      <c r="AE13">
        <v>8.7040000000000006E-2</v>
      </c>
      <c r="AF13">
        <v>0.28060000000000002</v>
      </c>
      <c r="AG13">
        <v>7.782E-2</v>
      </c>
    </row>
    <row r="14" spans="1:33">
      <c r="A14">
        <v>13</v>
      </c>
      <c r="B14">
        <v>91930402</v>
      </c>
      <c r="C14" s="5" t="s">
        <v>45</v>
      </c>
      <c r="D14">
        <v>20.47</v>
      </c>
      <c r="E14">
        <v>20.67</v>
      </c>
      <c r="F14">
        <v>134.69999999999999</v>
      </c>
      <c r="G14">
        <v>1299</v>
      </c>
      <c r="H14">
        <v>9.1560000000000002E-2</v>
      </c>
      <c r="I14">
        <v>0.1313</v>
      </c>
      <c r="J14">
        <v>0.15229999999999999</v>
      </c>
      <c r="K14">
        <v>0.10150000000000001</v>
      </c>
      <c r="L14">
        <v>0.21659999999999999</v>
      </c>
      <c r="M14">
        <v>5.4190000000000002E-2</v>
      </c>
      <c r="N14">
        <v>0.83360000000000001</v>
      </c>
      <c r="O14">
        <v>1.736</v>
      </c>
      <c r="P14">
        <v>5.1680000000000001</v>
      </c>
      <c r="Q14">
        <v>100.4</v>
      </c>
      <c r="R14">
        <v>4.9379999999999997E-3</v>
      </c>
      <c r="S14">
        <v>3.0890000000000001E-2</v>
      </c>
      <c r="T14">
        <v>4.0930000000000001E-2</v>
      </c>
      <c r="U14">
        <v>1.6990000000000002E-2</v>
      </c>
      <c r="V14">
        <v>2.8160000000000001E-2</v>
      </c>
      <c r="W14">
        <v>2.7190000000000001E-3</v>
      </c>
      <c r="X14">
        <v>23.23</v>
      </c>
      <c r="Y14">
        <v>27.15</v>
      </c>
      <c r="Z14">
        <v>152</v>
      </c>
      <c r="AA14">
        <v>1645</v>
      </c>
      <c r="AB14">
        <v>0.10970000000000001</v>
      </c>
      <c r="AC14">
        <v>0.25340000000000001</v>
      </c>
      <c r="AD14">
        <v>0.30919999999999997</v>
      </c>
      <c r="AE14">
        <v>0.1613</v>
      </c>
      <c r="AF14">
        <v>0.32200000000000001</v>
      </c>
      <c r="AG14">
        <v>6.386E-2</v>
      </c>
    </row>
    <row r="15" spans="1:33">
      <c r="A15">
        <v>14</v>
      </c>
      <c r="B15">
        <v>919537</v>
      </c>
      <c r="C15" s="5" t="s">
        <v>45</v>
      </c>
      <c r="D15">
        <v>10.96</v>
      </c>
      <c r="E15">
        <v>17.62</v>
      </c>
      <c r="F15">
        <v>70.790000000000006</v>
      </c>
      <c r="G15">
        <v>365.6</v>
      </c>
      <c r="H15">
        <v>9.6869999999999998E-2</v>
      </c>
      <c r="I15">
        <v>9.7519999999999996E-2</v>
      </c>
      <c r="J15">
        <v>5.2630000000000003E-2</v>
      </c>
      <c r="K15">
        <v>2.7879999999999999E-2</v>
      </c>
      <c r="L15">
        <v>0.16189999999999999</v>
      </c>
      <c r="M15">
        <v>6.4079999999999998E-2</v>
      </c>
      <c r="N15">
        <v>0.1507</v>
      </c>
      <c r="O15">
        <v>1.583</v>
      </c>
      <c r="P15">
        <v>1.165</v>
      </c>
      <c r="Q15">
        <v>10.09</v>
      </c>
      <c r="R15">
        <v>9.5010000000000008E-3</v>
      </c>
      <c r="S15">
        <v>3.3779999999999998E-2</v>
      </c>
      <c r="T15">
        <v>4.4010000000000001E-2</v>
      </c>
      <c r="U15">
        <v>1.346E-2</v>
      </c>
      <c r="V15">
        <v>1.3220000000000001E-2</v>
      </c>
      <c r="W15">
        <v>3.5339999999999998E-3</v>
      </c>
      <c r="X15">
        <v>11.62</v>
      </c>
      <c r="Y15">
        <v>26.51</v>
      </c>
      <c r="Z15">
        <v>76.430000000000007</v>
      </c>
      <c r="AA15">
        <v>407.5</v>
      </c>
      <c r="AB15">
        <v>0.14280000000000001</v>
      </c>
      <c r="AC15">
        <v>0.251</v>
      </c>
      <c r="AD15">
        <v>0.21229999999999999</v>
      </c>
      <c r="AE15">
        <v>9.8610000000000003E-2</v>
      </c>
      <c r="AF15">
        <v>0.22889999999999999</v>
      </c>
      <c r="AG15">
        <v>8.2780000000000006E-2</v>
      </c>
    </row>
    <row r="16" spans="1:33">
      <c r="A16">
        <v>15</v>
      </c>
      <c r="B16">
        <v>919555</v>
      </c>
      <c r="C16" s="5" t="s">
        <v>45</v>
      </c>
      <c r="D16">
        <v>20.55</v>
      </c>
      <c r="E16">
        <v>20.86</v>
      </c>
      <c r="F16">
        <v>137.80000000000001</v>
      </c>
      <c r="G16">
        <v>1308</v>
      </c>
      <c r="H16">
        <v>0.1046</v>
      </c>
      <c r="I16">
        <v>0.1739</v>
      </c>
      <c r="J16">
        <v>0.20849999999999999</v>
      </c>
      <c r="K16">
        <v>0.13220000000000001</v>
      </c>
      <c r="L16">
        <v>0.2127</v>
      </c>
      <c r="M16">
        <v>6.2509999999999996E-2</v>
      </c>
      <c r="N16">
        <v>0.6986</v>
      </c>
      <c r="O16">
        <v>0.99009999999999998</v>
      </c>
      <c r="P16">
        <v>4.7060000000000004</v>
      </c>
      <c r="Q16">
        <v>87.78</v>
      </c>
      <c r="R16">
        <v>4.5779999999999996E-3</v>
      </c>
      <c r="S16">
        <v>2.6159999999999999E-2</v>
      </c>
      <c r="T16">
        <v>4.0050000000000002E-2</v>
      </c>
      <c r="U16">
        <v>1.421E-2</v>
      </c>
      <c r="V16">
        <v>1.9480000000000001E-2</v>
      </c>
      <c r="W16">
        <v>2.689E-3</v>
      </c>
      <c r="X16">
        <v>24.3</v>
      </c>
      <c r="Y16">
        <v>25.48</v>
      </c>
      <c r="Z16">
        <v>160.19999999999999</v>
      </c>
      <c r="AA16">
        <v>1809</v>
      </c>
      <c r="AB16">
        <v>0.1268</v>
      </c>
      <c r="AC16">
        <v>0.3135</v>
      </c>
      <c r="AD16">
        <v>0.44330000000000003</v>
      </c>
      <c r="AE16">
        <v>0.21479999999999999</v>
      </c>
      <c r="AF16">
        <v>0.30769999999999997</v>
      </c>
      <c r="AG16">
        <v>7.5689999999999993E-2</v>
      </c>
    </row>
    <row r="17" spans="1:33">
      <c r="A17">
        <v>16</v>
      </c>
      <c r="B17">
        <v>91979701</v>
      </c>
      <c r="C17" s="5" t="s">
        <v>45</v>
      </c>
      <c r="D17">
        <v>14.27</v>
      </c>
      <c r="E17">
        <v>22.55</v>
      </c>
      <c r="F17">
        <v>93.77</v>
      </c>
      <c r="G17">
        <v>629.79999999999995</v>
      </c>
      <c r="H17">
        <v>0.1038</v>
      </c>
      <c r="I17">
        <v>0.1154</v>
      </c>
      <c r="J17">
        <v>0.14630000000000001</v>
      </c>
      <c r="K17">
        <v>6.139E-2</v>
      </c>
      <c r="L17">
        <v>0.19259999999999999</v>
      </c>
      <c r="M17">
        <v>5.9819999999999998E-2</v>
      </c>
      <c r="N17">
        <v>0.20269999999999999</v>
      </c>
      <c r="O17">
        <v>1.851</v>
      </c>
      <c r="P17">
        <v>1.895</v>
      </c>
      <c r="Q17">
        <v>18.54</v>
      </c>
      <c r="R17">
        <v>6.1130000000000004E-3</v>
      </c>
      <c r="S17">
        <v>2.5829999999999999E-2</v>
      </c>
      <c r="T17">
        <v>4.6449999999999998E-2</v>
      </c>
      <c r="U17">
        <v>1.2760000000000001E-2</v>
      </c>
      <c r="V17">
        <v>1.451E-2</v>
      </c>
      <c r="W17">
        <v>3.7559999999999998E-3</v>
      </c>
      <c r="X17">
        <v>15.29</v>
      </c>
      <c r="Y17">
        <v>34.270000000000003</v>
      </c>
      <c r="Z17">
        <v>104.3</v>
      </c>
      <c r="AA17">
        <v>728.3</v>
      </c>
      <c r="AB17">
        <v>0.13800000000000001</v>
      </c>
      <c r="AC17">
        <v>0.27329999999999999</v>
      </c>
      <c r="AD17">
        <v>0.4234</v>
      </c>
      <c r="AE17">
        <v>0.13619999999999999</v>
      </c>
      <c r="AF17">
        <v>0.26979999999999998</v>
      </c>
      <c r="AG17">
        <v>8.3510000000000001E-2</v>
      </c>
    </row>
    <row r="18" spans="1:33">
      <c r="A18">
        <v>17</v>
      </c>
      <c r="B18">
        <v>919812</v>
      </c>
      <c r="C18" s="5" t="s">
        <v>45</v>
      </c>
      <c r="D18">
        <v>11.69</v>
      </c>
      <c r="E18">
        <v>24.44</v>
      </c>
      <c r="F18">
        <v>76.37</v>
      </c>
      <c r="G18">
        <v>406.4</v>
      </c>
      <c r="H18">
        <v>0.1236</v>
      </c>
      <c r="I18">
        <v>0.1552</v>
      </c>
      <c r="J18">
        <v>4.5150000000000003E-2</v>
      </c>
      <c r="K18">
        <v>4.5310000000000003E-2</v>
      </c>
      <c r="L18">
        <v>0.21310000000000001</v>
      </c>
      <c r="M18">
        <v>7.4050000000000005E-2</v>
      </c>
      <c r="N18">
        <v>0.29570000000000002</v>
      </c>
      <c r="O18">
        <v>1.978</v>
      </c>
      <c r="P18">
        <v>2.1579999999999999</v>
      </c>
      <c r="Q18">
        <v>20.95</v>
      </c>
      <c r="R18">
        <v>1.2880000000000001E-2</v>
      </c>
      <c r="S18">
        <v>3.4950000000000002E-2</v>
      </c>
      <c r="T18">
        <v>1.865E-2</v>
      </c>
      <c r="U18">
        <v>1.7659999999999999E-2</v>
      </c>
      <c r="V18">
        <v>1.5599999999999999E-2</v>
      </c>
      <c r="W18">
        <v>5.8240000000000002E-3</v>
      </c>
      <c r="X18">
        <v>12.98</v>
      </c>
      <c r="Y18">
        <v>32.19</v>
      </c>
      <c r="Z18">
        <v>86.12</v>
      </c>
      <c r="AA18">
        <v>487.7</v>
      </c>
      <c r="AB18">
        <v>0.17680000000000001</v>
      </c>
      <c r="AC18">
        <v>0.3251</v>
      </c>
      <c r="AD18">
        <v>0.13950000000000001</v>
      </c>
      <c r="AE18">
        <v>0.1308</v>
      </c>
      <c r="AF18">
        <v>0.28029999999999999</v>
      </c>
      <c r="AG18">
        <v>9.9699999999999997E-2</v>
      </c>
    </row>
    <row r="19" spans="1:33">
      <c r="A19">
        <v>18</v>
      </c>
      <c r="B19">
        <v>921092</v>
      </c>
      <c r="C19" s="5" t="s">
        <v>45</v>
      </c>
      <c r="D19">
        <v>7.7290000000000001</v>
      </c>
      <c r="E19">
        <v>25.49</v>
      </c>
      <c r="F19">
        <v>47.98</v>
      </c>
      <c r="G19">
        <v>178.8</v>
      </c>
      <c r="H19">
        <v>8.0979999999999996E-2</v>
      </c>
      <c r="I19">
        <v>4.8779999999999997E-2</v>
      </c>
      <c r="J19">
        <v>0</v>
      </c>
      <c r="K19">
        <v>0</v>
      </c>
      <c r="L19">
        <v>0.187</v>
      </c>
      <c r="M19">
        <v>7.2849999999999998E-2</v>
      </c>
      <c r="N19">
        <v>0.37769999999999998</v>
      </c>
      <c r="O19">
        <v>1.462</v>
      </c>
      <c r="P19">
        <v>2.492</v>
      </c>
      <c r="Q19">
        <v>19.14</v>
      </c>
      <c r="R19">
        <v>1.2659999999999999E-2</v>
      </c>
      <c r="S19">
        <v>9.6919999999999992E-3</v>
      </c>
      <c r="T19">
        <v>0</v>
      </c>
      <c r="U19">
        <v>0</v>
      </c>
      <c r="V19">
        <v>2.8819999999999998E-2</v>
      </c>
      <c r="W19">
        <v>6.8719999999999996E-3</v>
      </c>
      <c r="X19">
        <v>9.077</v>
      </c>
      <c r="Y19">
        <v>30.92</v>
      </c>
      <c r="Z19">
        <v>57.17</v>
      </c>
      <c r="AA19">
        <v>248</v>
      </c>
      <c r="AB19">
        <v>0.12559999999999999</v>
      </c>
      <c r="AC19">
        <v>8.3400000000000002E-2</v>
      </c>
      <c r="AD19">
        <v>0</v>
      </c>
      <c r="AE19">
        <v>0</v>
      </c>
      <c r="AF19">
        <v>0.30580000000000002</v>
      </c>
      <c r="AG19">
        <v>9.9379999999999996E-2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AD61A-2B49-4723-A7D0-EB92BC5BF0AA}">
  <dimension ref="B1:CV51"/>
  <sheetViews>
    <sheetView showGridLines="0" topLeftCell="A15" workbookViewId="0">
      <selection activeCell="H37" sqref="H37"/>
    </sheetView>
  </sheetViews>
  <sheetFormatPr defaultRowHeight="14.4"/>
  <cols>
    <col min="3" max="3" width="11" customWidth="1"/>
    <col min="4" max="4" width="16.33203125" customWidth="1"/>
    <col min="6" max="6" width="11.21875" customWidth="1"/>
    <col min="7" max="9" width="18.109375" customWidth="1"/>
    <col min="10" max="10" width="29.109375" bestFit="1" customWidth="1"/>
    <col min="11" max="15" width="18.109375" customWidth="1"/>
    <col min="16" max="36" width="19.109375" customWidth="1"/>
  </cols>
  <sheetData>
    <row r="1" spans="2:100" ht="18">
      <c r="B1" s="8" t="s">
        <v>79</v>
      </c>
      <c r="N1" t="s">
        <v>2431</v>
      </c>
      <c r="CV1" s="15" t="s">
        <v>2432</v>
      </c>
    </row>
    <row r="3" spans="2:100" ht="15.6">
      <c r="B3" s="17" t="s">
        <v>80</v>
      </c>
      <c r="C3" s="18"/>
      <c r="D3" s="18"/>
      <c r="E3" s="19"/>
      <c r="J3" s="17" t="s">
        <v>103</v>
      </c>
      <c r="K3" s="18"/>
      <c r="L3" s="18"/>
      <c r="M3" s="19"/>
    </row>
    <row r="4" spans="2:100">
      <c r="B4" s="16" t="s">
        <v>81</v>
      </c>
      <c r="C4" s="16"/>
      <c r="D4" s="16" t="s">
        <v>82</v>
      </c>
      <c r="E4" s="16"/>
      <c r="J4" s="14" t="s">
        <v>104</v>
      </c>
      <c r="K4" s="14" t="s">
        <v>105</v>
      </c>
      <c r="L4" s="14" t="s">
        <v>106</v>
      </c>
      <c r="M4" s="14" t="s">
        <v>107</v>
      </c>
    </row>
    <row r="5" spans="2:100">
      <c r="J5" s="12">
        <v>291</v>
      </c>
      <c r="K5" s="12">
        <v>3</v>
      </c>
      <c r="L5" s="12">
        <v>0</v>
      </c>
      <c r="M5" s="12">
        <v>294</v>
      </c>
    </row>
    <row r="10" spans="2:100" ht="18">
      <c r="B10" s="9" t="s">
        <v>81</v>
      </c>
    </row>
    <row r="12" spans="2:100" ht="15.6">
      <c r="C12" s="22" t="s">
        <v>83</v>
      </c>
      <c r="D12" s="22"/>
      <c r="E12" s="22"/>
      <c r="F12" s="22"/>
      <c r="G12" s="22"/>
      <c r="H12" s="22"/>
      <c r="I12" s="22"/>
    </row>
    <row r="13" spans="2:100">
      <c r="C13" s="20" t="s">
        <v>84</v>
      </c>
      <c r="D13" s="20"/>
      <c r="E13" s="21"/>
      <c r="F13" s="24" t="s">
        <v>98</v>
      </c>
      <c r="G13" s="24"/>
      <c r="H13" s="24"/>
      <c r="I13" s="24"/>
    </row>
    <row r="14" spans="2:100">
      <c r="C14" s="20" t="s">
        <v>85</v>
      </c>
      <c r="D14" s="20"/>
      <c r="E14" s="21"/>
      <c r="F14" s="24" t="s">
        <v>2429</v>
      </c>
      <c r="G14" s="24"/>
      <c r="H14" s="24"/>
      <c r="I14" s="24"/>
    </row>
    <row r="15" spans="2:100">
      <c r="C15" s="20" t="s">
        <v>86</v>
      </c>
      <c r="D15" s="20"/>
      <c r="E15" s="21"/>
      <c r="F15" s="24" t="s">
        <v>2430</v>
      </c>
      <c r="G15" s="24"/>
      <c r="H15" s="24"/>
      <c r="I15" s="24"/>
    </row>
    <row r="16" spans="2:100">
      <c r="C16" s="20" t="s">
        <v>87</v>
      </c>
      <c r="D16" s="20"/>
      <c r="E16" s="21"/>
      <c r="F16" s="23">
        <v>18</v>
      </c>
      <c r="G16" s="23"/>
      <c r="H16" s="23"/>
      <c r="I16" s="23"/>
    </row>
    <row r="18" spans="2:38" ht="15.6">
      <c r="C18" s="22" t="s">
        <v>88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</row>
    <row r="19" spans="2:38">
      <c r="C19" s="20" t="s">
        <v>89</v>
      </c>
      <c r="D19" s="20"/>
      <c r="E19" s="21"/>
      <c r="F19" s="23">
        <v>33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 spans="2:38">
      <c r="C20" s="20" t="s">
        <v>90</v>
      </c>
      <c r="D20" s="20"/>
      <c r="E20" s="21"/>
      <c r="F20" s="12" t="s">
        <v>77</v>
      </c>
      <c r="G20" s="12" t="s">
        <v>76</v>
      </c>
      <c r="H20" s="12" t="s">
        <v>2</v>
      </c>
      <c r="I20" s="12" t="s">
        <v>46</v>
      </c>
      <c r="J20" s="12" t="s">
        <v>47</v>
      </c>
      <c r="K20" s="12" t="s">
        <v>48</v>
      </c>
      <c r="L20" s="12" t="s">
        <v>49</v>
      </c>
      <c r="M20" s="12" t="s">
        <v>50</v>
      </c>
      <c r="N20" s="12" t="s">
        <v>51</v>
      </c>
      <c r="O20" s="12" t="s">
        <v>52</v>
      </c>
      <c r="P20" s="12" t="s">
        <v>53</v>
      </c>
      <c r="Q20" s="12" t="s">
        <v>54</v>
      </c>
      <c r="R20" s="12" t="s">
        <v>55</v>
      </c>
      <c r="S20" s="12" t="s">
        <v>56</v>
      </c>
      <c r="T20" s="12" t="s">
        <v>57</v>
      </c>
      <c r="U20" s="12" t="s">
        <v>58</v>
      </c>
      <c r="V20" s="12" t="s">
        <v>59</v>
      </c>
      <c r="W20" s="12" t="s">
        <v>60</v>
      </c>
      <c r="X20" s="12" t="s">
        <v>61</v>
      </c>
      <c r="Y20" s="12" t="s">
        <v>62</v>
      </c>
      <c r="Z20" s="12" t="s">
        <v>63</v>
      </c>
      <c r="AA20" s="12" t="s">
        <v>64</v>
      </c>
      <c r="AB20" s="12" t="s">
        <v>65</v>
      </c>
      <c r="AC20" s="12" t="s">
        <v>66</v>
      </c>
      <c r="AD20" s="12" t="s">
        <v>67</v>
      </c>
      <c r="AE20" s="12" t="s">
        <v>68</v>
      </c>
      <c r="AF20" s="12" t="s">
        <v>69</v>
      </c>
      <c r="AG20" s="12" t="s">
        <v>70</v>
      </c>
      <c r="AH20" s="12" t="s">
        <v>71</v>
      </c>
      <c r="AI20" s="12" t="s">
        <v>72</v>
      </c>
      <c r="AJ20" s="12" t="s">
        <v>73</v>
      </c>
      <c r="AK20" s="12" t="s">
        <v>74</v>
      </c>
      <c r="AL20" s="12" t="s">
        <v>75</v>
      </c>
    </row>
    <row r="22" spans="2:38" ht="15.6">
      <c r="C22" s="22" t="s">
        <v>91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 spans="2:38">
      <c r="C23" s="20" t="s">
        <v>92</v>
      </c>
      <c r="D23" s="20"/>
      <c r="E23" s="21"/>
      <c r="F23" s="13" t="s">
        <v>77</v>
      </c>
      <c r="G23" s="13" t="s">
        <v>76</v>
      </c>
      <c r="H23" s="13" t="s">
        <v>2</v>
      </c>
      <c r="I23" s="13" t="s">
        <v>46</v>
      </c>
      <c r="J23" s="13" t="s">
        <v>47</v>
      </c>
      <c r="K23" s="13" t="s">
        <v>48</v>
      </c>
      <c r="L23" s="13" t="s">
        <v>49</v>
      </c>
      <c r="M23" s="13" t="s">
        <v>50</v>
      </c>
      <c r="N23" s="13" t="s">
        <v>51</v>
      </c>
      <c r="O23" s="13" t="s">
        <v>52</v>
      </c>
      <c r="P23" s="13" t="s">
        <v>53</v>
      </c>
      <c r="Q23" s="13" t="s">
        <v>54</v>
      </c>
      <c r="R23" s="13" t="s">
        <v>55</v>
      </c>
      <c r="S23" s="13" t="s">
        <v>56</v>
      </c>
      <c r="T23" s="13" t="s">
        <v>57</v>
      </c>
      <c r="U23" s="13" t="s">
        <v>58</v>
      </c>
      <c r="V23" s="13" t="s">
        <v>59</v>
      </c>
      <c r="W23" s="13" t="s">
        <v>60</v>
      </c>
      <c r="X23" s="13" t="s">
        <v>61</v>
      </c>
      <c r="Y23" s="13" t="s">
        <v>62</v>
      </c>
      <c r="Z23" s="13" t="s">
        <v>63</v>
      </c>
      <c r="AA23" s="13" t="s">
        <v>64</v>
      </c>
      <c r="AB23" s="13" t="s">
        <v>65</v>
      </c>
      <c r="AC23" s="13" t="s">
        <v>66</v>
      </c>
      <c r="AD23" s="13" t="s">
        <v>67</v>
      </c>
      <c r="AE23" s="13" t="s">
        <v>68</v>
      </c>
      <c r="AF23" s="13" t="s">
        <v>69</v>
      </c>
      <c r="AG23" s="13" t="s">
        <v>70</v>
      </c>
      <c r="AH23" s="13" t="s">
        <v>71</v>
      </c>
      <c r="AI23" s="13" t="s">
        <v>72</v>
      </c>
      <c r="AJ23" s="13" t="s">
        <v>73</v>
      </c>
      <c r="AK23" s="13" t="s">
        <v>74</v>
      </c>
      <c r="AL23" s="13" t="s">
        <v>75</v>
      </c>
    </row>
    <row r="24" spans="2:38">
      <c r="C24" s="20" t="s">
        <v>93</v>
      </c>
      <c r="D24" s="20"/>
      <c r="E24" s="21"/>
      <c r="F24" s="13" t="s">
        <v>100</v>
      </c>
      <c r="G24" s="13" t="s">
        <v>100</v>
      </c>
      <c r="H24" s="13" t="s">
        <v>100</v>
      </c>
      <c r="I24" s="13" t="s">
        <v>102</v>
      </c>
      <c r="J24" s="13" t="s">
        <v>102</v>
      </c>
      <c r="K24" s="13" t="s">
        <v>102</v>
      </c>
      <c r="L24" s="13" t="s">
        <v>102</v>
      </c>
      <c r="M24" s="13" t="s">
        <v>102</v>
      </c>
      <c r="N24" s="13" t="s">
        <v>102</v>
      </c>
      <c r="O24" s="13" t="s">
        <v>102</v>
      </c>
      <c r="P24" s="13" t="s">
        <v>102</v>
      </c>
      <c r="Q24" s="13" t="s">
        <v>102</v>
      </c>
      <c r="R24" s="13" t="s">
        <v>102</v>
      </c>
      <c r="S24" s="13" t="s">
        <v>102</v>
      </c>
      <c r="T24" s="13" t="s">
        <v>102</v>
      </c>
      <c r="U24" s="13" t="s">
        <v>102</v>
      </c>
      <c r="V24" s="13" t="s">
        <v>102</v>
      </c>
      <c r="W24" s="13" t="s">
        <v>102</v>
      </c>
      <c r="X24" s="13" t="s">
        <v>102</v>
      </c>
      <c r="Y24" s="13" t="s">
        <v>102</v>
      </c>
      <c r="Z24" s="13" t="s">
        <v>102</v>
      </c>
      <c r="AA24" s="13" t="s">
        <v>102</v>
      </c>
      <c r="AB24" s="13" t="s">
        <v>102</v>
      </c>
      <c r="AC24" s="13" t="s">
        <v>102</v>
      </c>
      <c r="AD24" s="13" t="s">
        <v>102</v>
      </c>
      <c r="AE24" s="13" t="s">
        <v>102</v>
      </c>
      <c r="AF24" s="13" t="s">
        <v>102</v>
      </c>
      <c r="AG24" s="13" t="s">
        <v>102</v>
      </c>
      <c r="AH24" s="13" t="s">
        <v>102</v>
      </c>
      <c r="AI24" s="13" t="s">
        <v>102</v>
      </c>
      <c r="AJ24" s="13" t="s">
        <v>102</v>
      </c>
      <c r="AK24" s="13" t="s">
        <v>102</v>
      </c>
      <c r="AL24" s="13" t="s">
        <v>102</v>
      </c>
    </row>
    <row r="25" spans="2:38">
      <c r="C25" s="20" t="s">
        <v>94</v>
      </c>
      <c r="D25" s="20"/>
      <c r="E25" s="21"/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</row>
    <row r="26" spans="2:38">
      <c r="C26" s="20" t="s">
        <v>95</v>
      </c>
      <c r="D26" s="20"/>
      <c r="E26" s="21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</row>
    <row r="27" spans="2:38">
      <c r="C27" s="20" t="s">
        <v>96</v>
      </c>
      <c r="D27" s="20"/>
      <c r="E27" s="21"/>
      <c r="F27" s="23">
        <v>18</v>
      </c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</row>
    <row r="28" spans="2:38">
      <c r="C28" s="20" t="s">
        <v>97</v>
      </c>
      <c r="D28" s="20"/>
      <c r="E28" s="21"/>
      <c r="F28" s="23">
        <v>0</v>
      </c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</row>
    <row r="31" spans="2:38" ht="18">
      <c r="B31" s="9" t="s">
        <v>82</v>
      </c>
    </row>
    <row r="33" spans="3:36">
      <c r="C33" s="11" t="s">
        <v>109</v>
      </c>
      <c r="D33" t="s">
        <v>77</v>
      </c>
      <c r="E33" t="s">
        <v>76</v>
      </c>
      <c r="F33" t="s">
        <v>2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116</v>
      </c>
      <c r="N33" t="s">
        <v>117</v>
      </c>
      <c r="O33" t="s">
        <v>118</v>
      </c>
      <c r="P33" t="s">
        <v>119</v>
      </c>
      <c r="Q33" t="s">
        <v>120</v>
      </c>
      <c r="R33" t="s">
        <v>121</v>
      </c>
      <c r="S33" t="s">
        <v>122</v>
      </c>
      <c r="T33" t="s">
        <v>123</v>
      </c>
      <c r="U33" t="s">
        <v>124</v>
      </c>
      <c r="V33" t="s">
        <v>125</v>
      </c>
      <c r="W33" t="s">
        <v>126</v>
      </c>
      <c r="X33" t="s">
        <v>127</v>
      </c>
      <c r="Y33" t="s">
        <v>128</v>
      </c>
      <c r="Z33" t="s">
        <v>129</v>
      </c>
      <c r="AA33" t="s">
        <v>130</v>
      </c>
      <c r="AB33" t="s">
        <v>131</v>
      </c>
      <c r="AC33" t="s">
        <v>132</v>
      </c>
      <c r="AD33" t="s">
        <v>133</v>
      </c>
      <c r="AE33" t="s">
        <v>134</v>
      </c>
      <c r="AF33" t="s">
        <v>135</v>
      </c>
      <c r="AG33" t="s">
        <v>136</v>
      </c>
      <c r="AH33" t="s">
        <v>137</v>
      </c>
      <c r="AI33" t="s">
        <v>138</v>
      </c>
      <c r="AJ33" t="s">
        <v>139</v>
      </c>
    </row>
    <row r="34" spans="3:36">
      <c r="C34" s="11" t="s">
        <v>140</v>
      </c>
      <c r="D34" s="10">
        <v>1</v>
      </c>
      <c r="E34" s="10">
        <v>91762702</v>
      </c>
      <c r="F34" s="10" t="s">
        <v>45</v>
      </c>
      <c r="G34" s="10">
        <v>24.63</v>
      </c>
      <c r="H34" s="10">
        <v>21.6</v>
      </c>
      <c r="I34" s="10">
        <v>165.5</v>
      </c>
      <c r="J34" s="10">
        <v>1841</v>
      </c>
      <c r="K34" s="10">
        <v>0.10299999999999999</v>
      </c>
      <c r="L34" s="10">
        <v>0.21060000000000001</v>
      </c>
      <c r="M34" s="10">
        <v>0.23100000000000001</v>
      </c>
      <c r="N34" s="10">
        <v>0.14710000000000001</v>
      </c>
      <c r="O34" s="10">
        <v>0.1991</v>
      </c>
      <c r="P34" s="10">
        <v>6.7390000000000005E-2</v>
      </c>
      <c r="Q34" s="10">
        <v>0.99150000000000005</v>
      </c>
      <c r="R34" s="10">
        <v>0.90039999999999998</v>
      </c>
      <c r="S34" s="10">
        <v>7.05</v>
      </c>
      <c r="T34" s="10">
        <v>139.9</v>
      </c>
      <c r="U34" s="10">
        <v>4.9890000000000004E-3</v>
      </c>
      <c r="V34" s="10">
        <v>3.2120000000000003E-2</v>
      </c>
      <c r="W34" s="10">
        <v>3.5709999999999999E-2</v>
      </c>
      <c r="X34" s="10">
        <v>1.5970000000000002E-2</v>
      </c>
      <c r="Y34" s="10">
        <v>1.8790000000000001E-2</v>
      </c>
      <c r="Z34" s="10">
        <v>4.7600000000000003E-3</v>
      </c>
      <c r="AA34" s="10">
        <v>29.92</v>
      </c>
      <c r="AB34" s="10">
        <v>26.93</v>
      </c>
      <c r="AC34" s="10">
        <v>205.7</v>
      </c>
      <c r="AD34" s="10">
        <v>2642</v>
      </c>
      <c r="AE34" s="10">
        <v>0.13420000000000001</v>
      </c>
      <c r="AF34" s="10">
        <v>0.41880000000000001</v>
      </c>
      <c r="AG34" s="10">
        <v>0.46579999999999999</v>
      </c>
      <c r="AH34" s="10">
        <v>0.2475</v>
      </c>
      <c r="AI34" s="10">
        <v>0.31569999999999998</v>
      </c>
      <c r="AJ34">
        <v>9.6710000000000004E-2</v>
      </c>
    </row>
    <row r="35" spans="3:36">
      <c r="C35" s="11" t="s">
        <v>141</v>
      </c>
      <c r="D35" s="10">
        <v>2</v>
      </c>
      <c r="E35" s="10">
        <v>91789</v>
      </c>
      <c r="F35" s="10" t="s">
        <v>45</v>
      </c>
      <c r="G35" s="10">
        <v>11.26</v>
      </c>
      <c r="H35" s="10">
        <v>19.829999999999998</v>
      </c>
      <c r="I35" s="10">
        <v>71.3</v>
      </c>
      <c r="J35" s="10">
        <v>388.1</v>
      </c>
      <c r="K35" s="10">
        <v>8.5110000000000005E-2</v>
      </c>
      <c r="L35" s="10">
        <v>4.4130000000000003E-2</v>
      </c>
      <c r="M35" s="10">
        <v>5.0670000000000003E-3</v>
      </c>
      <c r="N35" s="10">
        <v>5.6639999999999998E-3</v>
      </c>
      <c r="O35" s="10">
        <v>0.16370000000000001</v>
      </c>
      <c r="P35" s="10">
        <v>6.343E-2</v>
      </c>
      <c r="Q35" s="10">
        <v>0.13439999999999999</v>
      </c>
      <c r="R35" s="10">
        <v>1.083</v>
      </c>
      <c r="S35" s="10">
        <v>0.98119999999999996</v>
      </c>
      <c r="T35" s="10">
        <v>9.3320000000000007</v>
      </c>
      <c r="U35" s="10">
        <v>4.1999999999999997E-3</v>
      </c>
      <c r="V35" s="10">
        <v>5.8999999999999999E-3</v>
      </c>
      <c r="W35" s="10">
        <v>3.846E-3</v>
      </c>
      <c r="X35" s="10">
        <v>4.065E-3</v>
      </c>
      <c r="Y35" s="10">
        <v>1.487E-2</v>
      </c>
      <c r="Z35" s="10">
        <v>2.2950000000000002E-3</v>
      </c>
      <c r="AA35" s="10">
        <v>11.93</v>
      </c>
      <c r="AB35" s="10">
        <v>26.43</v>
      </c>
      <c r="AC35" s="10">
        <v>76.38</v>
      </c>
      <c r="AD35" s="10">
        <v>435.9</v>
      </c>
      <c r="AE35" s="10">
        <v>0.1108</v>
      </c>
      <c r="AF35" s="10">
        <v>7.7229999999999993E-2</v>
      </c>
      <c r="AG35" s="10">
        <v>2.5329999999999998E-2</v>
      </c>
      <c r="AH35" s="10">
        <v>2.8320000000000001E-2</v>
      </c>
      <c r="AI35" s="10">
        <v>0.25569999999999998</v>
      </c>
      <c r="AJ35">
        <v>7.6130000000000003E-2</v>
      </c>
    </row>
    <row r="36" spans="3:36">
      <c r="C36" s="11" t="s">
        <v>142</v>
      </c>
      <c r="D36" s="10">
        <v>3</v>
      </c>
      <c r="E36" s="10">
        <v>917896</v>
      </c>
      <c r="F36" s="10" t="s">
        <v>45</v>
      </c>
      <c r="G36" s="10">
        <v>13.71</v>
      </c>
      <c r="H36" s="10">
        <v>18.68</v>
      </c>
      <c r="I36" s="10">
        <v>88.73</v>
      </c>
      <c r="J36" s="10">
        <v>571</v>
      </c>
      <c r="K36" s="10">
        <v>9.9159999999999998E-2</v>
      </c>
      <c r="L36" s="10">
        <v>0.107</v>
      </c>
      <c r="M36" s="10">
        <v>5.3850000000000002E-2</v>
      </c>
      <c r="N36" s="10">
        <v>3.7830000000000003E-2</v>
      </c>
      <c r="O36" s="10">
        <v>0.1714</v>
      </c>
      <c r="P36" s="10">
        <v>6.8430000000000005E-2</v>
      </c>
      <c r="Q36" s="10">
        <v>0.31909999999999999</v>
      </c>
      <c r="R36" s="10">
        <v>1.2490000000000001</v>
      </c>
      <c r="S36" s="10">
        <v>2.2839999999999998</v>
      </c>
      <c r="T36" s="10">
        <v>26.45</v>
      </c>
      <c r="U36" s="10">
        <v>6.7390000000000002E-3</v>
      </c>
      <c r="V36" s="10">
        <v>2.2509999999999999E-2</v>
      </c>
      <c r="W36" s="10">
        <v>2.086E-2</v>
      </c>
      <c r="X36" s="10">
        <v>1.3520000000000001E-2</v>
      </c>
      <c r="Y36" s="10">
        <v>1.8700000000000001E-2</v>
      </c>
      <c r="Z36" s="10">
        <v>3.7469999999999999E-3</v>
      </c>
      <c r="AA36" s="10">
        <v>15.11</v>
      </c>
      <c r="AB36" s="10">
        <v>25.63</v>
      </c>
      <c r="AC36" s="10">
        <v>99.43</v>
      </c>
      <c r="AD36" s="10">
        <v>701.9</v>
      </c>
      <c r="AE36" s="10">
        <v>0.14249999999999999</v>
      </c>
      <c r="AF36" s="10">
        <v>0.25659999999999999</v>
      </c>
      <c r="AG36" s="10">
        <v>0.19350000000000001</v>
      </c>
      <c r="AH36" s="10">
        <v>0.12839999999999999</v>
      </c>
      <c r="AI36" s="10">
        <v>0.28489999999999999</v>
      </c>
      <c r="AJ36">
        <v>9.0310000000000001E-2</v>
      </c>
    </row>
    <row r="37" spans="3:36">
      <c r="C37" s="11" t="s">
        <v>143</v>
      </c>
      <c r="D37" s="10">
        <v>4</v>
      </c>
      <c r="E37" s="10">
        <v>917897</v>
      </c>
      <c r="F37" s="10" t="s">
        <v>45</v>
      </c>
      <c r="G37" s="10">
        <v>9.8469999999999995</v>
      </c>
      <c r="H37" s="10">
        <v>15.68</v>
      </c>
      <c r="I37" s="10">
        <v>63</v>
      </c>
      <c r="J37" s="10">
        <v>293.2</v>
      </c>
      <c r="K37" s="10">
        <v>9.4920000000000004E-2</v>
      </c>
      <c r="L37" s="10">
        <v>8.4190000000000001E-2</v>
      </c>
      <c r="M37" s="10">
        <v>2.3300000000000001E-2</v>
      </c>
      <c r="N37" s="10">
        <v>2.4160000000000001E-2</v>
      </c>
      <c r="O37" s="10">
        <v>0.13869999999999999</v>
      </c>
      <c r="P37" s="10">
        <v>6.8909999999999999E-2</v>
      </c>
      <c r="Q37" s="10">
        <v>0.24979999999999999</v>
      </c>
      <c r="R37" s="10">
        <v>1.216</v>
      </c>
      <c r="S37" s="10">
        <v>1.976</v>
      </c>
      <c r="T37" s="10">
        <v>15.24</v>
      </c>
      <c r="U37" s="10">
        <v>8.7320000000000002E-3</v>
      </c>
      <c r="V37" s="10">
        <v>2.0420000000000001E-2</v>
      </c>
      <c r="W37" s="10">
        <v>1.0619999999999999E-2</v>
      </c>
      <c r="X37" s="10">
        <v>6.8009999999999998E-3</v>
      </c>
      <c r="Y37" s="10">
        <v>1.8239999999999999E-2</v>
      </c>
      <c r="Z37" s="10">
        <v>3.4940000000000001E-3</v>
      </c>
      <c r="AA37" s="10">
        <v>11.24</v>
      </c>
      <c r="AB37" s="10">
        <v>22.99</v>
      </c>
      <c r="AC37" s="10">
        <v>74.319999999999993</v>
      </c>
      <c r="AD37" s="10">
        <v>376.5</v>
      </c>
      <c r="AE37" s="10">
        <v>0.1419</v>
      </c>
      <c r="AF37" s="10">
        <v>0.2243</v>
      </c>
      <c r="AG37" s="10">
        <v>8.4339999999999998E-2</v>
      </c>
      <c r="AH37" s="10">
        <v>6.5280000000000005E-2</v>
      </c>
      <c r="AI37" s="10">
        <v>0.25019999999999998</v>
      </c>
      <c r="AJ37">
        <v>9.2090000000000005E-2</v>
      </c>
    </row>
    <row r="38" spans="3:36">
      <c r="C38" s="11" t="s">
        <v>144</v>
      </c>
      <c r="D38" s="10">
        <v>5</v>
      </c>
      <c r="E38" s="10">
        <v>91805</v>
      </c>
      <c r="F38" s="10" t="s">
        <v>45</v>
      </c>
      <c r="G38" s="10">
        <v>8.5709999999999997</v>
      </c>
      <c r="H38" s="10">
        <v>13.1</v>
      </c>
      <c r="I38" s="10">
        <v>54.53</v>
      </c>
      <c r="J38" s="10">
        <v>221.3</v>
      </c>
      <c r="K38" s="10">
        <v>0.1036</v>
      </c>
      <c r="L38" s="10">
        <v>7.6319999999999999E-2</v>
      </c>
      <c r="M38" s="10">
        <v>2.5649999999999999E-2</v>
      </c>
      <c r="N38" s="10">
        <v>1.5100000000000001E-2</v>
      </c>
      <c r="O38" s="10">
        <v>0.1678</v>
      </c>
      <c r="P38" s="10">
        <v>7.1260000000000004E-2</v>
      </c>
      <c r="Q38" s="10">
        <v>0.12670000000000001</v>
      </c>
      <c r="R38" s="10">
        <v>0.67930000000000001</v>
      </c>
      <c r="S38" s="10">
        <v>1.069</v>
      </c>
      <c r="T38" s="10">
        <v>7.2539999999999996</v>
      </c>
      <c r="U38" s="10">
        <v>7.8969999999999995E-3</v>
      </c>
      <c r="V38" s="10">
        <v>1.762E-2</v>
      </c>
      <c r="W38" s="10">
        <v>1.8010000000000002E-2</v>
      </c>
      <c r="X38" s="10">
        <v>7.3200000000000001E-3</v>
      </c>
      <c r="Y38" s="10">
        <v>1.592E-2</v>
      </c>
      <c r="Z38" s="10">
        <v>3.9249999999999997E-3</v>
      </c>
      <c r="AA38" s="10">
        <v>9.4730000000000008</v>
      </c>
      <c r="AB38" s="10">
        <v>18.45</v>
      </c>
      <c r="AC38" s="10">
        <v>63.3</v>
      </c>
      <c r="AD38" s="10">
        <v>275.60000000000002</v>
      </c>
      <c r="AE38" s="10">
        <v>0.1641</v>
      </c>
      <c r="AF38" s="10">
        <v>0.2235</v>
      </c>
      <c r="AG38" s="10">
        <v>0.1754</v>
      </c>
      <c r="AH38" s="10">
        <v>8.5120000000000001E-2</v>
      </c>
      <c r="AI38" s="10">
        <v>0.29830000000000001</v>
      </c>
      <c r="AJ38">
        <v>0.10489999999999999</v>
      </c>
    </row>
    <row r="39" spans="3:36">
      <c r="C39" s="11" t="s">
        <v>145</v>
      </c>
      <c r="D39" s="10">
        <v>6</v>
      </c>
      <c r="E39" s="10">
        <v>91813701</v>
      </c>
      <c r="F39" s="10" t="s">
        <v>45</v>
      </c>
      <c r="G39" s="10">
        <v>13.46</v>
      </c>
      <c r="H39" s="10">
        <v>18.75</v>
      </c>
      <c r="I39" s="10">
        <v>87.44</v>
      </c>
      <c r="J39" s="10">
        <v>551.1</v>
      </c>
      <c r="K39" s="10">
        <v>0.1075</v>
      </c>
      <c r="L39" s="10">
        <v>0.1138</v>
      </c>
      <c r="M39" s="10">
        <v>4.2009999999999999E-2</v>
      </c>
      <c r="N39" s="10">
        <v>3.1519999999999999E-2</v>
      </c>
      <c r="O39" s="10">
        <v>0.17230000000000001</v>
      </c>
      <c r="P39" s="10">
        <v>6.3170000000000004E-2</v>
      </c>
      <c r="Q39" s="10">
        <v>0.19980000000000001</v>
      </c>
      <c r="R39" s="10">
        <v>0.60680000000000001</v>
      </c>
      <c r="S39" s="10">
        <v>1.4430000000000001</v>
      </c>
      <c r="T39" s="10">
        <v>16.07</v>
      </c>
      <c r="U39" s="10">
        <v>4.4130000000000003E-3</v>
      </c>
      <c r="V39" s="10">
        <v>1.443E-2</v>
      </c>
      <c r="W39" s="10">
        <v>1.5089999999999999E-2</v>
      </c>
      <c r="X39" s="10">
        <v>7.3689999999999997E-3</v>
      </c>
      <c r="Y39" s="10">
        <v>1.354E-2</v>
      </c>
      <c r="Z39" s="10">
        <v>1.787E-3</v>
      </c>
      <c r="AA39" s="10">
        <v>15.35</v>
      </c>
      <c r="AB39" s="10">
        <v>25.16</v>
      </c>
      <c r="AC39" s="10">
        <v>101.9</v>
      </c>
      <c r="AD39" s="10">
        <v>719.8</v>
      </c>
      <c r="AE39" s="10">
        <v>0.16239999999999999</v>
      </c>
      <c r="AF39" s="10">
        <v>0.31240000000000001</v>
      </c>
      <c r="AG39" s="10">
        <v>0.26540000000000002</v>
      </c>
      <c r="AH39" s="10">
        <v>0.14269999999999999</v>
      </c>
      <c r="AI39" s="10">
        <v>0.3518</v>
      </c>
      <c r="AJ39">
        <v>8.6650000000000005E-2</v>
      </c>
    </row>
    <row r="40" spans="3:36">
      <c r="C40" s="11" t="s">
        <v>146</v>
      </c>
      <c r="D40" s="10">
        <v>7</v>
      </c>
      <c r="E40" s="10">
        <v>91813702</v>
      </c>
      <c r="F40" s="10" t="s">
        <v>45</v>
      </c>
      <c r="G40" s="10">
        <v>12.34</v>
      </c>
      <c r="H40" s="10">
        <v>12.27</v>
      </c>
      <c r="I40" s="10">
        <v>78.94</v>
      </c>
      <c r="J40" s="10">
        <v>468.5</v>
      </c>
      <c r="K40" s="10">
        <v>9.0029999999999999E-2</v>
      </c>
      <c r="L40" s="10">
        <v>6.3070000000000001E-2</v>
      </c>
      <c r="M40" s="10">
        <v>2.9579999999999999E-2</v>
      </c>
      <c r="N40" s="10">
        <v>2.647E-2</v>
      </c>
      <c r="O40" s="10">
        <v>0.16889999999999999</v>
      </c>
      <c r="P40" s="10">
        <v>5.808E-2</v>
      </c>
      <c r="Q40" s="10">
        <v>0.1166</v>
      </c>
      <c r="R40" s="10">
        <v>0.49569999999999997</v>
      </c>
      <c r="S40" s="10">
        <v>0.77139999999999997</v>
      </c>
      <c r="T40" s="10">
        <v>8.9550000000000001</v>
      </c>
      <c r="U40" s="10">
        <v>3.6809999999999998E-3</v>
      </c>
      <c r="V40" s="10">
        <v>9.1690000000000001E-3</v>
      </c>
      <c r="W40" s="10">
        <v>8.7320000000000002E-3</v>
      </c>
      <c r="X40" s="10">
        <v>5.7400000000000003E-3</v>
      </c>
      <c r="Y40" s="10">
        <v>1.129E-2</v>
      </c>
      <c r="Z40" s="10">
        <v>1.366E-3</v>
      </c>
      <c r="AA40" s="10">
        <v>13.61</v>
      </c>
      <c r="AB40" s="10">
        <v>19.27</v>
      </c>
      <c r="AC40" s="10">
        <v>87.22</v>
      </c>
      <c r="AD40" s="10">
        <v>564.9</v>
      </c>
      <c r="AE40" s="10">
        <v>0.12920000000000001</v>
      </c>
      <c r="AF40" s="10">
        <v>0.2074</v>
      </c>
      <c r="AG40" s="10">
        <v>0.17910000000000001</v>
      </c>
      <c r="AH40" s="10">
        <v>0.107</v>
      </c>
      <c r="AI40" s="10">
        <v>0.311</v>
      </c>
      <c r="AJ40">
        <v>7.5920000000000001E-2</v>
      </c>
    </row>
    <row r="41" spans="3:36">
      <c r="C41" s="11" t="s">
        <v>147</v>
      </c>
      <c r="D41" s="10">
        <v>8</v>
      </c>
      <c r="E41" s="10">
        <v>918192</v>
      </c>
      <c r="F41" s="10" t="s">
        <v>45</v>
      </c>
      <c r="G41" s="10">
        <v>13.94</v>
      </c>
      <c r="H41" s="10">
        <v>13.17</v>
      </c>
      <c r="I41" s="10">
        <v>90.31</v>
      </c>
      <c r="J41" s="10">
        <v>594.20000000000005</v>
      </c>
      <c r="K41" s="10">
        <v>0.12479999999999999</v>
      </c>
      <c r="L41" s="10">
        <v>9.7549999999999998E-2</v>
      </c>
      <c r="M41" s="10">
        <v>0.10100000000000001</v>
      </c>
      <c r="N41" s="10">
        <v>6.615E-2</v>
      </c>
      <c r="O41" s="10">
        <v>0.1976</v>
      </c>
      <c r="P41" s="10">
        <v>6.4570000000000002E-2</v>
      </c>
      <c r="Q41" s="10">
        <v>0.54610000000000003</v>
      </c>
      <c r="R41" s="10">
        <v>2.6349999999999998</v>
      </c>
      <c r="S41" s="10">
        <v>4.0910000000000002</v>
      </c>
      <c r="T41" s="10">
        <v>44.74</v>
      </c>
      <c r="U41" s="10">
        <v>1.004E-2</v>
      </c>
      <c r="V41" s="10">
        <v>3.2469999999999999E-2</v>
      </c>
      <c r="W41" s="10">
        <v>4.7629999999999999E-2</v>
      </c>
      <c r="X41" s="10">
        <v>2.853E-2</v>
      </c>
      <c r="Y41" s="10">
        <v>1.7149999999999999E-2</v>
      </c>
      <c r="Z41" s="10">
        <v>5.5279999999999999E-3</v>
      </c>
      <c r="AA41" s="10">
        <v>14.62</v>
      </c>
      <c r="AB41" s="10">
        <v>15.38</v>
      </c>
      <c r="AC41" s="10">
        <v>94.52</v>
      </c>
      <c r="AD41" s="10">
        <v>653.29999999999995</v>
      </c>
      <c r="AE41" s="10">
        <v>0.1394</v>
      </c>
      <c r="AF41" s="10">
        <v>0.13639999999999999</v>
      </c>
      <c r="AG41" s="10">
        <v>0.15590000000000001</v>
      </c>
      <c r="AH41" s="10">
        <v>0.10150000000000001</v>
      </c>
      <c r="AI41" s="10">
        <v>0.216</v>
      </c>
      <c r="AJ41">
        <v>7.2529999999999997E-2</v>
      </c>
    </row>
    <row r="42" spans="3:36">
      <c r="C42" s="11" t="s">
        <v>148</v>
      </c>
      <c r="D42" s="10">
        <v>9</v>
      </c>
      <c r="E42" s="10">
        <v>918465</v>
      </c>
      <c r="F42" s="10" t="s">
        <v>45</v>
      </c>
      <c r="G42" s="10">
        <v>12.07</v>
      </c>
      <c r="H42" s="10">
        <v>13.44</v>
      </c>
      <c r="I42" s="10">
        <v>77.83</v>
      </c>
      <c r="J42" s="10">
        <v>445.2</v>
      </c>
      <c r="K42" s="10">
        <v>0.11</v>
      </c>
      <c r="L42" s="10">
        <v>9.0090000000000003E-2</v>
      </c>
      <c r="M42" s="10">
        <v>3.7810000000000003E-2</v>
      </c>
      <c r="N42" s="10">
        <v>2.7980000000000001E-2</v>
      </c>
      <c r="O42" s="10">
        <v>0.16569999999999999</v>
      </c>
      <c r="P42" s="10">
        <v>6.608E-2</v>
      </c>
      <c r="Q42" s="10">
        <v>0.25130000000000002</v>
      </c>
      <c r="R42" s="10">
        <v>0.504</v>
      </c>
      <c r="S42" s="10">
        <v>1.714</v>
      </c>
      <c r="T42" s="10">
        <v>18.54</v>
      </c>
      <c r="U42" s="10">
        <v>7.3270000000000002E-3</v>
      </c>
      <c r="V42" s="10">
        <v>1.153E-2</v>
      </c>
      <c r="W42" s="10">
        <v>1.7979999999999999E-2</v>
      </c>
      <c r="X42" s="10">
        <v>7.986E-3</v>
      </c>
      <c r="Y42" s="10">
        <v>1.9619999999999999E-2</v>
      </c>
      <c r="Z42" s="10">
        <v>2.2339999999999999E-3</v>
      </c>
      <c r="AA42" s="10">
        <v>13.45</v>
      </c>
      <c r="AB42" s="10">
        <v>15.77</v>
      </c>
      <c r="AC42" s="10">
        <v>86.92</v>
      </c>
      <c r="AD42" s="10">
        <v>549.9</v>
      </c>
      <c r="AE42" s="10">
        <v>0.15210000000000001</v>
      </c>
      <c r="AF42" s="10">
        <v>0.16320000000000001</v>
      </c>
      <c r="AG42" s="10">
        <v>0.16220000000000001</v>
      </c>
      <c r="AH42" s="10">
        <v>7.3929999999999996E-2</v>
      </c>
      <c r="AI42" s="10">
        <v>0.27810000000000001</v>
      </c>
      <c r="AJ42">
        <v>8.0519999999999994E-2</v>
      </c>
    </row>
    <row r="43" spans="3:36">
      <c r="C43" s="11" t="s">
        <v>149</v>
      </c>
      <c r="D43" s="10">
        <v>10</v>
      </c>
      <c r="E43" s="10">
        <v>91858</v>
      </c>
      <c r="F43" s="10" t="s">
        <v>45</v>
      </c>
      <c r="G43" s="10">
        <v>11.75</v>
      </c>
      <c r="H43" s="10">
        <v>17.559999999999999</v>
      </c>
      <c r="I43" s="10">
        <v>75.89</v>
      </c>
      <c r="J43" s="10">
        <v>422.9</v>
      </c>
      <c r="K43" s="10">
        <v>0.10730000000000001</v>
      </c>
      <c r="L43" s="10">
        <v>9.7129999999999994E-2</v>
      </c>
      <c r="M43" s="10">
        <v>5.2819999999999999E-2</v>
      </c>
      <c r="N43" s="10">
        <v>4.4400000000000002E-2</v>
      </c>
      <c r="O43" s="10">
        <v>0.1598</v>
      </c>
      <c r="P43" s="10">
        <v>6.6769999999999996E-2</v>
      </c>
      <c r="Q43" s="10">
        <v>0.43840000000000001</v>
      </c>
      <c r="R43" s="10">
        <v>1.907</v>
      </c>
      <c r="S43" s="10">
        <v>3.149</v>
      </c>
      <c r="T43" s="10">
        <v>30.66</v>
      </c>
      <c r="U43" s="10">
        <v>6.587E-3</v>
      </c>
      <c r="V43" s="10">
        <v>1.8149999999999999E-2</v>
      </c>
      <c r="W43" s="10">
        <v>1.737E-2</v>
      </c>
      <c r="X43" s="10">
        <v>1.316E-2</v>
      </c>
      <c r="Y43" s="10">
        <v>1.8350000000000002E-2</v>
      </c>
      <c r="Z43" s="10">
        <v>2.3180000000000002E-3</v>
      </c>
      <c r="AA43" s="10">
        <v>13.5</v>
      </c>
      <c r="AB43" s="10">
        <v>27.98</v>
      </c>
      <c r="AC43" s="10">
        <v>88.52</v>
      </c>
      <c r="AD43" s="10">
        <v>552.29999999999995</v>
      </c>
      <c r="AE43" s="10">
        <v>0.13489999999999999</v>
      </c>
      <c r="AF43" s="10">
        <v>0.18540000000000001</v>
      </c>
      <c r="AG43" s="10">
        <v>0.1366</v>
      </c>
      <c r="AH43" s="10">
        <v>0.10100000000000001</v>
      </c>
      <c r="AI43" s="10">
        <v>0.24779999999999999</v>
      </c>
      <c r="AJ43">
        <v>7.757E-2</v>
      </c>
    </row>
    <row r="44" spans="3:36">
      <c r="C44" s="11" t="s">
        <v>150</v>
      </c>
      <c r="D44" s="10">
        <v>11</v>
      </c>
      <c r="E44" s="10">
        <v>91903901</v>
      </c>
      <c r="F44" s="10" t="s">
        <v>45</v>
      </c>
      <c r="G44" s="10">
        <v>11.67</v>
      </c>
      <c r="H44" s="10">
        <v>20.02</v>
      </c>
      <c r="I44" s="10">
        <v>75.209999999999994</v>
      </c>
      <c r="J44" s="10">
        <v>416.2</v>
      </c>
      <c r="K44" s="10">
        <v>0.1016</v>
      </c>
      <c r="L44" s="10">
        <v>9.4530000000000003E-2</v>
      </c>
      <c r="M44" s="10">
        <v>4.2000000000000003E-2</v>
      </c>
      <c r="N44" s="10">
        <v>2.1569999999999999E-2</v>
      </c>
      <c r="O44" s="10">
        <v>0.18590000000000001</v>
      </c>
      <c r="P44" s="10">
        <v>6.4610000000000001E-2</v>
      </c>
      <c r="Q44" s="10">
        <v>0.20669999999999999</v>
      </c>
      <c r="R44" s="10">
        <v>0.87450000000000006</v>
      </c>
      <c r="S44" s="10">
        <v>1.393</v>
      </c>
      <c r="T44" s="10">
        <v>15.34</v>
      </c>
      <c r="U44" s="10">
        <v>5.2509999999999996E-3</v>
      </c>
      <c r="V44" s="10">
        <v>1.7270000000000001E-2</v>
      </c>
      <c r="W44" s="10">
        <v>1.84E-2</v>
      </c>
      <c r="X44" s="10">
        <v>5.2979999999999998E-3</v>
      </c>
      <c r="Y44" s="10">
        <v>1.4489999999999999E-2</v>
      </c>
      <c r="Z44" s="10">
        <v>2.6710000000000002E-3</v>
      </c>
      <c r="AA44" s="10">
        <v>13.35</v>
      </c>
      <c r="AB44" s="10">
        <v>28.81</v>
      </c>
      <c r="AC44" s="10">
        <v>87</v>
      </c>
      <c r="AD44" s="10">
        <v>550.6</v>
      </c>
      <c r="AE44" s="10">
        <v>0.155</v>
      </c>
      <c r="AF44" s="10">
        <v>0.2964</v>
      </c>
      <c r="AG44" s="10">
        <v>0.27579999999999999</v>
      </c>
      <c r="AH44" s="10">
        <v>8.1199999999999994E-2</v>
      </c>
      <c r="AI44" s="10">
        <v>0.3206</v>
      </c>
      <c r="AJ44">
        <v>8.9499999999999996E-2</v>
      </c>
    </row>
    <row r="45" spans="3:36">
      <c r="C45" s="11" t="s">
        <v>151</v>
      </c>
      <c r="D45" s="10">
        <v>12</v>
      </c>
      <c r="E45" s="10">
        <v>91903902</v>
      </c>
      <c r="F45" s="10" t="s">
        <v>45</v>
      </c>
      <c r="G45" s="10">
        <v>13.68</v>
      </c>
      <c r="H45" s="10">
        <v>16.329999999999998</v>
      </c>
      <c r="I45" s="10">
        <v>87.76</v>
      </c>
      <c r="J45" s="10">
        <v>575.5</v>
      </c>
      <c r="K45" s="10">
        <v>9.2770000000000005E-2</v>
      </c>
      <c r="L45" s="10">
        <v>7.2550000000000003E-2</v>
      </c>
      <c r="M45" s="10">
        <v>1.7520000000000001E-2</v>
      </c>
      <c r="N45" s="10">
        <v>1.8800000000000001E-2</v>
      </c>
      <c r="O45" s="10">
        <v>0.16309999999999999</v>
      </c>
      <c r="P45" s="10">
        <v>6.1550000000000001E-2</v>
      </c>
      <c r="Q45" s="10">
        <v>0.20469999999999999</v>
      </c>
      <c r="R45" s="10">
        <v>0.48010000000000003</v>
      </c>
      <c r="S45" s="10">
        <v>1.373</v>
      </c>
      <c r="T45" s="10">
        <v>17.25</v>
      </c>
      <c r="U45" s="10">
        <v>3.8279999999999998E-3</v>
      </c>
      <c r="V45" s="10">
        <v>7.228E-3</v>
      </c>
      <c r="W45" s="10">
        <v>7.0780000000000001E-3</v>
      </c>
      <c r="X45" s="10">
        <v>5.0769999999999999E-3</v>
      </c>
      <c r="Y45" s="10">
        <v>1.0540000000000001E-2</v>
      </c>
      <c r="Z45" s="10">
        <v>1.6969999999999999E-3</v>
      </c>
      <c r="AA45" s="10">
        <v>15.85</v>
      </c>
      <c r="AB45" s="10">
        <v>20.2</v>
      </c>
      <c r="AC45" s="10">
        <v>101.6</v>
      </c>
      <c r="AD45" s="10">
        <v>773.4</v>
      </c>
      <c r="AE45" s="10">
        <v>0.12640000000000001</v>
      </c>
      <c r="AF45" s="10">
        <v>0.15640000000000001</v>
      </c>
      <c r="AG45" s="10">
        <v>0.1206</v>
      </c>
      <c r="AH45" s="10">
        <v>8.7040000000000006E-2</v>
      </c>
      <c r="AI45" s="10">
        <v>0.28060000000000002</v>
      </c>
      <c r="AJ45">
        <v>7.782E-2</v>
      </c>
    </row>
    <row r="46" spans="3:36">
      <c r="C46" s="11" t="s">
        <v>152</v>
      </c>
      <c r="D46" s="10">
        <v>13</v>
      </c>
      <c r="E46" s="10">
        <v>91930402</v>
      </c>
      <c r="F46" s="10" t="s">
        <v>45</v>
      </c>
      <c r="G46" s="10">
        <v>20.47</v>
      </c>
      <c r="H46" s="10">
        <v>20.67</v>
      </c>
      <c r="I46" s="10">
        <v>134.69999999999999</v>
      </c>
      <c r="J46" s="10">
        <v>1299</v>
      </c>
      <c r="K46" s="10">
        <v>9.1560000000000002E-2</v>
      </c>
      <c r="L46" s="10">
        <v>0.1313</v>
      </c>
      <c r="M46" s="10">
        <v>0.15229999999999999</v>
      </c>
      <c r="N46" s="10">
        <v>0.10150000000000001</v>
      </c>
      <c r="O46" s="10">
        <v>0.21659999999999999</v>
      </c>
      <c r="P46" s="10">
        <v>5.4190000000000002E-2</v>
      </c>
      <c r="Q46" s="10">
        <v>0.83360000000000001</v>
      </c>
      <c r="R46" s="10">
        <v>1.736</v>
      </c>
      <c r="S46" s="10">
        <v>5.1680000000000001</v>
      </c>
      <c r="T46" s="10">
        <v>100.4</v>
      </c>
      <c r="U46" s="10">
        <v>4.9379999999999997E-3</v>
      </c>
      <c r="V46" s="10">
        <v>3.0890000000000001E-2</v>
      </c>
      <c r="W46" s="10">
        <v>4.0930000000000001E-2</v>
      </c>
      <c r="X46" s="10">
        <v>1.6990000000000002E-2</v>
      </c>
      <c r="Y46" s="10">
        <v>2.8160000000000001E-2</v>
      </c>
      <c r="Z46" s="10">
        <v>2.7190000000000001E-3</v>
      </c>
      <c r="AA46" s="10">
        <v>23.23</v>
      </c>
      <c r="AB46" s="10">
        <v>27.15</v>
      </c>
      <c r="AC46" s="10">
        <v>152</v>
      </c>
      <c r="AD46" s="10">
        <v>1645</v>
      </c>
      <c r="AE46" s="10">
        <v>0.10970000000000001</v>
      </c>
      <c r="AF46" s="10">
        <v>0.25340000000000001</v>
      </c>
      <c r="AG46" s="10">
        <v>0.30919999999999997</v>
      </c>
      <c r="AH46" s="10">
        <v>0.1613</v>
      </c>
      <c r="AI46" s="10">
        <v>0.32200000000000001</v>
      </c>
      <c r="AJ46">
        <v>6.386E-2</v>
      </c>
    </row>
    <row r="47" spans="3:36">
      <c r="C47" s="11" t="s">
        <v>153</v>
      </c>
      <c r="D47" s="10">
        <v>14</v>
      </c>
      <c r="E47" s="10">
        <v>919537</v>
      </c>
      <c r="F47" s="10" t="s">
        <v>45</v>
      </c>
      <c r="G47" s="10">
        <v>10.96</v>
      </c>
      <c r="H47" s="10">
        <v>17.62</v>
      </c>
      <c r="I47" s="10">
        <v>70.790000000000006</v>
      </c>
      <c r="J47" s="10">
        <v>365.6</v>
      </c>
      <c r="K47" s="10">
        <v>9.6869999999999998E-2</v>
      </c>
      <c r="L47" s="10">
        <v>9.7519999999999996E-2</v>
      </c>
      <c r="M47" s="10">
        <v>5.2630000000000003E-2</v>
      </c>
      <c r="N47" s="10">
        <v>2.7879999999999999E-2</v>
      </c>
      <c r="O47" s="10">
        <v>0.16189999999999999</v>
      </c>
      <c r="P47" s="10">
        <v>6.4079999999999998E-2</v>
      </c>
      <c r="Q47" s="10">
        <v>0.1507</v>
      </c>
      <c r="R47" s="10">
        <v>1.583</v>
      </c>
      <c r="S47" s="10">
        <v>1.165</v>
      </c>
      <c r="T47" s="10">
        <v>10.09</v>
      </c>
      <c r="U47" s="10">
        <v>9.5010000000000008E-3</v>
      </c>
      <c r="V47" s="10">
        <v>3.3779999999999998E-2</v>
      </c>
      <c r="W47" s="10">
        <v>4.4010000000000001E-2</v>
      </c>
      <c r="X47" s="10">
        <v>1.346E-2</v>
      </c>
      <c r="Y47" s="10">
        <v>1.3220000000000001E-2</v>
      </c>
      <c r="Z47" s="10">
        <v>3.5339999999999998E-3</v>
      </c>
      <c r="AA47" s="10">
        <v>11.62</v>
      </c>
      <c r="AB47" s="10">
        <v>26.51</v>
      </c>
      <c r="AC47" s="10">
        <v>76.430000000000007</v>
      </c>
      <c r="AD47" s="10">
        <v>407.5</v>
      </c>
      <c r="AE47" s="10">
        <v>0.14280000000000001</v>
      </c>
      <c r="AF47" s="10">
        <v>0.251</v>
      </c>
      <c r="AG47" s="10">
        <v>0.21229999999999999</v>
      </c>
      <c r="AH47" s="10">
        <v>9.8610000000000003E-2</v>
      </c>
      <c r="AI47" s="10">
        <v>0.22889999999999999</v>
      </c>
      <c r="AJ47">
        <v>8.2780000000000006E-2</v>
      </c>
    </row>
    <row r="48" spans="3:36">
      <c r="C48" s="11" t="s">
        <v>154</v>
      </c>
      <c r="D48" s="10">
        <v>15</v>
      </c>
      <c r="E48" s="10">
        <v>919555</v>
      </c>
      <c r="F48" s="10" t="s">
        <v>45</v>
      </c>
      <c r="G48" s="10">
        <v>20.55</v>
      </c>
      <c r="H48" s="10">
        <v>20.86</v>
      </c>
      <c r="I48" s="10">
        <v>137.80000000000001</v>
      </c>
      <c r="J48" s="10">
        <v>1308</v>
      </c>
      <c r="K48" s="10">
        <v>0.1046</v>
      </c>
      <c r="L48" s="10">
        <v>0.1739</v>
      </c>
      <c r="M48" s="10">
        <v>0.20849999999999999</v>
      </c>
      <c r="N48" s="10">
        <v>0.13220000000000001</v>
      </c>
      <c r="O48" s="10">
        <v>0.2127</v>
      </c>
      <c r="P48" s="10">
        <v>6.2509999999999996E-2</v>
      </c>
      <c r="Q48" s="10">
        <v>0.6986</v>
      </c>
      <c r="R48" s="10">
        <v>0.99009999999999998</v>
      </c>
      <c r="S48" s="10">
        <v>4.7060000000000004</v>
      </c>
      <c r="T48" s="10">
        <v>87.78</v>
      </c>
      <c r="U48" s="10">
        <v>4.5779999999999996E-3</v>
      </c>
      <c r="V48" s="10">
        <v>2.6159999999999999E-2</v>
      </c>
      <c r="W48" s="10">
        <v>4.0050000000000002E-2</v>
      </c>
      <c r="X48" s="10">
        <v>1.421E-2</v>
      </c>
      <c r="Y48" s="10">
        <v>1.9480000000000001E-2</v>
      </c>
      <c r="Z48" s="10">
        <v>2.689E-3</v>
      </c>
      <c r="AA48" s="10">
        <v>24.3</v>
      </c>
      <c r="AB48" s="10">
        <v>25.48</v>
      </c>
      <c r="AC48" s="10">
        <v>160.19999999999999</v>
      </c>
      <c r="AD48" s="10">
        <v>1809</v>
      </c>
      <c r="AE48" s="10">
        <v>0.1268</v>
      </c>
      <c r="AF48" s="10">
        <v>0.3135</v>
      </c>
      <c r="AG48" s="10">
        <v>0.44330000000000003</v>
      </c>
      <c r="AH48" s="10">
        <v>0.21479999999999999</v>
      </c>
      <c r="AI48" s="10">
        <v>0.30769999999999997</v>
      </c>
      <c r="AJ48">
        <v>7.5689999999999993E-2</v>
      </c>
    </row>
    <row r="49" spans="3:36">
      <c r="C49" s="11" t="s">
        <v>155</v>
      </c>
      <c r="D49" s="10">
        <v>16</v>
      </c>
      <c r="E49" s="10">
        <v>91979701</v>
      </c>
      <c r="F49" s="10" t="s">
        <v>45</v>
      </c>
      <c r="G49" s="10">
        <v>14.27</v>
      </c>
      <c r="H49" s="10">
        <v>22.55</v>
      </c>
      <c r="I49" s="10">
        <v>93.77</v>
      </c>
      <c r="J49" s="10">
        <v>629.79999999999995</v>
      </c>
      <c r="K49" s="10">
        <v>0.1038</v>
      </c>
      <c r="L49" s="10">
        <v>0.1154</v>
      </c>
      <c r="M49" s="10">
        <v>0.14630000000000001</v>
      </c>
      <c r="N49" s="10">
        <v>6.139E-2</v>
      </c>
      <c r="O49" s="10">
        <v>0.19259999999999999</v>
      </c>
      <c r="P49" s="10">
        <v>5.9819999999999998E-2</v>
      </c>
      <c r="Q49" s="10">
        <v>0.20269999999999999</v>
      </c>
      <c r="R49" s="10">
        <v>1.851</v>
      </c>
      <c r="S49" s="10">
        <v>1.895</v>
      </c>
      <c r="T49" s="10">
        <v>18.54</v>
      </c>
      <c r="U49" s="10">
        <v>6.1130000000000004E-3</v>
      </c>
      <c r="V49" s="10">
        <v>2.5829999999999999E-2</v>
      </c>
      <c r="W49" s="10">
        <v>4.6449999999999998E-2</v>
      </c>
      <c r="X49" s="10">
        <v>1.2760000000000001E-2</v>
      </c>
      <c r="Y49" s="10">
        <v>1.451E-2</v>
      </c>
      <c r="Z49" s="10">
        <v>3.7559999999999998E-3</v>
      </c>
      <c r="AA49" s="10">
        <v>15.29</v>
      </c>
      <c r="AB49" s="10">
        <v>34.270000000000003</v>
      </c>
      <c r="AC49" s="10">
        <v>104.3</v>
      </c>
      <c r="AD49" s="10">
        <v>728.3</v>
      </c>
      <c r="AE49" s="10">
        <v>0.13800000000000001</v>
      </c>
      <c r="AF49" s="10">
        <v>0.27329999999999999</v>
      </c>
      <c r="AG49" s="10">
        <v>0.4234</v>
      </c>
      <c r="AH49" s="10">
        <v>0.13619999999999999</v>
      </c>
      <c r="AI49" s="10">
        <v>0.26979999999999998</v>
      </c>
      <c r="AJ49">
        <v>8.3510000000000001E-2</v>
      </c>
    </row>
    <row r="50" spans="3:36">
      <c r="C50" s="11" t="s">
        <v>156</v>
      </c>
      <c r="D50" s="10">
        <v>17</v>
      </c>
      <c r="E50" s="10">
        <v>919812</v>
      </c>
      <c r="F50" s="10" t="s">
        <v>45</v>
      </c>
      <c r="G50" s="10">
        <v>11.69</v>
      </c>
      <c r="H50" s="10">
        <v>24.44</v>
      </c>
      <c r="I50" s="10">
        <v>76.37</v>
      </c>
      <c r="J50" s="10">
        <v>406.4</v>
      </c>
      <c r="K50" s="10">
        <v>0.1236</v>
      </c>
      <c r="L50" s="10">
        <v>0.1552</v>
      </c>
      <c r="M50" s="10">
        <v>4.5150000000000003E-2</v>
      </c>
      <c r="N50" s="10">
        <v>4.5310000000000003E-2</v>
      </c>
      <c r="O50" s="10">
        <v>0.21310000000000001</v>
      </c>
      <c r="P50" s="10">
        <v>7.4050000000000005E-2</v>
      </c>
      <c r="Q50" s="10">
        <v>0.29570000000000002</v>
      </c>
      <c r="R50" s="10">
        <v>1.978</v>
      </c>
      <c r="S50" s="10">
        <v>2.1579999999999999</v>
      </c>
      <c r="T50" s="10">
        <v>20.95</v>
      </c>
      <c r="U50" s="10">
        <v>1.2880000000000001E-2</v>
      </c>
      <c r="V50" s="10">
        <v>3.4950000000000002E-2</v>
      </c>
      <c r="W50" s="10">
        <v>1.865E-2</v>
      </c>
      <c r="X50" s="10">
        <v>1.7659999999999999E-2</v>
      </c>
      <c r="Y50" s="10">
        <v>1.5599999999999999E-2</v>
      </c>
      <c r="Z50" s="10">
        <v>5.8240000000000002E-3</v>
      </c>
      <c r="AA50" s="10">
        <v>12.98</v>
      </c>
      <c r="AB50" s="10">
        <v>32.19</v>
      </c>
      <c r="AC50" s="10">
        <v>86.12</v>
      </c>
      <c r="AD50" s="10">
        <v>487.7</v>
      </c>
      <c r="AE50" s="10">
        <v>0.17680000000000001</v>
      </c>
      <c r="AF50" s="10">
        <v>0.3251</v>
      </c>
      <c r="AG50" s="10">
        <v>0.13950000000000001</v>
      </c>
      <c r="AH50" s="10">
        <v>0.1308</v>
      </c>
      <c r="AI50" s="10">
        <v>0.28029999999999999</v>
      </c>
      <c r="AJ50">
        <v>9.9699999999999997E-2</v>
      </c>
    </row>
    <row r="51" spans="3:36">
      <c r="C51" s="11" t="s">
        <v>157</v>
      </c>
      <c r="D51" s="10">
        <v>18</v>
      </c>
      <c r="E51" s="10">
        <v>921092</v>
      </c>
      <c r="F51" s="10" t="s">
        <v>45</v>
      </c>
      <c r="G51" s="10">
        <v>7.7290000000000001</v>
      </c>
      <c r="H51" s="10">
        <v>25.49</v>
      </c>
      <c r="I51" s="10">
        <v>47.98</v>
      </c>
      <c r="J51" s="10">
        <v>178.8</v>
      </c>
      <c r="K51" s="10">
        <v>8.0979999999999996E-2</v>
      </c>
      <c r="L51" s="10">
        <v>4.8779999999999997E-2</v>
      </c>
      <c r="M51" s="10">
        <v>0</v>
      </c>
      <c r="N51" s="10">
        <v>0</v>
      </c>
      <c r="O51" s="10">
        <v>0.187</v>
      </c>
      <c r="P51" s="10">
        <v>7.2849999999999998E-2</v>
      </c>
      <c r="Q51" s="10">
        <v>0.37769999999999998</v>
      </c>
      <c r="R51" s="10">
        <v>1.462</v>
      </c>
      <c r="S51" s="10">
        <v>2.492</v>
      </c>
      <c r="T51" s="10">
        <v>19.14</v>
      </c>
      <c r="U51" s="10">
        <v>1.2659999999999999E-2</v>
      </c>
      <c r="V51" s="10">
        <v>9.6919999999999992E-3</v>
      </c>
      <c r="W51" s="10">
        <v>0</v>
      </c>
      <c r="X51" s="10">
        <v>0</v>
      </c>
      <c r="Y51" s="10">
        <v>2.8819999999999998E-2</v>
      </c>
      <c r="Z51" s="10">
        <v>6.8719999999999996E-3</v>
      </c>
      <c r="AA51" s="10">
        <v>9.077</v>
      </c>
      <c r="AB51" s="10">
        <v>30.92</v>
      </c>
      <c r="AC51" s="10">
        <v>57.17</v>
      </c>
      <c r="AD51" s="10">
        <v>248</v>
      </c>
      <c r="AE51" s="10">
        <v>0.12559999999999999</v>
      </c>
      <c r="AF51" s="10">
        <v>8.3400000000000002E-2</v>
      </c>
      <c r="AG51" s="10">
        <v>0</v>
      </c>
      <c r="AH51" s="10">
        <v>0</v>
      </c>
      <c r="AI51" s="10">
        <v>0.30580000000000002</v>
      </c>
      <c r="AJ51">
        <v>9.9379999999999996E-2</v>
      </c>
    </row>
  </sheetData>
  <mergeCells count="27">
    <mergeCell ref="F13:I13"/>
    <mergeCell ref="F14:I14"/>
    <mergeCell ref="F15:I15"/>
    <mergeCell ref="F16:I16"/>
    <mergeCell ref="C25:E25"/>
    <mergeCell ref="C26:E26"/>
    <mergeCell ref="C27:E27"/>
    <mergeCell ref="C28:E28"/>
    <mergeCell ref="F26:AL26"/>
    <mergeCell ref="F27:AL27"/>
    <mergeCell ref="F28:AL28"/>
    <mergeCell ref="B4:C4"/>
    <mergeCell ref="D4:E4"/>
    <mergeCell ref="B3:E3"/>
    <mergeCell ref="J3:M3"/>
    <mergeCell ref="C24:E24"/>
    <mergeCell ref="C18:AL18"/>
    <mergeCell ref="C19:E19"/>
    <mergeCell ref="C20:E20"/>
    <mergeCell ref="F19:AL19"/>
    <mergeCell ref="C22:AL22"/>
    <mergeCell ref="C23:E23"/>
    <mergeCell ref="C12:I12"/>
    <mergeCell ref="C13:E13"/>
    <mergeCell ref="C14:E14"/>
    <mergeCell ref="C15:E15"/>
    <mergeCell ref="C16:E16"/>
  </mergeCells>
  <hyperlinks>
    <hyperlink ref="B4" location="'Imputation1'!$B$10:$B$10" display="Inputs" xr:uid="{E6F6A175-87B6-4985-8ADF-5BD762EE04CE}"/>
    <hyperlink ref="D4" location="'Imputation1'!$B$31:$B$31" display="Transformed Data" xr:uid="{63C955D4-94CC-4946-ABC7-95334E89025A}"/>
  </hyperlinks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9F978-9835-4A40-B016-73B3917D24AB}">
  <dimension ref="B1:AI43"/>
  <sheetViews>
    <sheetView showGridLines="0" topLeftCell="A21" workbookViewId="0">
      <selection activeCell="C26" sqref="C26"/>
    </sheetView>
  </sheetViews>
  <sheetFormatPr defaultRowHeight="14.4"/>
  <cols>
    <col min="3" max="3" width="11" customWidth="1"/>
    <col min="4" max="4" width="20.33203125" customWidth="1"/>
    <col min="5" max="5" width="12.6640625" customWidth="1"/>
    <col min="6" max="6" width="13.33203125" customWidth="1"/>
    <col min="10" max="10" width="16.109375" bestFit="1" customWidth="1"/>
  </cols>
  <sheetData>
    <row r="1" spans="2:14" ht="18">
      <c r="B1" s="8" t="s">
        <v>2433</v>
      </c>
      <c r="N1" t="s">
        <v>2766</v>
      </c>
    </row>
    <row r="3" spans="2:14" ht="15.6">
      <c r="B3" s="22" t="s">
        <v>80</v>
      </c>
      <c r="C3" s="22"/>
      <c r="D3" s="22"/>
      <c r="E3" s="22"/>
      <c r="J3" s="35" t="s">
        <v>103</v>
      </c>
      <c r="K3" s="35"/>
      <c r="L3" s="35"/>
      <c r="M3" s="35"/>
    </row>
    <row r="4" spans="2:14">
      <c r="B4" s="16" t="s">
        <v>81</v>
      </c>
      <c r="C4" s="16"/>
      <c r="D4" s="16" t="s">
        <v>2434</v>
      </c>
      <c r="E4" s="16"/>
      <c r="J4" s="14" t="s">
        <v>104</v>
      </c>
      <c r="K4" s="14" t="s">
        <v>105</v>
      </c>
      <c r="L4" s="14" t="s">
        <v>106</v>
      </c>
      <c r="M4" s="14" t="s">
        <v>107</v>
      </c>
    </row>
    <row r="5" spans="2:14">
      <c r="J5" s="12">
        <v>739</v>
      </c>
      <c r="K5" s="12">
        <v>3</v>
      </c>
      <c r="L5" s="12">
        <v>1</v>
      </c>
      <c r="M5" s="12">
        <v>743</v>
      </c>
    </row>
    <row r="10" spans="2:14" ht="18">
      <c r="B10" s="9" t="s">
        <v>81</v>
      </c>
    </row>
    <row r="12" spans="2:14" ht="15.6">
      <c r="C12" s="22" t="s">
        <v>83</v>
      </c>
      <c r="D12" s="22"/>
      <c r="E12" s="22"/>
      <c r="F12" s="22"/>
      <c r="G12" s="22"/>
      <c r="H12" s="22"/>
      <c r="I12" s="22"/>
    </row>
    <row r="13" spans="2:14">
      <c r="C13" s="20" t="s">
        <v>84</v>
      </c>
      <c r="D13" s="20"/>
      <c r="E13" s="21"/>
      <c r="F13" s="24" t="s">
        <v>98</v>
      </c>
      <c r="G13" s="24"/>
      <c r="H13" s="24"/>
      <c r="I13" s="24"/>
    </row>
    <row r="14" spans="2:14">
      <c r="C14" s="20" t="s">
        <v>85</v>
      </c>
      <c r="D14" s="20"/>
      <c r="E14" s="21"/>
      <c r="F14" s="24" t="s">
        <v>2437</v>
      </c>
      <c r="G14" s="24"/>
      <c r="H14" s="24"/>
      <c r="I14" s="24"/>
    </row>
    <row r="15" spans="2:14">
      <c r="C15" s="20" t="s">
        <v>86</v>
      </c>
      <c r="D15" s="20"/>
      <c r="E15" s="21"/>
      <c r="F15" s="24" t="s">
        <v>2438</v>
      </c>
      <c r="G15" s="24"/>
      <c r="H15" s="24"/>
      <c r="I15" s="24"/>
    </row>
    <row r="16" spans="2:14">
      <c r="C16" s="20" t="s">
        <v>87</v>
      </c>
      <c r="D16" s="20"/>
      <c r="E16" s="21"/>
      <c r="F16" s="23">
        <v>18</v>
      </c>
      <c r="G16" s="23"/>
      <c r="H16" s="23"/>
      <c r="I16" s="23"/>
    </row>
    <row r="18" spans="2:35" ht="15.6">
      <c r="C18" s="22" t="s">
        <v>88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2:35">
      <c r="C19" s="20" t="s">
        <v>1183</v>
      </c>
      <c r="D19" s="20"/>
      <c r="E19" s="21"/>
      <c r="F19" s="23">
        <v>30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2:35">
      <c r="C20" s="20" t="s">
        <v>2435</v>
      </c>
      <c r="D20" s="20"/>
      <c r="E20" s="21"/>
      <c r="F20" s="12" t="s">
        <v>110</v>
      </c>
      <c r="G20" s="12" t="s">
        <v>111</v>
      </c>
      <c r="H20" s="12" t="s">
        <v>112</v>
      </c>
      <c r="I20" s="12" t="s">
        <v>113</v>
      </c>
      <c r="J20" s="12" t="s">
        <v>114</v>
      </c>
      <c r="K20" s="12" t="s">
        <v>115</v>
      </c>
      <c r="L20" s="12" t="s">
        <v>116</v>
      </c>
      <c r="M20" s="12" t="s">
        <v>117</v>
      </c>
      <c r="N20" s="12" t="s">
        <v>118</v>
      </c>
      <c r="O20" s="12" t="s">
        <v>119</v>
      </c>
      <c r="P20" s="12" t="s">
        <v>120</v>
      </c>
      <c r="Q20" s="12" t="s">
        <v>121</v>
      </c>
      <c r="R20" s="12" t="s">
        <v>122</v>
      </c>
      <c r="S20" s="12" t="s">
        <v>123</v>
      </c>
      <c r="T20" s="12" t="s">
        <v>124</v>
      </c>
      <c r="U20" s="12" t="s">
        <v>125</v>
      </c>
      <c r="V20" s="12" t="s">
        <v>126</v>
      </c>
      <c r="W20" s="12" t="s">
        <v>127</v>
      </c>
      <c r="X20" s="12" t="s">
        <v>128</v>
      </c>
      <c r="Y20" s="12" t="s">
        <v>129</v>
      </c>
      <c r="Z20" s="12" t="s">
        <v>130</v>
      </c>
      <c r="AA20" s="12" t="s">
        <v>131</v>
      </c>
      <c r="AB20" s="12" t="s">
        <v>132</v>
      </c>
      <c r="AC20" s="12" t="s">
        <v>133</v>
      </c>
      <c r="AD20" s="12" t="s">
        <v>134</v>
      </c>
      <c r="AE20" s="12" t="s">
        <v>135</v>
      </c>
      <c r="AF20" s="12" t="s">
        <v>136</v>
      </c>
      <c r="AG20" s="12" t="s">
        <v>137</v>
      </c>
      <c r="AH20" s="12" t="s">
        <v>138</v>
      </c>
      <c r="AI20" s="12" t="s">
        <v>139</v>
      </c>
    </row>
    <row r="21" spans="2:35">
      <c r="C21" s="20" t="s">
        <v>2436</v>
      </c>
      <c r="D21" s="20"/>
      <c r="E21" s="21"/>
      <c r="F21" s="12" t="s">
        <v>110</v>
      </c>
      <c r="G21" s="12" t="s">
        <v>111</v>
      </c>
      <c r="H21" s="12" t="s">
        <v>112</v>
      </c>
      <c r="I21" s="12" t="s">
        <v>113</v>
      </c>
      <c r="J21" s="12" t="s">
        <v>114</v>
      </c>
      <c r="K21" s="12" t="s">
        <v>115</v>
      </c>
      <c r="L21" s="12" t="s">
        <v>116</v>
      </c>
      <c r="M21" s="12" t="s">
        <v>117</v>
      </c>
      <c r="N21" s="12" t="s">
        <v>118</v>
      </c>
      <c r="O21" s="12" t="s">
        <v>119</v>
      </c>
      <c r="P21" s="12" t="s">
        <v>120</v>
      </c>
      <c r="Q21" s="12" t="s">
        <v>121</v>
      </c>
      <c r="R21" s="12" t="s">
        <v>122</v>
      </c>
      <c r="S21" s="12" t="s">
        <v>123</v>
      </c>
      <c r="T21" s="12" t="s">
        <v>124</v>
      </c>
      <c r="U21" s="12" t="s">
        <v>125</v>
      </c>
      <c r="V21" s="12" t="s">
        <v>126</v>
      </c>
      <c r="W21" s="12" t="s">
        <v>127</v>
      </c>
      <c r="X21" s="12" t="s">
        <v>128</v>
      </c>
      <c r="Y21" s="12" t="s">
        <v>129</v>
      </c>
      <c r="Z21" s="12" t="s">
        <v>130</v>
      </c>
      <c r="AA21" s="12" t="s">
        <v>131</v>
      </c>
      <c r="AB21" s="12" t="s">
        <v>132</v>
      </c>
      <c r="AC21" s="12" t="s">
        <v>133</v>
      </c>
      <c r="AD21" s="12" t="s">
        <v>134</v>
      </c>
      <c r="AE21" s="12" t="s">
        <v>135</v>
      </c>
      <c r="AF21" s="12" t="s">
        <v>136</v>
      </c>
      <c r="AG21" s="12" t="s">
        <v>137</v>
      </c>
      <c r="AH21" s="12" t="s">
        <v>138</v>
      </c>
      <c r="AI21" s="12" t="s">
        <v>139</v>
      </c>
    </row>
    <row r="23" spans="2:35" ht="18">
      <c r="B23" s="9" t="s">
        <v>2434</v>
      </c>
    </row>
    <row r="25" spans="2:35">
      <c r="C25" s="11" t="s">
        <v>109</v>
      </c>
      <c r="D25" t="s">
        <v>2440</v>
      </c>
      <c r="E25" t="s">
        <v>2441</v>
      </c>
      <c r="F25" t="s">
        <v>2442</v>
      </c>
    </row>
    <row r="26" spans="2:35">
      <c r="C26" s="11" t="s">
        <v>140</v>
      </c>
      <c r="D26" s="10" t="s">
        <v>0</v>
      </c>
      <c r="E26" s="10">
        <v>0</v>
      </c>
      <c r="F26">
        <v>1</v>
      </c>
    </row>
    <row r="27" spans="2:35">
      <c r="C27" s="11" t="s">
        <v>152</v>
      </c>
      <c r="D27" s="10" t="s">
        <v>0</v>
      </c>
      <c r="E27" s="10">
        <v>0.20685903005931089</v>
      </c>
      <c r="F27">
        <v>0.79314096994068917</v>
      </c>
    </row>
    <row r="28" spans="2:35">
      <c r="C28" s="11" t="s">
        <v>154</v>
      </c>
      <c r="D28" s="10" t="s">
        <v>0</v>
      </c>
      <c r="E28" s="10">
        <v>0.11886869833163451</v>
      </c>
      <c r="F28">
        <v>0.8811313016683654</v>
      </c>
    </row>
    <row r="29" spans="2:35">
      <c r="C29" s="11" t="s">
        <v>155</v>
      </c>
      <c r="D29" s="10" t="s">
        <v>0</v>
      </c>
      <c r="E29" s="10">
        <v>0.36312346744639135</v>
      </c>
      <c r="F29">
        <v>0.63687653255360877</v>
      </c>
    </row>
    <row r="30" spans="2:35">
      <c r="C30" s="11" t="s">
        <v>141</v>
      </c>
      <c r="D30" s="10" t="s">
        <v>1</v>
      </c>
      <c r="E30" s="10">
        <v>0.99735236507943836</v>
      </c>
      <c r="F30">
        <v>2.6476349205614533E-3</v>
      </c>
    </row>
    <row r="31" spans="2:35">
      <c r="C31" s="11" t="s">
        <v>142</v>
      </c>
      <c r="D31" s="10" t="s">
        <v>1</v>
      </c>
      <c r="E31" s="10">
        <v>0.75417677482198142</v>
      </c>
      <c r="F31">
        <v>0.24582322517801852</v>
      </c>
    </row>
    <row r="32" spans="2:35">
      <c r="C32" s="11" t="s">
        <v>143</v>
      </c>
      <c r="D32" s="10" t="s">
        <v>1</v>
      </c>
      <c r="E32" s="10">
        <v>0.83016125653591455</v>
      </c>
      <c r="F32">
        <v>0.1698387434640854</v>
      </c>
    </row>
    <row r="33" spans="3:6">
      <c r="C33" s="11" t="s">
        <v>144</v>
      </c>
      <c r="D33" s="10" t="s">
        <v>1</v>
      </c>
      <c r="E33" s="10">
        <v>0.79831980471812813</v>
      </c>
      <c r="F33">
        <v>0.20168019528187184</v>
      </c>
    </row>
    <row r="34" spans="3:6">
      <c r="C34" s="11" t="s">
        <v>145</v>
      </c>
      <c r="D34" s="10" t="s">
        <v>1</v>
      </c>
      <c r="E34" s="10">
        <v>0.55295150686418792</v>
      </c>
      <c r="F34">
        <v>0.44704849313581219</v>
      </c>
    </row>
    <row r="35" spans="3:6">
      <c r="C35" s="11" t="s">
        <v>146</v>
      </c>
      <c r="D35" s="10" t="s">
        <v>1</v>
      </c>
      <c r="E35" s="10">
        <v>0.98552184320592517</v>
      </c>
      <c r="F35">
        <v>1.4478156794074833E-2</v>
      </c>
    </row>
    <row r="36" spans="3:6">
      <c r="C36" s="11" t="s">
        <v>147</v>
      </c>
      <c r="D36" s="10" t="s">
        <v>1</v>
      </c>
      <c r="E36" s="10">
        <v>0.90584485270184023</v>
      </c>
      <c r="F36">
        <v>9.4155147298159644E-2</v>
      </c>
    </row>
    <row r="37" spans="3:6">
      <c r="C37" s="11" t="s">
        <v>148</v>
      </c>
      <c r="D37" s="10" t="s">
        <v>1</v>
      </c>
      <c r="E37" s="10">
        <v>0.87313793314725929</v>
      </c>
      <c r="F37">
        <v>0.12686206685274071</v>
      </c>
    </row>
    <row r="38" spans="3:6">
      <c r="C38" s="11" t="s">
        <v>149</v>
      </c>
      <c r="D38" s="10" t="s">
        <v>1</v>
      </c>
      <c r="E38" s="10">
        <v>0.85687316230967769</v>
      </c>
      <c r="F38">
        <v>0.14312683769032228</v>
      </c>
    </row>
    <row r="39" spans="3:6">
      <c r="C39" s="11" t="s">
        <v>150</v>
      </c>
      <c r="D39" s="10" t="s">
        <v>1</v>
      </c>
      <c r="E39" s="10">
        <v>0.73602211627317093</v>
      </c>
      <c r="F39">
        <v>0.26397788372682901</v>
      </c>
    </row>
    <row r="40" spans="3:6">
      <c r="C40" s="11" t="s">
        <v>151</v>
      </c>
      <c r="D40" s="10" t="s">
        <v>1</v>
      </c>
      <c r="E40" s="10">
        <v>0.83397922490197329</v>
      </c>
      <c r="F40">
        <v>0.16602077509802679</v>
      </c>
    </row>
    <row r="41" spans="3:6">
      <c r="C41" s="11" t="s">
        <v>153</v>
      </c>
      <c r="D41" s="10" t="s">
        <v>1</v>
      </c>
      <c r="E41" s="10">
        <v>0.87705817331797986</v>
      </c>
      <c r="F41">
        <v>0.12294182668202012</v>
      </c>
    </row>
    <row r="42" spans="3:6">
      <c r="C42" s="11" t="s">
        <v>156</v>
      </c>
      <c r="D42" s="10" t="s">
        <v>1</v>
      </c>
      <c r="E42" s="10">
        <v>0.69157309767393049</v>
      </c>
      <c r="F42">
        <v>0.30842690232606956</v>
      </c>
    </row>
    <row r="43" spans="3:6">
      <c r="C43" s="11" t="s">
        <v>157</v>
      </c>
      <c r="D43" s="10" t="s">
        <v>1</v>
      </c>
      <c r="E43" s="10">
        <v>0.82011499428536738</v>
      </c>
      <c r="F43">
        <v>0.17988500571463262</v>
      </c>
    </row>
  </sheetData>
  <mergeCells count="18">
    <mergeCell ref="C21:E21"/>
    <mergeCell ref="F19:AI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B3:E3"/>
    <mergeCell ref="J3:M3"/>
    <mergeCell ref="C18:AI18"/>
    <mergeCell ref="C19:E19"/>
    <mergeCell ref="C20:E20"/>
  </mergeCells>
  <hyperlinks>
    <hyperlink ref="B4" location="'Scoring_NeuralNetwork2'!$B$10:$B$10" display="Inputs" xr:uid="{A8DD9AD2-B24B-40F1-AD6B-09D6725CA3D3}"/>
    <hyperlink ref="D4" location="'Scoring_NeuralNetwork2'!$B$23:$B$23" display="Scoring" xr:uid="{4F85B2A0-EA12-4146-98B2-3642360CD407}"/>
  </hyperlinks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5E98-E4AE-4052-BA39-ED155F3B3287}">
  <dimension ref="B1:AI43"/>
  <sheetViews>
    <sheetView showGridLines="0" topLeftCell="A21" workbookViewId="0">
      <selection activeCell="D25" sqref="D25"/>
    </sheetView>
  </sheetViews>
  <sheetFormatPr defaultRowHeight="14.4"/>
  <cols>
    <col min="3" max="3" width="11" customWidth="1"/>
    <col min="4" max="4" width="20.33203125" customWidth="1"/>
    <col min="5" max="5" width="12.6640625" customWidth="1"/>
    <col min="6" max="6" width="13.33203125" customWidth="1"/>
    <col min="10" max="10" width="16.109375" bestFit="1" customWidth="1"/>
  </cols>
  <sheetData>
    <row r="1" spans="2:14" ht="18">
      <c r="B1" s="8" t="s">
        <v>2433</v>
      </c>
      <c r="N1" t="s">
        <v>2443</v>
      </c>
    </row>
    <row r="3" spans="2:14" ht="15.6">
      <c r="B3" s="22" t="s">
        <v>80</v>
      </c>
      <c r="C3" s="22"/>
      <c r="D3" s="22"/>
      <c r="E3" s="22"/>
      <c r="J3" s="35" t="s">
        <v>103</v>
      </c>
      <c r="K3" s="35"/>
      <c r="L3" s="35"/>
      <c r="M3" s="35"/>
    </row>
    <row r="4" spans="2:14">
      <c r="B4" s="16" t="s">
        <v>81</v>
      </c>
      <c r="C4" s="16"/>
      <c r="D4" s="16" t="s">
        <v>2434</v>
      </c>
      <c r="E4" s="16"/>
      <c r="J4" s="14" t="s">
        <v>104</v>
      </c>
      <c r="K4" s="14" t="s">
        <v>105</v>
      </c>
      <c r="L4" s="14" t="s">
        <v>106</v>
      </c>
      <c r="M4" s="14" t="s">
        <v>107</v>
      </c>
    </row>
    <row r="5" spans="2:14">
      <c r="J5" s="12">
        <v>756</v>
      </c>
      <c r="K5" s="12">
        <v>5</v>
      </c>
      <c r="L5" s="12">
        <v>0</v>
      </c>
      <c r="M5" s="12">
        <v>761</v>
      </c>
    </row>
    <row r="10" spans="2:14" ht="18">
      <c r="B10" s="9" t="s">
        <v>81</v>
      </c>
    </row>
    <row r="12" spans="2:14" ht="15.6">
      <c r="C12" s="22" t="s">
        <v>83</v>
      </c>
      <c r="D12" s="22"/>
      <c r="E12" s="22"/>
      <c r="F12" s="22"/>
      <c r="G12" s="22"/>
      <c r="H12" s="22"/>
      <c r="I12" s="22"/>
    </row>
    <row r="13" spans="2:14">
      <c r="C13" s="20" t="s">
        <v>84</v>
      </c>
      <c r="D13" s="20"/>
      <c r="E13" s="21"/>
      <c r="F13" s="24" t="s">
        <v>98</v>
      </c>
      <c r="G13" s="24"/>
      <c r="H13" s="24"/>
      <c r="I13" s="24"/>
    </row>
    <row r="14" spans="2:14">
      <c r="C14" s="20" t="s">
        <v>85</v>
      </c>
      <c r="D14" s="20"/>
      <c r="E14" s="21"/>
      <c r="F14" s="24" t="s">
        <v>2437</v>
      </c>
      <c r="G14" s="24"/>
      <c r="H14" s="24"/>
      <c r="I14" s="24"/>
    </row>
    <row r="15" spans="2:14">
      <c r="C15" s="20" t="s">
        <v>86</v>
      </c>
      <c r="D15" s="20"/>
      <c r="E15" s="21"/>
      <c r="F15" s="24" t="s">
        <v>2438</v>
      </c>
      <c r="G15" s="24"/>
      <c r="H15" s="24"/>
      <c r="I15" s="24"/>
    </row>
    <row r="16" spans="2:14">
      <c r="C16" s="20" t="s">
        <v>87</v>
      </c>
      <c r="D16" s="20"/>
      <c r="E16" s="21"/>
      <c r="F16" s="23">
        <v>18</v>
      </c>
      <c r="G16" s="23"/>
      <c r="H16" s="23"/>
      <c r="I16" s="23"/>
    </row>
    <row r="18" spans="2:35" ht="15.6">
      <c r="C18" s="22" t="s">
        <v>88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2:35">
      <c r="C19" s="20" t="s">
        <v>1183</v>
      </c>
      <c r="D19" s="20"/>
      <c r="E19" s="21"/>
      <c r="F19" s="23">
        <v>30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2:35">
      <c r="C20" s="20" t="s">
        <v>2435</v>
      </c>
      <c r="D20" s="20"/>
      <c r="E20" s="21"/>
      <c r="F20" s="12" t="s">
        <v>110</v>
      </c>
      <c r="G20" s="12" t="s">
        <v>111</v>
      </c>
      <c r="H20" s="12" t="s">
        <v>112</v>
      </c>
      <c r="I20" s="12" t="s">
        <v>113</v>
      </c>
      <c r="J20" s="12" t="s">
        <v>114</v>
      </c>
      <c r="K20" s="12" t="s">
        <v>115</v>
      </c>
      <c r="L20" s="12" t="s">
        <v>116</v>
      </c>
      <c r="M20" s="12" t="s">
        <v>117</v>
      </c>
      <c r="N20" s="12" t="s">
        <v>118</v>
      </c>
      <c r="O20" s="12" t="s">
        <v>119</v>
      </c>
      <c r="P20" s="12" t="s">
        <v>120</v>
      </c>
      <c r="Q20" s="12" t="s">
        <v>121</v>
      </c>
      <c r="R20" s="12" t="s">
        <v>122</v>
      </c>
      <c r="S20" s="12" t="s">
        <v>123</v>
      </c>
      <c r="T20" s="12" t="s">
        <v>124</v>
      </c>
      <c r="U20" s="12" t="s">
        <v>125</v>
      </c>
      <c r="V20" s="12" t="s">
        <v>126</v>
      </c>
      <c r="W20" s="12" t="s">
        <v>127</v>
      </c>
      <c r="X20" s="12" t="s">
        <v>128</v>
      </c>
      <c r="Y20" s="12" t="s">
        <v>129</v>
      </c>
      <c r="Z20" s="12" t="s">
        <v>130</v>
      </c>
      <c r="AA20" s="12" t="s">
        <v>131</v>
      </c>
      <c r="AB20" s="12" t="s">
        <v>132</v>
      </c>
      <c r="AC20" s="12" t="s">
        <v>133</v>
      </c>
      <c r="AD20" s="12" t="s">
        <v>134</v>
      </c>
      <c r="AE20" s="12" t="s">
        <v>135</v>
      </c>
      <c r="AF20" s="12" t="s">
        <v>136</v>
      </c>
      <c r="AG20" s="12" t="s">
        <v>137</v>
      </c>
      <c r="AH20" s="12" t="s">
        <v>138</v>
      </c>
      <c r="AI20" s="12" t="s">
        <v>139</v>
      </c>
    </row>
    <row r="21" spans="2:35">
      <c r="C21" s="20" t="s">
        <v>2436</v>
      </c>
      <c r="D21" s="20"/>
      <c r="E21" s="21"/>
      <c r="F21" s="12" t="s">
        <v>110</v>
      </c>
      <c r="G21" s="12" t="s">
        <v>111</v>
      </c>
      <c r="H21" s="12" t="s">
        <v>112</v>
      </c>
      <c r="I21" s="12" t="s">
        <v>113</v>
      </c>
      <c r="J21" s="12" t="s">
        <v>114</v>
      </c>
      <c r="K21" s="12" t="s">
        <v>115</v>
      </c>
      <c r="L21" s="12" t="s">
        <v>116</v>
      </c>
      <c r="M21" s="12" t="s">
        <v>117</v>
      </c>
      <c r="N21" s="12" t="s">
        <v>118</v>
      </c>
      <c r="O21" s="12" t="s">
        <v>119</v>
      </c>
      <c r="P21" s="12" t="s">
        <v>120</v>
      </c>
      <c r="Q21" s="12" t="s">
        <v>121</v>
      </c>
      <c r="R21" s="12" t="s">
        <v>122</v>
      </c>
      <c r="S21" s="12" t="s">
        <v>123</v>
      </c>
      <c r="T21" s="12" t="s">
        <v>124</v>
      </c>
      <c r="U21" s="12" t="s">
        <v>125</v>
      </c>
      <c r="V21" s="12" t="s">
        <v>126</v>
      </c>
      <c r="W21" s="12" t="s">
        <v>127</v>
      </c>
      <c r="X21" s="12" t="s">
        <v>128</v>
      </c>
      <c r="Y21" s="12" t="s">
        <v>129</v>
      </c>
      <c r="Z21" s="12" t="s">
        <v>130</v>
      </c>
      <c r="AA21" s="12" t="s">
        <v>131</v>
      </c>
      <c r="AB21" s="12" t="s">
        <v>132</v>
      </c>
      <c r="AC21" s="12" t="s">
        <v>133</v>
      </c>
      <c r="AD21" s="12" t="s">
        <v>134</v>
      </c>
      <c r="AE21" s="12" t="s">
        <v>135</v>
      </c>
      <c r="AF21" s="12" t="s">
        <v>136</v>
      </c>
      <c r="AG21" s="12" t="s">
        <v>137</v>
      </c>
      <c r="AH21" s="12" t="s">
        <v>138</v>
      </c>
      <c r="AI21" s="12" t="s">
        <v>139</v>
      </c>
    </row>
    <row r="23" spans="2:35" ht="18">
      <c r="B23" s="9" t="s">
        <v>2434</v>
      </c>
    </row>
    <row r="25" spans="2:35">
      <c r="C25" s="11" t="s">
        <v>109</v>
      </c>
      <c r="D25" t="s">
        <v>2440</v>
      </c>
      <c r="E25" t="s">
        <v>2441</v>
      </c>
      <c r="F25" t="s">
        <v>2442</v>
      </c>
    </row>
    <row r="26" spans="2:35">
      <c r="C26" s="11" t="s">
        <v>141</v>
      </c>
      <c r="D26" s="10" t="s">
        <v>1</v>
      </c>
      <c r="E26" s="10">
        <v>1</v>
      </c>
      <c r="F26">
        <v>0</v>
      </c>
    </row>
    <row r="27" spans="2:35">
      <c r="C27" s="11" t="s">
        <v>142</v>
      </c>
      <c r="D27" s="10" t="s">
        <v>1</v>
      </c>
      <c r="E27" s="10">
        <v>0.73137471616198091</v>
      </c>
      <c r="F27">
        <v>0.26862528383801892</v>
      </c>
    </row>
    <row r="28" spans="2:35">
      <c r="C28" s="11" t="s">
        <v>143</v>
      </c>
      <c r="D28" s="10" t="s">
        <v>1</v>
      </c>
      <c r="E28" s="10">
        <v>1</v>
      </c>
      <c r="F28">
        <v>0</v>
      </c>
    </row>
    <row r="29" spans="2:35">
      <c r="C29" s="11" t="s">
        <v>144</v>
      </c>
      <c r="D29" s="10" t="s">
        <v>1</v>
      </c>
      <c r="E29" s="10">
        <v>1</v>
      </c>
      <c r="F29">
        <v>0</v>
      </c>
    </row>
    <row r="30" spans="2:35">
      <c r="C30" s="11" t="s">
        <v>145</v>
      </c>
      <c r="D30" s="10" t="s">
        <v>1</v>
      </c>
      <c r="E30" s="10">
        <v>0.64223691663297322</v>
      </c>
      <c r="F30">
        <v>0.35776308336702678</v>
      </c>
    </row>
    <row r="31" spans="2:35">
      <c r="C31" s="11" t="s">
        <v>146</v>
      </c>
      <c r="D31" s="10" t="s">
        <v>1</v>
      </c>
      <c r="E31" s="10">
        <v>1</v>
      </c>
      <c r="F31">
        <v>0</v>
      </c>
    </row>
    <row r="32" spans="2:35">
      <c r="C32" s="11" t="s">
        <v>147</v>
      </c>
      <c r="D32" s="10" t="s">
        <v>1</v>
      </c>
      <c r="E32" s="10">
        <v>0.66959160031649267</v>
      </c>
      <c r="F32">
        <v>0.33040839968350744</v>
      </c>
    </row>
    <row r="33" spans="3:6">
      <c r="C33" s="11" t="s">
        <v>148</v>
      </c>
      <c r="D33" s="10" t="s">
        <v>1</v>
      </c>
      <c r="E33" s="10">
        <v>1</v>
      </c>
      <c r="F33">
        <v>0</v>
      </c>
    </row>
    <row r="34" spans="3:6">
      <c r="C34" s="11" t="s">
        <v>149</v>
      </c>
      <c r="D34" s="10" t="s">
        <v>1</v>
      </c>
      <c r="E34" s="10">
        <v>1</v>
      </c>
      <c r="F34">
        <v>0</v>
      </c>
    </row>
    <row r="35" spans="3:6">
      <c r="C35" s="11" t="s">
        <v>150</v>
      </c>
      <c r="D35" s="10" t="s">
        <v>1</v>
      </c>
      <c r="E35" s="10">
        <v>1</v>
      </c>
      <c r="F35">
        <v>0</v>
      </c>
    </row>
    <row r="36" spans="3:6">
      <c r="C36" s="11" t="s">
        <v>151</v>
      </c>
      <c r="D36" s="10" t="s">
        <v>1</v>
      </c>
      <c r="E36" s="10">
        <v>0.81419395160406627</v>
      </c>
      <c r="F36">
        <v>0.18580604839593365</v>
      </c>
    </row>
    <row r="37" spans="3:6">
      <c r="C37" s="11" t="s">
        <v>153</v>
      </c>
      <c r="D37" s="10" t="s">
        <v>1</v>
      </c>
      <c r="E37" s="10">
        <v>1</v>
      </c>
      <c r="F37">
        <v>0</v>
      </c>
    </row>
    <row r="38" spans="3:6">
      <c r="C38" s="11" t="s">
        <v>156</v>
      </c>
      <c r="D38" s="10" t="s">
        <v>1</v>
      </c>
      <c r="E38" s="10">
        <v>1</v>
      </c>
      <c r="F38">
        <v>0</v>
      </c>
    </row>
    <row r="39" spans="3:6">
      <c r="C39" s="11" t="s">
        <v>157</v>
      </c>
      <c r="D39" s="10" t="s">
        <v>1</v>
      </c>
      <c r="E39" s="10">
        <v>1</v>
      </c>
      <c r="F39">
        <v>0</v>
      </c>
    </row>
    <row r="40" spans="3:6">
      <c r="C40" s="11" t="s">
        <v>140</v>
      </c>
      <c r="D40" s="10" t="s">
        <v>0</v>
      </c>
      <c r="E40" s="10">
        <v>0</v>
      </c>
      <c r="F40">
        <v>1</v>
      </c>
    </row>
    <row r="41" spans="3:6">
      <c r="C41" s="11" t="s">
        <v>152</v>
      </c>
      <c r="D41" s="10" t="s">
        <v>0</v>
      </c>
      <c r="E41" s="10">
        <v>0</v>
      </c>
      <c r="F41">
        <v>1</v>
      </c>
    </row>
    <row r="42" spans="3:6">
      <c r="C42" s="11" t="s">
        <v>154</v>
      </c>
      <c r="D42" s="10" t="s">
        <v>0</v>
      </c>
      <c r="E42" s="10">
        <v>0</v>
      </c>
      <c r="F42">
        <v>1</v>
      </c>
    </row>
    <row r="43" spans="3:6">
      <c r="C43" s="11" t="s">
        <v>155</v>
      </c>
      <c r="D43" s="10" t="s">
        <v>0</v>
      </c>
      <c r="E43" s="10">
        <v>0.37437102089354646</v>
      </c>
      <c r="F43">
        <v>0.62562897910645354</v>
      </c>
    </row>
  </sheetData>
  <mergeCells count="18">
    <mergeCell ref="C21:E21"/>
    <mergeCell ref="F19:AI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B3:E3"/>
    <mergeCell ref="J3:M3"/>
    <mergeCell ref="C18:AI18"/>
    <mergeCell ref="C19:E19"/>
    <mergeCell ref="C20:E20"/>
  </mergeCells>
  <hyperlinks>
    <hyperlink ref="B4" location="'Scoring_NeuralNetwork1'!$B$10:$B$10" display="Inputs" xr:uid="{DE568B04-8A33-46D2-AD39-90FB29ACE906}"/>
    <hyperlink ref="D4" location="'Scoring_NeuralNetwork1'!$B$23:$B$23" display="Scoring" xr:uid="{9CF16B4D-9004-4D87-9ED4-1BD6D57F4058}"/>
  </hyperlinks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0205-5DB0-4727-9BA9-14A32BD5975D}">
  <dimension ref="B1:AI43"/>
  <sheetViews>
    <sheetView showGridLines="0" topLeftCell="A21" workbookViewId="0">
      <selection activeCell="I36" sqref="I36"/>
    </sheetView>
  </sheetViews>
  <sheetFormatPr defaultRowHeight="14.4"/>
  <cols>
    <col min="3" max="3" width="11" customWidth="1"/>
    <col min="4" max="4" width="20.33203125" customWidth="1"/>
    <col min="5" max="5" width="12.6640625" customWidth="1"/>
    <col min="6" max="6" width="13.33203125" customWidth="1"/>
    <col min="10" max="10" width="16.109375" bestFit="1" customWidth="1"/>
  </cols>
  <sheetData>
    <row r="1" spans="2:14" ht="18">
      <c r="B1" s="8" t="s">
        <v>2433</v>
      </c>
      <c r="N1" t="s">
        <v>2439</v>
      </c>
    </row>
    <row r="3" spans="2:14" ht="15.6">
      <c r="B3" s="22" t="s">
        <v>80</v>
      </c>
      <c r="C3" s="22"/>
      <c r="D3" s="22"/>
      <c r="E3" s="22"/>
      <c r="J3" s="35" t="s">
        <v>103</v>
      </c>
      <c r="K3" s="35"/>
      <c r="L3" s="35"/>
      <c r="M3" s="35"/>
    </row>
    <row r="4" spans="2:14">
      <c r="B4" s="16" t="s">
        <v>81</v>
      </c>
      <c r="C4" s="16"/>
      <c r="D4" s="16" t="s">
        <v>2434</v>
      </c>
      <c r="E4" s="16"/>
      <c r="J4" s="14" t="s">
        <v>104</v>
      </c>
      <c r="K4" s="14" t="s">
        <v>105</v>
      </c>
      <c r="L4" s="14" t="s">
        <v>106</v>
      </c>
      <c r="M4" s="14" t="s">
        <v>107</v>
      </c>
    </row>
    <row r="5" spans="2:14">
      <c r="J5" s="12">
        <v>626</v>
      </c>
      <c r="K5" s="12">
        <v>6</v>
      </c>
      <c r="L5" s="12">
        <v>0</v>
      </c>
      <c r="M5" s="12">
        <v>632</v>
      </c>
    </row>
    <row r="10" spans="2:14" ht="18">
      <c r="B10" s="9" t="s">
        <v>81</v>
      </c>
    </row>
    <row r="12" spans="2:14" ht="15.6">
      <c r="C12" s="22" t="s">
        <v>83</v>
      </c>
      <c r="D12" s="22"/>
      <c r="E12" s="22"/>
      <c r="F12" s="22"/>
      <c r="G12" s="22"/>
      <c r="H12" s="22"/>
      <c r="I12" s="22"/>
    </row>
    <row r="13" spans="2:14">
      <c r="C13" s="20" t="s">
        <v>84</v>
      </c>
      <c r="D13" s="20"/>
      <c r="E13" s="21"/>
      <c r="F13" s="24" t="s">
        <v>98</v>
      </c>
      <c r="G13" s="24"/>
      <c r="H13" s="24"/>
      <c r="I13" s="24"/>
    </row>
    <row r="14" spans="2:14">
      <c r="C14" s="20" t="s">
        <v>85</v>
      </c>
      <c r="D14" s="20"/>
      <c r="E14" s="21"/>
      <c r="F14" s="24" t="s">
        <v>2437</v>
      </c>
      <c r="G14" s="24"/>
      <c r="H14" s="24"/>
      <c r="I14" s="24"/>
    </row>
    <row r="15" spans="2:14">
      <c r="C15" s="20" t="s">
        <v>86</v>
      </c>
      <c r="D15" s="20"/>
      <c r="E15" s="21"/>
      <c r="F15" s="24" t="s">
        <v>2438</v>
      </c>
      <c r="G15" s="24"/>
      <c r="H15" s="24"/>
      <c r="I15" s="24"/>
    </row>
    <row r="16" spans="2:14">
      <c r="C16" s="20" t="s">
        <v>87</v>
      </c>
      <c r="D16" s="20"/>
      <c r="E16" s="21"/>
      <c r="F16" s="23">
        <v>18</v>
      </c>
      <c r="G16" s="23"/>
      <c r="H16" s="23"/>
      <c r="I16" s="23"/>
    </row>
    <row r="18" spans="2:35" ht="15.6">
      <c r="C18" s="22" t="s">
        <v>88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</row>
    <row r="19" spans="2:35">
      <c r="C19" s="20" t="s">
        <v>1183</v>
      </c>
      <c r="D19" s="20"/>
      <c r="E19" s="21"/>
      <c r="F19" s="23">
        <v>30</v>
      </c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</row>
    <row r="20" spans="2:35">
      <c r="C20" s="20" t="s">
        <v>2435</v>
      </c>
      <c r="D20" s="20"/>
      <c r="E20" s="21"/>
      <c r="F20" s="12" t="s">
        <v>110</v>
      </c>
      <c r="G20" s="12" t="s">
        <v>111</v>
      </c>
      <c r="H20" s="12" t="s">
        <v>112</v>
      </c>
      <c r="I20" s="12" t="s">
        <v>113</v>
      </c>
      <c r="J20" s="12" t="s">
        <v>114</v>
      </c>
      <c r="K20" s="12" t="s">
        <v>115</v>
      </c>
      <c r="L20" s="12" t="s">
        <v>116</v>
      </c>
      <c r="M20" s="12" t="s">
        <v>117</v>
      </c>
      <c r="N20" s="12" t="s">
        <v>118</v>
      </c>
      <c r="O20" s="12" t="s">
        <v>119</v>
      </c>
      <c r="P20" s="12" t="s">
        <v>120</v>
      </c>
      <c r="Q20" s="12" t="s">
        <v>121</v>
      </c>
      <c r="R20" s="12" t="s">
        <v>122</v>
      </c>
      <c r="S20" s="12" t="s">
        <v>123</v>
      </c>
      <c r="T20" s="12" t="s">
        <v>124</v>
      </c>
      <c r="U20" s="12" t="s">
        <v>125</v>
      </c>
      <c r="V20" s="12" t="s">
        <v>126</v>
      </c>
      <c r="W20" s="12" t="s">
        <v>127</v>
      </c>
      <c r="X20" s="12" t="s">
        <v>128</v>
      </c>
      <c r="Y20" s="12" t="s">
        <v>129</v>
      </c>
      <c r="Z20" s="12" t="s">
        <v>130</v>
      </c>
      <c r="AA20" s="12" t="s">
        <v>131</v>
      </c>
      <c r="AB20" s="12" t="s">
        <v>132</v>
      </c>
      <c r="AC20" s="12" t="s">
        <v>133</v>
      </c>
      <c r="AD20" s="12" t="s">
        <v>134</v>
      </c>
      <c r="AE20" s="12" t="s">
        <v>135</v>
      </c>
      <c r="AF20" s="12" t="s">
        <v>136</v>
      </c>
      <c r="AG20" s="12" t="s">
        <v>137</v>
      </c>
      <c r="AH20" s="12" t="s">
        <v>138</v>
      </c>
      <c r="AI20" s="12" t="s">
        <v>139</v>
      </c>
    </row>
    <row r="21" spans="2:35">
      <c r="C21" s="20" t="s">
        <v>2436</v>
      </c>
      <c r="D21" s="20"/>
      <c r="E21" s="21"/>
      <c r="F21" s="12" t="s">
        <v>110</v>
      </c>
      <c r="G21" s="12" t="s">
        <v>111</v>
      </c>
      <c r="H21" s="12" t="s">
        <v>112</v>
      </c>
      <c r="I21" s="12" t="s">
        <v>113</v>
      </c>
      <c r="J21" s="12" t="s">
        <v>114</v>
      </c>
      <c r="K21" s="12" t="s">
        <v>115</v>
      </c>
      <c r="L21" s="12" t="s">
        <v>116</v>
      </c>
      <c r="M21" s="12" t="s">
        <v>117</v>
      </c>
      <c r="N21" s="12" t="s">
        <v>118</v>
      </c>
      <c r="O21" s="12" t="s">
        <v>119</v>
      </c>
      <c r="P21" s="12" t="s">
        <v>120</v>
      </c>
      <c r="Q21" s="12" t="s">
        <v>121</v>
      </c>
      <c r="R21" s="12" t="s">
        <v>122</v>
      </c>
      <c r="S21" s="12" t="s">
        <v>123</v>
      </c>
      <c r="T21" s="12" t="s">
        <v>124</v>
      </c>
      <c r="U21" s="12" t="s">
        <v>125</v>
      </c>
      <c r="V21" s="12" t="s">
        <v>126</v>
      </c>
      <c r="W21" s="12" t="s">
        <v>127</v>
      </c>
      <c r="X21" s="12" t="s">
        <v>128</v>
      </c>
      <c r="Y21" s="12" t="s">
        <v>129</v>
      </c>
      <c r="Z21" s="12" t="s">
        <v>130</v>
      </c>
      <c r="AA21" s="12" t="s">
        <v>131</v>
      </c>
      <c r="AB21" s="12" t="s">
        <v>132</v>
      </c>
      <c r="AC21" s="12" t="s">
        <v>133</v>
      </c>
      <c r="AD21" s="12" t="s">
        <v>134</v>
      </c>
      <c r="AE21" s="12" t="s">
        <v>135</v>
      </c>
      <c r="AF21" s="12" t="s">
        <v>136</v>
      </c>
      <c r="AG21" s="12" t="s">
        <v>137</v>
      </c>
      <c r="AH21" s="12" t="s">
        <v>138</v>
      </c>
      <c r="AI21" s="12" t="s">
        <v>139</v>
      </c>
    </row>
    <row r="23" spans="2:35" ht="18">
      <c r="B23" s="9" t="s">
        <v>2434</v>
      </c>
    </row>
    <row r="25" spans="2:35">
      <c r="C25" s="11" t="s">
        <v>109</v>
      </c>
      <c r="D25" t="s">
        <v>2440</v>
      </c>
      <c r="E25" t="s">
        <v>2441</v>
      </c>
      <c r="F25" t="s">
        <v>2442</v>
      </c>
    </row>
    <row r="26" spans="2:35">
      <c r="C26" s="11" t="s">
        <v>141</v>
      </c>
      <c r="D26" s="10" t="s">
        <v>1</v>
      </c>
      <c r="E26" s="10">
        <v>1</v>
      </c>
      <c r="F26">
        <v>0</v>
      </c>
    </row>
    <row r="27" spans="2:35">
      <c r="C27" s="11" t="s">
        <v>142</v>
      </c>
      <c r="D27" s="10" t="s">
        <v>1</v>
      </c>
      <c r="E27" s="10">
        <v>0.7195870421178564</v>
      </c>
      <c r="F27">
        <v>0.28041295788214343</v>
      </c>
    </row>
    <row r="28" spans="2:35">
      <c r="C28" s="11" t="s">
        <v>143</v>
      </c>
      <c r="D28" s="10" t="s">
        <v>1</v>
      </c>
      <c r="E28" s="10">
        <v>1</v>
      </c>
      <c r="F28">
        <v>0</v>
      </c>
    </row>
    <row r="29" spans="2:35">
      <c r="C29" s="11" t="s">
        <v>144</v>
      </c>
      <c r="D29" s="10" t="s">
        <v>1</v>
      </c>
      <c r="E29" s="10">
        <v>0.93162431569053161</v>
      </c>
      <c r="F29">
        <v>6.837568430946829E-2</v>
      </c>
    </row>
    <row r="30" spans="2:35">
      <c r="C30" s="11" t="s">
        <v>145</v>
      </c>
      <c r="D30" s="10" t="s">
        <v>1</v>
      </c>
      <c r="E30" s="10">
        <v>0.54945753992384228</v>
      </c>
      <c r="F30">
        <v>0.45054246007615778</v>
      </c>
    </row>
    <row r="31" spans="2:35">
      <c r="C31" s="11" t="s">
        <v>146</v>
      </c>
      <c r="D31" s="10" t="s">
        <v>1</v>
      </c>
      <c r="E31" s="10">
        <v>0.87830009992803171</v>
      </c>
      <c r="F31">
        <v>0.12169990007196836</v>
      </c>
    </row>
    <row r="32" spans="2:35">
      <c r="C32" s="11" t="s">
        <v>147</v>
      </c>
      <c r="D32" s="10" t="s">
        <v>1</v>
      </c>
      <c r="E32" s="10">
        <v>0.87812927689887132</v>
      </c>
      <c r="F32">
        <v>0.1218707231011287</v>
      </c>
    </row>
    <row r="33" spans="3:6">
      <c r="C33" s="11" t="s">
        <v>148</v>
      </c>
      <c r="D33" s="10" t="s">
        <v>1</v>
      </c>
      <c r="E33" s="10">
        <v>1</v>
      </c>
      <c r="F33">
        <v>0</v>
      </c>
    </row>
    <row r="34" spans="3:6">
      <c r="C34" s="11" t="s">
        <v>149</v>
      </c>
      <c r="D34" s="10" t="s">
        <v>1</v>
      </c>
      <c r="E34" s="10">
        <v>0.88615664344236444</v>
      </c>
      <c r="F34">
        <v>0.11384335655763556</v>
      </c>
    </row>
    <row r="35" spans="3:6">
      <c r="C35" s="11" t="s">
        <v>150</v>
      </c>
      <c r="D35" s="10" t="s">
        <v>1</v>
      </c>
      <c r="E35" s="10">
        <v>0.77432108443393133</v>
      </c>
      <c r="F35">
        <v>0.22567891556606876</v>
      </c>
    </row>
    <row r="36" spans="3:6">
      <c r="C36" s="11" t="s">
        <v>151</v>
      </c>
      <c r="D36" s="10" t="s">
        <v>1</v>
      </c>
      <c r="E36" s="10">
        <v>0.91420488678420597</v>
      </c>
      <c r="F36">
        <v>8.5795113215794042E-2</v>
      </c>
    </row>
    <row r="37" spans="3:6">
      <c r="C37" s="11" t="s">
        <v>153</v>
      </c>
      <c r="D37" s="10" t="s">
        <v>1</v>
      </c>
      <c r="E37" s="10">
        <v>0.77214539754108491</v>
      </c>
      <c r="F37">
        <v>0.22785460245891503</v>
      </c>
    </row>
    <row r="38" spans="3:6">
      <c r="C38" s="11" t="s">
        <v>155</v>
      </c>
      <c r="D38" s="10" t="s">
        <v>1</v>
      </c>
      <c r="E38" s="10">
        <v>0.50397009038837415</v>
      </c>
      <c r="F38">
        <v>0.4960299096116258</v>
      </c>
    </row>
    <row r="39" spans="3:6">
      <c r="C39" s="11" t="s">
        <v>156</v>
      </c>
      <c r="D39" s="10" t="s">
        <v>1</v>
      </c>
      <c r="E39" s="10">
        <v>0.76762328323969975</v>
      </c>
      <c r="F39">
        <v>0.23237671676030017</v>
      </c>
    </row>
    <row r="40" spans="3:6">
      <c r="C40" s="11" t="s">
        <v>157</v>
      </c>
      <c r="D40" s="10" t="s">
        <v>1</v>
      </c>
      <c r="E40" s="10">
        <v>1</v>
      </c>
      <c r="F40">
        <v>0</v>
      </c>
    </row>
    <row r="41" spans="3:6">
      <c r="C41" s="11" t="s">
        <v>140</v>
      </c>
      <c r="D41" s="10" t="s">
        <v>0</v>
      </c>
      <c r="E41" s="10">
        <v>0</v>
      </c>
      <c r="F41">
        <v>1</v>
      </c>
    </row>
    <row r="42" spans="3:6">
      <c r="C42" s="11" t="s">
        <v>152</v>
      </c>
      <c r="D42" s="10" t="s">
        <v>0</v>
      </c>
      <c r="E42" s="10">
        <v>0</v>
      </c>
      <c r="F42">
        <v>1</v>
      </c>
    </row>
    <row r="43" spans="3:6">
      <c r="C43" s="11" t="s">
        <v>154</v>
      </c>
      <c r="D43" s="10" t="s">
        <v>0</v>
      </c>
      <c r="E43" s="10">
        <v>0</v>
      </c>
      <c r="F43">
        <v>1</v>
      </c>
    </row>
  </sheetData>
  <mergeCells count="18">
    <mergeCell ref="C21:E21"/>
    <mergeCell ref="F19:AI19"/>
    <mergeCell ref="B4:C4"/>
    <mergeCell ref="D4:E4"/>
    <mergeCell ref="C12:I12"/>
    <mergeCell ref="C13:E13"/>
    <mergeCell ref="C14:E14"/>
    <mergeCell ref="C15:E15"/>
    <mergeCell ref="C16:E16"/>
    <mergeCell ref="F13:I13"/>
    <mergeCell ref="F14:I14"/>
    <mergeCell ref="F15:I15"/>
    <mergeCell ref="F16:I16"/>
    <mergeCell ref="B3:E3"/>
    <mergeCell ref="J3:M3"/>
    <mergeCell ref="C18:AI18"/>
    <mergeCell ref="C19:E19"/>
    <mergeCell ref="C20:E20"/>
  </mergeCells>
  <hyperlinks>
    <hyperlink ref="B4" location="'Scoring_NeuralNetwork'!$B$10:$B$10" display="Inputs" xr:uid="{69F27C63-E414-46C4-B163-DA2848D277F0}"/>
    <hyperlink ref="D4" location="'Scoring_NeuralNetwork'!$B$23:$B$23" display="Scoring" xr:uid="{BE0068FF-03C2-447F-A2B2-5B3E54F99B13}"/>
  </hyperlink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1</vt:i4>
      </vt:variant>
    </vt:vector>
  </HeadingPairs>
  <TitlesOfParts>
    <vt:vector size="37" baseType="lpstr">
      <vt:lpstr>Description</vt:lpstr>
      <vt:lpstr>Data</vt:lpstr>
      <vt:lpstr>Imputation</vt:lpstr>
      <vt:lpstr>STDPartition2</vt:lpstr>
      <vt:lpstr>NNC_Output4</vt:lpstr>
      <vt:lpstr>NNC_TrainLog4</vt:lpstr>
      <vt:lpstr>NNC_TrainingScore4</vt:lpstr>
      <vt:lpstr>NNC_ValidationScore4</vt:lpstr>
      <vt:lpstr>NNC_Stored4</vt:lpstr>
      <vt:lpstr>STDPartition1</vt:lpstr>
      <vt:lpstr>NNC_Output3</vt:lpstr>
      <vt:lpstr>NNC_TrainLog3</vt:lpstr>
      <vt:lpstr>NNC_TrainingScore3</vt:lpstr>
      <vt:lpstr>NNC_ValidationScore3</vt:lpstr>
      <vt:lpstr>NNC_Stored3</vt:lpstr>
      <vt:lpstr>STDPartition</vt:lpstr>
      <vt:lpstr>NNC_Output2</vt:lpstr>
      <vt:lpstr>NNC_TrainLog2</vt:lpstr>
      <vt:lpstr>NNC_TrainingScore2</vt:lpstr>
      <vt:lpstr>NNC_ValidationScore2</vt:lpstr>
      <vt:lpstr>NNC_Stored2</vt:lpstr>
      <vt:lpstr>NNC_Output1</vt:lpstr>
      <vt:lpstr>NNC_TrainLog1</vt:lpstr>
      <vt:lpstr>NNC_TrainingScore1</vt:lpstr>
      <vt:lpstr>NNC_ValidationScore1</vt:lpstr>
      <vt:lpstr>NNC_Stored1</vt:lpstr>
      <vt:lpstr>NNC_Output</vt:lpstr>
      <vt:lpstr>NNC_TrainLog</vt:lpstr>
      <vt:lpstr>NNC_TrainingScore</vt:lpstr>
      <vt:lpstr>NNC_ValidationScore</vt:lpstr>
      <vt:lpstr>NNC_Stored</vt:lpstr>
      <vt:lpstr>New Data</vt:lpstr>
      <vt:lpstr>Imputation1</vt:lpstr>
      <vt:lpstr>Scoring_NeuralNetwork2</vt:lpstr>
      <vt:lpstr>Scoring_NeuralNetwork1</vt:lpstr>
      <vt:lpstr>Scoring_NeuralNetwork</vt:lpstr>
      <vt:lpstr>Data!wdbc.data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MOHAMMED IMTIYAZ</cp:lastModifiedBy>
  <dcterms:created xsi:type="dcterms:W3CDTF">2017-10-24T14:11:13Z</dcterms:created>
  <dcterms:modified xsi:type="dcterms:W3CDTF">2025-03-18T22:12:15Z</dcterms:modified>
</cp:coreProperties>
</file>